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info" sheetId="2" r:id="rId5"/>
  </sheets>
  <definedNames/>
  <calcPr/>
  <extLst>
    <ext uri="GoogleSheetsCustomDataVersion2">
      <go:sheetsCustomData xmlns:go="http://customooxmlschemas.google.com/" r:id="rId6" roundtripDataChecksum="fbb9gdTJkikx+9l4nn3prJrFuQIAeyTfXcHxGlkSnOM="/>
    </ext>
  </extLst>
</workbook>
</file>

<file path=xl/sharedStrings.xml><?xml version="1.0" encoding="utf-8"?>
<sst xmlns="http://schemas.openxmlformats.org/spreadsheetml/2006/main" count="890" uniqueCount="209">
  <si>
    <t>Sample</t>
  </si>
  <si>
    <t>Group</t>
  </si>
  <si>
    <t>Term</t>
  </si>
  <si>
    <t>Site</t>
  </si>
  <si>
    <t>Original_Treatment</t>
  </si>
  <si>
    <t>Treatment</t>
  </si>
  <si>
    <t>Urease</t>
  </si>
  <si>
    <t>Glucosidase</t>
  </si>
  <si>
    <t>Phosphatase</t>
  </si>
  <si>
    <t>Cmic</t>
  </si>
  <si>
    <t>Dehydrogenase</t>
  </si>
  <si>
    <t>Soil_Resp</t>
  </si>
  <si>
    <t>CN_Ratio</t>
  </si>
  <si>
    <t>Soil_moist</t>
  </si>
  <si>
    <t>Infiltration</t>
  </si>
  <si>
    <t>P</t>
  </si>
  <si>
    <t>N</t>
  </si>
  <si>
    <t>Ca</t>
  </si>
  <si>
    <t>Mg</t>
  </si>
  <si>
    <t>Na</t>
  </si>
  <si>
    <t>K</t>
  </si>
  <si>
    <t>CICe</t>
  </si>
  <si>
    <t>C</t>
  </si>
  <si>
    <t>OM</t>
  </si>
  <si>
    <t>BS</t>
  </si>
  <si>
    <t>R</t>
  </si>
  <si>
    <t>VC</t>
  </si>
  <si>
    <t>DW</t>
  </si>
  <si>
    <t>L</t>
  </si>
  <si>
    <t>A</t>
  </si>
  <si>
    <t>M</t>
  </si>
  <si>
    <t>pH</t>
  </si>
  <si>
    <t>Sand</t>
  </si>
  <si>
    <t>Silt</t>
  </si>
  <si>
    <t>Clay</t>
  </si>
  <si>
    <t>CEAM</t>
  </si>
  <si>
    <t>Short</t>
  </si>
  <si>
    <t>VEBO</t>
  </si>
  <si>
    <t>NQ1</t>
  </si>
  <si>
    <t>NQ2</t>
  </si>
  <si>
    <t>NQ3</t>
  </si>
  <si>
    <t>NQ4</t>
  </si>
  <si>
    <t>NQ5</t>
  </si>
  <si>
    <t>Q1</t>
  </si>
  <si>
    <t>Q2</t>
  </si>
  <si>
    <t>Q3</t>
  </si>
  <si>
    <t>Q4</t>
  </si>
  <si>
    <t>Q5</t>
  </si>
  <si>
    <t>F1</t>
  </si>
  <si>
    <t>QF</t>
  </si>
  <si>
    <t>F2</t>
  </si>
  <si>
    <t>F3</t>
  </si>
  <si>
    <t>F4</t>
  </si>
  <si>
    <t>F5</t>
  </si>
  <si>
    <t>QE1</t>
  </si>
  <si>
    <t>QC</t>
  </si>
  <si>
    <t>QE2</t>
  </si>
  <si>
    <t>QE3</t>
  </si>
  <si>
    <t>QE4</t>
  </si>
  <si>
    <t>QE5</t>
  </si>
  <si>
    <t>Long</t>
  </si>
  <si>
    <t>USE</t>
  </si>
  <si>
    <t>INIA</t>
  </si>
  <si>
    <t>Navalacruz</t>
  </si>
  <si>
    <t>Sin_quemar 1</t>
  </si>
  <si>
    <t>NQ</t>
  </si>
  <si>
    <t>Sin_quemar 2</t>
  </si>
  <si>
    <t>Sin_quemar 3</t>
  </si>
  <si>
    <t>Sin_quemar 4</t>
  </si>
  <si>
    <t>Sin_quemar 5</t>
  </si>
  <si>
    <t>Cortada1</t>
  </si>
  <si>
    <t>Cortada2</t>
  </si>
  <si>
    <t>Cortada3</t>
  </si>
  <si>
    <t>Cortada4</t>
  </si>
  <si>
    <t>Cortada5</t>
  </si>
  <si>
    <t>Fajinas1</t>
  </si>
  <si>
    <t>Fajinas2</t>
  </si>
  <si>
    <t>Fajinas3</t>
  </si>
  <si>
    <t>Fajinas4</t>
  </si>
  <si>
    <t>Fajinas5</t>
  </si>
  <si>
    <t>Sin_cortar1</t>
  </si>
  <si>
    <t>Q</t>
  </si>
  <si>
    <t>Sin_cortar2</t>
  </si>
  <si>
    <t>Sin_cortar3</t>
  </si>
  <si>
    <t>Sin_cortar4</t>
  </si>
  <si>
    <t>Sin_cortar5</t>
  </si>
  <si>
    <t>Rodenal</t>
  </si>
  <si>
    <t>Rod_Testigo_PV2</t>
  </si>
  <si>
    <t>Rod_Cortada_PV2</t>
  </si>
  <si>
    <t>Rod_Testigo_PJ4</t>
  </si>
  <si>
    <t>Rod_Cortada_PJ4</t>
  </si>
  <si>
    <t>Rod_Testigo_PJ2</t>
  </si>
  <si>
    <t>Rod_Cortada_PJ2</t>
  </si>
  <si>
    <t>Rod_Testigo_PV4</t>
  </si>
  <si>
    <t>Rod_Cortada_PV4</t>
  </si>
  <si>
    <t>Rod_Testigo_PJ3</t>
  </si>
  <si>
    <t>Rod_Cortada_PJ3</t>
  </si>
  <si>
    <t>Rod_Sin_quemar _1</t>
  </si>
  <si>
    <t>Rod_Sin_quemar _2</t>
  </si>
  <si>
    <t>Rod_Sin_quemar _3</t>
  </si>
  <si>
    <t>Rod_Sin_quemar _4</t>
  </si>
  <si>
    <t>Rod_Sin_quemar _5</t>
  </si>
  <si>
    <t>UCLM</t>
  </si>
  <si>
    <t>Lietor</t>
  </si>
  <si>
    <t>Saca_madera1</t>
  </si>
  <si>
    <t>Saca_madera2</t>
  </si>
  <si>
    <t>Saca_madera3</t>
  </si>
  <si>
    <t>Saca_madera4</t>
  </si>
  <si>
    <t>Saca_madera5</t>
  </si>
  <si>
    <t>No_Quemado1</t>
  </si>
  <si>
    <t>No_Quemado2</t>
  </si>
  <si>
    <t>No_Quemado3</t>
  </si>
  <si>
    <t>No_Quemado4</t>
  </si>
  <si>
    <t>No_Quemado5</t>
  </si>
  <si>
    <t>Quemado_Especifico_PAJA1</t>
  </si>
  <si>
    <t>QM</t>
  </si>
  <si>
    <t>Quemado_Especifico_PAJA2</t>
  </si>
  <si>
    <t>Quemado_Especifico_PAJA3</t>
  </si>
  <si>
    <t>Quemado_Especifico_PAJA4</t>
  </si>
  <si>
    <t>Quemado_Especifico_PAJA5</t>
  </si>
  <si>
    <t>Quemado_Sin_Actuacion1</t>
  </si>
  <si>
    <t>Quemado_Sin_Actuacion2</t>
  </si>
  <si>
    <t>Quemado_Sin_Actuacion3</t>
  </si>
  <si>
    <t>Quemado_Sin_Actuacion4</t>
  </si>
  <si>
    <t>Quemado_Sin_Actuacion5</t>
  </si>
  <si>
    <t>Hellin</t>
  </si>
  <si>
    <t>Quemado_Especifico_FAJINA1</t>
  </si>
  <si>
    <t>Quemado_Especifico_FAJINA2</t>
  </si>
  <si>
    <t>Quemado_Especifico_FAJINA3</t>
  </si>
  <si>
    <t>Quemado_Especifico_FAJINA4</t>
  </si>
  <si>
    <t>Quemado_Especifico_FAJINA5</t>
  </si>
  <si>
    <t>LOURIZAN</t>
  </si>
  <si>
    <t>Lobios</t>
  </si>
  <si>
    <t>QMC</t>
  </si>
  <si>
    <t>Agudiña</t>
  </si>
  <si>
    <t>Project info</t>
  </si>
  <si>
    <t>Numeración_FIRESTORM_todos_subproyectos_buena</t>
  </si>
  <si>
    <t>faltan muestras 126-130, porque tratamiento se hizo sobre matorral</t>
  </si>
  <si>
    <t>Centro de Estudios Ambientales del Mediterráneo</t>
  </si>
  <si>
    <t>Instituto Nacional Investigaciones Agrarias</t>
  </si>
  <si>
    <t>Universidad Castilla-La Mancha</t>
  </si>
  <si>
    <t>Plazo en el que se evalúan los efectos del incendio</t>
  </si>
  <si>
    <t>&lt; 2 años</t>
  </si>
  <si>
    <t>&gt; 10 años</t>
  </si>
  <si>
    <t>?</t>
  </si>
  <si>
    <t>Les Useres (Castellón)</t>
  </si>
  <si>
    <t>(Ávila)</t>
  </si>
  <si>
    <t>(Guadalajara)</t>
  </si>
  <si>
    <t>Liétor (Albacete)</t>
  </si>
  <si>
    <t>Hellín (Albacete)</t>
  </si>
  <si>
    <t>(Ourense)</t>
  </si>
  <si>
    <t>A Gudiña (Ourense)</t>
  </si>
  <si>
    <t>Tratamientos con las denominaciones originales</t>
  </si>
  <si>
    <t>Alguno todavía no sé qué significa</t>
  </si>
  <si>
    <t>Tratamientos estandarizados</t>
  </si>
  <si>
    <t>No quemado</t>
  </si>
  <si>
    <t>QNA</t>
  </si>
  <si>
    <t>Quemado no actuación</t>
  </si>
  <si>
    <t>Quemado fajinas</t>
  </si>
  <si>
    <t>QE</t>
  </si>
  <si>
    <t>Quemado cortado</t>
  </si>
  <si>
    <t>Quemado cortado = saca??</t>
  </si>
  <si>
    <t>Quemado mulch</t>
  </si>
  <si>
    <t>Quemado mulch cortado</t>
  </si>
  <si>
    <t>Burned</t>
  </si>
  <si>
    <t>No quemado (control)</t>
  </si>
  <si>
    <t>Quemado</t>
  </si>
  <si>
    <t>PF_Action</t>
  </si>
  <si>
    <t>Actuación post incendio</t>
  </si>
  <si>
    <t>sí/no</t>
  </si>
  <si>
    <t>Waste descomposition</t>
  </si>
  <si>
    <t>Actividad de la ureasa</t>
  </si>
  <si>
    <r>
      <rPr>
        <rFont val="Calibri"/>
        <color theme="1"/>
        <sz val="12.0"/>
      </rPr>
      <t xml:space="preserve"> μg NH</t>
    </r>
    <r>
      <rPr>
        <rFont val="Calibri"/>
        <color theme="1"/>
        <sz val="12.0"/>
        <vertAlign val="subscript"/>
      </rPr>
      <t>4</t>
    </r>
    <r>
      <rPr>
        <rFont val="Calibri"/>
        <color theme="1"/>
        <sz val="12.0"/>
      </rPr>
      <t xml:space="preserve">-N/g s.s.*h </t>
    </r>
  </si>
  <si>
    <t>&lt;LD reemplazado por 1,00</t>
  </si>
  <si>
    <t>Actividad de la b-glucosidasa</t>
  </si>
  <si>
    <r>
      <rPr>
        <rFont val="Calibri"/>
        <color theme="1"/>
        <sz val="12.0"/>
      </rPr>
      <t xml:space="preserve"> </t>
    </r>
    <r>
      <rPr>
        <rFont val="Calibri"/>
        <color theme="1"/>
        <sz val="12.0"/>
      </rPr>
      <t>µ</t>
    </r>
    <r>
      <rPr>
        <rFont val="Calibri"/>
        <color theme="1"/>
        <sz val="12.0"/>
      </rPr>
      <t xml:space="preserve">g p-nitrofenol/g s.s.*h </t>
    </r>
  </si>
  <si>
    <t>Actividad de la fosfatasa</t>
  </si>
  <si>
    <r>
      <rPr>
        <rFont val="Calibri"/>
        <color theme="1"/>
        <sz val="12.0"/>
      </rPr>
      <t xml:space="preserve"> </t>
    </r>
    <r>
      <rPr>
        <rFont val="Calibri"/>
        <color theme="1"/>
        <sz val="12.0"/>
      </rPr>
      <t>µ</t>
    </r>
    <r>
      <rPr>
        <rFont val="Calibri"/>
        <color theme="1"/>
        <sz val="12.0"/>
      </rPr>
      <t xml:space="preserve">g p-nitrofenol/g s.s.*h </t>
    </r>
  </si>
  <si>
    <t>¿valores muy altos?</t>
  </si>
  <si>
    <t xml:space="preserve">Biomasa carbono microbiano </t>
  </si>
  <si>
    <t>mgC microbiano/kgss</t>
  </si>
  <si>
    <t>&lt;LD reemplazado por 10,00</t>
  </si>
  <si>
    <t>Actividad de la deshidrogenasa</t>
  </si>
  <si>
    <r>
      <rPr>
        <rFont val="Calibri"/>
        <color theme="1"/>
        <sz val="12.0"/>
      </rPr>
      <t xml:space="preserve"> </t>
    </r>
    <r>
      <rPr>
        <rFont val="Calibri"/>
        <color theme="1"/>
        <sz val="12.0"/>
      </rPr>
      <t>µ</t>
    </r>
    <r>
      <rPr>
        <rFont val="Calibri"/>
        <color theme="1"/>
        <sz val="12.0"/>
      </rPr>
      <t xml:space="preserve">g p-iodonitrotetrazolium formazan/g s.s.*h </t>
    </r>
  </si>
  <si>
    <t>Respiración del suelo</t>
  </si>
  <si>
    <r>
      <rPr>
        <rFont val="Calibri"/>
        <color theme="1"/>
        <sz val="12.0"/>
      </rPr>
      <t>ppm CO</t>
    </r>
    <r>
      <rPr>
        <rFont val="Calibri"/>
        <color theme="1"/>
        <sz val="12.0"/>
        <vertAlign val="subscript"/>
      </rPr>
      <t>2</t>
    </r>
    <r>
      <rPr>
        <rFont val="Calibri"/>
        <color theme="1"/>
        <sz val="12.0"/>
      </rPr>
      <t>/ g ss 24 h</t>
    </r>
  </si>
  <si>
    <t>Ratio C/N</t>
  </si>
  <si>
    <t>Water regulation</t>
  </si>
  <si>
    <t>Soil_Moist</t>
  </si>
  <si>
    <t>Humedad del suelo</t>
  </si>
  <si>
    <t>%H2O</t>
  </si>
  <si>
    <t>incompleto, faltan la mitad de los datos</t>
  </si>
  <si>
    <t>Nutrients</t>
  </si>
  <si>
    <t>mg kg.1</t>
  </si>
  <si>
    <t>cmol(+)kg-1</t>
  </si>
  <si>
    <t>ClCe</t>
  </si>
  <si>
    <t>Climate regulation</t>
  </si>
  <si>
    <t>%</t>
  </si>
  <si>
    <t>¿es útil?</t>
  </si>
  <si>
    <t>Community composition</t>
  </si>
  <si>
    <t>Bared soil</t>
  </si>
  <si>
    <t>creo que no lo vamos a utizar por los objetivos del trabajo; además, faltan datos.  pero hay algunos valores del mulch  en Liétor que igual interesan</t>
  </si>
  <si>
    <t>Rock</t>
  </si>
  <si>
    <t>Vegetation cover</t>
  </si>
  <si>
    <t>Dead wood</t>
  </si>
  <si>
    <t>Litter</t>
  </si>
  <si>
    <t>Ash</t>
  </si>
  <si>
    <t>Mulch</t>
  </si>
  <si>
    <t>Physiochemical properties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</si>
</sst>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2.0"/>
      <color theme="1"/>
      <name val="Calibri"/>
      <scheme val="minor"/>
    </font>
    <font>
      <b/>
      <sz val="12.0"/>
      <color theme="1"/>
      <name val="Calibri"/>
    </font>
    <font>
      <b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i/>
      <sz val="12.0"/>
      <color theme="1"/>
      <name val="Calibri"/>
    </font>
    <font>
      <color theme="1"/>
      <name val="Calibri"/>
      <scheme val="minor"/>
    </font>
    <font/>
  </fonts>
  <fills count="21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D965"/>
        <bgColor rgb="FFFFD965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9">
    <border/>
    <border>
      <top/>
      <bottom/>
    </border>
    <border>
      <right/>
      <top/>
      <bottom/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0" fillId="4" fontId="2" numFmtId="0" xfId="0" applyAlignment="1" applyFont="1">
      <alignment horizontal="center" readingOrder="0"/>
    </xf>
    <xf borderId="2" fillId="4" fontId="1" numFmtId="0" xfId="0" applyAlignment="1" applyBorder="1" applyFont="1">
      <alignment horizontal="center" readingOrder="0" vertical="center"/>
    </xf>
    <xf borderId="3" fillId="4" fontId="1" numFmtId="0" xfId="0" applyAlignment="1" applyBorder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2" fillId="5" fontId="1" numFmtId="0" xfId="0" applyAlignment="1" applyBorder="1" applyFont="1">
      <alignment horizontal="center" readingOrder="0" vertical="center"/>
    </xf>
    <xf borderId="4" fillId="6" fontId="1" numFmtId="0" xfId="0" applyAlignment="1" applyBorder="1" applyFill="1" applyFont="1">
      <alignment horizontal="center" readingOrder="0" vertical="center"/>
    </xf>
    <xf borderId="2" fillId="6" fontId="1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4" fillId="7" fontId="1" numFmtId="0" xfId="0" applyAlignment="1" applyBorder="1" applyFill="1" applyFont="1">
      <alignment horizontal="center" readingOrder="0" vertical="center"/>
    </xf>
    <xf borderId="2" fillId="7" fontId="1" numFmtId="0" xfId="0" applyAlignment="1" applyBorder="1" applyFont="1">
      <alignment horizontal="center" readingOrder="0" vertical="center"/>
    </xf>
    <xf borderId="4" fillId="8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ont="1">
      <alignment horizontal="center" readingOrder="0" vertical="center"/>
    </xf>
    <xf borderId="2" fillId="8" fontId="1" numFmtId="0" xfId="0" applyAlignment="1" applyBorder="1" applyFont="1">
      <alignment horizontal="center" readingOrder="0" vertical="center"/>
    </xf>
    <xf borderId="4" fillId="9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2" fillId="9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/>
    </xf>
    <xf borderId="0" fillId="0" fontId="3" numFmtId="2" xfId="0" applyAlignment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10" fontId="3" numFmtId="164" xfId="0" applyAlignment="1" applyFill="1" applyFont="1" applyNumberFormat="1">
      <alignment horizontal="center" readingOrder="0" vertical="center"/>
    </xf>
    <xf borderId="0" fillId="0" fontId="3" numFmtId="1" xfId="0" applyAlignment="1" applyFont="1" applyNumberFormat="1">
      <alignment horizontal="center" readingOrder="0" vertical="center"/>
    </xf>
    <xf borderId="0" fillId="10" fontId="3" numFmtId="1" xfId="0" applyAlignment="1" applyFont="1" applyNumberFormat="1">
      <alignment horizontal="center" readingOrder="0" vertical="center"/>
    </xf>
    <xf borderId="0" fillId="0" fontId="3" numFmtId="2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 vertical="center"/>
    </xf>
    <xf borderId="0" fillId="11" fontId="3" numFmtId="1" xfId="0" applyAlignment="1" applyFill="1" applyFont="1" applyNumberForma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12" fontId="3" numFmtId="0" xfId="0" applyAlignment="1" applyFill="1" applyFont="1">
      <alignment horizontal="center" vertical="center"/>
    </xf>
    <xf borderId="0" fillId="0" fontId="3" numFmtId="0" xfId="0" applyFont="1"/>
    <xf borderId="0" fillId="2" fontId="1" numFmtId="0" xfId="0" applyAlignment="1" applyFont="1">
      <alignment readingOrder="0" vertical="center"/>
    </xf>
    <xf borderId="5" fillId="2" fontId="1" numFmtId="0" xfId="0" applyAlignment="1" applyBorder="1" applyFont="1">
      <alignment readingOrder="0" vertical="center"/>
    </xf>
    <xf borderId="5" fillId="13" fontId="5" numFmtId="0" xfId="0" applyAlignment="1" applyBorder="1" applyFill="1" applyFont="1">
      <alignment shrinkToFit="0" vertical="center" wrapText="1"/>
    </xf>
    <xf borderId="5" fillId="13" fontId="6" numFmtId="0" xfId="0" applyAlignment="1" applyBorder="1" applyFont="1">
      <alignment horizontal="center" vertical="center"/>
    </xf>
    <xf borderId="5" fillId="0" fontId="6" numFmtId="0" xfId="0" applyBorder="1" applyFont="1"/>
    <xf borderId="0" fillId="10" fontId="3" numFmtId="0" xfId="0" applyAlignment="1" applyFont="1">
      <alignment readingOrder="0" shrinkToFit="0" vertical="center" wrapText="1"/>
    </xf>
    <xf borderId="0" fillId="0" fontId="6" numFmtId="0" xfId="0" applyAlignment="1" applyFont="1">
      <alignment vertical="center"/>
    </xf>
    <xf borderId="6" fillId="2" fontId="1" numFmtId="0" xfId="0" applyAlignment="1" applyBorder="1" applyFont="1">
      <alignment vertical="center"/>
    </xf>
    <xf borderId="6" fillId="13" fontId="1" numFmtId="0" xfId="0" applyAlignment="1" applyBorder="1" applyFont="1">
      <alignment vertical="center"/>
    </xf>
    <xf borderId="5" fillId="13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7" fillId="0" fontId="7" numFmtId="0" xfId="0" applyBorder="1" applyFont="1"/>
    <xf borderId="8" fillId="0" fontId="7" numFmtId="0" xfId="0" applyBorder="1" applyFont="1"/>
    <xf borderId="5" fillId="13" fontId="3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readingOrder="0" vertical="center"/>
    </xf>
    <xf borderId="6" fillId="13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vertical="center"/>
    </xf>
    <xf borderId="5" fillId="13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readingOrder="0" vertical="center"/>
    </xf>
    <xf borderId="6" fillId="2" fontId="2" numFmtId="0" xfId="0" applyAlignment="1" applyBorder="1" applyFont="1">
      <alignment readingOrder="0" vertical="center"/>
    </xf>
    <xf borderId="6" fillId="13" fontId="2" numFmtId="0" xfId="0" applyAlignment="1" applyBorder="1" applyFont="1">
      <alignment readingOrder="0" vertical="center"/>
    </xf>
    <xf borderId="5" fillId="10" fontId="6" numFmtId="0" xfId="0" applyAlignment="1" applyBorder="1" applyFont="1">
      <alignment readingOrder="0" vertical="center"/>
    </xf>
    <xf borderId="0" fillId="9" fontId="2" numFmtId="0" xfId="0" applyAlignment="1" applyFont="1">
      <alignment readingOrder="0" vertical="center"/>
    </xf>
    <xf borderId="5" fillId="9" fontId="2" numFmtId="0" xfId="0" applyAlignment="1" applyBorder="1" applyFont="1">
      <alignment readingOrder="0" vertical="center"/>
    </xf>
    <xf borderId="5" fillId="14" fontId="6" numFmtId="0" xfId="0" applyAlignment="1" applyBorder="1" applyFill="1" applyFont="1">
      <alignment readingOrder="0" shrinkToFit="0" vertical="center" wrapText="1"/>
    </xf>
    <xf borderId="5" fillId="14" fontId="6" numFmtId="0" xfId="0" applyAlignment="1" applyBorder="1" applyFont="1">
      <alignment horizontal="center" vertical="center"/>
    </xf>
    <xf borderId="0" fillId="10" fontId="6" numFmtId="0" xfId="0" applyAlignment="1" applyFont="1">
      <alignment readingOrder="0" vertical="center"/>
    </xf>
    <xf borderId="6" fillId="9" fontId="2" numFmtId="0" xfId="0" applyAlignment="1" applyBorder="1" applyFont="1">
      <alignment readingOrder="0" vertical="center"/>
    </xf>
    <xf borderId="6" fillId="14" fontId="6" numFmtId="0" xfId="0" applyAlignment="1" applyBorder="1" applyFont="1">
      <alignment readingOrder="0" vertical="center"/>
    </xf>
    <xf borderId="5" fillId="14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readingOrder="0"/>
    </xf>
    <xf borderId="6" fillId="14" fontId="2" numFmtId="0" xfId="0" applyAlignment="1" applyBorder="1" applyFont="1">
      <alignment readingOrder="0" vertical="center"/>
    </xf>
    <xf borderId="5" fillId="14" fontId="6" numFmtId="0" xfId="0" applyAlignment="1" applyBorder="1" applyFont="1">
      <alignment readingOrder="0" vertical="center"/>
    </xf>
    <xf borderId="5" fillId="0" fontId="6" numFmtId="0" xfId="0" applyAlignment="1" applyBorder="1" applyFont="1">
      <alignment vertical="center"/>
    </xf>
    <xf borderId="6" fillId="4" fontId="2" numFmtId="0" xfId="0" applyAlignment="1" applyBorder="1" applyFont="1">
      <alignment readingOrder="0" shrinkToFit="0" vertical="center" wrapText="1"/>
    </xf>
    <xf borderId="5" fillId="4" fontId="2" numFmtId="0" xfId="0" applyAlignment="1" applyBorder="1" applyFont="1">
      <alignment readingOrder="0" vertical="center"/>
    </xf>
    <xf borderId="5" fillId="15" fontId="6" numFmtId="0" xfId="0" applyAlignment="1" applyBorder="1" applyFill="1" applyFont="1">
      <alignment readingOrder="0" vertical="center"/>
    </xf>
    <xf borderId="5" fillId="15" fontId="3" numFmtId="0" xfId="0" applyAlignment="1" applyBorder="1" applyFont="1">
      <alignment horizontal="center" shrinkToFit="0" vertical="center" wrapText="1"/>
    </xf>
    <xf borderId="5" fillId="15" fontId="6" numFmtId="0" xfId="0" applyAlignment="1" applyBorder="1" applyFont="1">
      <alignment horizontal="center" vertical="center"/>
    </xf>
    <xf borderId="0" fillId="0" fontId="6" numFmtId="0" xfId="0" applyAlignment="1" applyFont="1">
      <alignment readingOrder="0" vertical="center"/>
    </xf>
    <xf borderId="6" fillId="5" fontId="2" numFmtId="0" xfId="0" applyAlignment="1" applyBorder="1" applyFont="1">
      <alignment readingOrder="0" vertical="center"/>
    </xf>
    <xf borderId="5" fillId="5" fontId="2" numFmtId="0" xfId="0" applyAlignment="1" applyBorder="1" applyFont="1">
      <alignment readingOrder="0" vertical="center"/>
    </xf>
    <xf borderId="5" fillId="16" fontId="6" numFmtId="0" xfId="0" applyAlignment="1" applyBorder="1" applyFill="1" applyFont="1">
      <alignment readingOrder="0" vertical="center"/>
    </xf>
    <xf borderId="5" fillId="16" fontId="6" numFmtId="0" xfId="0" applyAlignment="1" applyBorder="1" applyFont="1">
      <alignment horizontal="center" readingOrder="0" vertical="center"/>
    </xf>
    <xf borderId="5" fillId="16" fontId="2" numFmtId="0" xfId="0" applyAlignment="1" applyBorder="1" applyFont="1">
      <alignment vertical="center"/>
    </xf>
    <xf borderId="5" fillId="16" fontId="6" numFmtId="0" xfId="0" applyAlignment="1" applyBorder="1" applyFont="1">
      <alignment horizontal="center" vertical="center"/>
    </xf>
    <xf borderId="6" fillId="6" fontId="2" numFmtId="0" xfId="0" applyAlignment="1" applyBorder="1" applyFont="1">
      <alignment readingOrder="0" vertical="center"/>
    </xf>
    <xf borderId="5" fillId="6" fontId="2" numFmtId="0" xfId="0" applyAlignment="1" applyBorder="1" applyFont="1">
      <alignment readingOrder="0" vertical="center"/>
    </xf>
    <xf borderId="5" fillId="17" fontId="2" numFmtId="0" xfId="0" applyAlignment="1" applyBorder="1" applyFill="1" applyFont="1">
      <alignment vertical="center"/>
    </xf>
    <xf borderId="5" fillId="17" fontId="3" numFmtId="0" xfId="0" applyAlignment="1" applyBorder="1" applyFont="1">
      <alignment horizontal="center" shrinkToFit="0" vertical="center" wrapText="1"/>
    </xf>
    <xf borderId="5" fillId="17" fontId="6" numFmtId="0" xfId="0" applyAlignment="1" applyBorder="1" applyFont="1">
      <alignment horizontal="center" vertical="center"/>
    </xf>
    <xf borderId="5" fillId="17" fontId="3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17" fontId="3" numFmtId="0" xfId="0" applyAlignment="1" applyBorder="1" applyFont="1">
      <alignment horizontal="center" readingOrder="0" vertical="center"/>
    </xf>
    <xf borderId="6" fillId="7" fontId="2" numFmtId="0" xfId="0" applyAlignment="1" applyBorder="1" applyFont="1">
      <alignment readingOrder="0" vertical="center"/>
    </xf>
    <xf borderId="5" fillId="7" fontId="2" numFmtId="0" xfId="0" applyAlignment="1" applyBorder="1" applyFont="1">
      <alignment readingOrder="0" vertical="center"/>
    </xf>
    <xf borderId="5" fillId="18" fontId="2" numFmtId="0" xfId="0" applyAlignment="1" applyBorder="1" applyFill="1" applyFont="1">
      <alignment vertical="center"/>
    </xf>
    <xf borderId="5" fillId="18" fontId="6" numFmtId="0" xfId="0" applyAlignment="1" applyBorder="1" applyFont="1">
      <alignment horizontal="center" readingOrder="0" vertical="center"/>
    </xf>
    <xf borderId="6" fillId="19" fontId="2" numFmtId="0" xfId="0" applyAlignment="1" applyBorder="1" applyFill="1" applyFont="1">
      <alignment readingOrder="0" shrinkToFit="0" vertical="center" wrapText="1"/>
    </xf>
    <xf borderId="5" fillId="19" fontId="2" numFmtId="0" xfId="0" applyAlignment="1" applyBorder="1" applyFont="1">
      <alignment readingOrder="0" vertical="center"/>
    </xf>
    <xf borderId="5" fillId="20" fontId="2" numFmtId="0" xfId="0" applyAlignment="1" applyBorder="1" applyFill="1" applyFont="1">
      <alignment readingOrder="0" vertical="center"/>
    </xf>
    <xf borderId="5" fillId="20" fontId="6" numFmtId="0" xfId="0" applyAlignment="1" applyBorder="1" applyFont="1">
      <alignment horizontal="center" readingOrder="0" vertical="center"/>
    </xf>
    <xf borderId="0" fillId="10" fontId="6" numFmtId="0" xfId="0" applyAlignment="1" applyFont="1">
      <alignment readingOrder="0" shrinkToFit="0" vertical="center" wrapText="1"/>
    </xf>
    <xf borderId="6" fillId="9" fontId="2" numFmtId="0" xfId="0" applyAlignment="1" applyBorder="1" applyFont="1">
      <alignment readingOrder="0" shrinkToFit="0" vertical="center" wrapText="1"/>
    </xf>
    <xf borderId="5" fillId="14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89"/>
    <col customWidth="1" min="2" max="2" width="9.89"/>
    <col customWidth="1" min="3" max="3" width="9.78"/>
    <col customWidth="1" min="4" max="4" width="9.0"/>
    <col customWidth="1" min="5" max="6" width="17.11"/>
    <col customWidth="1" min="7" max="7" width="10.56"/>
    <col customWidth="1" min="8" max="8" width="12.0"/>
    <col customWidth="1" min="9" max="9" width="11.78"/>
    <col customWidth="1" min="10" max="10" width="10.56"/>
    <col customWidth="1" min="11" max="11" width="11.89"/>
    <col customWidth="1" min="12" max="14" width="10.56"/>
    <col customWidth="1" min="15" max="15" width="11.78"/>
    <col customWidth="1" min="16" max="22" width="10.56"/>
    <col customWidth="1" min="23" max="23" width="18.11"/>
    <col customWidth="1" min="24" max="26" width="10.56"/>
    <col customWidth="1" min="27" max="30" width="16.78"/>
    <col customWidth="1" min="31" max="35" width="10.5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3" t="s">
        <v>22</v>
      </c>
      <c r="X1" s="14" t="s">
        <v>23</v>
      </c>
      <c r="Y1" s="15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7" t="s">
        <v>30</v>
      </c>
      <c r="AF1" s="18" t="s">
        <v>31</v>
      </c>
      <c r="AG1" s="19" t="s">
        <v>32</v>
      </c>
      <c r="AH1" s="19" t="s">
        <v>33</v>
      </c>
      <c r="AI1" s="20" t="s">
        <v>34</v>
      </c>
    </row>
    <row r="2" ht="15.75" customHeight="1">
      <c r="A2" s="21">
        <v>1.0</v>
      </c>
      <c r="B2" s="21" t="s">
        <v>35</v>
      </c>
      <c r="C2" s="21" t="s">
        <v>36</v>
      </c>
      <c r="D2" s="21" t="s">
        <v>37</v>
      </c>
      <c r="E2" s="21" t="s">
        <v>38</v>
      </c>
      <c r="F2" s="22" t="str">
        <f>IFERROR(__xludf.DUMMYFUNCTION("REGEXEXTRACT(E2,""[A-Za-z]+"")"),"NQ")</f>
        <v>NQ</v>
      </c>
      <c r="G2" s="23">
        <v>42.58</v>
      </c>
      <c r="H2" s="24">
        <v>456.0</v>
      </c>
      <c r="I2" s="24">
        <v>6000.0</v>
      </c>
      <c r="J2" s="24">
        <v>528.0</v>
      </c>
      <c r="K2" s="24">
        <v>2667.0</v>
      </c>
      <c r="L2" s="24">
        <v>1875.0</v>
      </c>
      <c r="M2" s="25">
        <v>13.92</v>
      </c>
      <c r="N2" s="23">
        <v>14.1</v>
      </c>
      <c r="O2" s="21">
        <v>0.01</v>
      </c>
      <c r="P2" s="26">
        <v>11.6</v>
      </c>
      <c r="Q2" s="26">
        <v>0.83</v>
      </c>
      <c r="R2" s="26">
        <v>57.62</v>
      </c>
      <c r="S2" s="26">
        <v>4.04</v>
      </c>
      <c r="T2" s="26">
        <v>0.12</v>
      </c>
      <c r="U2" s="26">
        <v>1.31</v>
      </c>
      <c r="V2" s="26">
        <v>63.1</v>
      </c>
      <c r="W2" s="26">
        <v>11.51</v>
      </c>
      <c r="X2" s="26">
        <v>19.84</v>
      </c>
      <c r="Y2" s="27">
        <v>0.0</v>
      </c>
      <c r="Z2" s="28">
        <v>0.39999999999999997</v>
      </c>
      <c r="AA2" s="28">
        <v>99.62333333333333</v>
      </c>
      <c r="AB2" s="27">
        <v>0.0</v>
      </c>
      <c r="AC2" s="28">
        <v>61.900000000000006</v>
      </c>
      <c r="AD2" s="28">
        <v>0.0</v>
      </c>
      <c r="AE2" s="28">
        <v>0.0</v>
      </c>
      <c r="AF2" s="26">
        <v>7.39</v>
      </c>
      <c r="AG2" s="26">
        <v>59.26</v>
      </c>
      <c r="AH2" s="26">
        <v>22.14</v>
      </c>
      <c r="AI2" s="26">
        <v>18.59</v>
      </c>
    </row>
    <row r="3" ht="15.75" customHeight="1">
      <c r="A3" s="21">
        <v>2.0</v>
      </c>
      <c r="B3" s="21" t="s">
        <v>35</v>
      </c>
      <c r="C3" s="21" t="s">
        <v>36</v>
      </c>
      <c r="D3" s="21" t="s">
        <v>37</v>
      </c>
      <c r="E3" s="21" t="s">
        <v>39</v>
      </c>
      <c r="F3" s="22" t="str">
        <f>IFERROR(__xludf.DUMMYFUNCTION("REGEXEXTRACT(E3,""[A-Za-z]+"")"),"NQ")</f>
        <v>NQ</v>
      </c>
      <c r="G3" s="23">
        <v>90.24</v>
      </c>
      <c r="H3" s="24">
        <v>518.0</v>
      </c>
      <c r="I3" s="24">
        <v>8398.0</v>
      </c>
      <c r="J3" s="24">
        <v>411.8</v>
      </c>
      <c r="K3" s="24">
        <v>4309.0</v>
      </c>
      <c r="L3" s="24">
        <v>1681.0</v>
      </c>
      <c r="M3" s="25">
        <v>13.37</v>
      </c>
      <c r="N3" s="23">
        <v>8.7</v>
      </c>
      <c r="O3" s="21">
        <v>0.07333333333</v>
      </c>
      <c r="P3" s="26">
        <v>15.75</v>
      </c>
      <c r="Q3" s="26">
        <v>0.99</v>
      </c>
      <c r="R3" s="26">
        <v>59.35</v>
      </c>
      <c r="S3" s="26">
        <v>4.1</v>
      </c>
      <c r="T3" s="26">
        <v>0.05</v>
      </c>
      <c r="U3" s="26">
        <v>1.29</v>
      </c>
      <c r="V3" s="26">
        <v>64.83</v>
      </c>
      <c r="W3" s="26">
        <v>13.19</v>
      </c>
      <c r="X3" s="26">
        <v>22.74</v>
      </c>
      <c r="Y3" s="27">
        <v>3.23333333</v>
      </c>
      <c r="Z3" s="28">
        <v>33.699999999999996</v>
      </c>
      <c r="AA3" s="28">
        <v>64.97666666666667</v>
      </c>
      <c r="AB3" s="27">
        <v>0.0</v>
      </c>
      <c r="AC3" s="28">
        <v>12.0</v>
      </c>
      <c r="AD3" s="28">
        <v>0.0</v>
      </c>
      <c r="AE3" s="28">
        <v>0.0</v>
      </c>
      <c r="AF3" s="26">
        <v>7.67</v>
      </c>
      <c r="AG3" s="26">
        <v>57.26</v>
      </c>
      <c r="AH3" s="26">
        <v>28.14</v>
      </c>
      <c r="AI3" s="26">
        <v>14.59</v>
      </c>
    </row>
    <row r="4" ht="15.75" customHeight="1">
      <c r="A4" s="21">
        <v>3.0</v>
      </c>
      <c r="B4" s="21" t="s">
        <v>35</v>
      </c>
      <c r="C4" s="21" t="s">
        <v>36</v>
      </c>
      <c r="D4" s="21" t="s">
        <v>37</v>
      </c>
      <c r="E4" s="21" t="s">
        <v>40</v>
      </c>
      <c r="F4" s="22" t="str">
        <f>IFERROR(__xludf.DUMMYFUNCTION("REGEXEXTRACT(E4,""[A-Za-z]+"")"),"NQ")</f>
        <v>NQ</v>
      </c>
      <c r="G4" s="23">
        <v>57.91</v>
      </c>
      <c r="H4" s="24">
        <v>393.0</v>
      </c>
      <c r="I4" s="24">
        <v>7691.0</v>
      </c>
      <c r="J4" s="24">
        <v>739.2</v>
      </c>
      <c r="K4" s="24">
        <v>3809.0</v>
      </c>
      <c r="L4" s="24">
        <v>933.0</v>
      </c>
      <c r="M4" s="25">
        <v>13.31</v>
      </c>
      <c r="N4" s="23">
        <v>12.0</v>
      </c>
      <c r="O4" s="21">
        <v>0.03444444444</v>
      </c>
      <c r="P4" s="26">
        <v>9.72</v>
      </c>
      <c r="Q4" s="26">
        <v>0.74</v>
      </c>
      <c r="R4" s="26">
        <v>55.82</v>
      </c>
      <c r="S4" s="26">
        <v>2.82</v>
      </c>
      <c r="T4" s="26">
        <v>0.05</v>
      </c>
      <c r="U4" s="26">
        <v>1.09</v>
      </c>
      <c r="V4" s="26">
        <v>59.8</v>
      </c>
      <c r="W4" s="26">
        <v>9.84</v>
      </c>
      <c r="X4" s="26">
        <v>16.96</v>
      </c>
      <c r="Y4" s="27">
        <v>0.0</v>
      </c>
      <c r="Z4" s="28">
        <v>6.233333333333333</v>
      </c>
      <c r="AA4" s="28">
        <v>122.23333333333335</v>
      </c>
      <c r="AB4" s="27">
        <v>0.0</v>
      </c>
      <c r="AC4" s="28">
        <v>21.033333333333335</v>
      </c>
      <c r="AD4" s="28">
        <v>0.0</v>
      </c>
      <c r="AE4" s="28">
        <v>0.0</v>
      </c>
      <c r="AF4" s="26">
        <v>7.71</v>
      </c>
      <c r="AG4" s="26">
        <v>61.26</v>
      </c>
      <c r="AH4" s="26">
        <v>22.22</v>
      </c>
      <c r="AI4" s="26">
        <v>16.52</v>
      </c>
    </row>
    <row r="5" ht="15.75" customHeight="1">
      <c r="A5" s="21">
        <v>4.0</v>
      </c>
      <c r="B5" s="21" t="s">
        <v>35</v>
      </c>
      <c r="C5" s="21" t="s">
        <v>36</v>
      </c>
      <c r="D5" s="21" t="s">
        <v>37</v>
      </c>
      <c r="E5" s="21" t="s">
        <v>41</v>
      </c>
      <c r="F5" s="22" t="str">
        <f>IFERROR(__xludf.DUMMYFUNCTION("REGEXEXTRACT(E5,""[A-Za-z]+"")"),"NQ")</f>
        <v>NQ</v>
      </c>
      <c r="G5" s="23">
        <v>49.22</v>
      </c>
      <c r="H5" s="24">
        <v>397.0</v>
      </c>
      <c r="I5" s="24">
        <v>7038.0</v>
      </c>
      <c r="J5" s="24">
        <v>464.6</v>
      </c>
      <c r="K5" s="24">
        <v>3736.0</v>
      </c>
      <c r="L5" s="24">
        <v>1213.0</v>
      </c>
      <c r="M5" s="25">
        <v>15.06</v>
      </c>
      <c r="N5" s="23">
        <v>10.7</v>
      </c>
      <c r="O5" s="21">
        <v>0.02888888889</v>
      </c>
      <c r="P5" s="26">
        <v>8.59</v>
      </c>
      <c r="Q5" s="26">
        <v>0.63</v>
      </c>
      <c r="R5" s="26">
        <v>52.89</v>
      </c>
      <c r="S5" s="26">
        <v>3.07</v>
      </c>
      <c r="T5" s="26">
        <v>0.06</v>
      </c>
      <c r="U5" s="26">
        <v>1.06</v>
      </c>
      <c r="V5" s="26">
        <v>57.09</v>
      </c>
      <c r="W5" s="26">
        <v>9.56</v>
      </c>
      <c r="X5" s="26">
        <v>16.48</v>
      </c>
      <c r="Y5" s="27">
        <v>5.33333333</v>
      </c>
      <c r="Z5" s="28">
        <v>1.0</v>
      </c>
      <c r="AA5" s="28">
        <v>170.9666666666667</v>
      </c>
      <c r="AB5" s="27">
        <v>0.0</v>
      </c>
      <c r="AC5" s="28">
        <v>8.266666666666667</v>
      </c>
      <c r="AD5" s="28">
        <v>0.0</v>
      </c>
      <c r="AE5" s="28">
        <v>0.0</v>
      </c>
      <c r="AF5" s="26">
        <v>7.8</v>
      </c>
      <c r="AG5" s="26">
        <v>57.26</v>
      </c>
      <c r="AH5" s="26">
        <v>24.22</v>
      </c>
      <c r="AI5" s="26">
        <v>18.52</v>
      </c>
    </row>
    <row r="6" ht="15.75" customHeight="1">
      <c r="A6" s="21">
        <v>5.0</v>
      </c>
      <c r="B6" s="21" t="s">
        <v>35</v>
      </c>
      <c r="C6" s="21" t="s">
        <v>36</v>
      </c>
      <c r="D6" s="21" t="s">
        <v>37</v>
      </c>
      <c r="E6" s="21" t="s">
        <v>42</v>
      </c>
      <c r="F6" s="22" t="str">
        <f>IFERROR(__xludf.DUMMYFUNCTION("REGEXEXTRACT(E6,""[A-Za-z]+"")"),"NQ")</f>
        <v>NQ</v>
      </c>
      <c r="G6" s="23">
        <v>28.98</v>
      </c>
      <c r="H6" s="24">
        <v>301.0</v>
      </c>
      <c r="I6" s="24">
        <v>5212.0</v>
      </c>
      <c r="J6" s="24">
        <v>506.9</v>
      </c>
      <c r="K6" s="24">
        <v>2707.0</v>
      </c>
      <c r="L6" s="24">
        <v>700.0</v>
      </c>
      <c r="M6" s="25">
        <v>16.01</v>
      </c>
      <c r="N6" s="23">
        <v>12.5</v>
      </c>
      <c r="O6" s="21">
        <v>0.01666666667</v>
      </c>
      <c r="P6" s="26">
        <v>115.78</v>
      </c>
      <c r="Q6" s="26">
        <v>0.63</v>
      </c>
      <c r="R6" s="26">
        <v>50.28</v>
      </c>
      <c r="S6" s="26">
        <v>3.01</v>
      </c>
      <c r="T6" s="26">
        <v>0.05</v>
      </c>
      <c r="U6" s="26">
        <v>1.41</v>
      </c>
      <c r="V6" s="26">
        <v>54.76</v>
      </c>
      <c r="W6" s="26">
        <v>10.13</v>
      </c>
      <c r="X6" s="26">
        <v>17.46</v>
      </c>
      <c r="Y6" s="27">
        <v>0.0</v>
      </c>
      <c r="Z6" s="28">
        <v>5.5</v>
      </c>
      <c r="AA6" s="28">
        <v>169.0666666666667</v>
      </c>
      <c r="AB6" s="27">
        <v>0.0</v>
      </c>
      <c r="AC6" s="28">
        <v>9.766666666666666</v>
      </c>
      <c r="AD6" s="28">
        <v>0.0</v>
      </c>
      <c r="AE6" s="28">
        <v>0.0</v>
      </c>
      <c r="AF6" s="26">
        <v>6.96</v>
      </c>
      <c r="AG6" s="26">
        <v>57.26</v>
      </c>
      <c r="AH6" s="26">
        <v>18.22</v>
      </c>
      <c r="AI6" s="26">
        <v>24.52</v>
      </c>
    </row>
    <row r="7" ht="15.75" customHeight="1">
      <c r="A7" s="21">
        <v>6.0</v>
      </c>
      <c r="B7" s="21" t="s">
        <v>35</v>
      </c>
      <c r="C7" s="21" t="s">
        <v>36</v>
      </c>
      <c r="D7" s="21" t="s">
        <v>37</v>
      </c>
      <c r="E7" s="21" t="s">
        <v>43</v>
      </c>
      <c r="F7" s="22" t="str">
        <f>IFERROR(__xludf.DUMMYFUNCTION("REGEXEXTRACT(E7,""[A-Za-z]+"")"),"Q")</f>
        <v>Q</v>
      </c>
      <c r="G7" s="23">
        <v>43.56</v>
      </c>
      <c r="H7" s="24">
        <v>283.0</v>
      </c>
      <c r="I7" s="24">
        <v>5930.0</v>
      </c>
      <c r="J7" s="24">
        <v>401.3</v>
      </c>
      <c r="K7" s="24">
        <v>3951.0</v>
      </c>
      <c r="L7" s="24">
        <v>1221.0</v>
      </c>
      <c r="M7" s="25">
        <v>12.3</v>
      </c>
      <c r="N7" s="23">
        <v>5.8</v>
      </c>
      <c r="O7" s="21">
        <v>0.1033333333</v>
      </c>
      <c r="P7" s="26">
        <v>19.89</v>
      </c>
      <c r="Q7" s="26">
        <v>0.67</v>
      </c>
      <c r="R7" s="26">
        <v>51.88</v>
      </c>
      <c r="S7" s="26">
        <v>2.71</v>
      </c>
      <c r="T7" s="26">
        <v>0.05</v>
      </c>
      <c r="U7" s="26">
        <v>1.28</v>
      </c>
      <c r="V7" s="26">
        <v>55.93</v>
      </c>
      <c r="W7" s="26">
        <v>8.19</v>
      </c>
      <c r="X7" s="26">
        <v>14.12</v>
      </c>
      <c r="Y7" s="27">
        <v>48.3333333</v>
      </c>
      <c r="Z7" s="28">
        <v>2.733333333333333</v>
      </c>
      <c r="AA7" s="28">
        <v>49.68</v>
      </c>
      <c r="AB7" s="27">
        <v>0.0</v>
      </c>
      <c r="AC7" s="28">
        <v>0.0</v>
      </c>
      <c r="AD7" s="28">
        <v>0.0</v>
      </c>
      <c r="AE7" s="28">
        <v>0.0</v>
      </c>
      <c r="AF7" s="26">
        <v>7.78</v>
      </c>
      <c r="AG7" s="26">
        <v>49.26</v>
      </c>
      <c r="AH7" s="26">
        <v>32.22</v>
      </c>
      <c r="AI7" s="26">
        <v>18.52</v>
      </c>
    </row>
    <row r="8" ht="15.75" customHeight="1">
      <c r="A8" s="21">
        <v>7.0</v>
      </c>
      <c r="B8" s="21" t="s">
        <v>35</v>
      </c>
      <c r="C8" s="21" t="s">
        <v>36</v>
      </c>
      <c r="D8" s="21" t="s">
        <v>37</v>
      </c>
      <c r="E8" s="21" t="s">
        <v>44</v>
      </c>
      <c r="F8" s="22" t="str">
        <f>IFERROR(__xludf.DUMMYFUNCTION("REGEXEXTRACT(E8,""[A-Za-z]+"")"),"Q")</f>
        <v>Q</v>
      </c>
      <c r="G8" s="23">
        <v>36.68</v>
      </c>
      <c r="H8" s="24">
        <v>193.0</v>
      </c>
      <c r="I8" s="24">
        <v>5580.0</v>
      </c>
      <c r="J8" s="24">
        <v>242.9</v>
      </c>
      <c r="K8" s="24">
        <v>2404.0</v>
      </c>
      <c r="L8" s="24">
        <v>838.0</v>
      </c>
      <c r="M8" s="25">
        <v>14.23</v>
      </c>
      <c r="N8" s="23">
        <v>8.6</v>
      </c>
      <c r="O8" s="21">
        <v>0.2277777778</v>
      </c>
      <c r="P8" s="26">
        <v>48.9</v>
      </c>
      <c r="Q8" s="26">
        <v>0.61</v>
      </c>
      <c r="R8" s="26">
        <v>56.74</v>
      </c>
      <c r="S8" s="26">
        <v>2.56</v>
      </c>
      <c r="T8" s="26">
        <v>0.08</v>
      </c>
      <c r="U8" s="26">
        <v>1.15</v>
      </c>
      <c r="V8" s="26">
        <v>60.54</v>
      </c>
      <c r="W8" s="26">
        <v>8.69</v>
      </c>
      <c r="X8" s="26">
        <v>14.97</v>
      </c>
      <c r="Y8" s="27">
        <v>11.2333333</v>
      </c>
      <c r="Z8" s="28">
        <v>1.0</v>
      </c>
      <c r="AA8" s="28">
        <v>68.8</v>
      </c>
      <c r="AB8" s="27">
        <v>0.0</v>
      </c>
      <c r="AC8" s="28">
        <v>18.733333333333334</v>
      </c>
      <c r="AD8" s="28">
        <v>0.0</v>
      </c>
      <c r="AE8" s="28">
        <v>0.0</v>
      </c>
      <c r="AF8" s="26">
        <v>7.72</v>
      </c>
      <c r="AG8" s="26">
        <v>53.19</v>
      </c>
      <c r="AH8" s="26">
        <v>28.29</v>
      </c>
      <c r="AI8" s="26">
        <v>18.52</v>
      </c>
    </row>
    <row r="9" ht="15.75" customHeight="1">
      <c r="A9" s="21">
        <v>8.0</v>
      </c>
      <c r="B9" s="21" t="s">
        <v>35</v>
      </c>
      <c r="C9" s="21" t="s">
        <v>36</v>
      </c>
      <c r="D9" s="21" t="s">
        <v>37</v>
      </c>
      <c r="E9" s="21" t="s">
        <v>45</v>
      </c>
      <c r="F9" s="22" t="str">
        <f>IFERROR(__xludf.DUMMYFUNCTION("REGEXEXTRACT(E9,""[A-Za-z]+"")"),"Q")</f>
        <v>Q</v>
      </c>
      <c r="G9" s="23">
        <v>16.74</v>
      </c>
      <c r="H9" s="24">
        <v>64.0</v>
      </c>
      <c r="I9" s="24">
        <v>3291.0</v>
      </c>
      <c r="J9" s="24">
        <v>31.7</v>
      </c>
      <c r="K9" s="24">
        <v>2569.0</v>
      </c>
      <c r="L9" s="24">
        <v>1518.0</v>
      </c>
      <c r="M9" s="25">
        <v>20.64</v>
      </c>
      <c r="N9" s="23">
        <v>11.2</v>
      </c>
      <c r="O9" s="21">
        <v>0.1433333333</v>
      </c>
      <c r="P9" s="26">
        <v>20.27</v>
      </c>
      <c r="Q9" s="26">
        <v>0.71</v>
      </c>
      <c r="R9" s="26">
        <v>68.39</v>
      </c>
      <c r="S9" s="26">
        <v>2.9</v>
      </c>
      <c r="T9" s="26">
        <v>0.11</v>
      </c>
      <c r="U9" s="26">
        <v>0.91</v>
      </c>
      <c r="V9" s="26">
        <v>72.33</v>
      </c>
      <c r="W9" s="26">
        <v>14.69</v>
      </c>
      <c r="X9" s="26">
        <v>25.33</v>
      </c>
      <c r="Y9" s="27">
        <v>27.5</v>
      </c>
      <c r="Z9" s="28">
        <v>11.966666666666667</v>
      </c>
      <c r="AA9" s="28">
        <v>11.266666666666666</v>
      </c>
      <c r="AB9" s="27">
        <v>0.0</v>
      </c>
      <c r="AC9" s="28">
        <v>51.03333333333334</v>
      </c>
      <c r="AD9" s="28">
        <v>0.0</v>
      </c>
      <c r="AE9" s="28">
        <v>0.0</v>
      </c>
      <c r="AF9" s="26">
        <v>7.9</v>
      </c>
      <c r="AG9" s="26">
        <v>55.12</v>
      </c>
      <c r="AH9" s="26">
        <v>24.36</v>
      </c>
      <c r="AI9" s="26">
        <v>20.52</v>
      </c>
    </row>
    <row r="10" ht="15.75" customHeight="1">
      <c r="A10" s="21">
        <v>9.0</v>
      </c>
      <c r="B10" s="21" t="s">
        <v>35</v>
      </c>
      <c r="C10" s="21" t="s">
        <v>36</v>
      </c>
      <c r="D10" s="21" t="s">
        <v>37</v>
      </c>
      <c r="E10" s="21" t="s">
        <v>46</v>
      </c>
      <c r="F10" s="22" t="str">
        <f>IFERROR(__xludf.DUMMYFUNCTION("REGEXEXTRACT(E10,""[A-Za-z]+"")"),"Q")</f>
        <v>Q</v>
      </c>
      <c r="G10" s="23">
        <v>42.58</v>
      </c>
      <c r="H10" s="24">
        <v>283.0</v>
      </c>
      <c r="I10" s="24">
        <v>6041.0</v>
      </c>
      <c r="J10" s="24">
        <v>232.3</v>
      </c>
      <c r="K10" s="24">
        <v>3722.0</v>
      </c>
      <c r="L10" s="24">
        <v>1151.0</v>
      </c>
      <c r="M10" s="25">
        <v>12.47</v>
      </c>
      <c r="N10" s="23">
        <v>8.1</v>
      </c>
      <c r="O10" s="21">
        <v>0.09333333333</v>
      </c>
      <c r="P10" s="26">
        <v>53.8</v>
      </c>
      <c r="Q10" s="26">
        <v>0.7</v>
      </c>
      <c r="R10" s="26">
        <v>49.94</v>
      </c>
      <c r="S10" s="26">
        <v>2.65</v>
      </c>
      <c r="T10" s="26">
        <v>0.08</v>
      </c>
      <c r="U10" s="26">
        <v>1.08</v>
      </c>
      <c r="V10" s="26">
        <v>53.76</v>
      </c>
      <c r="W10" s="26">
        <v>8.73</v>
      </c>
      <c r="X10" s="26">
        <v>15.05</v>
      </c>
      <c r="Y10" s="27">
        <v>60.0666667</v>
      </c>
      <c r="Z10" s="28">
        <v>20.233333333333334</v>
      </c>
      <c r="AA10" s="28">
        <v>23.633333333333336</v>
      </c>
      <c r="AB10" s="27">
        <v>0.0</v>
      </c>
      <c r="AC10" s="28">
        <v>0.0</v>
      </c>
      <c r="AD10" s="28">
        <v>0.0</v>
      </c>
      <c r="AE10" s="28">
        <v>0.0</v>
      </c>
      <c r="AF10" s="26">
        <v>8.0</v>
      </c>
      <c r="AG10" s="26">
        <v>61.12</v>
      </c>
      <c r="AH10" s="26">
        <v>24.36</v>
      </c>
      <c r="AI10" s="26">
        <v>14.52</v>
      </c>
    </row>
    <row r="11" ht="15.75" customHeight="1">
      <c r="A11" s="21">
        <v>10.0</v>
      </c>
      <c r="B11" s="21" t="s">
        <v>35</v>
      </c>
      <c r="C11" s="21" t="s">
        <v>36</v>
      </c>
      <c r="D11" s="21" t="s">
        <v>37</v>
      </c>
      <c r="E11" s="21" t="s">
        <v>47</v>
      </c>
      <c r="F11" s="22" t="str">
        <f>IFERROR(__xludf.DUMMYFUNCTION("REGEXEXTRACT(E11,""[A-Za-z]+"")"),"Q")</f>
        <v>Q</v>
      </c>
      <c r="G11" s="23">
        <v>30.19</v>
      </c>
      <c r="H11" s="24">
        <v>221.0</v>
      </c>
      <c r="I11" s="24">
        <v>4732.0</v>
      </c>
      <c r="J11" s="24">
        <v>549.1</v>
      </c>
      <c r="K11" s="24">
        <v>4320.0</v>
      </c>
      <c r="L11" s="24">
        <v>1408.0</v>
      </c>
      <c r="M11" s="25">
        <v>13.5</v>
      </c>
      <c r="N11" s="23">
        <v>5.3</v>
      </c>
      <c r="O11" s="21">
        <v>0.18</v>
      </c>
      <c r="P11" s="26">
        <v>34.02</v>
      </c>
      <c r="Q11" s="26">
        <v>0.77</v>
      </c>
      <c r="R11" s="26">
        <v>61.88</v>
      </c>
      <c r="S11" s="26">
        <v>3.69</v>
      </c>
      <c r="T11" s="26">
        <v>0.05</v>
      </c>
      <c r="U11" s="26">
        <v>1.69</v>
      </c>
      <c r="V11" s="26">
        <v>67.33</v>
      </c>
      <c r="W11" s="26">
        <v>10.38</v>
      </c>
      <c r="X11" s="26">
        <v>17.9</v>
      </c>
      <c r="Y11" s="27">
        <v>37.9333333</v>
      </c>
      <c r="Z11" s="28">
        <v>17.333333333333332</v>
      </c>
      <c r="AA11" s="28">
        <v>43.29999999999999</v>
      </c>
      <c r="AB11" s="27">
        <v>0.0</v>
      </c>
      <c r="AC11" s="28">
        <v>0.0</v>
      </c>
      <c r="AD11" s="28">
        <v>0.0</v>
      </c>
      <c r="AE11" s="28">
        <v>0.0</v>
      </c>
      <c r="AF11" s="26">
        <v>8.01</v>
      </c>
      <c r="AG11" s="26">
        <v>57.12</v>
      </c>
      <c r="AH11" s="26">
        <v>26.36</v>
      </c>
      <c r="AI11" s="26">
        <v>16.52</v>
      </c>
    </row>
    <row r="12" ht="15.75" customHeight="1">
      <c r="A12" s="21">
        <v>11.0</v>
      </c>
      <c r="B12" s="21" t="s">
        <v>35</v>
      </c>
      <c r="C12" s="21" t="s">
        <v>36</v>
      </c>
      <c r="D12" s="21" t="s">
        <v>37</v>
      </c>
      <c r="E12" s="21" t="s">
        <v>48</v>
      </c>
      <c r="F12" s="22" t="s">
        <v>49</v>
      </c>
      <c r="G12" s="23">
        <v>29.58</v>
      </c>
      <c r="H12" s="24">
        <v>219.0</v>
      </c>
      <c r="I12" s="24">
        <v>6032.0</v>
      </c>
      <c r="J12" s="24">
        <v>401.3</v>
      </c>
      <c r="K12" s="24">
        <v>2248.0</v>
      </c>
      <c r="L12" s="24">
        <v>1046.0</v>
      </c>
      <c r="M12" s="25">
        <v>12.42</v>
      </c>
      <c r="N12" s="23">
        <v>12.9</v>
      </c>
      <c r="O12" s="21">
        <v>0.1322222222</v>
      </c>
      <c r="P12" s="26">
        <v>13.3</v>
      </c>
      <c r="Q12" s="26">
        <v>0.58</v>
      </c>
      <c r="R12" s="26">
        <v>58.94</v>
      </c>
      <c r="S12" s="26">
        <v>3.49</v>
      </c>
      <c r="T12" s="26">
        <v>0.09</v>
      </c>
      <c r="U12" s="26">
        <v>1.25</v>
      </c>
      <c r="V12" s="26">
        <v>63.77</v>
      </c>
      <c r="W12" s="26">
        <v>7.17</v>
      </c>
      <c r="X12" s="26">
        <v>12.36</v>
      </c>
      <c r="Y12" s="27">
        <v>20.3</v>
      </c>
      <c r="Z12" s="28">
        <v>4.133333333333333</v>
      </c>
      <c r="AA12" s="28">
        <v>34.73666666666667</v>
      </c>
      <c r="AB12" s="27">
        <v>11.6166667</v>
      </c>
      <c r="AC12" s="28">
        <v>3.1999999999999997</v>
      </c>
      <c r="AD12" s="28">
        <v>0.0</v>
      </c>
      <c r="AE12" s="28">
        <v>0.0</v>
      </c>
      <c r="AF12" s="26">
        <v>7.92</v>
      </c>
      <c r="AG12" s="26">
        <v>53.12</v>
      </c>
      <c r="AH12" s="26">
        <v>24.36</v>
      </c>
      <c r="AI12" s="26">
        <v>22.52</v>
      </c>
    </row>
    <row r="13" ht="15.75" customHeight="1">
      <c r="A13" s="21">
        <v>12.0</v>
      </c>
      <c r="B13" s="21" t="s">
        <v>35</v>
      </c>
      <c r="C13" s="21" t="s">
        <v>36</v>
      </c>
      <c r="D13" s="21" t="s">
        <v>37</v>
      </c>
      <c r="E13" s="21" t="s">
        <v>50</v>
      </c>
      <c r="F13" s="22" t="s">
        <v>49</v>
      </c>
      <c r="G13" s="23">
        <v>28.68</v>
      </c>
      <c r="H13" s="24">
        <v>150.0</v>
      </c>
      <c r="I13" s="24">
        <v>5295.0</v>
      </c>
      <c r="J13" s="24">
        <v>10.6</v>
      </c>
      <c r="K13" s="24">
        <v>2664.0</v>
      </c>
      <c r="L13" s="24">
        <v>724.0</v>
      </c>
      <c r="M13" s="25">
        <v>25.01</v>
      </c>
      <c r="N13" s="23">
        <v>4.9</v>
      </c>
      <c r="O13" s="21">
        <v>0.02666666667</v>
      </c>
      <c r="P13" s="26">
        <v>20.84</v>
      </c>
      <c r="Q13" s="26">
        <v>0.43</v>
      </c>
      <c r="R13" s="26">
        <v>53.39</v>
      </c>
      <c r="S13" s="26">
        <v>1.42</v>
      </c>
      <c r="T13" s="26">
        <v>0.05</v>
      </c>
      <c r="U13" s="26">
        <v>0.7</v>
      </c>
      <c r="V13" s="26">
        <v>55.58</v>
      </c>
      <c r="W13" s="26">
        <v>10.87</v>
      </c>
      <c r="X13" s="26">
        <v>18.74</v>
      </c>
      <c r="Y13" s="27">
        <v>40.1333333</v>
      </c>
      <c r="Z13" s="28">
        <v>3.6333333333333333</v>
      </c>
      <c r="AA13" s="28">
        <v>23.27666666666667</v>
      </c>
      <c r="AB13" s="27">
        <v>15.0166667</v>
      </c>
      <c r="AC13" s="28">
        <v>0.8666666666666667</v>
      </c>
      <c r="AD13" s="28">
        <v>0.0</v>
      </c>
      <c r="AE13" s="28">
        <v>0.0</v>
      </c>
      <c r="AF13" s="26">
        <v>8.07</v>
      </c>
      <c r="AG13" s="26">
        <v>45.12</v>
      </c>
      <c r="AH13" s="26">
        <v>32.36</v>
      </c>
      <c r="AI13" s="26">
        <v>22.52</v>
      </c>
    </row>
    <row r="14" ht="15.75" customHeight="1">
      <c r="A14" s="21">
        <v>13.0</v>
      </c>
      <c r="B14" s="21" t="s">
        <v>35</v>
      </c>
      <c r="C14" s="21" t="s">
        <v>36</v>
      </c>
      <c r="D14" s="21" t="s">
        <v>37</v>
      </c>
      <c r="E14" s="21" t="s">
        <v>51</v>
      </c>
      <c r="F14" s="22" t="s">
        <v>49</v>
      </c>
      <c r="G14" s="23">
        <v>21.95</v>
      </c>
      <c r="H14" s="24">
        <v>196.0</v>
      </c>
      <c r="I14" s="24">
        <v>5512.0</v>
      </c>
      <c r="J14" s="24">
        <v>10.6</v>
      </c>
      <c r="K14" s="24">
        <v>2295.0</v>
      </c>
      <c r="L14" s="24">
        <v>1059.0</v>
      </c>
      <c r="M14" s="25">
        <v>15.51</v>
      </c>
      <c r="N14" s="23">
        <v>6.7</v>
      </c>
      <c r="O14" s="21">
        <v>0.06777777778</v>
      </c>
      <c r="P14" s="26">
        <v>21.02</v>
      </c>
      <c r="Q14" s="26">
        <v>0.49</v>
      </c>
      <c r="R14" s="26">
        <v>56.32</v>
      </c>
      <c r="S14" s="26">
        <v>2.02</v>
      </c>
      <c r="T14" s="26">
        <v>0.07</v>
      </c>
      <c r="U14" s="26">
        <v>1.4</v>
      </c>
      <c r="V14" s="26">
        <v>59.81</v>
      </c>
      <c r="W14" s="26">
        <v>7.66</v>
      </c>
      <c r="X14" s="26">
        <v>13.21</v>
      </c>
      <c r="Y14" s="27">
        <v>38.8</v>
      </c>
      <c r="Z14" s="28">
        <v>0.0</v>
      </c>
      <c r="AA14" s="28">
        <v>46.56666666666667</v>
      </c>
      <c r="AB14" s="27">
        <v>5.55</v>
      </c>
      <c r="AC14" s="28">
        <v>5.2</v>
      </c>
      <c r="AD14" s="28">
        <v>0.0</v>
      </c>
      <c r="AE14" s="28">
        <v>0.0</v>
      </c>
      <c r="AF14" s="26">
        <v>8.11</v>
      </c>
      <c r="AG14" s="26">
        <v>47.12</v>
      </c>
      <c r="AH14" s="26">
        <v>30.36</v>
      </c>
      <c r="AI14" s="26">
        <v>22.52</v>
      </c>
    </row>
    <row r="15" ht="15.75" customHeight="1">
      <c r="A15" s="21">
        <v>14.0</v>
      </c>
      <c r="B15" s="21" t="s">
        <v>35</v>
      </c>
      <c r="C15" s="21" t="s">
        <v>36</v>
      </c>
      <c r="D15" s="21" t="s">
        <v>37</v>
      </c>
      <c r="E15" s="21" t="s">
        <v>52</v>
      </c>
      <c r="F15" s="22" t="s">
        <v>49</v>
      </c>
      <c r="G15" s="23">
        <v>11.45</v>
      </c>
      <c r="H15" s="24">
        <v>76.0</v>
      </c>
      <c r="I15" s="24">
        <v>3552.0</v>
      </c>
      <c r="J15" s="24">
        <v>10.6</v>
      </c>
      <c r="K15" s="24">
        <v>1989.0</v>
      </c>
      <c r="L15" s="24">
        <v>681.0</v>
      </c>
      <c r="M15" s="25">
        <v>25.27</v>
      </c>
      <c r="N15" s="23">
        <v>5.8</v>
      </c>
      <c r="O15" s="21">
        <v>0.09777777778</v>
      </c>
      <c r="P15" s="26">
        <v>14.24</v>
      </c>
      <c r="Q15" s="26">
        <v>0.48</v>
      </c>
      <c r="R15" s="26">
        <v>64.31</v>
      </c>
      <c r="S15" s="26">
        <v>2.53</v>
      </c>
      <c r="T15" s="26">
        <v>0.06</v>
      </c>
      <c r="U15" s="26">
        <v>0.95</v>
      </c>
      <c r="V15" s="26">
        <v>67.86</v>
      </c>
      <c r="W15" s="26">
        <v>12.01</v>
      </c>
      <c r="X15" s="26">
        <v>20.71</v>
      </c>
      <c r="Y15" s="27">
        <v>58.9333333</v>
      </c>
      <c r="Z15" s="28">
        <v>0.5666666666666667</v>
      </c>
      <c r="AA15" s="28">
        <v>16.566666666666666</v>
      </c>
      <c r="AB15" s="27">
        <v>8.93333333</v>
      </c>
      <c r="AC15" s="28">
        <v>1.4000000000000001</v>
      </c>
      <c r="AD15" s="28">
        <v>0.0</v>
      </c>
      <c r="AE15" s="28">
        <v>0.0</v>
      </c>
      <c r="AF15" s="26">
        <v>8.2</v>
      </c>
      <c r="AG15" s="26">
        <v>47.12</v>
      </c>
      <c r="AH15" s="26">
        <v>30.36</v>
      </c>
      <c r="AI15" s="26">
        <v>22.52</v>
      </c>
    </row>
    <row r="16" ht="15.75" customHeight="1">
      <c r="A16" s="21">
        <v>15.0</v>
      </c>
      <c r="B16" s="21" t="s">
        <v>35</v>
      </c>
      <c r="C16" s="21" t="s">
        <v>36</v>
      </c>
      <c r="D16" s="21" t="s">
        <v>37</v>
      </c>
      <c r="E16" s="21" t="s">
        <v>53</v>
      </c>
      <c r="F16" s="22" t="s">
        <v>49</v>
      </c>
      <c r="G16" s="23">
        <v>11.0</v>
      </c>
      <c r="H16" s="24">
        <v>39.0</v>
      </c>
      <c r="I16" s="24">
        <v>3357.0</v>
      </c>
      <c r="J16" s="24">
        <v>10.6</v>
      </c>
      <c r="K16" s="24">
        <v>2372.0</v>
      </c>
      <c r="L16" s="24">
        <v>745.0</v>
      </c>
      <c r="M16" s="25">
        <v>41.04</v>
      </c>
      <c r="N16" s="23">
        <v>6.7</v>
      </c>
      <c r="O16" s="21">
        <v>0.07222222222</v>
      </c>
      <c r="P16" s="26">
        <v>17.44</v>
      </c>
      <c r="Q16" s="26">
        <v>0.23</v>
      </c>
      <c r="R16" s="26">
        <v>51.32</v>
      </c>
      <c r="S16" s="26">
        <v>1.26</v>
      </c>
      <c r="T16" s="26">
        <v>0.05</v>
      </c>
      <c r="U16" s="26">
        <v>0.5</v>
      </c>
      <c r="V16" s="26">
        <v>53.13</v>
      </c>
      <c r="W16" s="26">
        <v>9.39</v>
      </c>
      <c r="X16" s="26">
        <v>16.19</v>
      </c>
      <c r="Y16" s="27">
        <v>51.7333333</v>
      </c>
      <c r="Z16" s="28">
        <v>2.2333333333333334</v>
      </c>
      <c r="AA16" s="28">
        <v>34.83333333333333</v>
      </c>
      <c r="AB16" s="27">
        <v>8.5</v>
      </c>
      <c r="AC16" s="28">
        <v>2.1666666666666665</v>
      </c>
      <c r="AD16" s="28">
        <v>0.0</v>
      </c>
      <c r="AE16" s="28">
        <v>0.0</v>
      </c>
      <c r="AF16" s="26">
        <v>8.41</v>
      </c>
      <c r="AG16" s="26">
        <v>39.12</v>
      </c>
      <c r="AH16" s="26">
        <v>36.14</v>
      </c>
      <c r="AI16" s="26">
        <v>24.74</v>
      </c>
    </row>
    <row r="17" ht="15.75" customHeight="1">
      <c r="A17" s="21">
        <v>16.0</v>
      </c>
      <c r="B17" s="21" t="s">
        <v>35</v>
      </c>
      <c r="C17" s="21" t="s">
        <v>36</v>
      </c>
      <c r="D17" s="21" t="s">
        <v>37</v>
      </c>
      <c r="E17" s="21" t="s">
        <v>54</v>
      </c>
      <c r="F17" s="22" t="s">
        <v>55</v>
      </c>
      <c r="G17" s="23">
        <v>34.49</v>
      </c>
      <c r="H17" s="24">
        <v>284.0</v>
      </c>
      <c r="I17" s="24">
        <v>5804.0</v>
      </c>
      <c r="J17" s="24">
        <v>232.3</v>
      </c>
      <c r="K17" s="24">
        <v>3317.0</v>
      </c>
      <c r="L17" s="24">
        <v>913.0</v>
      </c>
      <c r="M17" s="25">
        <v>11.87</v>
      </c>
      <c r="N17" s="23">
        <v>8.6</v>
      </c>
      <c r="O17" s="21">
        <v>0.1227777778</v>
      </c>
      <c r="P17" s="26">
        <v>16.69</v>
      </c>
      <c r="Q17" s="26">
        <v>0.72</v>
      </c>
      <c r="R17" s="26">
        <v>54.13</v>
      </c>
      <c r="S17" s="26">
        <v>4.18</v>
      </c>
      <c r="T17" s="26">
        <v>0.07</v>
      </c>
      <c r="U17" s="26">
        <v>1.86</v>
      </c>
      <c r="V17" s="26">
        <v>60.26</v>
      </c>
      <c r="W17" s="26">
        <v>8.51</v>
      </c>
      <c r="X17" s="26">
        <v>14.67</v>
      </c>
      <c r="Y17" s="27">
        <v>20.7</v>
      </c>
      <c r="Z17" s="28">
        <v>16.53333333333333</v>
      </c>
      <c r="AA17" s="28">
        <v>35.71333333333333</v>
      </c>
      <c r="AB17" s="27">
        <v>0.0</v>
      </c>
      <c r="AC17" s="28">
        <v>28.866666666666664</v>
      </c>
      <c r="AD17" s="28">
        <v>0.0</v>
      </c>
      <c r="AE17" s="28">
        <v>0.0</v>
      </c>
      <c r="AF17" s="26">
        <v>8.01</v>
      </c>
      <c r="AG17" s="26">
        <v>47.05</v>
      </c>
      <c r="AH17" s="26">
        <v>32.22</v>
      </c>
      <c r="AI17" s="26">
        <v>20.74</v>
      </c>
    </row>
    <row r="18" ht="15.75" customHeight="1">
      <c r="A18" s="21">
        <v>17.0</v>
      </c>
      <c r="B18" s="21" t="s">
        <v>35</v>
      </c>
      <c r="C18" s="21" t="s">
        <v>36</v>
      </c>
      <c r="D18" s="21" t="s">
        <v>37</v>
      </c>
      <c r="E18" s="21" t="s">
        <v>56</v>
      </c>
      <c r="F18" s="22" t="s">
        <v>55</v>
      </c>
      <c r="G18" s="23">
        <v>60.78</v>
      </c>
      <c r="H18" s="24">
        <v>479.0</v>
      </c>
      <c r="I18" s="24">
        <v>2397.0</v>
      </c>
      <c r="J18" s="24">
        <v>221.8</v>
      </c>
      <c r="K18" s="24">
        <v>4772.0</v>
      </c>
      <c r="L18" s="24">
        <v>1016.0</v>
      </c>
      <c r="M18" s="25">
        <v>11.11</v>
      </c>
      <c r="N18" s="23">
        <v>6.7</v>
      </c>
      <c r="O18" s="21">
        <v>0.05611111111</v>
      </c>
      <c r="P18" s="26">
        <v>32.52</v>
      </c>
      <c r="Q18" s="26">
        <v>0.94</v>
      </c>
      <c r="R18" s="26">
        <v>56.34</v>
      </c>
      <c r="S18" s="26">
        <v>3.26</v>
      </c>
      <c r="T18" s="26">
        <v>0.08</v>
      </c>
      <c r="U18" s="26">
        <v>1.81</v>
      </c>
      <c r="V18" s="26">
        <v>61.5</v>
      </c>
      <c r="W18" s="26">
        <v>10.45</v>
      </c>
      <c r="X18" s="26">
        <v>18.02</v>
      </c>
      <c r="Y18" s="27">
        <v>17.4133333</v>
      </c>
      <c r="Z18" s="28">
        <v>15.300000000000002</v>
      </c>
      <c r="AA18" s="28">
        <v>56.053333333333335</v>
      </c>
      <c r="AB18" s="27">
        <v>0.0</v>
      </c>
      <c r="AC18" s="28">
        <v>5.266666666666667</v>
      </c>
      <c r="AD18" s="28">
        <v>0.0</v>
      </c>
      <c r="AE18" s="28">
        <v>0.0</v>
      </c>
      <c r="AF18" s="26">
        <v>7.82</v>
      </c>
      <c r="AG18" s="26">
        <v>57.05</v>
      </c>
      <c r="AH18" s="26">
        <v>28.22</v>
      </c>
      <c r="AI18" s="26">
        <v>14.74</v>
      </c>
    </row>
    <row r="19" ht="15.75" customHeight="1">
      <c r="A19" s="21">
        <v>18.0</v>
      </c>
      <c r="B19" s="21" t="s">
        <v>35</v>
      </c>
      <c r="C19" s="21" t="s">
        <v>36</v>
      </c>
      <c r="D19" s="21" t="s">
        <v>37</v>
      </c>
      <c r="E19" s="21" t="s">
        <v>57</v>
      </c>
      <c r="F19" s="22" t="s">
        <v>55</v>
      </c>
      <c r="G19" s="23">
        <v>28.98</v>
      </c>
      <c r="H19" s="24">
        <v>165.0</v>
      </c>
      <c r="I19" s="24">
        <v>4390.0</v>
      </c>
      <c r="J19" s="24">
        <v>232.3</v>
      </c>
      <c r="K19" s="24">
        <v>4134.0</v>
      </c>
      <c r="L19" s="24">
        <v>927.0</v>
      </c>
      <c r="M19" s="25">
        <v>14.16</v>
      </c>
      <c r="N19" s="23">
        <v>7.6</v>
      </c>
      <c r="O19" s="21">
        <v>0.1916666667</v>
      </c>
      <c r="P19" s="26">
        <v>52.11</v>
      </c>
      <c r="Q19" s="26">
        <v>0.8</v>
      </c>
      <c r="R19" s="26">
        <v>61.17</v>
      </c>
      <c r="S19" s="26">
        <v>4.06</v>
      </c>
      <c r="T19" s="26">
        <v>0.06</v>
      </c>
      <c r="U19" s="26">
        <v>2.28</v>
      </c>
      <c r="V19" s="26">
        <v>67.6</v>
      </c>
      <c r="W19" s="26">
        <v>11.32</v>
      </c>
      <c r="X19" s="26">
        <v>19.52</v>
      </c>
      <c r="Y19" s="27">
        <v>8.8</v>
      </c>
      <c r="Z19" s="28">
        <v>14.933333333333332</v>
      </c>
      <c r="AA19" s="28">
        <v>21.900000000000006</v>
      </c>
      <c r="AB19" s="27">
        <v>0.0</v>
      </c>
      <c r="AC19" s="28">
        <v>53.53333333333333</v>
      </c>
      <c r="AD19" s="28">
        <v>0.0</v>
      </c>
      <c r="AE19" s="28">
        <v>0.0</v>
      </c>
      <c r="AF19" s="26">
        <v>8.02</v>
      </c>
      <c r="AG19" s="26">
        <v>51.05</v>
      </c>
      <c r="AH19" s="26">
        <v>26.22</v>
      </c>
      <c r="AI19" s="26">
        <v>22.74</v>
      </c>
    </row>
    <row r="20" ht="15.75" customHeight="1">
      <c r="A20" s="21">
        <v>19.0</v>
      </c>
      <c r="B20" s="21" t="s">
        <v>35</v>
      </c>
      <c r="C20" s="21" t="s">
        <v>36</v>
      </c>
      <c r="D20" s="21" t="s">
        <v>37</v>
      </c>
      <c r="E20" s="21" t="s">
        <v>58</v>
      </c>
      <c r="F20" s="22" t="s">
        <v>55</v>
      </c>
      <c r="G20" s="23">
        <v>27.62</v>
      </c>
      <c r="H20" s="24">
        <v>147.0</v>
      </c>
      <c r="I20" s="24">
        <v>5019.0</v>
      </c>
      <c r="J20" s="24">
        <v>95.0</v>
      </c>
      <c r="K20" s="24">
        <v>3346.0</v>
      </c>
      <c r="L20" s="24">
        <v>1647.0</v>
      </c>
      <c r="M20" s="25">
        <v>12.1</v>
      </c>
      <c r="N20" s="23">
        <v>8.1</v>
      </c>
      <c r="O20" s="21">
        <v>0.1255555556</v>
      </c>
      <c r="P20" s="26">
        <v>50.41</v>
      </c>
      <c r="Q20" s="26">
        <v>0.84</v>
      </c>
      <c r="R20" s="26">
        <v>64.58</v>
      </c>
      <c r="S20" s="26">
        <v>3.58</v>
      </c>
      <c r="T20" s="26">
        <v>0.07</v>
      </c>
      <c r="U20" s="26">
        <v>1.75</v>
      </c>
      <c r="V20" s="26">
        <v>69.99</v>
      </c>
      <c r="W20" s="26">
        <v>10.18</v>
      </c>
      <c r="X20" s="26">
        <v>17.55</v>
      </c>
      <c r="Y20" s="27">
        <v>25.4333333</v>
      </c>
      <c r="Z20" s="28">
        <v>17.099999999999998</v>
      </c>
      <c r="AA20" s="28">
        <v>26.166666666666668</v>
      </c>
      <c r="AB20" s="27">
        <v>0.0</v>
      </c>
      <c r="AC20" s="28">
        <v>30.933333333333337</v>
      </c>
      <c r="AD20" s="28">
        <v>0.0</v>
      </c>
      <c r="AE20" s="28">
        <v>0.0</v>
      </c>
      <c r="AF20" s="26">
        <v>7.9</v>
      </c>
      <c r="AG20" s="26">
        <v>62.98</v>
      </c>
      <c r="AH20" s="26">
        <v>18.29</v>
      </c>
      <c r="AI20" s="26">
        <v>18.74</v>
      </c>
    </row>
    <row r="21" ht="15.75" customHeight="1">
      <c r="A21" s="21">
        <v>20.0</v>
      </c>
      <c r="B21" s="21" t="s">
        <v>35</v>
      </c>
      <c r="C21" s="21" t="s">
        <v>36</v>
      </c>
      <c r="D21" s="21" t="s">
        <v>37</v>
      </c>
      <c r="E21" s="21" t="s">
        <v>59</v>
      </c>
      <c r="F21" s="22" t="s">
        <v>55</v>
      </c>
      <c r="G21" s="23">
        <v>27.39</v>
      </c>
      <c r="H21" s="24">
        <v>150.0</v>
      </c>
      <c r="I21" s="24">
        <v>3198.0</v>
      </c>
      <c r="J21" s="24">
        <v>10.6</v>
      </c>
      <c r="K21" s="24">
        <v>3032.0</v>
      </c>
      <c r="L21" s="24">
        <v>784.0</v>
      </c>
      <c r="M21" s="25">
        <v>15.56</v>
      </c>
      <c r="N21" s="23">
        <v>3.4</v>
      </c>
      <c r="O21" s="21">
        <v>0.1677777778</v>
      </c>
      <c r="P21" s="26">
        <v>40.8</v>
      </c>
      <c r="Q21" s="26">
        <v>0.42</v>
      </c>
      <c r="R21" s="26">
        <v>52.83</v>
      </c>
      <c r="S21" s="26">
        <v>2.8</v>
      </c>
      <c r="T21" s="26">
        <v>0.05</v>
      </c>
      <c r="U21" s="26">
        <v>1.36</v>
      </c>
      <c r="V21" s="26">
        <v>57.05</v>
      </c>
      <c r="W21" s="26">
        <v>6.57</v>
      </c>
      <c r="X21" s="26">
        <v>11.32</v>
      </c>
      <c r="Y21" s="27">
        <v>34.1</v>
      </c>
      <c r="Z21" s="28">
        <v>11.700000000000001</v>
      </c>
      <c r="AA21" s="28">
        <v>24.76666666666667</v>
      </c>
      <c r="AB21" s="27">
        <v>0.0</v>
      </c>
      <c r="AC21" s="28">
        <v>31.23333333333333</v>
      </c>
      <c r="AD21" s="28">
        <v>0.0</v>
      </c>
      <c r="AE21" s="28">
        <v>0.0</v>
      </c>
      <c r="AF21" s="26">
        <v>8.16</v>
      </c>
      <c r="AG21" s="26">
        <v>44.98</v>
      </c>
      <c r="AH21" s="26">
        <v>32.29</v>
      </c>
      <c r="AI21" s="26">
        <v>22.74</v>
      </c>
    </row>
    <row r="22" ht="15.75" customHeight="1">
      <c r="A22" s="21">
        <v>21.0</v>
      </c>
      <c r="B22" s="21" t="s">
        <v>35</v>
      </c>
      <c r="C22" s="21" t="s">
        <v>60</v>
      </c>
      <c r="D22" s="21" t="s">
        <v>61</v>
      </c>
      <c r="E22" s="21" t="s">
        <v>38</v>
      </c>
      <c r="F22" s="21" t="str">
        <f>IFERROR(__xludf.DUMMYFUNCTION("REGEXEXTRACT(E22,""[A-Za-z]+"")"),"NQ")</f>
        <v>NQ</v>
      </c>
      <c r="G22" s="23">
        <v>53.15</v>
      </c>
      <c r="H22" s="24">
        <v>172.0</v>
      </c>
      <c r="I22" s="24">
        <v>7513.0</v>
      </c>
      <c r="J22" s="24">
        <v>221.8</v>
      </c>
      <c r="K22" s="24">
        <v>3638.0</v>
      </c>
      <c r="L22" s="24">
        <v>976.0</v>
      </c>
      <c r="M22" s="25">
        <v>20.59</v>
      </c>
      <c r="N22" s="23">
        <v>10.4</v>
      </c>
      <c r="O22" s="21">
        <v>0.01666666667</v>
      </c>
      <c r="P22" s="26">
        <v>7.46</v>
      </c>
      <c r="Q22" s="26">
        <v>0.41</v>
      </c>
      <c r="R22" s="26">
        <v>50.74</v>
      </c>
      <c r="S22" s="26">
        <v>1.58</v>
      </c>
      <c r="T22" s="26">
        <v>0.05</v>
      </c>
      <c r="U22" s="26">
        <v>0.77</v>
      </c>
      <c r="V22" s="26">
        <v>53.15</v>
      </c>
      <c r="W22" s="26">
        <v>8.52</v>
      </c>
      <c r="X22" s="26">
        <v>14.68</v>
      </c>
      <c r="Y22" s="27">
        <v>1.53333333</v>
      </c>
      <c r="Z22" s="28">
        <v>0.3333333333333333</v>
      </c>
      <c r="AA22" s="27">
        <v>159.833333</v>
      </c>
      <c r="AB22" s="28">
        <v>0.0</v>
      </c>
      <c r="AC22" s="28">
        <v>3.6</v>
      </c>
      <c r="AD22" s="28">
        <v>0.0</v>
      </c>
      <c r="AE22" s="28">
        <v>0.0</v>
      </c>
      <c r="AF22" s="26">
        <v>7.92</v>
      </c>
      <c r="AG22" s="26">
        <v>54.69</v>
      </c>
      <c r="AH22" s="26">
        <v>21.5</v>
      </c>
      <c r="AI22" s="26">
        <v>23.82</v>
      </c>
    </row>
    <row r="23" ht="15.75" customHeight="1">
      <c r="A23" s="21">
        <v>22.0</v>
      </c>
      <c r="B23" s="21" t="s">
        <v>35</v>
      </c>
      <c r="C23" s="21" t="s">
        <v>60</v>
      </c>
      <c r="D23" s="21" t="s">
        <v>61</v>
      </c>
      <c r="E23" s="21" t="s">
        <v>39</v>
      </c>
      <c r="F23" s="21" t="str">
        <f>IFERROR(__xludf.DUMMYFUNCTION("REGEXEXTRACT(E23,""[A-Za-z]+"")"),"NQ")</f>
        <v>NQ</v>
      </c>
      <c r="G23" s="23">
        <v>33.36</v>
      </c>
      <c r="H23" s="24">
        <v>194.0</v>
      </c>
      <c r="I23" s="24">
        <v>6735.0</v>
      </c>
      <c r="J23" s="24">
        <v>116.2</v>
      </c>
      <c r="K23" s="24">
        <v>3824.0</v>
      </c>
      <c r="L23" s="24">
        <v>999.0</v>
      </c>
      <c r="M23" s="25">
        <v>26.98</v>
      </c>
      <c r="N23" s="23">
        <v>8.3</v>
      </c>
      <c r="O23" s="21">
        <v>0.01</v>
      </c>
      <c r="P23" s="26">
        <v>9.53</v>
      </c>
      <c r="Q23" s="26">
        <v>0.33</v>
      </c>
      <c r="R23" s="26">
        <v>50.12</v>
      </c>
      <c r="S23" s="26">
        <v>3.44</v>
      </c>
      <c r="T23" s="26">
        <v>0.05</v>
      </c>
      <c r="U23" s="26">
        <v>0.76</v>
      </c>
      <c r="V23" s="26">
        <v>54.37</v>
      </c>
      <c r="W23" s="26">
        <v>9.02</v>
      </c>
      <c r="X23" s="26">
        <v>15.55</v>
      </c>
      <c r="Y23" s="27">
        <v>0.0</v>
      </c>
      <c r="Z23" s="28">
        <v>0.0</v>
      </c>
      <c r="AA23" s="27">
        <v>164.3</v>
      </c>
      <c r="AB23" s="28">
        <v>0.0</v>
      </c>
      <c r="AC23" s="28">
        <v>39.699999999999996</v>
      </c>
      <c r="AD23" s="28">
        <v>0.0</v>
      </c>
      <c r="AE23" s="28">
        <v>0.0</v>
      </c>
      <c r="AF23" s="26">
        <v>8.14</v>
      </c>
      <c r="AG23" s="26">
        <v>56.76</v>
      </c>
      <c r="AH23" s="26">
        <v>17.57</v>
      </c>
      <c r="AI23" s="26">
        <v>25.67</v>
      </c>
    </row>
    <row r="24" ht="15.75" customHeight="1">
      <c r="A24" s="21">
        <v>23.0</v>
      </c>
      <c r="B24" s="21" t="s">
        <v>35</v>
      </c>
      <c r="C24" s="21" t="s">
        <v>60</v>
      </c>
      <c r="D24" s="21" t="s">
        <v>61</v>
      </c>
      <c r="E24" s="21" t="s">
        <v>40</v>
      </c>
      <c r="F24" s="21" t="str">
        <f>IFERROR(__xludf.DUMMYFUNCTION("REGEXEXTRACT(E24,""[A-Za-z]+"")"),"NQ")</f>
        <v>NQ</v>
      </c>
      <c r="G24" s="23">
        <v>44.24</v>
      </c>
      <c r="H24" s="24">
        <v>212.0</v>
      </c>
      <c r="I24" s="24">
        <v>6990.0</v>
      </c>
      <c r="J24" s="24">
        <v>327.4</v>
      </c>
      <c r="K24" s="24">
        <v>3660.0</v>
      </c>
      <c r="L24" s="24">
        <v>983.0</v>
      </c>
      <c r="M24" s="25">
        <v>23.59</v>
      </c>
      <c r="N24" s="23">
        <v>9.3</v>
      </c>
      <c r="O24" s="21">
        <v>0.008888888889</v>
      </c>
      <c r="P24" s="26">
        <v>7.65</v>
      </c>
      <c r="Q24" s="26">
        <v>0.43</v>
      </c>
      <c r="R24" s="26">
        <v>45.47</v>
      </c>
      <c r="S24" s="26">
        <v>3.37</v>
      </c>
      <c r="T24" s="26">
        <v>0.05</v>
      </c>
      <c r="U24" s="26">
        <v>0.87</v>
      </c>
      <c r="V24" s="26">
        <v>49.77</v>
      </c>
      <c r="W24" s="26">
        <v>10.2</v>
      </c>
      <c r="X24" s="26">
        <v>17.58</v>
      </c>
      <c r="Y24" s="27">
        <v>0.0</v>
      </c>
      <c r="Z24" s="28">
        <v>0.0</v>
      </c>
      <c r="AA24" s="27">
        <v>118.9</v>
      </c>
      <c r="AB24" s="28">
        <v>0.0</v>
      </c>
      <c r="AC24" s="28">
        <v>19.5</v>
      </c>
      <c r="AD24" s="28">
        <v>0.0</v>
      </c>
      <c r="AE24" s="28">
        <v>0.0</v>
      </c>
      <c r="AF24" s="26">
        <v>8.11</v>
      </c>
      <c r="AG24" s="26">
        <v>62.9</v>
      </c>
      <c r="AH24" s="26">
        <v>17.5</v>
      </c>
      <c r="AI24" s="26">
        <v>19.6</v>
      </c>
    </row>
    <row r="25" ht="15.75" customHeight="1">
      <c r="A25" s="21">
        <v>24.0</v>
      </c>
      <c r="B25" s="21" t="s">
        <v>35</v>
      </c>
      <c r="C25" s="21" t="s">
        <v>60</v>
      </c>
      <c r="D25" s="21" t="s">
        <v>61</v>
      </c>
      <c r="E25" s="21" t="s">
        <v>41</v>
      </c>
      <c r="F25" s="21" t="str">
        <f>IFERROR(__xludf.DUMMYFUNCTION("REGEXEXTRACT(E25,""[A-Za-z]+"")"),"NQ")</f>
        <v>NQ</v>
      </c>
      <c r="G25" s="23">
        <v>31.09</v>
      </c>
      <c r="H25" s="24">
        <v>188.0</v>
      </c>
      <c r="I25" s="24">
        <v>6478.0</v>
      </c>
      <c r="J25" s="24">
        <v>253.4</v>
      </c>
      <c r="K25" s="24">
        <v>3079.0</v>
      </c>
      <c r="L25" s="24">
        <v>1434.0</v>
      </c>
      <c r="M25" s="25">
        <v>24.85</v>
      </c>
      <c r="N25" s="23">
        <v>10.2</v>
      </c>
      <c r="O25" s="21">
        <v>0.005555555556</v>
      </c>
      <c r="P25" s="26">
        <v>7.08</v>
      </c>
      <c r="Q25" s="26">
        <v>0.39</v>
      </c>
      <c r="R25" s="26">
        <v>52.61</v>
      </c>
      <c r="S25" s="26">
        <v>2.37</v>
      </c>
      <c r="T25" s="26">
        <v>0.07</v>
      </c>
      <c r="U25" s="26">
        <v>1.08</v>
      </c>
      <c r="V25" s="26">
        <v>56.16</v>
      </c>
      <c r="W25" s="26">
        <v>9.73</v>
      </c>
      <c r="X25" s="26">
        <v>16.78</v>
      </c>
      <c r="Y25" s="27">
        <v>0.0</v>
      </c>
      <c r="Z25" s="28">
        <v>0.0</v>
      </c>
      <c r="AA25" s="27">
        <v>170.966667</v>
      </c>
      <c r="AB25" s="28">
        <v>0.0</v>
      </c>
      <c r="AC25" s="28">
        <v>6.8</v>
      </c>
      <c r="AD25" s="28">
        <v>0.0</v>
      </c>
      <c r="AE25" s="28">
        <v>0.0</v>
      </c>
      <c r="AF25" s="26">
        <v>7.75</v>
      </c>
      <c r="AG25" s="26">
        <v>60.9</v>
      </c>
      <c r="AH25" s="26">
        <v>17.5</v>
      </c>
      <c r="AI25" s="26">
        <v>21.6</v>
      </c>
    </row>
    <row r="26" ht="15.75" customHeight="1">
      <c r="A26" s="21">
        <v>25.0</v>
      </c>
      <c r="B26" s="21" t="s">
        <v>35</v>
      </c>
      <c r="C26" s="21" t="s">
        <v>60</v>
      </c>
      <c r="D26" s="21" t="s">
        <v>61</v>
      </c>
      <c r="E26" s="21" t="s">
        <v>42</v>
      </c>
      <c r="F26" s="21" t="str">
        <f>IFERROR(__xludf.DUMMYFUNCTION("REGEXEXTRACT(E26,""[A-Za-z]+"")"),"NQ")</f>
        <v>NQ</v>
      </c>
      <c r="G26" s="23">
        <v>46.88</v>
      </c>
      <c r="H26" s="24">
        <v>265.0</v>
      </c>
      <c r="I26" s="24">
        <v>7908.0</v>
      </c>
      <c r="J26" s="24">
        <v>264.0</v>
      </c>
      <c r="K26" s="24">
        <v>2966.0</v>
      </c>
      <c r="L26" s="24">
        <v>1065.0</v>
      </c>
      <c r="M26" s="25">
        <v>28.41</v>
      </c>
      <c r="N26" s="23">
        <v>11.9</v>
      </c>
      <c r="O26" s="21">
        <v>0.003333333333</v>
      </c>
      <c r="P26" s="26">
        <v>10.29</v>
      </c>
      <c r="Q26" s="26">
        <v>0.47</v>
      </c>
      <c r="R26" s="26">
        <v>56.67</v>
      </c>
      <c r="S26" s="26">
        <v>2.46</v>
      </c>
      <c r="T26" s="26">
        <v>0.05</v>
      </c>
      <c r="U26" s="26">
        <v>1.21</v>
      </c>
      <c r="V26" s="26">
        <v>60.42</v>
      </c>
      <c r="W26" s="26">
        <v>13.37</v>
      </c>
      <c r="X26" s="26">
        <v>23.05</v>
      </c>
      <c r="Y26" s="27">
        <v>0.0</v>
      </c>
      <c r="Z26" s="28">
        <v>0.0</v>
      </c>
      <c r="AA26" s="27">
        <v>165.333333</v>
      </c>
      <c r="AB26" s="28">
        <v>0.0</v>
      </c>
      <c r="AC26" s="28">
        <v>29.100000000000005</v>
      </c>
      <c r="AD26" s="28">
        <v>0.0</v>
      </c>
      <c r="AE26" s="28">
        <v>0.0</v>
      </c>
      <c r="AF26" s="26">
        <v>7.96</v>
      </c>
      <c r="AG26" s="26">
        <v>56.9</v>
      </c>
      <c r="AH26" s="26">
        <v>19.5</v>
      </c>
      <c r="AI26" s="26">
        <v>23.6</v>
      </c>
    </row>
    <row r="27" ht="15.75" customHeight="1">
      <c r="A27" s="21">
        <v>26.0</v>
      </c>
      <c r="B27" s="21" t="s">
        <v>35</v>
      </c>
      <c r="C27" s="21" t="s">
        <v>60</v>
      </c>
      <c r="D27" s="21" t="s">
        <v>61</v>
      </c>
      <c r="E27" s="21" t="s">
        <v>43</v>
      </c>
      <c r="F27" s="21" t="str">
        <f>IFERROR(__xludf.DUMMYFUNCTION("REGEXEXTRACT(E27,""[A-Za-z]+"")"),"Q")</f>
        <v>Q</v>
      </c>
      <c r="G27" s="23">
        <v>30.41</v>
      </c>
      <c r="H27" s="24">
        <v>147.0</v>
      </c>
      <c r="I27" s="24">
        <v>4774.0</v>
      </c>
      <c r="J27" s="24">
        <v>10.6</v>
      </c>
      <c r="K27" s="24">
        <v>3386.0</v>
      </c>
      <c r="L27" s="24">
        <v>1101.0</v>
      </c>
      <c r="M27" s="25">
        <v>33.09</v>
      </c>
      <c r="N27" s="23">
        <v>4.3</v>
      </c>
      <c r="O27" s="21">
        <v>0.01777777778</v>
      </c>
      <c r="P27" s="26">
        <v>7.46</v>
      </c>
      <c r="Q27" s="26">
        <v>0.34</v>
      </c>
      <c r="R27" s="26">
        <v>47.09</v>
      </c>
      <c r="S27" s="26">
        <v>0.93</v>
      </c>
      <c r="T27" s="26">
        <v>0.05</v>
      </c>
      <c r="U27" s="26">
        <v>0.82</v>
      </c>
      <c r="V27" s="26">
        <v>48.93</v>
      </c>
      <c r="W27" s="26">
        <v>11.24</v>
      </c>
      <c r="X27" s="26">
        <v>19.38</v>
      </c>
      <c r="Y27" s="27">
        <v>19.2666667</v>
      </c>
      <c r="Z27" s="28">
        <v>0.0</v>
      </c>
      <c r="AA27" s="27">
        <v>89.8333333</v>
      </c>
      <c r="AB27" s="28">
        <v>0.0</v>
      </c>
      <c r="AC27" s="28">
        <v>0.0</v>
      </c>
      <c r="AD27" s="28">
        <v>0.0</v>
      </c>
      <c r="AE27" s="28">
        <v>0.0</v>
      </c>
      <c r="AF27" s="26">
        <v>8.32</v>
      </c>
      <c r="AG27" s="26">
        <v>58.98</v>
      </c>
      <c r="AH27" s="26">
        <v>23.42</v>
      </c>
      <c r="AI27" s="26">
        <v>17.6</v>
      </c>
    </row>
    <row r="28" ht="15.75" customHeight="1">
      <c r="A28" s="21">
        <v>27.0</v>
      </c>
      <c r="B28" s="21" t="s">
        <v>35</v>
      </c>
      <c r="C28" s="21" t="s">
        <v>60</v>
      </c>
      <c r="D28" s="21" t="s">
        <v>61</v>
      </c>
      <c r="E28" s="21" t="s">
        <v>44</v>
      </c>
      <c r="F28" s="21" t="str">
        <f>IFERROR(__xludf.DUMMYFUNCTION("REGEXEXTRACT(E28,""[A-Za-z]+"")"),"Q")</f>
        <v>Q</v>
      </c>
      <c r="G28" s="23">
        <v>33.89</v>
      </c>
      <c r="H28" s="24">
        <v>137.0</v>
      </c>
      <c r="I28" s="24">
        <v>5143.0</v>
      </c>
      <c r="J28" s="24">
        <v>10.6</v>
      </c>
      <c r="K28" s="24">
        <v>2937.0</v>
      </c>
      <c r="L28" s="24">
        <v>1075.0</v>
      </c>
      <c r="M28" s="25">
        <v>32.2</v>
      </c>
      <c r="N28" s="23">
        <v>5.1</v>
      </c>
      <c r="O28" s="21">
        <v>0.01777777778</v>
      </c>
      <c r="P28" s="26">
        <v>7.65</v>
      </c>
      <c r="Q28" s="26">
        <v>0.38</v>
      </c>
      <c r="R28" s="26">
        <v>46.78</v>
      </c>
      <c r="S28" s="26">
        <v>1.08</v>
      </c>
      <c r="T28" s="26">
        <v>0.05</v>
      </c>
      <c r="U28" s="26">
        <v>0.95</v>
      </c>
      <c r="V28" s="26">
        <v>48.87</v>
      </c>
      <c r="W28" s="26">
        <v>12.38</v>
      </c>
      <c r="X28" s="26">
        <v>21.34</v>
      </c>
      <c r="Y28" s="27">
        <v>1.16666667</v>
      </c>
      <c r="Z28" s="28">
        <v>4.3999999999999995</v>
      </c>
      <c r="AA28" s="27">
        <v>108.966667</v>
      </c>
      <c r="AB28" s="28">
        <v>0.0</v>
      </c>
      <c r="AC28" s="28">
        <v>0.0</v>
      </c>
      <c r="AD28" s="28">
        <v>0.0</v>
      </c>
      <c r="AE28" s="28">
        <v>0.0</v>
      </c>
      <c r="AF28" s="26">
        <v>8.27</v>
      </c>
      <c r="AG28" s="26">
        <v>53.05</v>
      </c>
      <c r="AH28" s="26">
        <v>23.35</v>
      </c>
      <c r="AI28" s="26">
        <v>23.6</v>
      </c>
    </row>
    <row r="29" ht="15.75" customHeight="1">
      <c r="A29" s="21">
        <v>28.0</v>
      </c>
      <c r="B29" s="21" t="s">
        <v>35</v>
      </c>
      <c r="C29" s="21" t="s">
        <v>60</v>
      </c>
      <c r="D29" s="21" t="s">
        <v>61</v>
      </c>
      <c r="E29" s="21" t="s">
        <v>45</v>
      </c>
      <c r="F29" s="21" t="str">
        <f>IFERROR(__xludf.DUMMYFUNCTION("REGEXEXTRACT(E29,""[A-Za-z]+"")"),"Q")</f>
        <v>Q</v>
      </c>
      <c r="G29" s="23">
        <v>44.62</v>
      </c>
      <c r="H29" s="24">
        <v>206.0</v>
      </c>
      <c r="I29" s="24">
        <v>6738.0</v>
      </c>
      <c r="J29" s="24">
        <v>253.4</v>
      </c>
      <c r="K29" s="24">
        <v>2977.0</v>
      </c>
      <c r="L29" s="24">
        <v>1302.0</v>
      </c>
      <c r="M29" s="25">
        <v>16.7</v>
      </c>
      <c r="N29" s="23">
        <v>8.1</v>
      </c>
      <c r="O29" s="21">
        <v>0.01777777778</v>
      </c>
      <c r="P29" s="26">
        <v>9.16</v>
      </c>
      <c r="Q29" s="26">
        <v>0.48</v>
      </c>
      <c r="R29" s="26">
        <v>48.23</v>
      </c>
      <c r="S29" s="26">
        <v>2.46</v>
      </c>
      <c r="T29" s="26">
        <v>0.05</v>
      </c>
      <c r="U29" s="26">
        <v>1.34</v>
      </c>
      <c r="V29" s="26">
        <v>52.12</v>
      </c>
      <c r="W29" s="26">
        <v>8.09</v>
      </c>
      <c r="X29" s="26">
        <v>13.95</v>
      </c>
      <c r="Y29" s="27">
        <v>0.0</v>
      </c>
      <c r="Z29" s="28">
        <v>0.0</v>
      </c>
      <c r="AA29" s="27">
        <v>105.416667</v>
      </c>
      <c r="AB29" s="28">
        <v>0.0</v>
      </c>
      <c r="AC29" s="28">
        <v>0.3333333333333333</v>
      </c>
      <c r="AD29" s="28">
        <v>0.0</v>
      </c>
      <c r="AE29" s="28">
        <v>0.0</v>
      </c>
      <c r="AF29" s="26">
        <v>8.19</v>
      </c>
      <c r="AG29" s="26">
        <v>57.05</v>
      </c>
      <c r="AH29" s="26">
        <v>19.35</v>
      </c>
      <c r="AI29" s="26">
        <v>23.6</v>
      </c>
    </row>
    <row r="30" ht="15.75" customHeight="1">
      <c r="A30" s="21">
        <v>29.0</v>
      </c>
      <c r="B30" s="21" t="s">
        <v>35</v>
      </c>
      <c r="C30" s="21" t="s">
        <v>60</v>
      </c>
      <c r="D30" s="21" t="s">
        <v>61</v>
      </c>
      <c r="E30" s="21" t="s">
        <v>46</v>
      </c>
      <c r="F30" s="21" t="str">
        <f>IFERROR(__xludf.DUMMYFUNCTION("REGEXEXTRACT(E30,""[A-Za-z]+"")"),"Q")</f>
        <v>Q</v>
      </c>
      <c r="G30" s="23">
        <v>45.07</v>
      </c>
      <c r="H30" s="24">
        <v>143.0</v>
      </c>
      <c r="I30" s="24">
        <v>4311.0</v>
      </c>
      <c r="J30" s="24">
        <v>95.0</v>
      </c>
      <c r="K30" s="24">
        <v>3069.0</v>
      </c>
      <c r="L30" s="24">
        <v>871.0</v>
      </c>
      <c r="M30" s="25">
        <v>45.7</v>
      </c>
      <c r="N30" s="23">
        <v>2.6</v>
      </c>
      <c r="O30" s="21">
        <v>0.04</v>
      </c>
      <c r="P30" s="26">
        <v>6.89</v>
      </c>
      <c r="Q30" s="26">
        <v>0.23</v>
      </c>
      <c r="R30" s="26">
        <v>43.54</v>
      </c>
      <c r="S30" s="26">
        <v>1.14</v>
      </c>
      <c r="T30" s="26">
        <v>0.05</v>
      </c>
      <c r="U30" s="26">
        <v>0.6</v>
      </c>
      <c r="V30" s="26">
        <v>45.34</v>
      </c>
      <c r="W30" s="26">
        <v>10.69</v>
      </c>
      <c r="X30" s="26">
        <v>18.43</v>
      </c>
      <c r="Y30" s="27">
        <v>37.4</v>
      </c>
      <c r="Z30" s="28">
        <v>13.200000000000001</v>
      </c>
      <c r="AA30" s="27">
        <v>65.6666667</v>
      </c>
      <c r="AB30" s="28">
        <v>0.0</v>
      </c>
      <c r="AC30" s="28">
        <v>0.0</v>
      </c>
      <c r="AD30" s="28">
        <v>0.0</v>
      </c>
      <c r="AE30" s="28">
        <v>0.0</v>
      </c>
      <c r="AF30" s="26">
        <v>8.48</v>
      </c>
      <c r="AG30" s="26">
        <v>55.05</v>
      </c>
      <c r="AH30" s="26">
        <v>21.35</v>
      </c>
      <c r="AI30" s="26">
        <v>23.6</v>
      </c>
    </row>
    <row r="31" ht="15.75" customHeight="1">
      <c r="A31" s="21">
        <v>30.0</v>
      </c>
      <c r="B31" s="21" t="s">
        <v>35</v>
      </c>
      <c r="C31" s="21" t="s">
        <v>60</v>
      </c>
      <c r="D31" s="21" t="s">
        <v>61</v>
      </c>
      <c r="E31" s="21" t="s">
        <v>47</v>
      </c>
      <c r="F31" s="21" t="str">
        <f>IFERROR(__xludf.DUMMYFUNCTION("REGEXEXTRACT(E31,""[A-Za-z]+"")"),"Q")</f>
        <v>Q</v>
      </c>
      <c r="G31" s="23">
        <v>27.39</v>
      </c>
      <c r="H31" s="24">
        <v>137.0</v>
      </c>
      <c r="I31" s="24">
        <v>2859.0</v>
      </c>
      <c r="J31" s="24">
        <v>190.1</v>
      </c>
      <c r="K31" s="24">
        <v>2795.0</v>
      </c>
      <c r="L31" s="24">
        <v>714.0</v>
      </c>
      <c r="M31" s="25">
        <v>46.73</v>
      </c>
      <c r="N31" s="23">
        <v>2.0</v>
      </c>
      <c r="O31" s="21">
        <v>0.02888888889</v>
      </c>
      <c r="P31" s="26">
        <v>18.39</v>
      </c>
      <c r="Q31" s="26">
        <v>0.18</v>
      </c>
      <c r="R31" s="26">
        <v>45.15</v>
      </c>
      <c r="S31" s="26">
        <v>0.79</v>
      </c>
      <c r="T31" s="26">
        <v>0.05</v>
      </c>
      <c r="U31" s="26">
        <v>0.58</v>
      </c>
      <c r="V31" s="26">
        <v>46.58</v>
      </c>
      <c r="W31" s="26">
        <v>8.33</v>
      </c>
      <c r="X31" s="26">
        <v>14.36</v>
      </c>
      <c r="Y31" s="27">
        <v>20.5666667</v>
      </c>
      <c r="Z31" s="28">
        <v>1.6666666666666667</v>
      </c>
      <c r="AA31" s="27">
        <v>81.5333333</v>
      </c>
      <c r="AB31" s="28">
        <v>0.0</v>
      </c>
      <c r="AC31" s="28">
        <v>1.5</v>
      </c>
      <c r="AD31" s="28">
        <v>0.0</v>
      </c>
      <c r="AE31" s="28">
        <v>0.0</v>
      </c>
      <c r="AF31" s="26">
        <v>8.42</v>
      </c>
      <c r="AG31" s="26">
        <v>61.05</v>
      </c>
      <c r="AH31" s="26">
        <v>19.35</v>
      </c>
      <c r="AI31" s="26">
        <v>19.6</v>
      </c>
    </row>
    <row r="32" ht="15.75" customHeight="1">
      <c r="A32" s="21">
        <v>31.0</v>
      </c>
      <c r="B32" s="21" t="s">
        <v>35</v>
      </c>
      <c r="C32" s="21" t="s">
        <v>60</v>
      </c>
      <c r="D32" s="21" t="s">
        <v>61</v>
      </c>
      <c r="E32" s="21" t="s">
        <v>48</v>
      </c>
      <c r="F32" s="22" t="s">
        <v>49</v>
      </c>
      <c r="G32" s="23">
        <v>48.77</v>
      </c>
      <c r="H32" s="24">
        <v>252.0</v>
      </c>
      <c r="I32" s="24">
        <v>7097.0</v>
      </c>
      <c r="J32" s="24">
        <v>707.5</v>
      </c>
      <c r="K32" s="24">
        <v>3824.0</v>
      </c>
      <c r="L32" s="24">
        <v>861.0</v>
      </c>
      <c r="M32" s="25">
        <v>14.88</v>
      </c>
      <c r="N32" s="23">
        <v>8.6</v>
      </c>
      <c r="O32" s="21">
        <v>0.005555555556</v>
      </c>
      <c r="P32" s="26">
        <v>11.98</v>
      </c>
      <c r="Q32" s="26">
        <v>0.57</v>
      </c>
      <c r="R32" s="26">
        <v>41.39</v>
      </c>
      <c r="S32" s="26">
        <v>1.78</v>
      </c>
      <c r="T32" s="26">
        <v>0.05</v>
      </c>
      <c r="U32" s="26">
        <v>1.76</v>
      </c>
      <c r="V32" s="26">
        <v>44.99</v>
      </c>
      <c r="W32" s="26">
        <v>8.41</v>
      </c>
      <c r="X32" s="26">
        <v>14.5</v>
      </c>
      <c r="Y32" s="27">
        <v>11.0</v>
      </c>
      <c r="Z32" s="28">
        <v>11.0</v>
      </c>
      <c r="AA32" s="27">
        <v>108.966667</v>
      </c>
      <c r="AB32" s="28">
        <v>0.0</v>
      </c>
      <c r="AC32" s="28">
        <v>0.0</v>
      </c>
      <c r="AD32" s="28">
        <v>0.0</v>
      </c>
      <c r="AE32" s="28">
        <v>0.0</v>
      </c>
      <c r="AF32" s="26">
        <v>8.13</v>
      </c>
      <c r="AG32" s="26">
        <v>63.05</v>
      </c>
      <c r="AH32" s="26">
        <v>13.35</v>
      </c>
      <c r="AI32" s="26">
        <v>23.6</v>
      </c>
    </row>
    <row r="33" ht="15.75" customHeight="1">
      <c r="A33" s="21">
        <v>32.0</v>
      </c>
      <c r="B33" s="21" t="s">
        <v>35</v>
      </c>
      <c r="C33" s="21" t="s">
        <v>60</v>
      </c>
      <c r="D33" s="21" t="s">
        <v>61</v>
      </c>
      <c r="E33" s="21" t="s">
        <v>50</v>
      </c>
      <c r="F33" s="22" t="s">
        <v>49</v>
      </c>
      <c r="G33" s="23">
        <v>40.69</v>
      </c>
      <c r="H33" s="24">
        <v>125.0</v>
      </c>
      <c r="I33" s="24">
        <v>5550.0</v>
      </c>
      <c r="J33" s="24">
        <v>42.2</v>
      </c>
      <c r="K33" s="24">
        <v>2700.0</v>
      </c>
      <c r="L33" s="24">
        <v>935.0</v>
      </c>
      <c r="M33" s="25">
        <v>18.61</v>
      </c>
      <c r="N33" s="23">
        <v>6.6</v>
      </c>
      <c r="O33" s="21">
        <v>0.005555555556</v>
      </c>
      <c r="P33" s="26">
        <v>6.89</v>
      </c>
      <c r="Q33" s="26">
        <v>0.3</v>
      </c>
      <c r="R33" s="26">
        <v>42.96</v>
      </c>
      <c r="S33" s="26">
        <v>2.43</v>
      </c>
      <c r="T33" s="26">
        <v>0.05</v>
      </c>
      <c r="U33" s="26">
        <v>0.96</v>
      </c>
      <c r="V33" s="26">
        <v>46.42</v>
      </c>
      <c r="W33" s="26">
        <v>5.61</v>
      </c>
      <c r="X33" s="26">
        <v>9.68</v>
      </c>
      <c r="Y33" s="27">
        <v>0.0</v>
      </c>
      <c r="Z33" s="28">
        <v>0.0</v>
      </c>
      <c r="AA33" s="27">
        <v>165.333333</v>
      </c>
      <c r="AB33" s="28">
        <v>0.0</v>
      </c>
      <c r="AC33" s="28">
        <v>20.666666666666668</v>
      </c>
      <c r="AD33" s="28">
        <v>0.0</v>
      </c>
      <c r="AE33" s="28">
        <v>0.0</v>
      </c>
      <c r="AF33" s="26">
        <v>8.11</v>
      </c>
      <c r="AG33" s="26">
        <v>46.9</v>
      </c>
      <c r="AH33" s="26">
        <v>27.5</v>
      </c>
      <c r="AI33" s="26">
        <v>25.6</v>
      </c>
    </row>
    <row r="34" ht="15.75" customHeight="1">
      <c r="A34" s="21">
        <v>33.0</v>
      </c>
      <c r="B34" s="21" t="s">
        <v>35</v>
      </c>
      <c r="C34" s="21" t="s">
        <v>60</v>
      </c>
      <c r="D34" s="21" t="s">
        <v>61</v>
      </c>
      <c r="E34" s="21" t="s">
        <v>51</v>
      </c>
      <c r="F34" s="22" t="s">
        <v>49</v>
      </c>
      <c r="G34" s="23">
        <v>43.78</v>
      </c>
      <c r="H34" s="24">
        <v>175.0</v>
      </c>
      <c r="I34" s="24">
        <v>6835.0</v>
      </c>
      <c r="J34" s="24">
        <v>10.6</v>
      </c>
      <c r="K34" s="24">
        <v>3269.0</v>
      </c>
      <c r="L34" s="24">
        <v>894.0</v>
      </c>
      <c r="M34" s="25">
        <v>15.2</v>
      </c>
      <c r="N34" s="23">
        <v>9.5</v>
      </c>
      <c r="O34" s="21">
        <v>0.02111111111</v>
      </c>
      <c r="P34" s="26">
        <v>5.2</v>
      </c>
      <c r="Q34" s="26">
        <v>0.47</v>
      </c>
      <c r="R34" s="26">
        <v>37.88</v>
      </c>
      <c r="S34" s="26">
        <v>1.64</v>
      </c>
      <c r="T34" s="26">
        <v>0.05</v>
      </c>
      <c r="U34" s="26">
        <v>1.92</v>
      </c>
      <c r="V34" s="26">
        <v>41.5</v>
      </c>
      <c r="W34" s="26">
        <v>7.11</v>
      </c>
      <c r="X34" s="26">
        <v>12.25</v>
      </c>
      <c r="Y34" s="27">
        <v>3.53333333</v>
      </c>
      <c r="Z34" s="28">
        <v>8.866666666666667</v>
      </c>
      <c r="AA34" s="27">
        <v>91.3</v>
      </c>
      <c r="AB34" s="28">
        <v>0.0</v>
      </c>
      <c r="AC34" s="28">
        <v>0.0</v>
      </c>
      <c r="AD34" s="28">
        <v>0.0</v>
      </c>
      <c r="AE34" s="28">
        <v>0.0</v>
      </c>
      <c r="AF34" s="26">
        <v>8.19</v>
      </c>
      <c r="AG34" s="26">
        <v>52.69</v>
      </c>
      <c r="AH34" s="26">
        <v>21.64</v>
      </c>
      <c r="AI34" s="26">
        <v>25.67</v>
      </c>
    </row>
    <row r="35" ht="15.75" customHeight="1">
      <c r="A35" s="21">
        <v>34.0</v>
      </c>
      <c r="B35" s="21" t="s">
        <v>35</v>
      </c>
      <c r="C35" s="21" t="s">
        <v>60</v>
      </c>
      <c r="D35" s="21" t="s">
        <v>61</v>
      </c>
      <c r="E35" s="21" t="s">
        <v>52</v>
      </c>
      <c r="F35" s="22" t="s">
        <v>49</v>
      </c>
      <c r="G35" s="23">
        <v>36.08</v>
      </c>
      <c r="H35" s="24">
        <v>128.0</v>
      </c>
      <c r="I35" s="24">
        <v>4939.0</v>
      </c>
      <c r="J35" s="24">
        <v>105.6</v>
      </c>
      <c r="K35" s="24">
        <v>2656.0</v>
      </c>
      <c r="L35" s="24">
        <v>855.0</v>
      </c>
      <c r="M35" s="25">
        <v>16.01</v>
      </c>
      <c r="N35" s="23">
        <v>8.4</v>
      </c>
      <c r="O35" s="21">
        <v>0.01333333333</v>
      </c>
      <c r="P35" s="26">
        <v>6.14</v>
      </c>
      <c r="Q35" s="26">
        <v>0.33</v>
      </c>
      <c r="R35" s="26">
        <v>34.46</v>
      </c>
      <c r="S35" s="26">
        <v>2.3</v>
      </c>
      <c r="T35" s="26">
        <v>0.05</v>
      </c>
      <c r="U35" s="26">
        <v>1.44</v>
      </c>
      <c r="V35" s="26">
        <v>38.26</v>
      </c>
      <c r="W35" s="26">
        <v>5.25</v>
      </c>
      <c r="X35" s="26">
        <v>9.05</v>
      </c>
      <c r="Y35" s="27">
        <v>2.5</v>
      </c>
      <c r="Z35" s="28">
        <v>0.0</v>
      </c>
      <c r="AA35" s="27">
        <v>122.933333</v>
      </c>
      <c r="AB35" s="28">
        <v>6.983333333333333</v>
      </c>
      <c r="AC35" s="28">
        <v>3.1666666666666665</v>
      </c>
      <c r="AD35" s="28">
        <v>0.0</v>
      </c>
      <c r="AE35" s="28">
        <v>0.0</v>
      </c>
      <c r="AF35" s="26">
        <v>7.97</v>
      </c>
      <c r="AG35" s="26">
        <v>52.76</v>
      </c>
      <c r="AH35" s="26">
        <v>17.21</v>
      </c>
      <c r="AI35" s="26">
        <v>30.03</v>
      </c>
    </row>
    <row r="36" ht="15.75" customHeight="1">
      <c r="A36" s="21">
        <v>35.0</v>
      </c>
      <c r="B36" s="21" t="s">
        <v>35</v>
      </c>
      <c r="C36" s="21" t="s">
        <v>60</v>
      </c>
      <c r="D36" s="21" t="s">
        <v>61</v>
      </c>
      <c r="E36" s="21" t="s">
        <v>53</v>
      </c>
      <c r="F36" s="22" t="s">
        <v>49</v>
      </c>
      <c r="G36" s="23">
        <v>26.94</v>
      </c>
      <c r="H36" s="24">
        <v>131.0</v>
      </c>
      <c r="I36" s="24">
        <v>442.0</v>
      </c>
      <c r="J36" s="24">
        <v>31.7</v>
      </c>
      <c r="K36" s="24">
        <v>2718.0</v>
      </c>
      <c r="L36" s="24">
        <v>1094.0</v>
      </c>
      <c r="M36" s="25">
        <v>14.89</v>
      </c>
      <c r="N36" s="23">
        <v>9.0</v>
      </c>
      <c r="O36" s="21">
        <v>0.02222222222</v>
      </c>
      <c r="P36" s="26">
        <v>9.53</v>
      </c>
      <c r="Q36" s="26">
        <v>0.3</v>
      </c>
      <c r="R36" s="26">
        <v>41.4</v>
      </c>
      <c r="S36" s="26">
        <v>1.63</v>
      </c>
      <c r="T36" s="26">
        <v>0.05</v>
      </c>
      <c r="U36" s="26">
        <v>1.24</v>
      </c>
      <c r="V36" s="26">
        <v>44.32</v>
      </c>
      <c r="W36" s="26">
        <v>4.54</v>
      </c>
      <c r="X36" s="26">
        <v>7.82</v>
      </c>
      <c r="Y36" s="27">
        <v>2.0</v>
      </c>
      <c r="Z36" s="28">
        <v>0.0</v>
      </c>
      <c r="AA36" s="27">
        <v>121.7</v>
      </c>
      <c r="AB36" s="28">
        <v>7.483333333333333</v>
      </c>
      <c r="AC36" s="28">
        <v>0.0</v>
      </c>
      <c r="AD36" s="28">
        <v>0.0</v>
      </c>
      <c r="AE36" s="28">
        <v>0.0</v>
      </c>
      <c r="AF36" s="26">
        <v>8.03</v>
      </c>
      <c r="AG36" s="26">
        <v>46.76</v>
      </c>
      <c r="AH36" s="26">
        <v>19.28</v>
      </c>
      <c r="AI36" s="26">
        <v>33.96</v>
      </c>
    </row>
    <row r="37" ht="15.75" customHeight="1">
      <c r="A37" s="21">
        <v>36.0</v>
      </c>
      <c r="B37" s="21" t="s">
        <v>35</v>
      </c>
      <c r="C37" s="21" t="s">
        <v>60</v>
      </c>
      <c r="D37" s="21" t="s">
        <v>61</v>
      </c>
      <c r="E37" s="21" t="s">
        <v>54</v>
      </c>
      <c r="F37" s="22" t="s">
        <v>55</v>
      </c>
      <c r="G37" s="23">
        <v>52.17</v>
      </c>
      <c r="H37" s="24">
        <v>221.0</v>
      </c>
      <c r="I37" s="24">
        <v>7253.0</v>
      </c>
      <c r="J37" s="24">
        <v>433.0</v>
      </c>
      <c r="K37" s="24">
        <v>3222.0</v>
      </c>
      <c r="L37" s="24">
        <v>1721.0</v>
      </c>
      <c r="M37" s="25">
        <v>16.86</v>
      </c>
      <c r="N37" s="23">
        <v>9.8</v>
      </c>
      <c r="O37" s="21">
        <v>0.01777777778</v>
      </c>
      <c r="P37" s="26">
        <v>7.65</v>
      </c>
      <c r="Q37" s="26">
        <v>0.57</v>
      </c>
      <c r="R37" s="26">
        <v>51.83</v>
      </c>
      <c r="S37" s="26">
        <v>2.29</v>
      </c>
      <c r="T37" s="26">
        <v>0.05</v>
      </c>
      <c r="U37" s="26">
        <v>2.18</v>
      </c>
      <c r="V37" s="26">
        <v>56.37</v>
      </c>
      <c r="W37" s="26">
        <v>9.58</v>
      </c>
      <c r="X37" s="26">
        <v>16.51</v>
      </c>
      <c r="Y37" s="27">
        <v>0.0</v>
      </c>
      <c r="Z37" s="28">
        <v>0.0</v>
      </c>
      <c r="AA37" s="27">
        <v>107.633333</v>
      </c>
      <c r="AB37" s="28">
        <v>0.0</v>
      </c>
      <c r="AC37" s="28">
        <v>0.0</v>
      </c>
      <c r="AD37" s="28">
        <v>0.0</v>
      </c>
      <c r="AE37" s="28">
        <v>0.0</v>
      </c>
      <c r="AF37" s="26">
        <v>8.01</v>
      </c>
      <c r="AG37" s="26">
        <v>56.69</v>
      </c>
      <c r="AH37" s="26">
        <v>17.35</v>
      </c>
      <c r="AI37" s="26">
        <v>25.96</v>
      </c>
    </row>
    <row r="38" ht="15.75" customHeight="1">
      <c r="A38" s="21">
        <v>37.0</v>
      </c>
      <c r="B38" s="21" t="s">
        <v>35</v>
      </c>
      <c r="C38" s="21" t="s">
        <v>60</v>
      </c>
      <c r="D38" s="21" t="s">
        <v>61</v>
      </c>
      <c r="E38" s="21" t="s">
        <v>56</v>
      </c>
      <c r="F38" s="22" t="s">
        <v>55</v>
      </c>
      <c r="G38" s="23">
        <v>55.49</v>
      </c>
      <c r="H38" s="24">
        <v>316.0</v>
      </c>
      <c r="I38" s="24">
        <v>6545.0</v>
      </c>
      <c r="J38" s="24">
        <v>369.6</v>
      </c>
      <c r="K38" s="24">
        <v>3287.0</v>
      </c>
      <c r="L38" s="24">
        <v>840.0</v>
      </c>
      <c r="M38" s="25">
        <v>16.32</v>
      </c>
      <c r="N38" s="23">
        <v>10.1</v>
      </c>
      <c r="O38" s="21">
        <v>0.005555555556</v>
      </c>
      <c r="P38" s="26">
        <v>40.62</v>
      </c>
      <c r="Q38" s="26">
        <v>0.53</v>
      </c>
      <c r="R38" s="26">
        <v>46.58</v>
      </c>
      <c r="S38" s="26">
        <v>2.53</v>
      </c>
      <c r="T38" s="26">
        <v>0.06</v>
      </c>
      <c r="U38" s="26">
        <v>2.38</v>
      </c>
      <c r="V38" s="26">
        <v>51.57</v>
      </c>
      <c r="W38" s="26">
        <v>8.59</v>
      </c>
      <c r="X38" s="26">
        <v>14.8</v>
      </c>
      <c r="Y38" s="27">
        <v>0.0</v>
      </c>
      <c r="Z38" s="28">
        <v>0.6666666666666666</v>
      </c>
      <c r="AA38" s="27">
        <v>119.533333</v>
      </c>
      <c r="AB38" s="28">
        <v>0.0</v>
      </c>
      <c r="AC38" s="28">
        <v>2.0</v>
      </c>
      <c r="AD38" s="28">
        <v>0.0</v>
      </c>
      <c r="AE38" s="28">
        <v>0.0</v>
      </c>
      <c r="AF38" s="26">
        <v>8.03</v>
      </c>
      <c r="AG38" s="26">
        <v>50.69</v>
      </c>
      <c r="AH38" s="26">
        <v>19.5</v>
      </c>
      <c r="AI38" s="26">
        <v>29.82</v>
      </c>
    </row>
    <row r="39" ht="15.75" customHeight="1">
      <c r="A39" s="21">
        <v>38.0</v>
      </c>
      <c r="B39" s="21" t="s">
        <v>35</v>
      </c>
      <c r="C39" s="21" t="s">
        <v>60</v>
      </c>
      <c r="D39" s="21" t="s">
        <v>61</v>
      </c>
      <c r="E39" s="21" t="s">
        <v>57</v>
      </c>
      <c r="F39" s="22" t="s">
        <v>55</v>
      </c>
      <c r="G39" s="23">
        <v>48.24</v>
      </c>
      <c r="H39" s="24">
        <v>225.0</v>
      </c>
      <c r="I39" s="24">
        <v>7210.0</v>
      </c>
      <c r="J39" s="24">
        <v>454.1</v>
      </c>
      <c r="K39" s="24">
        <v>3510.0</v>
      </c>
      <c r="L39" s="24">
        <v>649.0</v>
      </c>
      <c r="M39" s="25">
        <v>13.72</v>
      </c>
      <c r="N39" s="23">
        <v>4.6</v>
      </c>
      <c r="O39" s="21">
        <v>0.04888888889</v>
      </c>
      <c r="P39" s="26">
        <v>5.76</v>
      </c>
      <c r="Q39" s="26">
        <v>0.52</v>
      </c>
      <c r="R39" s="26">
        <v>45.72</v>
      </c>
      <c r="S39" s="26">
        <v>1.79</v>
      </c>
      <c r="T39" s="26">
        <v>0.05</v>
      </c>
      <c r="U39" s="26">
        <v>2.48</v>
      </c>
      <c r="V39" s="26">
        <v>50.05</v>
      </c>
      <c r="W39" s="26">
        <v>7.13</v>
      </c>
      <c r="X39" s="26">
        <v>12.3</v>
      </c>
      <c r="Y39" s="27">
        <v>1.83333333</v>
      </c>
      <c r="Z39" s="28">
        <v>5.6000000000000005</v>
      </c>
      <c r="AA39" s="27">
        <v>95.7666667</v>
      </c>
      <c r="AB39" s="28">
        <v>0.0</v>
      </c>
      <c r="AC39" s="28">
        <v>0.0</v>
      </c>
      <c r="AD39" s="28">
        <v>0.0</v>
      </c>
      <c r="AE39" s="28">
        <v>0.0</v>
      </c>
      <c r="AF39" s="26">
        <v>8.11</v>
      </c>
      <c r="AG39" s="26">
        <v>50.69</v>
      </c>
      <c r="AH39" s="26">
        <v>21.35</v>
      </c>
      <c r="AI39" s="26">
        <v>27.96</v>
      </c>
    </row>
    <row r="40" ht="15.75" customHeight="1">
      <c r="A40" s="21">
        <v>39.0</v>
      </c>
      <c r="B40" s="21" t="s">
        <v>35</v>
      </c>
      <c r="C40" s="21" t="s">
        <v>60</v>
      </c>
      <c r="D40" s="21" t="s">
        <v>61</v>
      </c>
      <c r="E40" s="21" t="s">
        <v>58</v>
      </c>
      <c r="F40" s="22" t="s">
        <v>55</v>
      </c>
      <c r="G40" s="23">
        <v>51.26</v>
      </c>
      <c r="H40" s="24">
        <v>395.0</v>
      </c>
      <c r="I40" s="24">
        <v>4726.0</v>
      </c>
      <c r="J40" s="24">
        <v>422.4</v>
      </c>
      <c r="K40" s="24">
        <v>3849.0</v>
      </c>
      <c r="L40" s="24">
        <v>382.0</v>
      </c>
      <c r="M40" s="25">
        <v>12.92</v>
      </c>
      <c r="N40" s="23">
        <v>3.8</v>
      </c>
      <c r="O40" s="21">
        <v>0.03666666667</v>
      </c>
      <c r="P40" s="26">
        <v>3.32</v>
      </c>
      <c r="Q40" s="26">
        <v>0.4</v>
      </c>
      <c r="R40" s="26">
        <v>27.28</v>
      </c>
      <c r="S40" s="26">
        <v>1.52</v>
      </c>
      <c r="T40" s="26">
        <v>0.05</v>
      </c>
      <c r="U40" s="26">
        <v>1.44</v>
      </c>
      <c r="V40" s="26">
        <v>30.3</v>
      </c>
      <c r="W40" s="26">
        <v>5.21</v>
      </c>
      <c r="X40" s="26">
        <v>8.98</v>
      </c>
      <c r="Y40" s="27">
        <v>11.0</v>
      </c>
      <c r="Z40" s="28">
        <v>6.866666666666667</v>
      </c>
      <c r="AA40" s="27">
        <v>79.7333333</v>
      </c>
      <c r="AB40" s="28">
        <v>0.0</v>
      </c>
      <c r="AC40" s="28">
        <v>0.0</v>
      </c>
      <c r="AD40" s="28">
        <v>0.0</v>
      </c>
      <c r="AE40" s="28">
        <v>0.0</v>
      </c>
      <c r="AF40" s="26">
        <v>7.84</v>
      </c>
      <c r="AG40" s="26">
        <v>64.69</v>
      </c>
      <c r="AH40" s="26">
        <v>11.42</v>
      </c>
      <c r="AI40" s="26">
        <v>23.89</v>
      </c>
    </row>
    <row r="41" ht="15.75" customHeight="1">
      <c r="A41" s="21">
        <v>40.0</v>
      </c>
      <c r="B41" s="21" t="s">
        <v>35</v>
      </c>
      <c r="C41" s="21" t="s">
        <v>60</v>
      </c>
      <c r="D41" s="21" t="s">
        <v>61</v>
      </c>
      <c r="E41" s="21" t="s">
        <v>59</v>
      </c>
      <c r="F41" s="22" t="s">
        <v>55</v>
      </c>
      <c r="G41" s="23">
        <v>42.42</v>
      </c>
      <c r="H41" s="24">
        <v>206.0</v>
      </c>
      <c r="I41" s="24">
        <v>5679.0</v>
      </c>
      <c r="J41" s="24">
        <v>496.3</v>
      </c>
      <c r="K41" s="24">
        <v>3145.0</v>
      </c>
      <c r="L41" s="24">
        <v>821.0</v>
      </c>
      <c r="M41" s="25">
        <v>13.45</v>
      </c>
      <c r="N41" s="23">
        <v>5.2</v>
      </c>
      <c r="O41" s="21">
        <v>0.05111111111</v>
      </c>
      <c r="P41" s="26">
        <v>5.95</v>
      </c>
      <c r="Q41" s="26">
        <v>0.46</v>
      </c>
      <c r="R41" s="26">
        <v>39.65</v>
      </c>
      <c r="S41" s="26">
        <v>1.61</v>
      </c>
      <c r="T41" s="26">
        <v>0.05</v>
      </c>
      <c r="U41" s="26">
        <v>1.62</v>
      </c>
      <c r="V41" s="26">
        <v>42.94</v>
      </c>
      <c r="W41" s="26">
        <v>6.2</v>
      </c>
      <c r="X41" s="26">
        <v>10.69</v>
      </c>
      <c r="Y41" s="27">
        <v>14.7333333</v>
      </c>
      <c r="Z41" s="28">
        <v>0.6666666666666666</v>
      </c>
      <c r="AA41" s="27">
        <v>89.0333333</v>
      </c>
      <c r="AB41" s="28">
        <v>0.0</v>
      </c>
      <c r="AC41" s="28">
        <v>3.1666666666666665</v>
      </c>
      <c r="AD41" s="28">
        <v>0.0</v>
      </c>
      <c r="AE41" s="28">
        <v>0.0</v>
      </c>
      <c r="AF41" s="26">
        <v>8.12</v>
      </c>
      <c r="AG41" s="26">
        <v>52.76</v>
      </c>
      <c r="AH41" s="26">
        <v>21.35</v>
      </c>
      <c r="AI41" s="26">
        <v>25.89</v>
      </c>
    </row>
    <row r="42" ht="15.75" customHeight="1">
      <c r="A42" s="21">
        <v>41.0</v>
      </c>
      <c r="B42" s="21" t="s">
        <v>62</v>
      </c>
      <c r="C42" s="21" t="s">
        <v>36</v>
      </c>
      <c r="D42" s="21" t="s">
        <v>63</v>
      </c>
      <c r="E42" s="21" t="s">
        <v>64</v>
      </c>
      <c r="F42" s="22" t="s">
        <v>65</v>
      </c>
      <c r="G42" s="29">
        <v>0.0</v>
      </c>
      <c r="H42" s="30">
        <v>13.89</v>
      </c>
      <c r="I42" s="24">
        <v>1511.0</v>
      </c>
      <c r="J42" s="31">
        <v>0.0</v>
      </c>
      <c r="K42" s="24">
        <v>817.0</v>
      </c>
      <c r="L42" s="24">
        <v>1919.0</v>
      </c>
      <c r="M42" s="32">
        <v>12.57</v>
      </c>
      <c r="N42" s="33">
        <v>9.21</v>
      </c>
      <c r="O42" s="21"/>
      <c r="P42" s="32">
        <v>6.05</v>
      </c>
      <c r="Q42" s="32">
        <v>0.06</v>
      </c>
      <c r="R42" s="32">
        <v>1.71</v>
      </c>
      <c r="S42" s="32">
        <v>0.43</v>
      </c>
      <c r="T42" s="32">
        <v>0.05</v>
      </c>
      <c r="U42" s="32">
        <v>0.21</v>
      </c>
      <c r="V42" s="32">
        <v>2.64</v>
      </c>
      <c r="W42" s="32">
        <v>0.77</v>
      </c>
      <c r="X42" s="32">
        <v>1.33</v>
      </c>
      <c r="Y42" s="28">
        <v>0.9999999999999991</v>
      </c>
      <c r="Z42" s="28">
        <v>0.0</v>
      </c>
      <c r="AA42" s="28">
        <v>0.7999999999999976</v>
      </c>
      <c r="AB42" s="28">
        <v>42.000000000000014</v>
      </c>
      <c r="AC42" s="28">
        <v>56.19999999999998</v>
      </c>
      <c r="AD42" s="28">
        <v>0.0</v>
      </c>
      <c r="AE42" s="28">
        <v>0.0</v>
      </c>
      <c r="AF42" s="32">
        <v>5.34</v>
      </c>
      <c r="AG42" s="32">
        <v>74.9</v>
      </c>
      <c r="AH42" s="32">
        <v>8.92</v>
      </c>
      <c r="AI42" s="32">
        <v>16.18</v>
      </c>
    </row>
    <row r="43" ht="15.75" customHeight="1">
      <c r="A43" s="21">
        <v>42.0</v>
      </c>
      <c r="B43" s="21" t="s">
        <v>62</v>
      </c>
      <c r="C43" s="21" t="s">
        <v>36</v>
      </c>
      <c r="D43" s="21" t="s">
        <v>63</v>
      </c>
      <c r="E43" s="21" t="s">
        <v>66</v>
      </c>
      <c r="F43" s="22" t="s">
        <v>65</v>
      </c>
      <c r="G43" s="34">
        <v>37.38</v>
      </c>
      <c r="H43" s="30">
        <v>21.57</v>
      </c>
      <c r="I43" s="24">
        <v>2984.0</v>
      </c>
      <c r="J43" s="30">
        <v>46.93</v>
      </c>
      <c r="K43" s="24">
        <v>1013.0</v>
      </c>
      <c r="L43" s="24">
        <v>2022.0</v>
      </c>
      <c r="M43" s="32">
        <v>12.06</v>
      </c>
      <c r="N43" s="33">
        <v>10.98</v>
      </c>
      <c r="O43" s="21"/>
      <c r="P43" s="32">
        <v>18.75</v>
      </c>
      <c r="Q43" s="32">
        <v>0.09</v>
      </c>
      <c r="R43" s="32">
        <v>2.29</v>
      </c>
      <c r="S43" s="32">
        <v>0.61</v>
      </c>
      <c r="T43" s="32">
        <v>0.04</v>
      </c>
      <c r="U43" s="32">
        <v>0.53</v>
      </c>
      <c r="V43" s="32">
        <v>3.51</v>
      </c>
      <c r="W43" s="32">
        <v>1.04</v>
      </c>
      <c r="X43" s="32">
        <v>1.79</v>
      </c>
      <c r="Y43" s="28">
        <v>11.200000000000006</v>
      </c>
      <c r="Z43" s="28">
        <v>0.8666666666666661</v>
      </c>
      <c r="AA43" s="28">
        <v>2.799999999999997</v>
      </c>
      <c r="AB43" s="28">
        <v>30.13333333333334</v>
      </c>
      <c r="AC43" s="28">
        <v>55.00000000000001</v>
      </c>
      <c r="AD43" s="28">
        <v>0.0</v>
      </c>
      <c r="AE43" s="28">
        <v>0.0</v>
      </c>
      <c r="AF43" s="32">
        <v>5.67</v>
      </c>
      <c r="AG43" s="32">
        <v>72.98</v>
      </c>
      <c r="AH43" s="32">
        <v>10.99</v>
      </c>
      <c r="AI43" s="32">
        <v>16.03</v>
      </c>
    </row>
    <row r="44" ht="15.75" customHeight="1">
      <c r="A44" s="21">
        <v>43.0</v>
      </c>
      <c r="B44" s="21" t="s">
        <v>62</v>
      </c>
      <c r="C44" s="21" t="s">
        <v>36</v>
      </c>
      <c r="D44" s="21" t="s">
        <v>63</v>
      </c>
      <c r="E44" s="21" t="s">
        <v>67</v>
      </c>
      <c r="F44" s="22" t="s">
        <v>65</v>
      </c>
      <c r="G44" s="34">
        <v>16.67</v>
      </c>
      <c r="H44" s="30">
        <v>12.61</v>
      </c>
      <c r="I44" s="24">
        <v>1584.0</v>
      </c>
      <c r="J44" s="31">
        <v>0.0</v>
      </c>
      <c r="K44" s="24">
        <v>732.0</v>
      </c>
      <c r="L44" s="24">
        <v>1577.0</v>
      </c>
      <c r="M44" s="32">
        <v>12.86</v>
      </c>
      <c r="N44" s="33">
        <v>9.18</v>
      </c>
      <c r="O44" s="21"/>
      <c r="P44" s="32">
        <v>10.98</v>
      </c>
      <c r="Q44" s="32">
        <v>0.06</v>
      </c>
      <c r="R44" s="32">
        <v>1.79</v>
      </c>
      <c r="S44" s="32">
        <v>0.57</v>
      </c>
      <c r="T44" s="32">
        <v>0.08</v>
      </c>
      <c r="U44" s="32">
        <v>0.29</v>
      </c>
      <c r="V44" s="32">
        <v>2.89</v>
      </c>
      <c r="W44" s="32">
        <v>0.8</v>
      </c>
      <c r="X44" s="32">
        <v>1.38</v>
      </c>
      <c r="Y44" s="28">
        <v>6.233333333333337</v>
      </c>
      <c r="Z44" s="28">
        <v>0.16666666666666313</v>
      </c>
      <c r="AA44" s="28">
        <v>1.800000000000006</v>
      </c>
      <c r="AB44" s="28">
        <v>32.199999999999996</v>
      </c>
      <c r="AC44" s="28">
        <v>59.60000000000001</v>
      </c>
      <c r="AD44" s="28">
        <v>0.0</v>
      </c>
      <c r="AE44" s="28">
        <v>0.0</v>
      </c>
      <c r="AF44" s="32">
        <v>5.64</v>
      </c>
      <c r="AG44" s="32">
        <v>77.05</v>
      </c>
      <c r="AH44" s="32">
        <v>9.06</v>
      </c>
      <c r="AI44" s="32">
        <v>13.89</v>
      </c>
    </row>
    <row r="45" ht="15.75" customHeight="1">
      <c r="A45" s="21">
        <v>44.0</v>
      </c>
      <c r="B45" s="21" t="s">
        <v>62</v>
      </c>
      <c r="C45" s="21" t="s">
        <v>36</v>
      </c>
      <c r="D45" s="21" t="s">
        <v>63</v>
      </c>
      <c r="E45" s="21" t="s">
        <v>68</v>
      </c>
      <c r="F45" s="22" t="s">
        <v>65</v>
      </c>
      <c r="G45" s="34">
        <v>4.6</v>
      </c>
      <c r="H45" s="30">
        <v>33.73</v>
      </c>
      <c r="I45" s="24">
        <v>2879.0</v>
      </c>
      <c r="J45" s="30">
        <v>140.8</v>
      </c>
      <c r="K45" s="24">
        <v>1201.0</v>
      </c>
      <c r="L45" s="24">
        <v>2023.0</v>
      </c>
      <c r="M45" s="32">
        <v>15.96</v>
      </c>
      <c r="N45" s="33">
        <v>11.35</v>
      </c>
      <c r="O45" s="21"/>
      <c r="P45" s="32">
        <v>32.4</v>
      </c>
      <c r="Q45" s="32">
        <v>0.09</v>
      </c>
      <c r="R45" s="32">
        <v>1.41</v>
      </c>
      <c r="S45" s="32">
        <v>0.42</v>
      </c>
      <c r="T45" s="32">
        <v>0.07</v>
      </c>
      <c r="U45" s="32">
        <v>0.44</v>
      </c>
      <c r="V45" s="32">
        <v>3.62</v>
      </c>
      <c r="W45" s="32">
        <v>1.49</v>
      </c>
      <c r="X45" s="32">
        <v>2.57</v>
      </c>
      <c r="Y45" s="28">
        <v>0.9666666666666638</v>
      </c>
      <c r="Z45" s="28">
        <v>0.33333333333333215</v>
      </c>
      <c r="AA45" s="28">
        <v>0.10000000000000082</v>
      </c>
      <c r="AB45" s="28">
        <v>35.566666666666684</v>
      </c>
      <c r="AC45" s="28">
        <v>63.03333333333332</v>
      </c>
      <c r="AD45" s="28">
        <v>0.0</v>
      </c>
      <c r="AE45" s="28">
        <v>0.0</v>
      </c>
      <c r="AF45" s="32">
        <v>5.33</v>
      </c>
      <c r="AG45" s="32">
        <v>73.05</v>
      </c>
      <c r="AH45" s="32">
        <v>11.06</v>
      </c>
      <c r="AI45" s="32">
        <v>15.89</v>
      </c>
    </row>
    <row r="46" ht="15.75" customHeight="1">
      <c r="A46" s="21">
        <v>45.0</v>
      </c>
      <c r="B46" s="21" t="s">
        <v>62</v>
      </c>
      <c r="C46" s="21" t="s">
        <v>36</v>
      </c>
      <c r="D46" s="21" t="s">
        <v>63</v>
      </c>
      <c r="E46" s="21" t="s">
        <v>69</v>
      </c>
      <c r="F46" s="22" t="s">
        <v>65</v>
      </c>
      <c r="G46" s="34">
        <v>15.2</v>
      </c>
      <c r="H46" s="30">
        <v>49.09</v>
      </c>
      <c r="I46" s="24">
        <v>2734.0</v>
      </c>
      <c r="J46" s="30">
        <v>234.67</v>
      </c>
      <c r="K46" s="24">
        <v>1276.0</v>
      </c>
      <c r="L46" s="24">
        <v>5035.0</v>
      </c>
      <c r="M46" s="32">
        <v>20.34</v>
      </c>
      <c r="N46" s="33">
        <v>16.79</v>
      </c>
      <c r="O46" s="21"/>
      <c r="P46" s="32">
        <v>77.72</v>
      </c>
      <c r="Q46" s="32">
        <v>0.11</v>
      </c>
      <c r="R46" s="32">
        <v>1.82</v>
      </c>
      <c r="S46" s="32">
        <v>0.4</v>
      </c>
      <c r="T46" s="32">
        <v>0.06</v>
      </c>
      <c r="U46" s="32">
        <v>0.55</v>
      </c>
      <c r="V46" s="32">
        <v>3.97</v>
      </c>
      <c r="W46" s="32">
        <v>2.24</v>
      </c>
      <c r="X46" s="32">
        <v>3.87</v>
      </c>
      <c r="Y46" s="28">
        <v>0.8333333333333334</v>
      </c>
      <c r="Z46" s="28">
        <v>0.0</v>
      </c>
      <c r="AA46" s="28">
        <v>0.6333333333333346</v>
      </c>
      <c r="AB46" s="28">
        <v>62.43333333333331</v>
      </c>
      <c r="AC46" s="28">
        <v>36.100000000000016</v>
      </c>
      <c r="AD46" s="28">
        <v>0.0</v>
      </c>
      <c r="AE46" s="28">
        <v>0.0</v>
      </c>
      <c r="AF46" s="32">
        <v>5.12</v>
      </c>
      <c r="AG46" s="32">
        <v>65.26</v>
      </c>
      <c r="AH46" s="32">
        <v>16.85</v>
      </c>
      <c r="AI46" s="32">
        <v>17.89</v>
      </c>
    </row>
    <row r="47" ht="15.75" customHeight="1">
      <c r="A47" s="21">
        <v>46.0</v>
      </c>
      <c r="B47" s="21" t="s">
        <v>62</v>
      </c>
      <c r="C47" s="21" t="s">
        <v>36</v>
      </c>
      <c r="D47" s="21" t="s">
        <v>63</v>
      </c>
      <c r="E47" s="21" t="s">
        <v>70</v>
      </c>
      <c r="F47" s="22" t="s">
        <v>55</v>
      </c>
      <c r="G47" s="34">
        <v>1.5</v>
      </c>
      <c r="H47" s="30">
        <v>42.69</v>
      </c>
      <c r="I47" s="24">
        <v>2779.0</v>
      </c>
      <c r="J47" s="30">
        <v>46.93</v>
      </c>
      <c r="K47" s="24">
        <v>771.0</v>
      </c>
      <c r="L47" s="24">
        <v>2150.0</v>
      </c>
      <c r="M47" s="32">
        <v>12.26</v>
      </c>
      <c r="N47" s="33">
        <v>13.47</v>
      </c>
      <c r="O47" s="21"/>
      <c r="P47" s="32">
        <v>57.43</v>
      </c>
      <c r="Q47" s="32">
        <v>0.38</v>
      </c>
      <c r="R47" s="32">
        <v>1.22</v>
      </c>
      <c r="S47" s="32">
        <v>0.31</v>
      </c>
      <c r="T47" s="32">
        <v>0.09</v>
      </c>
      <c r="U47" s="32">
        <v>0.28</v>
      </c>
      <c r="V47" s="32">
        <v>5.44</v>
      </c>
      <c r="W47" s="32">
        <v>4.7</v>
      </c>
      <c r="X47" s="32">
        <v>8.1</v>
      </c>
      <c r="Y47" s="28">
        <v>42.266666666666666</v>
      </c>
      <c r="Z47" s="28">
        <v>4.800000000000002</v>
      </c>
      <c r="AA47" s="28">
        <v>24.56666666666666</v>
      </c>
      <c r="AB47" s="27">
        <v>28.36666667</v>
      </c>
      <c r="AC47" s="27">
        <v>0.0</v>
      </c>
      <c r="AD47" s="27">
        <v>0.0</v>
      </c>
      <c r="AE47" s="27">
        <v>0.0</v>
      </c>
      <c r="AF47" s="32">
        <v>4.14</v>
      </c>
      <c r="AG47" s="32">
        <v>73.26</v>
      </c>
      <c r="AH47" s="32">
        <v>12.85</v>
      </c>
      <c r="AI47" s="32">
        <v>13.89</v>
      </c>
    </row>
    <row r="48" ht="15.75" customHeight="1">
      <c r="A48" s="21">
        <v>47.0</v>
      </c>
      <c r="B48" s="21" t="s">
        <v>62</v>
      </c>
      <c r="C48" s="21" t="s">
        <v>36</v>
      </c>
      <c r="D48" s="21" t="s">
        <v>63</v>
      </c>
      <c r="E48" s="21" t="s">
        <v>71</v>
      </c>
      <c r="F48" s="22" t="s">
        <v>55</v>
      </c>
      <c r="G48" s="34">
        <v>20.74</v>
      </c>
      <c r="H48" s="30">
        <v>42.05</v>
      </c>
      <c r="I48" s="24">
        <v>6588.0</v>
      </c>
      <c r="J48" s="31">
        <v>0.0</v>
      </c>
      <c r="K48" s="24">
        <v>1453.0</v>
      </c>
      <c r="L48" s="24">
        <v>1221.0</v>
      </c>
      <c r="M48" s="32">
        <v>13.03</v>
      </c>
      <c r="N48" s="33">
        <v>14.41</v>
      </c>
      <c r="O48" s="21"/>
      <c r="P48" s="32">
        <v>19.13</v>
      </c>
      <c r="Q48" s="32">
        <v>0.34</v>
      </c>
      <c r="R48" s="32">
        <v>0.19</v>
      </c>
      <c r="S48" s="32">
        <v>0.08</v>
      </c>
      <c r="T48" s="32">
        <v>0.07</v>
      </c>
      <c r="U48" s="32">
        <v>0.17</v>
      </c>
      <c r="V48" s="32">
        <v>6.43</v>
      </c>
      <c r="W48" s="32">
        <v>4.42</v>
      </c>
      <c r="X48" s="32">
        <v>7.62</v>
      </c>
      <c r="Y48" s="28">
        <v>64.16666666666667</v>
      </c>
      <c r="Z48" s="28">
        <v>0.6333333333333259</v>
      </c>
      <c r="AA48" s="28">
        <v>11.533333333333326</v>
      </c>
      <c r="AB48" s="27">
        <v>23.66666667</v>
      </c>
      <c r="AC48" s="27">
        <v>0.0</v>
      </c>
      <c r="AD48" s="27">
        <v>0.0</v>
      </c>
      <c r="AE48" s="27">
        <v>0.0</v>
      </c>
      <c r="AF48" s="32">
        <v>4.04</v>
      </c>
      <c r="AG48" s="32">
        <v>57.26</v>
      </c>
      <c r="AH48" s="32">
        <v>22.85</v>
      </c>
      <c r="AI48" s="32">
        <v>19.89</v>
      </c>
    </row>
    <row r="49" ht="15.75" customHeight="1">
      <c r="A49" s="21">
        <v>48.0</v>
      </c>
      <c r="B49" s="21" t="s">
        <v>62</v>
      </c>
      <c r="C49" s="21" t="s">
        <v>36</v>
      </c>
      <c r="D49" s="21" t="s">
        <v>63</v>
      </c>
      <c r="E49" s="21" t="s">
        <v>72</v>
      </c>
      <c r="F49" s="22" t="s">
        <v>55</v>
      </c>
      <c r="G49" s="34">
        <v>6.56</v>
      </c>
      <c r="H49" s="30">
        <v>75.97</v>
      </c>
      <c r="I49" s="24">
        <v>2884.0</v>
      </c>
      <c r="J49" s="30">
        <v>281.6</v>
      </c>
      <c r="K49" s="24">
        <v>1620.0</v>
      </c>
      <c r="L49" s="24">
        <v>1456.0</v>
      </c>
      <c r="M49" s="32">
        <v>14.84</v>
      </c>
      <c r="N49" s="33">
        <v>9.02</v>
      </c>
      <c r="O49" s="21"/>
      <c r="P49" s="32">
        <v>21.22</v>
      </c>
      <c r="Q49" s="32">
        <v>0.35</v>
      </c>
      <c r="R49" s="32">
        <v>0.78</v>
      </c>
      <c r="S49" s="32">
        <v>0.07</v>
      </c>
      <c r="T49" s="32">
        <v>0.06</v>
      </c>
      <c r="U49" s="32">
        <v>0.13</v>
      </c>
      <c r="V49" s="32">
        <v>5.3</v>
      </c>
      <c r="W49" s="32">
        <v>5.23</v>
      </c>
      <c r="X49" s="32">
        <v>9.01</v>
      </c>
      <c r="Y49" s="28">
        <v>62.499999999999986</v>
      </c>
      <c r="Z49" s="28">
        <v>0.1666666666666631</v>
      </c>
      <c r="AA49" s="28">
        <v>24.63333333333333</v>
      </c>
      <c r="AB49" s="27">
        <v>12.7</v>
      </c>
      <c r="AC49" s="27">
        <v>0.0</v>
      </c>
      <c r="AD49" s="27">
        <v>0.0</v>
      </c>
      <c r="AE49" s="27">
        <v>0.0</v>
      </c>
      <c r="AF49" s="32">
        <v>4.09</v>
      </c>
      <c r="AG49" s="32">
        <v>65.26</v>
      </c>
      <c r="AH49" s="32">
        <v>20.85</v>
      </c>
      <c r="AI49" s="32">
        <v>13.89</v>
      </c>
    </row>
    <row r="50" ht="15.75" customHeight="1">
      <c r="A50" s="21">
        <v>49.0</v>
      </c>
      <c r="B50" s="21" t="s">
        <v>62</v>
      </c>
      <c r="C50" s="21" t="s">
        <v>36</v>
      </c>
      <c r="D50" s="21" t="s">
        <v>63</v>
      </c>
      <c r="E50" s="21" t="s">
        <v>73</v>
      </c>
      <c r="F50" s="22" t="s">
        <v>55</v>
      </c>
      <c r="G50" s="34">
        <v>19.44</v>
      </c>
      <c r="H50" s="30">
        <v>79.17</v>
      </c>
      <c r="I50" s="24">
        <v>6375.0</v>
      </c>
      <c r="J50" s="30">
        <v>70.4</v>
      </c>
      <c r="K50" s="24">
        <v>1429.0</v>
      </c>
      <c r="L50" s="24">
        <v>1432.0</v>
      </c>
      <c r="M50" s="32">
        <v>14.11</v>
      </c>
      <c r="N50" s="33">
        <v>24.41</v>
      </c>
      <c r="O50" s="21"/>
      <c r="P50" s="32">
        <v>21.98</v>
      </c>
      <c r="Q50" s="32">
        <v>0.46</v>
      </c>
      <c r="R50" s="32">
        <v>0.41</v>
      </c>
      <c r="S50" s="32">
        <v>0.11</v>
      </c>
      <c r="T50" s="32">
        <v>0.07</v>
      </c>
      <c r="U50" s="32">
        <v>0.19</v>
      </c>
      <c r="V50" s="32">
        <v>5.58</v>
      </c>
      <c r="W50" s="32">
        <v>6.43</v>
      </c>
      <c r="X50" s="32">
        <v>11.08</v>
      </c>
      <c r="Y50" s="28">
        <v>66.66666666666669</v>
      </c>
      <c r="Z50" s="28">
        <v>0.0</v>
      </c>
      <c r="AA50" s="28">
        <v>10.366666666666656</v>
      </c>
      <c r="AB50" s="27">
        <v>22.96666667</v>
      </c>
      <c r="AC50" s="27">
        <v>0.0</v>
      </c>
      <c r="AD50" s="27">
        <v>0.0</v>
      </c>
      <c r="AE50" s="27">
        <v>0.0</v>
      </c>
      <c r="AF50" s="32">
        <v>4.03</v>
      </c>
      <c r="AG50" s="32">
        <v>62.62</v>
      </c>
      <c r="AH50" s="32">
        <v>21.5</v>
      </c>
      <c r="AI50" s="32">
        <v>15.89</v>
      </c>
    </row>
    <row r="51" ht="15.75" customHeight="1">
      <c r="A51" s="21">
        <v>50.0</v>
      </c>
      <c r="B51" s="21" t="s">
        <v>62</v>
      </c>
      <c r="C51" s="21" t="s">
        <v>36</v>
      </c>
      <c r="D51" s="21" t="s">
        <v>63</v>
      </c>
      <c r="E51" s="21" t="s">
        <v>74</v>
      </c>
      <c r="F51" s="22" t="s">
        <v>55</v>
      </c>
      <c r="G51" s="34">
        <v>12.59</v>
      </c>
      <c r="H51" s="30">
        <v>114.37</v>
      </c>
      <c r="I51" s="24">
        <v>5925.0</v>
      </c>
      <c r="J51" s="30">
        <v>211.2</v>
      </c>
      <c r="K51" s="24">
        <v>1421.0</v>
      </c>
      <c r="L51" s="24">
        <v>2075.0</v>
      </c>
      <c r="M51" s="32">
        <v>13.36</v>
      </c>
      <c r="N51" s="33">
        <v>17.86</v>
      </c>
      <c r="O51" s="21"/>
      <c r="P51" s="32">
        <v>27.66</v>
      </c>
      <c r="Q51" s="32">
        <v>0.64</v>
      </c>
      <c r="R51" s="32">
        <v>0.86</v>
      </c>
      <c r="S51" s="32">
        <v>0.18</v>
      </c>
      <c r="T51" s="32">
        <v>0.08</v>
      </c>
      <c r="U51" s="32">
        <v>0.27</v>
      </c>
      <c r="V51" s="32">
        <v>7.51</v>
      </c>
      <c r="W51" s="32">
        <v>8.52</v>
      </c>
      <c r="X51" s="32">
        <v>14.69</v>
      </c>
      <c r="Y51" s="28">
        <v>27.700000000000003</v>
      </c>
      <c r="Z51" s="28">
        <v>13.333333333333334</v>
      </c>
      <c r="AA51" s="28">
        <v>15.400000000000016</v>
      </c>
      <c r="AB51" s="27">
        <v>43.56666667</v>
      </c>
      <c r="AC51" s="27">
        <v>0.0</v>
      </c>
      <c r="AD51" s="27">
        <v>0.0</v>
      </c>
      <c r="AE51" s="27">
        <v>0.0</v>
      </c>
      <c r="AF51" s="32">
        <v>3.88</v>
      </c>
      <c r="AG51" s="32">
        <v>70.62</v>
      </c>
      <c r="AH51" s="32">
        <v>15.42</v>
      </c>
      <c r="AI51" s="32">
        <v>13.96</v>
      </c>
    </row>
    <row r="52" ht="15.75" customHeight="1">
      <c r="A52" s="21">
        <v>51.0</v>
      </c>
      <c r="B52" s="21" t="s">
        <v>62</v>
      </c>
      <c r="C52" s="21" t="s">
        <v>36</v>
      </c>
      <c r="D52" s="21" t="s">
        <v>63</v>
      </c>
      <c r="E52" s="21" t="s">
        <v>75</v>
      </c>
      <c r="F52" s="22" t="s">
        <v>49</v>
      </c>
      <c r="G52" s="34">
        <v>6.07</v>
      </c>
      <c r="H52" s="30">
        <v>40.77</v>
      </c>
      <c r="I52" s="24">
        <v>2765.0</v>
      </c>
      <c r="J52" s="30">
        <v>469.33</v>
      </c>
      <c r="K52" s="24">
        <v>1087.0</v>
      </c>
      <c r="L52" s="24">
        <v>862.0</v>
      </c>
      <c r="M52" s="32">
        <v>14.9</v>
      </c>
      <c r="N52" s="33">
        <v>5.74</v>
      </c>
      <c r="O52" s="21"/>
      <c r="P52" s="32">
        <v>21.6</v>
      </c>
      <c r="Q52" s="32">
        <v>0.19</v>
      </c>
      <c r="R52" s="32">
        <v>3.48</v>
      </c>
      <c r="S52" s="32">
        <v>0.55</v>
      </c>
      <c r="T52" s="32">
        <v>0.09</v>
      </c>
      <c r="U52" s="32">
        <v>0.34</v>
      </c>
      <c r="V52" s="32">
        <v>5.12</v>
      </c>
      <c r="W52" s="32">
        <v>2.78</v>
      </c>
      <c r="X52" s="32">
        <v>4.79</v>
      </c>
      <c r="Y52" s="28">
        <v>36.06666666666668</v>
      </c>
      <c r="Z52" s="28">
        <v>0.43333333333333</v>
      </c>
      <c r="AA52" s="28">
        <v>35.733333333333334</v>
      </c>
      <c r="AB52" s="27">
        <v>27.76666667</v>
      </c>
      <c r="AC52" s="27">
        <v>0.0</v>
      </c>
      <c r="AD52" s="27">
        <v>0.0</v>
      </c>
      <c r="AE52" s="27">
        <v>0.0</v>
      </c>
      <c r="AF52" s="32">
        <v>5.2</v>
      </c>
      <c r="AG52" s="32">
        <v>72.76</v>
      </c>
      <c r="AH52" s="32">
        <v>11.06</v>
      </c>
      <c r="AI52" s="32">
        <v>16.18</v>
      </c>
    </row>
    <row r="53" ht="15.75" customHeight="1">
      <c r="A53" s="21">
        <v>52.0</v>
      </c>
      <c r="B53" s="21" t="s">
        <v>62</v>
      </c>
      <c r="C53" s="21" t="s">
        <v>36</v>
      </c>
      <c r="D53" s="21" t="s">
        <v>63</v>
      </c>
      <c r="E53" s="21" t="s">
        <v>76</v>
      </c>
      <c r="F53" s="22" t="s">
        <v>49</v>
      </c>
      <c r="G53" s="34">
        <v>5.9</v>
      </c>
      <c r="H53" s="30">
        <v>98.37</v>
      </c>
      <c r="I53" s="24">
        <v>5284.0</v>
      </c>
      <c r="J53" s="30">
        <v>23.47</v>
      </c>
      <c r="K53" s="24">
        <v>1180.0</v>
      </c>
      <c r="L53" s="24">
        <v>236.0</v>
      </c>
      <c r="M53" s="32">
        <v>12.64</v>
      </c>
      <c r="N53" s="33">
        <v>5.01</v>
      </c>
      <c r="O53" s="21"/>
      <c r="P53" s="32">
        <v>26.91</v>
      </c>
      <c r="Q53" s="32">
        <v>0.32</v>
      </c>
      <c r="R53" s="32">
        <v>0.25</v>
      </c>
      <c r="S53" s="32">
        <v>0.08</v>
      </c>
      <c r="T53" s="32">
        <v>0.07</v>
      </c>
      <c r="U53" s="32">
        <v>0.16</v>
      </c>
      <c r="V53" s="32">
        <v>4.18</v>
      </c>
      <c r="W53" s="32">
        <v>4.03</v>
      </c>
      <c r="X53" s="32">
        <v>6.95</v>
      </c>
      <c r="Y53" s="28">
        <v>52.649006622516545</v>
      </c>
      <c r="Z53" s="28">
        <v>4.73509933774834</v>
      </c>
      <c r="AA53" s="28">
        <v>21.25827814569536</v>
      </c>
      <c r="AB53" s="27">
        <v>21.35761589</v>
      </c>
      <c r="AC53" s="27">
        <v>0.0</v>
      </c>
      <c r="AD53" s="27">
        <v>0.0</v>
      </c>
      <c r="AE53" s="27">
        <v>0.0</v>
      </c>
      <c r="AF53" s="32">
        <v>4.23</v>
      </c>
      <c r="AG53" s="32">
        <v>68.69</v>
      </c>
      <c r="AH53" s="32">
        <v>15.14</v>
      </c>
      <c r="AI53" s="32">
        <v>16.18</v>
      </c>
    </row>
    <row r="54" ht="15.75" customHeight="1">
      <c r="A54" s="21">
        <v>53.0</v>
      </c>
      <c r="B54" s="21" t="s">
        <v>62</v>
      </c>
      <c r="C54" s="21" t="s">
        <v>36</v>
      </c>
      <c r="D54" s="21" t="s">
        <v>63</v>
      </c>
      <c r="E54" s="21" t="s">
        <v>77</v>
      </c>
      <c r="F54" s="22" t="s">
        <v>49</v>
      </c>
      <c r="G54" s="34">
        <v>8.15</v>
      </c>
      <c r="H54" s="30">
        <v>47.17</v>
      </c>
      <c r="I54" s="24">
        <v>5043.0</v>
      </c>
      <c r="J54" s="30">
        <v>117.33</v>
      </c>
      <c r="K54" s="24">
        <v>1166.0</v>
      </c>
      <c r="L54" s="24">
        <v>888.0</v>
      </c>
      <c r="M54" s="32">
        <v>13.56</v>
      </c>
      <c r="N54" s="33">
        <v>12.02</v>
      </c>
      <c r="O54" s="21"/>
      <c r="P54" s="32">
        <v>21.98</v>
      </c>
      <c r="Q54" s="32">
        <v>0.3</v>
      </c>
      <c r="R54" s="32">
        <v>1.03</v>
      </c>
      <c r="S54" s="32">
        <v>0.19</v>
      </c>
      <c r="T54" s="32">
        <v>0.07</v>
      </c>
      <c r="U54" s="32">
        <v>0.15</v>
      </c>
      <c r="V54" s="32">
        <v>4.16</v>
      </c>
      <c r="W54" s="32">
        <v>4.0</v>
      </c>
      <c r="X54" s="32">
        <v>6.9</v>
      </c>
      <c r="Y54" s="28">
        <v>32.51724137931035</v>
      </c>
      <c r="Z54" s="28">
        <v>0.5517241379310349</v>
      </c>
      <c r="AA54" s="28">
        <v>49.31034482758619</v>
      </c>
      <c r="AB54" s="27">
        <v>17.62068966</v>
      </c>
      <c r="AC54" s="27">
        <v>0.0</v>
      </c>
      <c r="AD54" s="27">
        <v>0.0</v>
      </c>
      <c r="AE54" s="27">
        <v>0.0</v>
      </c>
      <c r="AF54" s="32">
        <v>4.34</v>
      </c>
      <c r="AG54" s="32">
        <v>70.54</v>
      </c>
      <c r="AH54" s="32">
        <v>13.21</v>
      </c>
      <c r="AI54" s="32">
        <v>16.25</v>
      </c>
    </row>
    <row r="55" ht="15.75" customHeight="1">
      <c r="A55" s="21">
        <v>54.0</v>
      </c>
      <c r="B55" s="21" t="s">
        <v>62</v>
      </c>
      <c r="C55" s="21" t="s">
        <v>36</v>
      </c>
      <c r="D55" s="21" t="s">
        <v>63</v>
      </c>
      <c r="E55" s="21" t="s">
        <v>78</v>
      </c>
      <c r="F55" s="22" t="s">
        <v>49</v>
      </c>
      <c r="G55" s="34">
        <v>16.67</v>
      </c>
      <c r="H55" s="30">
        <v>89.41</v>
      </c>
      <c r="I55" s="24">
        <v>5075.0</v>
      </c>
      <c r="J55" s="30">
        <v>70.4</v>
      </c>
      <c r="K55" s="24">
        <v>1546.0</v>
      </c>
      <c r="L55" s="24">
        <v>996.0</v>
      </c>
      <c r="M55" s="32">
        <v>13.33</v>
      </c>
      <c r="N55" s="33">
        <v>10.48</v>
      </c>
      <c r="O55" s="21"/>
      <c r="P55" s="32">
        <v>34.11</v>
      </c>
      <c r="Q55" s="32">
        <v>0.39</v>
      </c>
      <c r="R55" s="32">
        <v>0.28</v>
      </c>
      <c r="S55" s="32">
        <v>0.09</v>
      </c>
      <c r="T55" s="32">
        <v>0.08</v>
      </c>
      <c r="U55" s="32">
        <v>0.16</v>
      </c>
      <c r="V55" s="32">
        <v>4.98</v>
      </c>
      <c r="W55" s="32">
        <v>5.15</v>
      </c>
      <c r="X55" s="32">
        <v>8.87</v>
      </c>
      <c r="Y55" s="28">
        <v>43.33333333333332</v>
      </c>
      <c r="Z55" s="28">
        <v>1.8333333333333357</v>
      </c>
      <c r="AA55" s="28">
        <v>33.33333333333333</v>
      </c>
      <c r="AB55" s="27">
        <v>21.5</v>
      </c>
      <c r="AC55" s="27">
        <v>0.0</v>
      </c>
      <c r="AD55" s="27">
        <v>0.0</v>
      </c>
      <c r="AE55" s="27">
        <v>0.0</v>
      </c>
      <c r="AF55" s="32">
        <v>3.84</v>
      </c>
      <c r="AG55" s="32">
        <v>72.26</v>
      </c>
      <c r="AH55" s="32">
        <v>15.5</v>
      </c>
      <c r="AI55" s="32">
        <v>12.25</v>
      </c>
    </row>
    <row r="56" ht="15.75" customHeight="1">
      <c r="A56" s="21">
        <v>55.0</v>
      </c>
      <c r="B56" s="21" t="s">
        <v>62</v>
      </c>
      <c r="C56" s="21" t="s">
        <v>36</v>
      </c>
      <c r="D56" s="21" t="s">
        <v>63</v>
      </c>
      <c r="E56" s="21" t="s">
        <v>79</v>
      </c>
      <c r="F56" s="22" t="s">
        <v>49</v>
      </c>
      <c r="G56" s="34">
        <v>6.23</v>
      </c>
      <c r="H56" s="30">
        <v>108.61</v>
      </c>
      <c r="I56" s="24">
        <v>5270.0</v>
      </c>
      <c r="J56" s="31">
        <v>0.0</v>
      </c>
      <c r="K56" s="24">
        <v>1166.0</v>
      </c>
      <c r="L56" s="24">
        <v>1868.0</v>
      </c>
      <c r="M56" s="32">
        <v>14.74</v>
      </c>
      <c r="N56" s="33">
        <v>14.49</v>
      </c>
      <c r="O56" s="21"/>
      <c r="P56" s="32">
        <v>33.16</v>
      </c>
      <c r="Q56" s="32">
        <v>0.4</v>
      </c>
      <c r="R56" s="32">
        <v>0.85</v>
      </c>
      <c r="S56" s="32">
        <v>0.25</v>
      </c>
      <c r="T56" s="32">
        <v>0.06</v>
      </c>
      <c r="U56" s="32">
        <v>0.3</v>
      </c>
      <c r="V56" s="32">
        <v>7.37</v>
      </c>
      <c r="W56" s="32">
        <v>5.96</v>
      </c>
      <c r="X56" s="32">
        <v>10.27</v>
      </c>
      <c r="Y56" s="28">
        <v>43.23333333333335</v>
      </c>
      <c r="Z56" s="28">
        <v>13.166666666666671</v>
      </c>
      <c r="AA56" s="28">
        <v>17.933333333333323</v>
      </c>
      <c r="AB56" s="27">
        <v>25.66666667</v>
      </c>
      <c r="AC56" s="27">
        <v>0.0</v>
      </c>
      <c r="AD56" s="27">
        <v>0.0</v>
      </c>
      <c r="AE56" s="27">
        <v>0.0</v>
      </c>
      <c r="AF56" s="32">
        <v>4.15</v>
      </c>
      <c r="AG56" s="32">
        <v>66.33</v>
      </c>
      <c r="AH56" s="32">
        <v>19.42</v>
      </c>
      <c r="AI56" s="32">
        <v>14.25</v>
      </c>
    </row>
    <row r="57" ht="15.75" customHeight="1">
      <c r="A57" s="21">
        <v>56.0</v>
      </c>
      <c r="B57" s="21" t="s">
        <v>62</v>
      </c>
      <c r="C57" s="21" t="s">
        <v>36</v>
      </c>
      <c r="D57" s="21" t="s">
        <v>63</v>
      </c>
      <c r="E57" s="21" t="s">
        <v>80</v>
      </c>
      <c r="F57" s="22" t="s">
        <v>81</v>
      </c>
      <c r="G57" s="34">
        <v>7.7</v>
      </c>
      <c r="H57" s="30">
        <v>55.49</v>
      </c>
      <c r="I57" s="24">
        <v>4197.0</v>
      </c>
      <c r="J57" s="30">
        <v>117.33</v>
      </c>
      <c r="K57" s="24">
        <v>1311.0</v>
      </c>
      <c r="L57" s="24">
        <v>1023.0</v>
      </c>
      <c r="M57" s="32">
        <v>13.68</v>
      </c>
      <c r="N57" s="33">
        <v>7.03</v>
      </c>
      <c r="O57" s="21"/>
      <c r="P57" s="32">
        <v>32.4</v>
      </c>
      <c r="Q57" s="32">
        <v>0.33</v>
      </c>
      <c r="R57" s="32">
        <v>0.95</v>
      </c>
      <c r="S57" s="32">
        <v>0.28</v>
      </c>
      <c r="T57" s="32">
        <v>0.06</v>
      </c>
      <c r="U57" s="32">
        <v>0.33</v>
      </c>
      <c r="V57" s="32">
        <v>7.94</v>
      </c>
      <c r="W57" s="32">
        <v>4.48</v>
      </c>
      <c r="X57" s="32">
        <v>7.71</v>
      </c>
      <c r="Y57" s="28">
        <v>80.10000000000002</v>
      </c>
      <c r="Z57" s="28">
        <v>3.066666666666661</v>
      </c>
      <c r="AA57" s="28">
        <v>11.833333333333334</v>
      </c>
      <c r="AB57" s="27">
        <v>5.0</v>
      </c>
      <c r="AC57" s="27">
        <v>0.0</v>
      </c>
      <c r="AD57" s="27">
        <v>0.0</v>
      </c>
      <c r="AE57" s="27">
        <v>0.0</v>
      </c>
      <c r="AF57" s="32">
        <v>4.05</v>
      </c>
      <c r="AG57" s="32">
        <v>70.47</v>
      </c>
      <c r="AH57" s="32">
        <v>13.35</v>
      </c>
      <c r="AI57" s="32">
        <v>16.18</v>
      </c>
    </row>
    <row r="58" ht="15.75" customHeight="1">
      <c r="A58" s="21">
        <v>57.0</v>
      </c>
      <c r="B58" s="21" t="s">
        <v>62</v>
      </c>
      <c r="C58" s="21" t="s">
        <v>36</v>
      </c>
      <c r="D58" s="21" t="s">
        <v>63</v>
      </c>
      <c r="E58" s="21" t="s">
        <v>82</v>
      </c>
      <c r="F58" s="22" t="s">
        <v>81</v>
      </c>
      <c r="G58" s="34">
        <v>20.09</v>
      </c>
      <c r="H58" s="30">
        <v>51.65</v>
      </c>
      <c r="I58" s="24">
        <v>6552.0</v>
      </c>
      <c r="J58" s="31">
        <v>0.0</v>
      </c>
      <c r="K58" s="24">
        <v>1141.0</v>
      </c>
      <c r="L58" s="24">
        <v>946.0</v>
      </c>
      <c r="M58" s="32">
        <v>14.6</v>
      </c>
      <c r="N58" s="33">
        <v>10.19</v>
      </c>
      <c r="O58" s="21"/>
      <c r="P58" s="32">
        <v>20.08</v>
      </c>
      <c r="Q58" s="32">
        <v>0.47</v>
      </c>
      <c r="R58" s="32">
        <v>1.35</v>
      </c>
      <c r="S58" s="32">
        <v>0.31</v>
      </c>
      <c r="T58" s="32">
        <v>0.12</v>
      </c>
      <c r="U58" s="32">
        <v>0.23</v>
      </c>
      <c r="V58" s="32">
        <v>4.82</v>
      </c>
      <c r="W58" s="32">
        <v>6.92</v>
      </c>
      <c r="X58" s="32">
        <v>11.94</v>
      </c>
      <c r="Y58" s="28">
        <v>66.66666666666671</v>
      </c>
      <c r="Z58" s="28">
        <v>4.333333333333327</v>
      </c>
      <c r="AA58" s="28">
        <v>23.53333333333331</v>
      </c>
      <c r="AB58" s="27">
        <v>5.466666667</v>
      </c>
      <c r="AC58" s="27">
        <v>0.0</v>
      </c>
      <c r="AD58" s="27">
        <v>0.0</v>
      </c>
      <c r="AE58" s="27">
        <v>0.0</v>
      </c>
      <c r="AF58" s="32">
        <v>4.73</v>
      </c>
      <c r="AG58" s="32">
        <v>64.47</v>
      </c>
      <c r="AH58" s="32">
        <v>19.35</v>
      </c>
      <c r="AI58" s="32">
        <v>16.18</v>
      </c>
    </row>
    <row r="59" ht="15.75" customHeight="1">
      <c r="A59" s="21">
        <v>58.0</v>
      </c>
      <c r="B59" s="21" t="s">
        <v>62</v>
      </c>
      <c r="C59" s="21" t="s">
        <v>36</v>
      </c>
      <c r="D59" s="21" t="s">
        <v>63</v>
      </c>
      <c r="E59" s="21" t="s">
        <v>83</v>
      </c>
      <c r="F59" s="22" t="s">
        <v>81</v>
      </c>
      <c r="G59" s="34">
        <v>8.35</v>
      </c>
      <c r="H59" s="30">
        <v>75.33</v>
      </c>
      <c r="I59" s="24">
        <v>5984.0</v>
      </c>
      <c r="J59" s="31">
        <v>0.0</v>
      </c>
      <c r="K59" s="24">
        <v>793.0</v>
      </c>
      <c r="L59" s="24">
        <v>1831.0</v>
      </c>
      <c r="M59" s="32">
        <v>16.12</v>
      </c>
      <c r="N59" s="33">
        <v>11.05</v>
      </c>
      <c r="O59" s="21"/>
      <c r="P59" s="32">
        <v>19.7</v>
      </c>
      <c r="Q59" s="32">
        <v>0.47</v>
      </c>
      <c r="R59" s="32">
        <v>3.23</v>
      </c>
      <c r="S59" s="32">
        <v>0.22</v>
      </c>
      <c r="T59" s="32">
        <v>0.07</v>
      </c>
      <c r="U59" s="32">
        <v>0.33</v>
      </c>
      <c r="V59" s="32">
        <v>7.89</v>
      </c>
      <c r="W59" s="32">
        <v>7.51</v>
      </c>
      <c r="X59" s="32">
        <v>12.95</v>
      </c>
      <c r="Y59" s="28">
        <v>50.3</v>
      </c>
      <c r="Z59" s="28">
        <v>0.26666666666666694</v>
      </c>
      <c r="AA59" s="28">
        <v>44.09999999999998</v>
      </c>
      <c r="AB59" s="27">
        <v>5.333333333</v>
      </c>
      <c r="AC59" s="27">
        <v>0.0</v>
      </c>
      <c r="AD59" s="27">
        <v>0.0</v>
      </c>
      <c r="AE59" s="27">
        <v>0.0</v>
      </c>
      <c r="AF59" s="32">
        <v>4.62</v>
      </c>
      <c r="AG59" s="32">
        <v>62.4</v>
      </c>
      <c r="AH59" s="32">
        <v>21.42</v>
      </c>
      <c r="AI59" s="32">
        <v>16.18</v>
      </c>
    </row>
    <row r="60" ht="15.75" customHeight="1">
      <c r="A60" s="21">
        <v>59.0</v>
      </c>
      <c r="B60" s="21" t="s">
        <v>62</v>
      </c>
      <c r="C60" s="21" t="s">
        <v>36</v>
      </c>
      <c r="D60" s="21" t="s">
        <v>63</v>
      </c>
      <c r="E60" s="21" t="s">
        <v>84</v>
      </c>
      <c r="F60" s="22" t="s">
        <v>81</v>
      </c>
      <c r="G60" s="34">
        <v>7.21</v>
      </c>
      <c r="H60" s="30">
        <v>77.89</v>
      </c>
      <c r="I60" s="24">
        <v>6302.0</v>
      </c>
      <c r="J60" s="31">
        <v>0.0</v>
      </c>
      <c r="K60" s="24">
        <v>1052.0</v>
      </c>
      <c r="L60" s="24">
        <v>1431.0</v>
      </c>
      <c r="M60" s="32">
        <v>13.29</v>
      </c>
      <c r="N60" s="33">
        <v>21.08</v>
      </c>
      <c r="O60" s="21"/>
      <c r="P60" s="32">
        <v>21.6</v>
      </c>
      <c r="Q60" s="32">
        <v>0.58</v>
      </c>
      <c r="R60" s="32">
        <v>0.68</v>
      </c>
      <c r="S60" s="32">
        <v>0.15</v>
      </c>
      <c r="T60" s="32">
        <v>0.09</v>
      </c>
      <c r="U60" s="32">
        <v>0.24</v>
      </c>
      <c r="V60" s="32">
        <v>8.71</v>
      </c>
      <c r="W60" s="32">
        <v>7.77</v>
      </c>
      <c r="X60" s="32">
        <v>13.39</v>
      </c>
      <c r="Y60" s="28">
        <v>59.20000000000001</v>
      </c>
      <c r="Z60" s="28">
        <v>6.466666666666662</v>
      </c>
      <c r="AA60" s="28">
        <v>31.299999999999994</v>
      </c>
      <c r="AB60" s="27">
        <v>3.033333333</v>
      </c>
      <c r="AC60" s="27">
        <v>0.0</v>
      </c>
      <c r="AD60" s="27">
        <v>0.0</v>
      </c>
      <c r="AE60" s="27">
        <v>0.0</v>
      </c>
      <c r="AF60" s="32">
        <v>3.97</v>
      </c>
      <c r="AG60" s="32">
        <v>60.76</v>
      </c>
      <c r="AH60" s="32">
        <v>23.06</v>
      </c>
      <c r="AI60" s="32">
        <v>16.18</v>
      </c>
    </row>
    <row r="61" ht="15.75" customHeight="1">
      <c r="A61" s="21">
        <v>60.0</v>
      </c>
      <c r="B61" s="21" t="s">
        <v>62</v>
      </c>
      <c r="C61" s="21" t="s">
        <v>36</v>
      </c>
      <c r="D61" s="21" t="s">
        <v>63</v>
      </c>
      <c r="E61" s="21" t="s">
        <v>85</v>
      </c>
      <c r="F61" s="22" t="s">
        <v>81</v>
      </c>
      <c r="G61" s="34">
        <v>16.67</v>
      </c>
      <c r="H61" s="30">
        <v>72.13</v>
      </c>
      <c r="I61" s="24">
        <v>6465.0</v>
      </c>
      <c r="J61" s="31">
        <v>0.0</v>
      </c>
      <c r="K61" s="24">
        <v>1418.0</v>
      </c>
      <c r="L61" s="24">
        <v>1086.0</v>
      </c>
      <c r="M61" s="32">
        <v>12.23</v>
      </c>
      <c r="N61" s="33">
        <v>14.18</v>
      </c>
      <c r="O61" s="21"/>
      <c r="P61" s="32">
        <v>26.72</v>
      </c>
      <c r="Q61" s="32">
        <v>0.51</v>
      </c>
      <c r="R61" s="32">
        <v>0.64</v>
      </c>
      <c r="S61" s="32">
        <v>0.14</v>
      </c>
      <c r="T61" s="32">
        <v>0.1</v>
      </c>
      <c r="U61" s="32">
        <v>0.18</v>
      </c>
      <c r="V61" s="32">
        <v>4.95</v>
      </c>
      <c r="W61" s="32">
        <v>6.22</v>
      </c>
      <c r="X61" s="32">
        <v>10.72</v>
      </c>
      <c r="Y61" s="28">
        <v>64.33333333333334</v>
      </c>
      <c r="Z61" s="28">
        <v>17.333333333333325</v>
      </c>
      <c r="AA61" s="28">
        <v>11.966666666666665</v>
      </c>
      <c r="AB61" s="27">
        <v>6.366666667</v>
      </c>
      <c r="AC61" s="27">
        <v>0.0</v>
      </c>
      <c r="AD61" s="27">
        <v>0.0</v>
      </c>
      <c r="AE61" s="27">
        <v>0.0</v>
      </c>
      <c r="AF61" s="32">
        <v>4.19</v>
      </c>
      <c r="AG61" s="32">
        <v>69.82</v>
      </c>
      <c r="AH61" s="32">
        <v>13.93</v>
      </c>
      <c r="AI61" s="32">
        <v>16.25</v>
      </c>
    </row>
    <row r="62" ht="15.75" customHeight="1">
      <c r="A62" s="21">
        <v>61.0</v>
      </c>
      <c r="B62" s="21" t="s">
        <v>62</v>
      </c>
      <c r="C62" s="21" t="s">
        <v>60</v>
      </c>
      <c r="D62" s="21" t="s">
        <v>86</v>
      </c>
      <c r="E62" s="21" t="s">
        <v>87</v>
      </c>
      <c r="F62" s="22" t="s">
        <v>81</v>
      </c>
      <c r="G62" s="34">
        <v>20.42</v>
      </c>
      <c r="H62" s="30">
        <v>88.77</v>
      </c>
      <c r="I62" s="24">
        <v>6115.0</v>
      </c>
      <c r="J62" s="30">
        <v>422.4</v>
      </c>
      <c r="K62" s="24">
        <v>3077.0</v>
      </c>
      <c r="L62" s="24">
        <v>4506.0</v>
      </c>
      <c r="M62" s="32">
        <v>21.09</v>
      </c>
      <c r="N62" s="33">
        <v>17.3</v>
      </c>
      <c r="O62" s="28"/>
      <c r="P62" s="32">
        <v>5.86</v>
      </c>
      <c r="Q62" s="32">
        <v>0.18</v>
      </c>
      <c r="R62" s="32">
        <v>8.54</v>
      </c>
      <c r="S62" s="32">
        <v>1.92</v>
      </c>
      <c r="T62" s="32">
        <v>0.11</v>
      </c>
      <c r="U62" s="32">
        <v>0.38</v>
      </c>
      <c r="V62" s="32">
        <v>10.96</v>
      </c>
      <c r="W62" s="32">
        <v>3.81</v>
      </c>
      <c r="X62" s="32">
        <v>6.57</v>
      </c>
      <c r="Y62" s="28">
        <v>6.0</v>
      </c>
      <c r="Z62" s="28">
        <v>0.0</v>
      </c>
      <c r="AA62" s="28">
        <v>78.83333333</v>
      </c>
      <c r="AB62" s="28">
        <v>12.6666667</v>
      </c>
      <c r="AC62" s="28">
        <v>3.0</v>
      </c>
      <c r="AD62" s="28">
        <v>0.0</v>
      </c>
      <c r="AE62" s="28">
        <v>0.0</v>
      </c>
      <c r="AF62" s="32">
        <v>5.87</v>
      </c>
      <c r="AG62" s="32">
        <v>60.04</v>
      </c>
      <c r="AH62" s="32">
        <v>19.78</v>
      </c>
      <c r="AI62" s="32">
        <v>20.18</v>
      </c>
    </row>
    <row r="63" ht="15.75" customHeight="1">
      <c r="A63" s="21">
        <v>62.0</v>
      </c>
      <c r="B63" s="21" t="s">
        <v>62</v>
      </c>
      <c r="C63" s="21" t="s">
        <v>60</v>
      </c>
      <c r="D63" s="21" t="s">
        <v>86</v>
      </c>
      <c r="E63" s="21" t="s">
        <v>88</v>
      </c>
      <c r="F63" s="22" t="s">
        <v>55</v>
      </c>
      <c r="G63" s="34">
        <v>23.19</v>
      </c>
      <c r="H63" s="30">
        <v>59.33</v>
      </c>
      <c r="I63" s="24">
        <v>5297.0</v>
      </c>
      <c r="J63" s="30">
        <v>187.73</v>
      </c>
      <c r="K63" s="24">
        <v>2057.0</v>
      </c>
      <c r="L63" s="24">
        <v>3317.0</v>
      </c>
      <c r="M63" s="32">
        <v>17.12</v>
      </c>
      <c r="N63" s="33">
        <v>14.38</v>
      </c>
      <c r="O63" s="28"/>
      <c r="P63" s="32">
        <v>5.67</v>
      </c>
      <c r="Q63" s="32">
        <v>0.14</v>
      </c>
      <c r="R63" s="32">
        <v>5.82</v>
      </c>
      <c r="S63" s="32">
        <v>1.28</v>
      </c>
      <c r="T63" s="32">
        <v>0.06</v>
      </c>
      <c r="U63" s="32">
        <v>0.26</v>
      </c>
      <c r="V63" s="32">
        <v>7.43</v>
      </c>
      <c r="W63" s="32">
        <v>2.46</v>
      </c>
      <c r="X63" s="32">
        <v>4.24</v>
      </c>
      <c r="Y63" s="28">
        <v>5.28125</v>
      </c>
      <c r="Z63" s="28">
        <v>0.0</v>
      </c>
      <c r="AA63" s="28">
        <v>78.28125</v>
      </c>
      <c r="AB63" s="28">
        <v>1.875</v>
      </c>
      <c r="AC63" s="28">
        <v>14.5625</v>
      </c>
      <c r="AD63" s="28">
        <v>0.0</v>
      </c>
      <c r="AE63" s="28">
        <v>0.0</v>
      </c>
      <c r="AF63" s="32">
        <v>5.93</v>
      </c>
      <c r="AG63" s="32">
        <v>64.04</v>
      </c>
      <c r="AH63" s="32">
        <v>15.78</v>
      </c>
      <c r="AI63" s="32">
        <v>20.18</v>
      </c>
    </row>
    <row r="64" ht="15.75" customHeight="1">
      <c r="A64" s="21">
        <v>63.0</v>
      </c>
      <c r="B64" s="21" t="s">
        <v>62</v>
      </c>
      <c r="C64" s="21" t="s">
        <v>60</v>
      </c>
      <c r="D64" s="21" t="s">
        <v>86</v>
      </c>
      <c r="E64" s="21" t="s">
        <v>89</v>
      </c>
      <c r="F64" s="22" t="s">
        <v>81</v>
      </c>
      <c r="G64" s="34">
        <v>16.34</v>
      </c>
      <c r="H64" s="30">
        <v>97.09</v>
      </c>
      <c r="I64" s="24">
        <v>5534.0</v>
      </c>
      <c r="J64" s="31">
        <v>0.0</v>
      </c>
      <c r="K64" s="24">
        <v>2146.0</v>
      </c>
      <c r="L64" s="24">
        <v>4465.0</v>
      </c>
      <c r="M64" s="32">
        <v>23.18</v>
      </c>
      <c r="N64" s="33">
        <v>12.84</v>
      </c>
      <c r="O64" s="28"/>
      <c r="P64" s="32">
        <v>4.34</v>
      </c>
      <c r="Q64" s="32">
        <v>0.1</v>
      </c>
      <c r="R64" s="32">
        <v>5.34</v>
      </c>
      <c r="S64" s="32">
        <v>0.6</v>
      </c>
      <c r="T64" s="32">
        <v>0.05</v>
      </c>
      <c r="U64" s="32">
        <v>0.19</v>
      </c>
      <c r="V64" s="32">
        <v>6.18</v>
      </c>
      <c r="W64" s="32">
        <v>2.41</v>
      </c>
      <c r="X64" s="32">
        <v>4.15</v>
      </c>
      <c r="Y64" s="28">
        <v>9.633333</v>
      </c>
      <c r="Z64" s="28">
        <v>8.7</v>
      </c>
      <c r="AA64" s="28">
        <v>67.4</v>
      </c>
      <c r="AB64" s="28">
        <v>9.4</v>
      </c>
      <c r="AC64" s="28">
        <v>4.8666667</v>
      </c>
      <c r="AD64" s="28">
        <v>0.0</v>
      </c>
      <c r="AE64" s="28">
        <v>0.0</v>
      </c>
      <c r="AF64" s="32">
        <v>6.13</v>
      </c>
      <c r="AG64" s="32">
        <v>74.04</v>
      </c>
      <c r="AH64" s="32">
        <v>11.78</v>
      </c>
      <c r="AI64" s="32">
        <v>14.18</v>
      </c>
    </row>
    <row r="65" ht="15.75" customHeight="1">
      <c r="A65" s="21">
        <v>64.0</v>
      </c>
      <c r="B65" s="21" t="s">
        <v>62</v>
      </c>
      <c r="C65" s="21" t="s">
        <v>60</v>
      </c>
      <c r="D65" s="21" t="s">
        <v>86</v>
      </c>
      <c r="E65" s="21" t="s">
        <v>90</v>
      </c>
      <c r="F65" s="22" t="s">
        <v>55</v>
      </c>
      <c r="G65" s="34">
        <v>16.5</v>
      </c>
      <c r="H65" s="30">
        <v>43.33</v>
      </c>
      <c r="I65" s="24">
        <v>4275.0</v>
      </c>
      <c r="J65" s="31">
        <v>0.0</v>
      </c>
      <c r="K65" s="24">
        <v>2331.0</v>
      </c>
      <c r="L65" s="24">
        <v>2305.0</v>
      </c>
      <c r="M65" s="32">
        <v>22.37</v>
      </c>
      <c r="N65" s="33">
        <v>10.87</v>
      </c>
      <c r="O65" s="28"/>
      <c r="P65" s="32">
        <v>4.72</v>
      </c>
      <c r="Q65" s="32">
        <v>0.12</v>
      </c>
      <c r="R65" s="32">
        <v>7.5</v>
      </c>
      <c r="S65" s="32">
        <v>0.67</v>
      </c>
      <c r="T65" s="32">
        <v>0.06</v>
      </c>
      <c r="U65" s="32">
        <v>0.18</v>
      </c>
      <c r="V65" s="32">
        <v>8.43</v>
      </c>
      <c r="W65" s="32">
        <v>2.66</v>
      </c>
      <c r="X65" s="32">
        <v>4.58</v>
      </c>
      <c r="Y65" s="28">
        <v>22.6</v>
      </c>
      <c r="Z65" s="28">
        <v>12.833333</v>
      </c>
      <c r="AA65" s="28">
        <v>49.366667</v>
      </c>
      <c r="AB65" s="28">
        <v>14.6666667</v>
      </c>
      <c r="AC65" s="28">
        <v>10.0333333</v>
      </c>
      <c r="AD65" s="28">
        <v>0.0</v>
      </c>
      <c r="AE65" s="28">
        <v>0.0</v>
      </c>
      <c r="AF65" s="32">
        <v>6.06</v>
      </c>
      <c r="AG65" s="32">
        <v>74.04</v>
      </c>
      <c r="AH65" s="32">
        <v>11.78</v>
      </c>
      <c r="AI65" s="32">
        <v>14.18</v>
      </c>
    </row>
    <row r="66" ht="15.75" customHeight="1">
      <c r="A66" s="21">
        <v>65.0</v>
      </c>
      <c r="B66" s="21" t="s">
        <v>62</v>
      </c>
      <c r="C66" s="21" t="s">
        <v>60</v>
      </c>
      <c r="D66" s="21" t="s">
        <v>86</v>
      </c>
      <c r="E66" s="21" t="s">
        <v>91</v>
      </c>
      <c r="F66" s="22" t="s">
        <v>81</v>
      </c>
      <c r="G66" s="34">
        <v>53.36</v>
      </c>
      <c r="H66" s="30">
        <v>81.73</v>
      </c>
      <c r="I66" s="24">
        <v>6634.0</v>
      </c>
      <c r="J66" s="30">
        <v>469.33</v>
      </c>
      <c r="K66" s="24">
        <v>2612.0</v>
      </c>
      <c r="L66" s="24">
        <v>7417.0</v>
      </c>
      <c r="M66" s="32">
        <v>24.64</v>
      </c>
      <c r="N66" s="33">
        <v>18.6</v>
      </c>
      <c r="O66" s="28"/>
      <c r="P66" s="32">
        <v>6.62</v>
      </c>
      <c r="Q66" s="32">
        <v>0.12</v>
      </c>
      <c r="R66" s="32">
        <v>7.95</v>
      </c>
      <c r="S66" s="32">
        <v>0.98</v>
      </c>
      <c r="T66" s="32">
        <v>0.05</v>
      </c>
      <c r="U66" s="32">
        <v>0.18</v>
      </c>
      <c r="V66" s="32">
        <v>9.18</v>
      </c>
      <c r="W66" s="32">
        <v>2.84</v>
      </c>
      <c r="X66" s="32">
        <v>4.9</v>
      </c>
      <c r="Y66" s="28">
        <v>2.833333</v>
      </c>
      <c r="Z66" s="28">
        <v>33.833333</v>
      </c>
      <c r="AA66" s="28">
        <v>56.0</v>
      </c>
      <c r="AB66" s="28">
        <v>5.333333</v>
      </c>
      <c r="AC66" s="28">
        <v>2.0</v>
      </c>
      <c r="AD66" s="28">
        <v>0.0</v>
      </c>
      <c r="AE66" s="28">
        <v>0.0</v>
      </c>
      <c r="AF66" s="32">
        <v>5.89</v>
      </c>
      <c r="AG66" s="32">
        <v>72.04</v>
      </c>
      <c r="AH66" s="32">
        <v>13.78</v>
      </c>
      <c r="AI66" s="32">
        <v>14.18</v>
      </c>
    </row>
    <row r="67" ht="15.75" customHeight="1">
      <c r="A67" s="21">
        <v>66.0</v>
      </c>
      <c r="B67" s="21" t="s">
        <v>62</v>
      </c>
      <c r="C67" s="21" t="s">
        <v>60</v>
      </c>
      <c r="D67" s="21" t="s">
        <v>86</v>
      </c>
      <c r="E67" s="21" t="s">
        <v>92</v>
      </c>
      <c r="F67" s="22" t="s">
        <v>55</v>
      </c>
      <c r="G67" s="34">
        <v>28.57</v>
      </c>
      <c r="H67" s="30">
        <v>74.05</v>
      </c>
      <c r="I67" s="24">
        <v>6402.0</v>
      </c>
      <c r="J67" s="30">
        <v>492.8</v>
      </c>
      <c r="K67" s="24">
        <v>2299.0</v>
      </c>
      <c r="L67" s="24">
        <v>6731.0</v>
      </c>
      <c r="M67" s="32">
        <v>26.86</v>
      </c>
      <c r="N67" s="33">
        <v>19.11</v>
      </c>
      <c r="O67" s="28"/>
      <c r="P67" s="32">
        <v>8.51</v>
      </c>
      <c r="Q67" s="32">
        <v>0.13</v>
      </c>
      <c r="R67" s="32">
        <v>8.08</v>
      </c>
      <c r="S67" s="32">
        <v>0.97</v>
      </c>
      <c r="T67" s="32">
        <v>0.06</v>
      </c>
      <c r="U67" s="32">
        <v>0.15</v>
      </c>
      <c r="V67" s="32">
        <v>9.28</v>
      </c>
      <c r="W67" s="32">
        <v>3.55</v>
      </c>
      <c r="X67" s="32">
        <v>6.11</v>
      </c>
      <c r="Y67" s="28">
        <v>2.333333</v>
      </c>
      <c r="Z67" s="28">
        <v>39.166667</v>
      </c>
      <c r="AA67" s="28">
        <v>56.333333</v>
      </c>
      <c r="AB67" s="28">
        <v>0.0</v>
      </c>
      <c r="AC67" s="28">
        <v>2.1666667</v>
      </c>
      <c r="AD67" s="28">
        <v>0.0</v>
      </c>
      <c r="AE67" s="28">
        <v>0.0</v>
      </c>
      <c r="AF67" s="32">
        <v>5.73</v>
      </c>
      <c r="AG67" s="32">
        <v>72.04</v>
      </c>
      <c r="AH67" s="32">
        <v>13.78</v>
      </c>
      <c r="AI67" s="32">
        <v>14.18</v>
      </c>
    </row>
    <row r="68" ht="15.75" customHeight="1">
      <c r="A68" s="21">
        <v>67.0</v>
      </c>
      <c r="B68" s="21" t="s">
        <v>62</v>
      </c>
      <c r="C68" s="21" t="s">
        <v>60</v>
      </c>
      <c r="D68" s="21" t="s">
        <v>86</v>
      </c>
      <c r="E68" s="21" t="s">
        <v>93</v>
      </c>
      <c r="F68" s="22" t="s">
        <v>81</v>
      </c>
      <c r="G68" s="34">
        <v>95.6</v>
      </c>
      <c r="H68" s="30">
        <v>129.09</v>
      </c>
      <c r="I68" s="24">
        <v>7384.0</v>
      </c>
      <c r="J68" s="30">
        <v>492.8</v>
      </c>
      <c r="K68" s="24">
        <v>3105.0</v>
      </c>
      <c r="L68" s="24">
        <v>12266.0</v>
      </c>
      <c r="M68" s="32">
        <v>28.5</v>
      </c>
      <c r="N68" s="33">
        <v>20.86</v>
      </c>
      <c r="O68" s="28"/>
      <c r="P68" s="32">
        <v>8.13</v>
      </c>
      <c r="Q68" s="32">
        <v>0.21</v>
      </c>
      <c r="R68" s="32">
        <v>8.48</v>
      </c>
      <c r="S68" s="32">
        <v>1.66</v>
      </c>
      <c r="T68" s="32">
        <v>0.1</v>
      </c>
      <c r="U68" s="32">
        <v>0.33</v>
      </c>
      <c r="V68" s="32">
        <v>10.6</v>
      </c>
      <c r="W68" s="32">
        <v>5.97</v>
      </c>
      <c r="X68" s="32">
        <v>10.29</v>
      </c>
      <c r="Y68" s="28">
        <v>0.0</v>
      </c>
      <c r="Z68" s="28">
        <v>12.4</v>
      </c>
      <c r="AA68" s="28">
        <v>62.1666667</v>
      </c>
      <c r="AB68" s="28">
        <v>13.8666667</v>
      </c>
      <c r="AC68" s="28">
        <v>11.566667</v>
      </c>
      <c r="AD68" s="28">
        <v>0.0</v>
      </c>
      <c r="AE68" s="28">
        <v>0.0</v>
      </c>
      <c r="AF68" s="32">
        <v>5.79</v>
      </c>
      <c r="AG68" s="32">
        <v>66.11</v>
      </c>
      <c r="AH68" s="32">
        <v>17.71</v>
      </c>
      <c r="AI68" s="32">
        <v>16.18</v>
      </c>
    </row>
    <row r="69" ht="15.75" customHeight="1">
      <c r="A69" s="21">
        <v>68.0</v>
      </c>
      <c r="B69" s="21" t="s">
        <v>62</v>
      </c>
      <c r="C69" s="21" t="s">
        <v>60</v>
      </c>
      <c r="D69" s="21" t="s">
        <v>86</v>
      </c>
      <c r="E69" s="21" t="s">
        <v>94</v>
      </c>
      <c r="F69" s="22" t="s">
        <v>55</v>
      </c>
      <c r="G69" s="34">
        <v>16.5</v>
      </c>
      <c r="H69" s="30">
        <v>42.69</v>
      </c>
      <c r="I69" s="24">
        <v>6215.0</v>
      </c>
      <c r="J69" s="30">
        <v>185.39</v>
      </c>
      <c r="K69" s="24">
        <v>1723.0</v>
      </c>
      <c r="L69" s="24">
        <v>4869.0</v>
      </c>
      <c r="M69" s="32">
        <v>25.94</v>
      </c>
      <c r="N69" s="33">
        <v>14.34</v>
      </c>
      <c r="O69" s="28"/>
      <c r="P69" s="32">
        <v>4.53</v>
      </c>
      <c r="Q69" s="32">
        <v>0.14</v>
      </c>
      <c r="R69" s="32">
        <v>5.61</v>
      </c>
      <c r="S69" s="32">
        <v>0.91</v>
      </c>
      <c r="T69" s="32">
        <v>0.07</v>
      </c>
      <c r="U69" s="32">
        <v>0.18</v>
      </c>
      <c r="V69" s="32">
        <v>6.8</v>
      </c>
      <c r="W69" s="32">
        <v>3.74</v>
      </c>
      <c r="X69" s="32">
        <v>6.45</v>
      </c>
      <c r="Y69" s="28">
        <v>0.0</v>
      </c>
      <c r="Z69" s="28">
        <v>26.5</v>
      </c>
      <c r="AA69" s="28">
        <v>68.5</v>
      </c>
      <c r="AB69" s="28">
        <v>0.666667</v>
      </c>
      <c r="AC69" s="28">
        <v>4.33333</v>
      </c>
      <c r="AD69" s="28">
        <v>0.0</v>
      </c>
      <c r="AE69" s="28">
        <v>0.0</v>
      </c>
      <c r="AF69" s="32">
        <v>5.55</v>
      </c>
      <c r="AG69" s="32">
        <v>66.04</v>
      </c>
      <c r="AH69" s="32">
        <v>17.71</v>
      </c>
      <c r="AI69" s="32">
        <v>16.25</v>
      </c>
    </row>
    <row r="70" ht="15.75" customHeight="1">
      <c r="A70" s="21">
        <v>69.0</v>
      </c>
      <c r="B70" s="21" t="s">
        <v>62</v>
      </c>
      <c r="C70" s="21" t="s">
        <v>60</v>
      </c>
      <c r="D70" s="21" t="s">
        <v>86</v>
      </c>
      <c r="E70" s="21" t="s">
        <v>95</v>
      </c>
      <c r="F70" s="22" t="s">
        <v>81</v>
      </c>
      <c r="G70" s="34">
        <v>21.72</v>
      </c>
      <c r="H70" s="30">
        <v>49.09</v>
      </c>
      <c r="I70" s="24">
        <v>5079.0</v>
      </c>
      <c r="J70" s="31">
        <v>0.0</v>
      </c>
      <c r="K70" s="24">
        <v>1897.0</v>
      </c>
      <c r="L70" s="24">
        <v>2958.0</v>
      </c>
      <c r="M70" s="32">
        <v>21.6</v>
      </c>
      <c r="N70" s="33">
        <v>14.75</v>
      </c>
      <c r="O70" s="28"/>
      <c r="P70" s="32">
        <v>4.72</v>
      </c>
      <c r="Q70" s="32">
        <v>0.12</v>
      </c>
      <c r="R70" s="32">
        <v>6.02</v>
      </c>
      <c r="S70" s="32">
        <v>0.78</v>
      </c>
      <c r="T70" s="32">
        <v>0.07</v>
      </c>
      <c r="U70" s="32">
        <v>0.21</v>
      </c>
      <c r="V70" s="32">
        <v>7.12</v>
      </c>
      <c r="W70" s="32">
        <v>2.65</v>
      </c>
      <c r="X70" s="32">
        <v>4.57</v>
      </c>
      <c r="Y70" s="28">
        <v>33.966667</v>
      </c>
      <c r="Z70" s="28">
        <v>7.2666667</v>
      </c>
      <c r="AA70" s="28">
        <v>51.9</v>
      </c>
      <c r="AB70" s="28">
        <v>6.866667</v>
      </c>
      <c r="AC70" s="28">
        <v>0.0</v>
      </c>
      <c r="AD70" s="28">
        <v>0.0</v>
      </c>
      <c r="AE70" s="28">
        <v>0.0</v>
      </c>
      <c r="AF70" s="32">
        <v>5.69</v>
      </c>
      <c r="AG70" s="32">
        <v>62.04</v>
      </c>
      <c r="AH70" s="32">
        <v>21.71</v>
      </c>
      <c r="AI70" s="32">
        <v>16.25</v>
      </c>
    </row>
    <row r="71" ht="15.75" customHeight="1">
      <c r="A71" s="21">
        <v>70.0</v>
      </c>
      <c r="B71" s="21" t="s">
        <v>62</v>
      </c>
      <c r="C71" s="21" t="s">
        <v>60</v>
      </c>
      <c r="D71" s="21" t="s">
        <v>86</v>
      </c>
      <c r="E71" s="21" t="s">
        <v>96</v>
      </c>
      <c r="F71" s="22" t="s">
        <v>55</v>
      </c>
      <c r="G71" s="34">
        <v>16.34</v>
      </c>
      <c r="H71" s="30">
        <v>45.25</v>
      </c>
      <c r="I71" s="24">
        <v>4597.0</v>
      </c>
      <c r="J71" s="31">
        <v>0.0</v>
      </c>
      <c r="K71" s="24">
        <v>2263.0</v>
      </c>
      <c r="L71" s="24">
        <v>3344.0</v>
      </c>
      <c r="M71" s="32">
        <v>23.34</v>
      </c>
      <c r="N71" s="33">
        <v>14.89</v>
      </c>
      <c r="O71" s="28"/>
      <c r="P71" s="32">
        <v>4.34</v>
      </c>
      <c r="Q71" s="32">
        <v>0.13</v>
      </c>
      <c r="R71" s="32">
        <v>5.7</v>
      </c>
      <c r="S71" s="32">
        <v>0.85</v>
      </c>
      <c r="T71" s="32">
        <v>0.08</v>
      </c>
      <c r="U71" s="32">
        <v>0.18</v>
      </c>
      <c r="V71" s="32">
        <v>6.88</v>
      </c>
      <c r="W71" s="32">
        <v>3.07</v>
      </c>
      <c r="X71" s="32">
        <v>5.29</v>
      </c>
      <c r="Y71" s="28">
        <v>43.4</v>
      </c>
      <c r="Z71" s="28">
        <v>3.233333</v>
      </c>
      <c r="AA71" s="28">
        <v>49.2</v>
      </c>
      <c r="AB71" s="28">
        <v>1.0</v>
      </c>
      <c r="AC71" s="28">
        <v>3.166667</v>
      </c>
      <c r="AD71" s="28">
        <v>0.0</v>
      </c>
      <c r="AE71" s="28">
        <v>0.0</v>
      </c>
      <c r="AF71" s="32">
        <v>5.55</v>
      </c>
      <c r="AG71" s="32">
        <v>64.04</v>
      </c>
      <c r="AH71" s="32">
        <v>17.71</v>
      </c>
      <c r="AI71" s="32">
        <v>18.25</v>
      </c>
    </row>
    <row r="72" ht="15.75" customHeight="1">
      <c r="A72" s="21">
        <v>71.0</v>
      </c>
      <c r="B72" s="21" t="s">
        <v>62</v>
      </c>
      <c r="C72" s="21" t="s">
        <v>60</v>
      </c>
      <c r="D72" s="21" t="s">
        <v>86</v>
      </c>
      <c r="E72" s="21" t="s">
        <v>97</v>
      </c>
      <c r="F72" s="22" t="s">
        <v>65</v>
      </c>
      <c r="G72" s="34">
        <v>19.28</v>
      </c>
      <c r="H72" s="30">
        <v>67.65</v>
      </c>
      <c r="I72" s="24">
        <v>6929.0</v>
      </c>
      <c r="J72" s="30">
        <v>187.73</v>
      </c>
      <c r="K72" s="24">
        <v>2121.0</v>
      </c>
      <c r="L72" s="24">
        <v>4775.0</v>
      </c>
      <c r="M72" s="32">
        <v>24.48</v>
      </c>
      <c r="N72" s="33">
        <v>17.36</v>
      </c>
      <c r="O72" s="28"/>
      <c r="P72" s="32">
        <v>4.15</v>
      </c>
      <c r="Q72" s="32">
        <v>0.14</v>
      </c>
      <c r="R72" s="32">
        <v>4.59</v>
      </c>
      <c r="S72" s="32">
        <v>0.76</v>
      </c>
      <c r="T72" s="32">
        <v>0.05</v>
      </c>
      <c r="U72" s="32">
        <v>0.15</v>
      </c>
      <c r="V72" s="32">
        <v>5.61</v>
      </c>
      <c r="W72" s="32">
        <v>3.4</v>
      </c>
      <c r="X72" s="32">
        <v>5.87</v>
      </c>
      <c r="Y72" s="28">
        <v>0.0</v>
      </c>
      <c r="Z72" s="28">
        <v>1.0000000000000024</v>
      </c>
      <c r="AA72" s="27">
        <v>82.33333333</v>
      </c>
      <c r="AB72" s="28">
        <v>3.3333333333333366</v>
      </c>
      <c r="AC72" s="28">
        <v>13.33333333333333</v>
      </c>
      <c r="AD72" s="28">
        <v>0.0</v>
      </c>
      <c r="AE72" s="28">
        <v>0.0</v>
      </c>
      <c r="AF72" s="32">
        <v>5.52</v>
      </c>
      <c r="AG72" s="32">
        <v>72.04</v>
      </c>
      <c r="AH72" s="32">
        <v>11.71</v>
      </c>
      <c r="AI72" s="32">
        <v>16.25</v>
      </c>
    </row>
    <row r="73" ht="15.75" customHeight="1">
      <c r="A73" s="21">
        <v>72.0</v>
      </c>
      <c r="B73" s="21" t="s">
        <v>62</v>
      </c>
      <c r="C73" s="21" t="s">
        <v>60</v>
      </c>
      <c r="D73" s="21" t="s">
        <v>86</v>
      </c>
      <c r="E73" s="21" t="s">
        <v>98</v>
      </c>
      <c r="F73" s="22" t="s">
        <v>65</v>
      </c>
      <c r="G73" s="34">
        <v>86.79</v>
      </c>
      <c r="H73" s="30">
        <v>155.32</v>
      </c>
      <c r="I73" s="24">
        <v>6965.0</v>
      </c>
      <c r="J73" s="30">
        <v>797.87</v>
      </c>
      <c r="K73" s="24">
        <v>2615.0</v>
      </c>
      <c r="L73" s="24">
        <v>9944.0</v>
      </c>
      <c r="M73" s="32">
        <v>29.03</v>
      </c>
      <c r="N73" s="33">
        <v>28.2</v>
      </c>
      <c r="O73" s="28"/>
      <c r="P73" s="32">
        <v>18.75</v>
      </c>
      <c r="Q73" s="32">
        <v>0.24</v>
      </c>
      <c r="R73" s="32">
        <v>10.21</v>
      </c>
      <c r="S73" s="32">
        <v>1.77</v>
      </c>
      <c r="T73" s="32">
        <v>0.07</v>
      </c>
      <c r="U73" s="32">
        <v>0.34</v>
      </c>
      <c r="V73" s="32">
        <v>12.47</v>
      </c>
      <c r="W73" s="32">
        <v>7.07</v>
      </c>
      <c r="X73" s="32">
        <v>12.2</v>
      </c>
      <c r="Y73" s="28">
        <v>0.0</v>
      </c>
      <c r="Z73" s="28">
        <v>0.16666666666666313</v>
      </c>
      <c r="AA73" s="27">
        <v>22.96666667</v>
      </c>
      <c r="AB73" s="28">
        <v>7.600000000000007</v>
      </c>
      <c r="AC73" s="28">
        <v>69.26666666666667</v>
      </c>
      <c r="AD73" s="28">
        <v>0.0</v>
      </c>
      <c r="AE73" s="28">
        <v>0.0</v>
      </c>
      <c r="AF73" s="32">
        <v>5.16</v>
      </c>
      <c r="AG73" s="32">
        <v>59.97</v>
      </c>
      <c r="AH73" s="32">
        <v>23.71</v>
      </c>
      <c r="AI73" s="32">
        <v>16.32</v>
      </c>
    </row>
    <row r="74" ht="15.75" customHeight="1">
      <c r="A74" s="21">
        <v>73.0</v>
      </c>
      <c r="B74" s="21" t="s">
        <v>62</v>
      </c>
      <c r="C74" s="21" t="s">
        <v>60</v>
      </c>
      <c r="D74" s="21" t="s">
        <v>86</v>
      </c>
      <c r="E74" s="21" t="s">
        <v>99</v>
      </c>
      <c r="F74" s="22" t="s">
        <v>65</v>
      </c>
      <c r="G74" s="34">
        <v>79.62</v>
      </c>
      <c r="H74" s="30">
        <v>200.12</v>
      </c>
      <c r="I74" s="24">
        <v>6911.0</v>
      </c>
      <c r="J74" s="30">
        <v>797.87</v>
      </c>
      <c r="K74" s="24">
        <v>2842.0</v>
      </c>
      <c r="L74" s="24">
        <v>17241.0</v>
      </c>
      <c r="M74" s="32">
        <v>30.26</v>
      </c>
      <c r="N74" s="33">
        <v>30.52</v>
      </c>
      <c r="O74" s="28"/>
      <c r="P74" s="32">
        <v>16.86</v>
      </c>
      <c r="Q74" s="32">
        <v>0.39</v>
      </c>
      <c r="R74" s="32">
        <v>10.03</v>
      </c>
      <c r="S74" s="32">
        <v>2.29</v>
      </c>
      <c r="T74" s="32">
        <v>0.07</v>
      </c>
      <c r="U74" s="32">
        <v>0.41</v>
      </c>
      <c r="V74" s="32">
        <v>12.84</v>
      </c>
      <c r="W74" s="32">
        <v>11.75</v>
      </c>
      <c r="X74" s="32">
        <v>20.26</v>
      </c>
      <c r="Y74" s="28">
        <v>0.10000000000000006</v>
      </c>
      <c r="Z74" s="28">
        <v>15.666666666666663</v>
      </c>
      <c r="AA74" s="27">
        <v>13.96666667</v>
      </c>
      <c r="AB74" s="28">
        <v>7.333333333333333</v>
      </c>
      <c r="AC74" s="28">
        <v>62.93333333333333</v>
      </c>
      <c r="AD74" s="28">
        <v>0.0</v>
      </c>
      <c r="AE74" s="28">
        <v>0.0</v>
      </c>
      <c r="AF74" s="32">
        <v>5.28</v>
      </c>
      <c r="AG74" s="32">
        <v>45.97</v>
      </c>
      <c r="AH74" s="32">
        <v>33.64</v>
      </c>
      <c r="AI74" s="32">
        <v>20.39</v>
      </c>
    </row>
    <row r="75" ht="15.75" customHeight="1">
      <c r="A75" s="21">
        <v>74.0</v>
      </c>
      <c r="B75" s="21" t="s">
        <v>62</v>
      </c>
      <c r="C75" s="21" t="s">
        <v>60</v>
      </c>
      <c r="D75" s="21" t="s">
        <v>86</v>
      </c>
      <c r="E75" s="21" t="s">
        <v>100</v>
      </c>
      <c r="F75" s="22" t="s">
        <v>65</v>
      </c>
      <c r="G75" s="34">
        <v>94.95</v>
      </c>
      <c r="H75" s="30">
        <v>186.68</v>
      </c>
      <c r="I75" s="24">
        <v>7161.0</v>
      </c>
      <c r="J75" s="30">
        <v>821.33</v>
      </c>
      <c r="K75" s="24">
        <v>3091.0</v>
      </c>
      <c r="L75" s="24">
        <v>11764.0</v>
      </c>
      <c r="M75" s="32">
        <v>28.06</v>
      </c>
      <c r="N75" s="33">
        <v>31.78</v>
      </c>
      <c r="O75" s="28"/>
      <c r="P75" s="32">
        <v>8.13</v>
      </c>
      <c r="Q75" s="32">
        <v>0.31</v>
      </c>
      <c r="R75" s="32">
        <v>13.6</v>
      </c>
      <c r="S75" s="32">
        <v>2.92</v>
      </c>
      <c r="T75" s="32">
        <v>0.16</v>
      </c>
      <c r="U75" s="32">
        <v>0.57</v>
      </c>
      <c r="V75" s="32">
        <v>17.28</v>
      </c>
      <c r="W75" s="32">
        <v>8.61</v>
      </c>
      <c r="X75" s="32">
        <v>14.85</v>
      </c>
      <c r="Y75" s="28">
        <v>4.600000000000004</v>
      </c>
      <c r="Z75" s="28">
        <v>1.4333333333333353</v>
      </c>
      <c r="AA75" s="27">
        <v>18.43333333</v>
      </c>
      <c r="AB75" s="28">
        <v>9.433333333333339</v>
      </c>
      <c r="AC75" s="28">
        <v>66.1</v>
      </c>
      <c r="AD75" s="28">
        <v>0.0</v>
      </c>
      <c r="AE75" s="28">
        <v>0.0</v>
      </c>
      <c r="AF75" s="32">
        <v>5.59</v>
      </c>
      <c r="AG75" s="32">
        <v>65.97</v>
      </c>
      <c r="AH75" s="32">
        <v>15.64</v>
      </c>
      <c r="AI75" s="32">
        <v>18.39</v>
      </c>
    </row>
    <row r="76" ht="15.75" customHeight="1">
      <c r="A76" s="21">
        <v>75.0</v>
      </c>
      <c r="B76" s="21" t="s">
        <v>62</v>
      </c>
      <c r="C76" s="21" t="s">
        <v>60</v>
      </c>
      <c r="D76" s="21" t="s">
        <v>86</v>
      </c>
      <c r="E76" s="21" t="s">
        <v>101</v>
      </c>
      <c r="F76" s="22" t="s">
        <v>65</v>
      </c>
      <c r="G76" s="34">
        <v>5.09</v>
      </c>
      <c r="H76" s="30">
        <v>106.69</v>
      </c>
      <c r="I76" s="24">
        <v>7202.0</v>
      </c>
      <c r="J76" s="30">
        <v>281.6</v>
      </c>
      <c r="K76" s="24">
        <v>2793.0</v>
      </c>
      <c r="L76" s="24">
        <v>7541.0</v>
      </c>
      <c r="M76" s="32">
        <v>25.77</v>
      </c>
      <c r="N76" s="33">
        <v>22.19</v>
      </c>
      <c r="O76" s="28"/>
      <c r="P76" s="32">
        <v>8.32</v>
      </c>
      <c r="Q76" s="32">
        <v>0.22</v>
      </c>
      <c r="R76" s="32">
        <v>9.51</v>
      </c>
      <c r="S76" s="32">
        <v>1.56</v>
      </c>
      <c r="T76" s="32">
        <v>0.08</v>
      </c>
      <c r="U76" s="32">
        <v>0.44</v>
      </c>
      <c r="V76" s="32">
        <v>11.61</v>
      </c>
      <c r="W76" s="32">
        <v>5.75</v>
      </c>
      <c r="X76" s="32">
        <v>9.92</v>
      </c>
      <c r="Y76" s="28">
        <v>0.6666666666666702</v>
      </c>
      <c r="Z76" s="28">
        <v>0.0</v>
      </c>
      <c r="AA76" s="27">
        <v>9.1</v>
      </c>
      <c r="AB76" s="28">
        <v>10.833333333333334</v>
      </c>
      <c r="AC76" s="28">
        <v>79.4</v>
      </c>
      <c r="AD76" s="28">
        <v>0.0</v>
      </c>
      <c r="AE76" s="28">
        <v>0.0</v>
      </c>
      <c r="AF76" s="32">
        <v>5.84</v>
      </c>
      <c r="AG76" s="32">
        <v>43.97</v>
      </c>
      <c r="AH76" s="32">
        <v>27.64</v>
      </c>
      <c r="AI76" s="32">
        <v>28.39</v>
      </c>
    </row>
    <row r="77" ht="15.75" customHeight="1">
      <c r="A77" s="21">
        <v>76.0</v>
      </c>
      <c r="B77" s="21" t="s">
        <v>102</v>
      </c>
      <c r="C77" s="21" t="s">
        <v>36</v>
      </c>
      <c r="D77" s="22" t="s">
        <v>103</v>
      </c>
      <c r="E77" s="21" t="s">
        <v>104</v>
      </c>
      <c r="F77" s="22" t="s">
        <v>55</v>
      </c>
      <c r="G77" s="23">
        <v>41.7506987744571</v>
      </c>
      <c r="H77" s="24">
        <v>104.27330374128093</v>
      </c>
      <c r="I77" s="24">
        <v>1490.9174311926608</v>
      </c>
      <c r="J77" s="24">
        <v>21.120000000000115</v>
      </c>
      <c r="K77" s="24">
        <v>1566.375</v>
      </c>
      <c r="L77" s="35">
        <v>717.3909100000003</v>
      </c>
      <c r="M77" s="25">
        <v>52.13</v>
      </c>
      <c r="N77" s="23">
        <v>2.0022497187860893</v>
      </c>
      <c r="O77" s="36">
        <v>2.80335E-4</v>
      </c>
      <c r="P77" s="26">
        <v>8.98</v>
      </c>
      <c r="Q77" s="26">
        <v>0.16</v>
      </c>
      <c r="R77" s="26">
        <v>34.87</v>
      </c>
      <c r="S77" s="26">
        <v>1.92</v>
      </c>
      <c r="T77" s="26">
        <v>0.03</v>
      </c>
      <c r="U77" s="26">
        <v>0.72</v>
      </c>
      <c r="V77" s="26">
        <v>37.54</v>
      </c>
      <c r="W77" s="26">
        <v>8.09</v>
      </c>
      <c r="X77" s="26">
        <v>13.95</v>
      </c>
      <c r="Y77" s="21">
        <v>46.0</v>
      </c>
      <c r="Z77" s="37">
        <v>16.0</v>
      </c>
      <c r="AA77" s="21">
        <v>38.0</v>
      </c>
      <c r="AB77" s="21">
        <v>0.0</v>
      </c>
      <c r="AC77" s="21">
        <v>0.0</v>
      </c>
      <c r="AD77" s="28">
        <v>0.0</v>
      </c>
      <c r="AE77" s="28">
        <v>0.0</v>
      </c>
      <c r="AF77" s="26">
        <v>8.13</v>
      </c>
      <c r="AG77" s="26">
        <v>46.5</v>
      </c>
      <c r="AH77" s="26">
        <v>33.78</v>
      </c>
      <c r="AI77" s="26">
        <v>19.71</v>
      </c>
    </row>
    <row r="78" ht="15.75" customHeight="1">
      <c r="A78" s="21">
        <v>77.0</v>
      </c>
      <c r="B78" s="21" t="s">
        <v>102</v>
      </c>
      <c r="C78" s="21" t="s">
        <v>36</v>
      </c>
      <c r="D78" s="22" t="s">
        <v>103</v>
      </c>
      <c r="E78" s="21" t="s">
        <v>105</v>
      </c>
      <c r="F78" s="22" t="s">
        <v>55</v>
      </c>
      <c r="G78" s="23">
        <v>27.22156525478391</v>
      </c>
      <c r="H78" s="24">
        <v>100.82054533925174</v>
      </c>
      <c r="I78" s="24">
        <v>826.0550458715595</v>
      </c>
      <c r="J78" s="24">
        <v>443.5199999999999</v>
      </c>
      <c r="K78" s="24">
        <v>1881.375</v>
      </c>
      <c r="L78" s="35">
        <v>445.7157781334279</v>
      </c>
      <c r="M78" s="25">
        <v>46.35</v>
      </c>
      <c r="N78" s="23">
        <v>1.6751157152311293</v>
      </c>
      <c r="O78" s="36">
        <v>2.18662E-4</v>
      </c>
      <c r="P78" s="26">
        <v>11.24</v>
      </c>
      <c r="Q78" s="26">
        <v>0.19</v>
      </c>
      <c r="R78" s="26">
        <v>35.35</v>
      </c>
      <c r="S78" s="26">
        <v>2.44</v>
      </c>
      <c r="T78" s="26">
        <v>0.03</v>
      </c>
      <c r="U78" s="26">
        <v>0.75</v>
      </c>
      <c r="V78" s="26">
        <v>38.58</v>
      </c>
      <c r="W78" s="26">
        <v>8.75</v>
      </c>
      <c r="X78" s="26">
        <v>15.08</v>
      </c>
      <c r="Y78" s="21">
        <v>59.3</v>
      </c>
      <c r="Z78" s="37">
        <v>0.0</v>
      </c>
      <c r="AA78" s="21">
        <v>37.16</v>
      </c>
      <c r="AB78" s="21">
        <v>3.54</v>
      </c>
      <c r="AC78" s="21">
        <v>0.0</v>
      </c>
      <c r="AD78" s="28">
        <v>0.0</v>
      </c>
      <c r="AE78" s="28">
        <v>0.0</v>
      </c>
      <c r="AF78" s="26">
        <v>8.31</v>
      </c>
      <c r="AG78" s="26">
        <v>48.43</v>
      </c>
      <c r="AH78" s="26">
        <v>31.86</v>
      </c>
      <c r="AI78" s="26">
        <v>19.71</v>
      </c>
    </row>
    <row r="79" ht="15.75" customHeight="1">
      <c r="A79" s="21">
        <v>78.0</v>
      </c>
      <c r="B79" s="21" t="s">
        <v>102</v>
      </c>
      <c r="C79" s="21" t="s">
        <v>36</v>
      </c>
      <c r="D79" s="22" t="s">
        <v>103</v>
      </c>
      <c r="E79" s="21" t="s">
        <v>106</v>
      </c>
      <c r="F79" s="22" t="s">
        <v>55</v>
      </c>
      <c r="G79" s="23">
        <v>34.62319931197592</v>
      </c>
      <c r="H79" s="24">
        <v>96.21686746987953</v>
      </c>
      <c r="I79" s="24">
        <v>1677.4311926605506</v>
      </c>
      <c r="J79" s="24">
        <v>654.72</v>
      </c>
      <c r="K79" s="24">
        <v>2016.375</v>
      </c>
      <c r="L79" s="35">
        <v>321.00106126050446</v>
      </c>
      <c r="M79" s="25">
        <v>47.97</v>
      </c>
      <c r="N79" s="23">
        <v>1.6691333662228658</v>
      </c>
      <c r="O79" s="36">
        <v>1.82055E-4</v>
      </c>
      <c r="P79" s="26">
        <v>6.53</v>
      </c>
      <c r="Q79" s="26">
        <v>0.19</v>
      </c>
      <c r="R79" s="26">
        <v>37.22</v>
      </c>
      <c r="S79" s="26">
        <v>2.37</v>
      </c>
      <c r="T79" s="26">
        <v>0.03</v>
      </c>
      <c r="U79" s="26">
        <v>0.66</v>
      </c>
      <c r="V79" s="26">
        <v>40.29</v>
      </c>
      <c r="W79" s="26">
        <v>8.87</v>
      </c>
      <c r="X79" s="26">
        <v>15.3</v>
      </c>
      <c r="Y79" s="21">
        <v>49.55</v>
      </c>
      <c r="Z79" s="37">
        <v>14.17</v>
      </c>
      <c r="AA79" s="21">
        <v>36.28</v>
      </c>
      <c r="AB79" s="21">
        <v>0.0</v>
      </c>
      <c r="AC79" s="21">
        <v>0.0</v>
      </c>
      <c r="AD79" s="28">
        <v>0.0</v>
      </c>
      <c r="AE79" s="28">
        <v>0.0</v>
      </c>
      <c r="AF79" s="26">
        <v>8.42</v>
      </c>
      <c r="AG79" s="26">
        <v>44.36</v>
      </c>
      <c r="AH79" s="26">
        <v>31.86</v>
      </c>
      <c r="AI79" s="26">
        <v>23.78</v>
      </c>
    </row>
    <row r="80" ht="15.75" customHeight="1">
      <c r="A80" s="21">
        <v>79.0</v>
      </c>
      <c r="B80" s="21" t="s">
        <v>102</v>
      </c>
      <c r="C80" s="21" t="s">
        <v>36</v>
      </c>
      <c r="D80" s="22" t="s">
        <v>103</v>
      </c>
      <c r="E80" s="21" t="s">
        <v>107</v>
      </c>
      <c r="F80" s="22" t="s">
        <v>55</v>
      </c>
      <c r="G80" s="23">
        <v>22.287142549989248</v>
      </c>
      <c r="H80" s="24">
        <v>119.23525681674064</v>
      </c>
      <c r="I80" s="24">
        <v>1281.1009174311928</v>
      </c>
      <c r="J80" s="24">
        <v>464.6399999999999</v>
      </c>
      <c r="K80" s="24">
        <v>1963.8749999999998</v>
      </c>
      <c r="L80" s="35">
        <v>766.0018169799584</v>
      </c>
      <c r="M80" s="25">
        <v>41.61</v>
      </c>
      <c r="N80" s="23">
        <v>1.6140732680457148</v>
      </c>
      <c r="O80" s="36">
        <v>8.74728E-4</v>
      </c>
      <c r="P80" s="26">
        <v>9.73</v>
      </c>
      <c r="Q80" s="26">
        <v>0.2</v>
      </c>
      <c r="R80" s="26">
        <v>36.39</v>
      </c>
      <c r="S80" s="26">
        <v>2.48</v>
      </c>
      <c r="T80" s="26">
        <v>0.03</v>
      </c>
      <c r="U80" s="26">
        <v>0.74</v>
      </c>
      <c r="V80" s="26">
        <v>39.64</v>
      </c>
      <c r="W80" s="26">
        <v>8.5</v>
      </c>
      <c r="X80" s="26">
        <v>14.65</v>
      </c>
      <c r="Y80" s="21">
        <v>60.9</v>
      </c>
      <c r="Z80" s="37">
        <v>19.05</v>
      </c>
      <c r="AA80" s="21">
        <v>18.05</v>
      </c>
      <c r="AB80" s="21">
        <v>2.0</v>
      </c>
      <c r="AC80" s="21">
        <v>0.0</v>
      </c>
      <c r="AD80" s="28">
        <v>0.0</v>
      </c>
      <c r="AE80" s="28">
        <v>0.0</v>
      </c>
      <c r="AF80" s="26">
        <v>8.51</v>
      </c>
      <c r="AG80" s="26">
        <v>56.36</v>
      </c>
      <c r="AH80" s="26">
        <v>23.86</v>
      </c>
      <c r="AI80" s="26">
        <v>19.78</v>
      </c>
    </row>
    <row r="81" ht="15.75" customHeight="1">
      <c r="A81" s="21">
        <v>80.0</v>
      </c>
      <c r="B81" s="21" t="s">
        <v>102</v>
      </c>
      <c r="C81" s="21" t="s">
        <v>36</v>
      </c>
      <c r="D81" s="22" t="s">
        <v>103</v>
      </c>
      <c r="E81" s="21" t="s">
        <v>108</v>
      </c>
      <c r="F81" s="22" t="s">
        <v>55</v>
      </c>
      <c r="G81" s="23">
        <v>6.661470651472803</v>
      </c>
      <c r="H81" s="24">
        <v>77.80215599239061</v>
      </c>
      <c r="I81" s="24">
        <v>1218.715596330275</v>
      </c>
      <c r="J81" s="24">
        <v>843.3919999999998</v>
      </c>
      <c r="K81" s="24">
        <v>1712.625</v>
      </c>
      <c r="L81" s="35">
        <v>379.53315938608466</v>
      </c>
      <c r="M81" s="25">
        <v>41.99</v>
      </c>
      <c r="N81" s="23">
        <v>2.131210681730238</v>
      </c>
      <c r="O81" s="36">
        <v>1.49082E-4</v>
      </c>
      <c r="P81" s="26">
        <v>7.85</v>
      </c>
      <c r="Q81" s="26">
        <v>0.18</v>
      </c>
      <c r="R81" s="26">
        <v>35.83</v>
      </c>
      <c r="S81" s="26">
        <v>2.2</v>
      </c>
      <c r="T81" s="26">
        <v>0.04</v>
      </c>
      <c r="U81" s="26">
        <v>0.73</v>
      </c>
      <c r="V81" s="26">
        <v>38.8</v>
      </c>
      <c r="W81" s="26">
        <v>7.59</v>
      </c>
      <c r="X81" s="26">
        <v>13.08</v>
      </c>
      <c r="Y81" s="21">
        <v>38.64</v>
      </c>
      <c r="Z81" s="37">
        <v>17.0</v>
      </c>
      <c r="AA81" s="21">
        <v>34.36</v>
      </c>
      <c r="AB81" s="21">
        <v>10.0</v>
      </c>
      <c r="AC81" s="21">
        <v>0.0</v>
      </c>
      <c r="AD81" s="28">
        <v>0.0</v>
      </c>
      <c r="AE81" s="28">
        <v>0.0</v>
      </c>
      <c r="AF81" s="26">
        <v>8.49</v>
      </c>
      <c r="AG81" s="26">
        <v>48.36</v>
      </c>
      <c r="AH81" s="26">
        <v>29.86</v>
      </c>
      <c r="AI81" s="26">
        <v>21.78</v>
      </c>
    </row>
    <row r="82" ht="15.75" customHeight="1">
      <c r="A82" s="21">
        <v>81.0</v>
      </c>
      <c r="B82" s="21" t="s">
        <v>102</v>
      </c>
      <c r="C82" s="21" t="s">
        <v>36</v>
      </c>
      <c r="D82" s="22" t="s">
        <v>103</v>
      </c>
      <c r="E82" s="21" t="s">
        <v>109</v>
      </c>
      <c r="F82" s="28" t="s">
        <v>65</v>
      </c>
      <c r="G82" s="23">
        <v>20.916469576435176</v>
      </c>
      <c r="H82" s="24">
        <v>138.8008877615726</v>
      </c>
      <c r="I82" s="24">
        <v>2103.1192660550455</v>
      </c>
      <c r="J82" s="24">
        <v>675.8399999999999</v>
      </c>
      <c r="K82" s="24">
        <v>2207.625</v>
      </c>
      <c r="L82" s="35">
        <v>833.5103766666664</v>
      </c>
      <c r="M82" s="25">
        <v>45.44</v>
      </c>
      <c r="N82" s="23">
        <v>4.262000897263505</v>
      </c>
      <c r="O82" s="36">
        <v>2.808334207E-4</v>
      </c>
      <c r="P82" s="26">
        <v>4.46</v>
      </c>
      <c r="Q82" s="26">
        <v>0.25</v>
      </c>
      <c r="R82" s="26">
        <v>34.64</v>
      </c>
      <c r="S82" s="26">
        <v>3.32</v>
      </c>
      <c r="T82" s="26">
        <v>0.02</v>
      </c>
      <c r="U82" s="26">
        <v>0.36</v>
      </c>
      <c r="V82" s="26">
        <v>38.35</v>
      </c>
      <c r="W82" s="26">
        <v>11.17</v>
      </c>
      <c r="X82" s="26">
        <v>19.26</v>
      </c>
      <c r="Y82" s="21">
        <v>0.0</v>
      </c>
      <c r="Z82" s="21">
        <v>0.0</v>
      </c>
      <c r="AA82" s="28">
        <v>100.0</v>
      </c>
      <c r="AB82" s="21">
        <v>0.0</v>
      </c>
      <c r="AC82" s="21">
        <v>0.0</v>
      </c>
      <c r="AD82" s="28">
        <v>0.0</v>
      </c>
      <c r="AE82" s="28">
        <v>0.0</v>
      </c>
      <c r="AF82" s="26">
        <v>8.45</v>
      </c>
      <c r="AG82" s="26">
        <v>40.36</v>
      </c>
      <c r="AH82" s="26">
        <v>39.86</v>
      </c>
      <c r="AI82" s="26">
        <v>19.78</v>
      </c>
    </row>
    <row r="83" ht="15.75" customHeight="1">
      <c r="A83" s="21">
        <v>82.0</v>
      </c>
      <c r="B83" s="21" t="s">
        <v>102</v>
      </c>
      <c r="C83" s="21" t="s">
        <v>36</v>
      </c>
      <c r="D83" s="22" t="s">
        <v>103</v>
      </c>
      <c r="E83" s="21" t="s">
        <v>110</v>
      </c>
      <c r="F83" s="28" t="s">
        <v>65</v>
      </c>
      <c r="G83" s="23">
        <v>62.31079337776823</v>
      </c>
      <c r="H83" s="24">
        <v>161.8192771084338</v>
      </c>
      <c r="I83" s="24">
        <v>2594.8623853211006</v>
      </c>
      <c r="J83" s="24">
        <v>932.1764571428573</v>
      </c>
      <c r="K83" s="24">
        <v>2518.8749999999995</v>
      </c>
      <c r="L83" s="35">
        <v>757.3936312765957</v>
      </c>
      <c r="M83" s="25">
        <v>43.11</v>
      </c>
      <c r="N83" s="23">
        <v>2.194290583724083</v>
      </c>
      <c r="O83" s="36">
        <v>4.948322484E-4</v>
      </c>
      <c r="P83" s="26">
        <v>4.27</v>
      </c>
      <c r="Q83" s="26">
        <v>0.27</v>
      </c>
      <c r="R83" s="26">
        <v>31.02</v>
      </c>
      <c r="S83" s="26">
        <v>3.61</v>
      </c>
      <c r="T83" s="26">
        <v>0.03</v>
      </c>
      <c r="U83" s="26">
        <v>0.36</v>
      </c>
      <c r="V83" s="26">
        <v>35.02</v>
      </c>
      <c r="W83" s="26">
        <v>11.79</v>
      </c>
      <c r="X83" s="26">
        <v>20.33</v>
      </c>
      <c r="Y83" s="21">
        <v>0.0</v>
      </c>
      <c r="Z83" s="21">
        <v>0.0</v>
      </c>
      <c r="AA83" s="28">
        <v>100.0</v>
      </c>
      <c r="AB83" s="21">
        <v>0.0</v>
      </c>
      <c r="AC83" s="21">
        <v>0.0</v>
      </c>
      <c r="AD83" s="28">
        <v>0.0</v>
      </c>
      <c r="AE83" s="28">
        <v>0.0</v>
      </c>
      <c r="AF83" s="26">
        <v>8.51</v>
      </c>
      <c r="AG83" s="26">
        <v>40.7</v>
      </c>
      <c r="AH83" s="26">
        <v>40.5</v>
      </c>
      <c r="AI83" s="26">
        <v>18.79</v>
      </c>
    </row>
    <row r="84" ht="15.75" customHeight="1">
      <c r="A84" s="21">
        <v>83.0</v>
      </c>
      <c r="B84" s="21" t="s">
        <v>102</v>
      </c>
      <c r="C84" s="21" t="s">
        <v>36</v>
      </c>
      <c r="D84" s="22" t="s">
        <v>103</v>
      </c>
      <c r="E84" s="21" t="s">
        <v>111</v>
      </c>
      <c r="F84" s="28" t="s">
        <v>65</v>
      </c>
      <c r="G84" s="23">
        <v>51.07127499462482</v>
      </c>
      <c r="H84" s="24">
        <v>394.3050095117311</v>
      </c>
      <c r="I84" s="24">
        <v>4774.67889908257</v>
      </c>
      <c r="J84" s="24">
        <v>1330.5600000000004</v>
      </c>
      <c r="K84" s="24">
        <v>5143.875000000001</v>
      </c>
      <c r="L84" s="35">
        <v>766.6035009389363</v>
      </c>
      <c r="M84" s="25">
        <v>29.7</v>
      </c>
      <c r="N84" s="23">
        <v>7.1608040200998175</v>
      </c>
      <c r="O84" s="36">
        <v>5.21663327E-4</v>
      </c>
      <c r="P84" s="26">
        <v>8.42</v>
      </c>
      <c r="Q84" s="26">
        <v>0.45</v>
      </c>
      <c r="R84" s="26">
        <v>35.45</v>
      </c>
      <c r="S84" s="26">
        <v>7.33</v>
      </c>
      <c r="T84" s="26">
        <v>0.04</v>
      </c>
      <c r="U84" s="26">
        <v>0.69</v>
      </c>
      <c r="V84" s="26">
        <v>43.52</v>
      </c>
      <c r="W84" s="26">
        <v>13.39</v>
      </c>
      <c r="X84" s="26">
        <v>23.08</v>
      </c>
      <c r="Y84" s="21">
        <v>0.0</v>
      </c>
      <c r="Z84" s="21">
        <v>0.0</v>
      </c>
      <c r="AA84" s="28">
        <v>100.0</v>
      </c>
      <c r="AB84" s="21">
        <v>0.0</v>
      </c>
      <c r="AC84" s="21">
        <v>0.0</v>
      </c>
      <c r="AD84" s="28">
        <v>0.0</v>
      </c>
      <c r="AE84" s="28">
        <v>0.0</v>
      </c>
      <c r="AF84" s="26">
        <v>8.42</v>
      </c>
      <c r="AG84" s="26">
        <v>38.63</v>
      </c>
      <c r="AH84" s="26">
        <v>44.43</v>
      </c>
      <c r="AI84" s="26">
        <v>16.94</v>
      </c>
    </row>
    <row r="85" ht="15.75" customHeight="1">
      <c r="A85" s="21">
        <v>84.0</v>
      </c>
      <c r="B85" s="21" t="s">
        <v>102</v>
      </c>
      <c r="C85" s="21" t="s">
        <v>36</v>
      </c>
      <c r="D85" s="22" t="s">
        <v>103</v>
      </c>
      <c r="E85" s="21" t="s">
        <v>112</v>
      </c>
      <c r="F85" s="28" t="s">
        <v>65</v>
      </c>
      <c r="G85" s="23">
        <v>11.595893356267469</v>
      </c>
      <c r="H85" s="24">
        <v>116.93341788205451</v>
      </c>
      <c r="I85" s="24">
        <v>2756.330275229357</v>
      </c>
      <c r="J85" s="24">
        <v>628.3501714285713</v>
      </c>
      <c r="K85" s="24">
        <v>1746.375</v>
      </c>
      <c r="L85" s="35">
        <v>576.9651720144834</v>
      </c>
      <c r="M85" s="25">
        <v>50.11</v>
      </c>
      <c r="N85" s="23">
        <v>4.914078987036788</v>
      </c>
      <c r="O85" s="36">
        <v>3.878328345E-4</v>
      </c>
      <c r="P85" s="26">
        <v>4.46</v>
      </c>
      <c r="Q85" s="26">
        <v>0.22</v>
      </c>
      <c r="R85" s="26">
        <v>32.99</v>
      </c>
      <c r="S85" s="26">
        <v>4.1</v>
      </c>
      <c r="T85" s="26">
        <v>0.03</v>
      </c>
      <c r="U85" s="26">
        <v>0.58</v>
      </c>
      <c r="V85" s="26">
        <v>37.69</v>
      </c>
      <c r="W85" s="26">
        <v>10.95</v>
      </c>
      <c r="X85" s="26">
        <v>18.88</v>
      </c>
      <c r="Y85" s="21">
        <v>0.0</v>
      </c>
      <c r="Z85" s="21">
        <v>0.0</v>
      </c>
      <c r="AA85" s="21">
        <v>100.0</v>
      </c>
      <c r="AB85" s="21">
        <v>0.0</v>
      </c>
      <c r="AC85" s="21">
        <v>0.0</v>
      </c>
      <c r="AD85" s="28">
        <v>0.0</v>
      </c>
      <c r="AE85" s="28">
        <v>0.0</v>
      </c>
      <c r="AF85" s="26">
        <v>5.58</v>
      </c>
      <c r="AG85" s="26">
        <v>46.63</v>
      </c>
      <c r="AH85" s="26">
        <v>32.43</v>
      </c>
      <c r="AI85" s="26">
        <v>20.94</v>
      </c>
    </row>
    <row r="86" ht="15.75" customHeight="1">
      <c r="A86" s="21">
        <v>85.0</v>
      </c>
      <c r="B86" s="21" t="s">
        <v>102</v>
      </c>
      <c r="C86" s="21" t="s">
        <v>36</v>
      </c>
      <c r="D86" s="22" t="s">
        <v>103</v>
      </c>
      <c r="E86" s="21" t="s">
        <v>113</v>
      </c>
      <c r="F86" s="28" t="s">
        <v>65</v>
      </c>
      <c r="G86" s="23">
        <v>68.61588905611697</v>
      </c>
      <c r="H86" s="24">
        <v>138.8008877615726</v>
      </c>
      <c r="I86" s="24">
        <v>2448.073394495413</v>
      </c>
      <c r="J86" s="24">
        <v>633.6</v>
      </c>
      <c r="K86" s="24">
        <v>2357.6250000000005</v>
      </c>
      <c r="L86" s="35">
        <v>559.7785899999999</v>
      </c>
      <c r="M86" s="25">
        <v>50.96</v>
      </c>
      <c r="N86" s="23">
        <v>3.002699055330851</v>
      </c>
      <c r="O86" s="36">
        <v>5.082477877E-4</v>
      </c>
      <c r="P86" s="26">
        <v>3.9</v>
      </c>
      <c r="Q86" s="26">
        <v>0.22</v>
      </c>
      <c r="R86" s="26">
        <v>29.54</v>
      </c>
      <c r="S86" s="26">
        <v>3.19</v>
      </c>
      <c r="T86" s="26">
        <v>0.03</v>
      </c>
      <c r="U86" s="26">
        <v>0.35</v>
      </c>
      <c r="V86" s="26">
        <v>33.11</v>
      </c>
      <c r="W86" s="26">
        <v>11.42</v>
      </c>
      <c r="X86" s="26">
        <v>19.69</v>
      </c>
      <c r="Y86" s="21">
        <v>0.0</v>
      </c>
      <c r="Z86" s="21">
        <v>0.0</v>
      </c>
      <c r="AA86" s="21">
        <v>100.0</v>
      </c>
      <c r="AB86" s="21">
        <v>0.0</v>
      </c>
      <c r="AC86" s="21">
        <v>0.0</v>
      </c>
      <c r="AD86" s="28">
        <v>0.0</v>
      </c>
      <c r="AE86" s="28">
        <v>0.0</v>
      </c>
      <c r="AF86" s="26">
        <v>8.49</v>
      </c>
      <c r="AG86" s="26">
        <v>36.63</v>
      </c>
      <c r="AH86" s="26">
        <v>44.43</v>
      </c>
      <c r="AI86" s="26">
        <v>18.94</v>
      </c>
    </row>
    <row r="87" ht="15.75" customHeight="1">
      <c r="A87" s="21">
        <v>86.0</v>
      </c>
      <c r="B87" s="21" t="s">
        <v>102</v>
      </c>
      <c r="C87" s="21" t="s">
        <v>36</v>
      </c>
      <c r="D87" s="22" t="s">
        <v>103</v>
      </c>
      <c r="E87" s="22" t="s">
        <v>114</v>
      </c>
      <c r="F87" s="22" t="s">
        <v>115</v>
      </c>
      <c r="G87" s="23">
        <v>17.352719845194585</v>
      </c>
      <c r="H87" s="24">
        <v>171.02663284717823</v>
      </c>
      <c r="I87" s="24">
        <v>3824.2201834862385</v>
      </c>
      <c r="J87" s="24">
        <v>422.4000000000004</v>
      </c>
      <c r="K87" s="24">
        <v>3186.375000000001</v>
      </c>
      <c r="L87" s="35">
        <v>396.6927753164557</v>
      </c>
      <c r="M87" s="25">
        <v>31.27</v>
      </c>
      <c r="N87" s="23">
        <v>10.985524489390983</v>
      </c>
      <c r="O87" s="36">
        <v>4.12664E-4</v>
      </c>
      <c r="P87" s="26">
        <v>8.79</v>
      </c>
      <c r="Q87" s="26">
        <v>0.32</v>
      </c>
      <c r="R87" s="26">
        <v>41.74</v>
      </c>
      <c r="S87" s="26">
        <v>7.94</v>
      </c>
      <c r="T87" s="26">
        <v>0.07</v>
      </c>
      <c r="U87" s="26">
        <v>2.09</v>
      </c>
      <c r="V87" s="26">
        <v>51.84</v>
      </c>
      <c r="W87" s="26">
        <v>10.04</v>
      </c>
      <c r="X87" s="26">
        <v>17.31</v>
      </c>
      <c r="Y87" s="21">
        <v>19.666666666666668</v>
      </c>
      <c r="Z87" s="21">
        <v>22.333333333333332</v>
      </c>
      <c r="AA87" s="28">
        <v>20.8</v>
      </c>
      <c r="AB87" s="21">
        <v>0.8666666666666667</v>
      </c>
      <c r="AC87" s="21">
        <v>0.0</v>
      </c>
      <c r="AD87" s="28">
        <v>0.0</v>
      </c>
      <c r="AE87" s="38">
        <v>37.06666666666667</v>
      </c>
      <c r="AF87" s="26">
        <v>8.27</v>
      </c>
      <c r="AG87" s="26">
        <v>36.36</v>
      </c>
      <c r="AH87" s="26">
        <v>37.86</v>
      </c>
      <c r="AI87" s="26">
        <v>25.78</v>
      </c>
    </row>
    <row r="88" ht="15.75" customHeight="1">
      <c r="A88" s="21">
        <v>87.0</v>
      </c>
      <c r="B88" s="21" t="s">
        <v>102</v>
      </c>
      <c r="C88" s="21" t="s">
        <v>36</v>
      </c>
      <c r="D88" s="22" t="s">
        <v>103</v>
      </c>
      <c r="E88" s="22" t="s">
        <v>116</v>
      </c>
      <c r="F88" s="22" t="s">
        <v>115</v>
      </c>
      <c r="G88" s="23">
        <v>14.885508492797248</v>
      </c>
      <c r="H88" s="24">
        <v>115.78249841471145</v>
      </c>
      <c r="I88" s="24">
        <v>2892.1100917431186</v>
      </c>
      <c r="J88" s="24">
        <v>633.6000000000004</v>
      </c>
      <c r="K88" s="24">
        <v>2721.375</v>
      </c>
      <c r="L88" s="35">
        <v>245.56241018761716</v>
      </c>
      <c r="M88" s="25">
        <v>40.13</v>
      </c>
      <c r="N88" s="23">
        <v>8.089188488462113</v>
      </c>
      <c r="O88" s="36">
        <v>1.0261E-4</v>
      </c>
      <c r="P88" s="26">
        <v>15.2</v>
      </c>
      <c r="Q88" s="26">
        <v>0.25</v>
      </c>
      <c r="R88" s="26">
        <v>39.41</v>
      </c>
      <c r="S88" s="26">
        <v>5.47</v>
      </c>
      <c r="T88" s="26">
        <v>0.04</v>
      </c>
      <c r="U88" s="26">
        <v>1.3</v>
      </c>
      <c r="V88" s="26">
        <v>46.23</v>
      </c>
      <c r="W88" s="26">
        <v>10.12</v>
      </c>
      <c r="X88" s="26">
        <v>17.45</v>
      </c>
      <c r="Y88" s="21">
        <v>16.733333333333334</v>
      </c>
      <c r="Z88" s="21">
        <v>8.666666666666666</v>
      </c>
      <c r="AA88" s="28">
        <v>38.47</v>
      </c>
      <c r="AB88" s="21">
        <v>0.0</v>
      </c>
      <c r="AC88" s="21">
        <v>0.0</v>
      </c>
      <c r="AD88" s="28">
        <v>0.0</v>
      </c>
      <c r="AE88" s="38">
        <v>39.26666666666667</v>
      </c>
      <c r="AF88" s="26">
        <v>8.36</v>
      </c>
      <c r="AG88" s="26">
        <v>36.36</v>
      </c>
      <c r="AH88" s="26">
        <v>31.78</v>
      </c>
      <c r="AI88" s="26">
        <v>31.86</v>
      </c>
    </row>
    <row r="89" ht="15.75" customHeight="1">
      <c r="A89" s="21">
        <v>88.0</v>
      </c>
      <c r="B89" s="21" t="s">
        <v>102</v>
      </c>
      <c r="C89" s="21" t="s">
        <v>36</v>
      </c>
      <c r="D89" s="22" t="s">
        <v>103</v>
      </c>
      <c r="E89" s="22" t="s">
        <v>117</v>
      </c>
      <c r="F89" s="22" t="s">
        <v>115</v>
      </c>
      <c r="G89" s="23">
        <v>18.449258224037838</v>
      </c>
      <c r="H89" s="24">
        <v>126.14077362079897</v>
      </c>
      <c r="I89" s="24">
        <v>3005.871559633028</v>
      </c>
      <c r="J89" s="24">
        <v>739.1999999999999</v>
      </c>
      <c r="K89" s="24">
        <v>2556.375</v>
      </c>
      <c r="L89" s="35">
        <v>807.9169953432281</v>
      </c>
      <c r="M89" s="25">
        <v>62.59</v>
      </c>
      <c r="N89" s="23">
        <v>7.006633499170704</v>
      </c>
      <c r="O89" s="36">
        <v>1.59804E-4</v>
      </c>
      <c r="P89" s="26">
        <v>5.4</v>
      </c>
      <c r="Q89" s="26">
        <v>0.16</v>
      </c>
      <c r="R89" s="26">
        <v>35.94</v>
      </c>
      <c r="S89" s="26">
        <v>4.4</v>
      </c>
      <c r="T89" s="26">
        <v>0.03</v>
      </c>
      <c r="U89" s="26">
        <v>0.86</v>
      </c>
      <c r="V89" s="26">
        <v>41.23</v>
      </c>
      <c r="W89" s="26">
        <v>10.24</v>
      </c>
      <c r="X89" s="26">
        <v>17.65</v>
      </c>
      <c r="Y89" s="21">
        <v>28.26666666666667</v>
      </c>
      <c r="Z89" s="21">
        <v>8.533333333333333</v>
      </c>
      <c r="AA89" s="28">
        <v>10.27</v>
      </c>
      <c r="AB89" s="21">
        <v>1.4666666666666668</v>
      </c>
      <c r="AC89" s="21">
        <v>0.0</v>
      </c>
      <c r="AD89" s="28">
        <v>0.0</v>
      </c>
      <c r="AE89" s="38">
        <v>51.6</v>
      </c>
      <c r="AF89" s="26">
        <v>8.54</v>
      </c>
      <c r="AG89" s="26">
        <v>38.36</v>
      </c>
      <c r="AH89" s="26">
        <v>31.86</v>
      </c>
      <c r="AI89" s="26">
        <v>29.78</v>
      </c>
    </row>
    <row r="90" ht="15.75" customHeight="1">
      <c r="A90" s="21">
        <v>89.0</v>
      </c>
      <c r="B90" s="21" t="s">
        <v>102</v>
      </c>
      <c r="C90" s="21" t="s">
        <v>36</v>
      </c>
      <c r="D90" s="22" t="s">
        <v>103</v>
      </c>
      <c r="E90" s="22" t="s">
        <v>118</v>
      </c>
      <c r="F90" s="22" t="s">
        <v>115</v>
      </c>
      <c r="G90" s="23">
        <v>9.40281659858095</v>
      </c>
      <c r="H90" s="24">
        <v>100.82054533925174</v>
      </c>
      <c r="I90" s="24">
        <v>1993.0275229357799</v>
      </c>
      <c r="J90" s="24">
        <v>823.6799999999998</v>
      </c>
      <c r="K90" s="24">
        <v>1810.1249999999998</v>
      </c>
      <c r="L90" s="35">
        <v>172.8374487904705</v>
      </c>
      <c r="M90" s="25">
        <v>99.19</v>
      </c>
      <c r="N90" s="23">
        <v>4.616530156366153</v>
      </c>
      <c r="O90" s="36">
        <v>5.2045E-4</v>
      </c>
      <c r="P90" s="26">
        <v>7.66</v>
      </c>
      <c r="Q90" s="26">
        <v>0.12</v>
      </c>
      <c r="R90" s="26">
        <v>22.15</v>
      </c>
      <c r="S90" s="26">
        <v>3.71</v>
      </c>
      <c r="T90" s="26">
        <v>0.04</v>
      </c>
      <c r="U90" s="26">
        <v>0.49</v>
      </c>
      <c r="V90" s="26">
        <v>26.39</v>
      </c>
      <c r="W90" s="26">
        <v>12.23</v>
      </c>
      <c r="X90" s="26">
        <v>21.08</v>
      </c>
      <c r="Y90" s="21">
        <v>26.2</v>
      </c>
      <c r="Z90" s="21">
        <v>6.333333333333333</v>
      </c>
      <c r="AA90" s="28">
        <v>25.13</v>
      </c>
      <c r="AB90" s="21">
        <v>6.333333333333333</v>
      </c>
      <c r="AC90" s="21">
        <v>0.0</v>
      </c>
      <c r="AD90" s="28">
        <v>0.0</v>
      </c>
      <c r="AE90" s="38">
        <v>36.53333333333333</v>
      </c>
      <c r="AF90" s="26">
        <v>8.62</v>
      </c>
      <c r="AG90" s="26">
        <v>64.43</v>
      </c>
      <c r="AH90" s="26">
        <v>19.78</v>
      </c>
      <c r="AI90" s="26">
        <v>15.78</v>
      </c>
    </row>
    <row r="91" ht="15.75" customHeight="1">
      <c r="A91" s="21">
        <v>90.0</v>
      </c>
      <c r="B91" s="21" t="s">
        <v>102</v>
      </c>
      <c r="C91" s="21" t="s">
        <v>36</v>
      </c>
      <c r="D91" s="22" t="s">
        <v>103</v>
      </c>
      <c r="E91" s="22" t="s">
        <v>119</v>
      </c>
      <c r="F91" s="22" t="s">
        <v>115</v>
      </c>
      <c r="G91" s="23">
        <v>18.17512362932703</v>
      </c>
      <c r="H91" s="24">
        <v>133.04629042485732</v>
      </c>
      <c r="I91" s="24">
        <v>3350.8256880733943</v>
      </c>
      <c r="J91" s="24">
        <v>1182.7200000000003</v>
      </c>
      <c r="K91" s="24">
        <v>3302.6250000000005</v>
      </c>
      <c r="L91" s="35">
        <v>257.1228839130433</v>
      </c>
      <c r="M91" s="25">
        <v>59.22</v>
      </c>
      <c r="N91" s="23">
        <v>3.8828489017096075</v>
      </c>
      <c r="O91" s="36">
        <v>5.09933E-4</v>
      </c>
      <c r="P91" s="26">
        <v>8.98</v>
      </c>
      <c r="Q91" s="26">
        <v>0.19</v>
      </c>
      <c r="R91" s="26">
        <v>36.43</v>
      </c>
      <c r="S91" s="26">
        <v>7.83</v>
      </c>
      <c r="T91" s="26">
        <v>0.05</v>
      </c>
      <c r="U91" s="26">
        <v>0.76</v>
      </c>
      <c r="V91" s="26">
        <v>45.07</v>
      </c>
      <c r="W91" s="26">
        <v>11.21</v>
      </c>
      <c r="X91" s="26">
        <v>19.33</v>
      </c>
      <c r="Y91" s="21">
        <v>33.8</v>
      </c>
      <c r="Z91" s="21">
        <v>12.866666666666667</v>
      </c>
      <c r="AA91" s="28">
        <v>24.33</v>
      </c>
      <c r="AB91" s="21">
        <v>4.933333333333334</v>
      </c>
      <c r="AC91" s="21">
        <v>0.0</v>
      </c>
      <c r="AD91" s="28">
        <v>0.0</v>
      </c>
      <c r="AE91" s="21">
        <v>29.0</v>
      </c>
      <c r="AF91" s="26">
        <v>8.68</v>
      </c>
      <c r="AG91" s="26">
        <v>52.36</v>
      </c>
      <c r="AH91" s="26">
        <v>25.86</v>
      </c>
      <c r="AI91" s="26">
        <v>21.78</v>
      </c>
    </row>
    <row r="92" ht="15.75" customHeight="1">
      <c r="A92" s="21">
        <v>91.0</v>
      </c>
      <c r="B92" s="21" t="s">
        <v>102</v>
      </c>
      <c r="C92" s="21" t="s">
        <v>36</v>
      </c>
      <c r="D92" s="22" t="s">
        <v>103</v>
      </c>
      <c r="E92" s="22" t="s">
        <v>120</v>
      </c>
      <c r="F92" s="22" t="s">
        <v>81</v>
      </c>
      <c r="G92" s="23">
        <v>26.947430660073103</v>
      </c>
      <c r="H92" s="24">
        <v>145.70640456563098</v>
      </c>
      <c r="I92" s="24">
        <v>3523.3027522935777</v>
      </c>
      <c r="J92" s="24">
        <v>401.2800000000003</v>
      </c>
      <c r="K92" s="24">
        <v>3028.8750000000005</v>
      </c>
      <c r="L92" s="35">
        <v>508.2375125074627</v>
      </c>
      <c r="M92" s="25">
        <v>41.46</v>
      </c>
      <c r="N92" s="23">
        <v>5.79989004947879</v>
      </c>
      <c r="O92" s="36">
        <v>3.54387E-4</v>
      </c>
      <c r="P92" s="26">
        <v>10.49</v>
      </c>
      <c r="Q92" s="26">
        <v>0.25</v>
      </c>
      <c r="R92" s="26">
        <v>42.67</v>
      </c>
      <c r="S92" s="26">
        <v>4.41</v>
      </c>
      <c r="T92" s="26">
        <v>0.05</v>
      </c>
      <c r="U92" s="26">
        <v>1.06</v>
      </c>
      <c r="V92" s="26">
        <v>48.19</v>
      </c>
      <c r="W92" s="26">
        <v>10.41</v>
      </c>
      <c r="X92" s="26">
        <v>17.95</v>
      </c>
      <c r="Y92" s="21">
        <v>69.2</v>
      </c>
      <c r="Z92" s="37">
        <v>12.2</v>
      </c>
      <c r="AA92" s="21">
        <v>19.0</v>
      </c>
      <c r="AB92" s="37">
        <v>0.0</v>
      </c>
      <c r="AC92" s="21">
        <v>0.0</v>
      </c>
      <c r="AD92" s="28">
        <v>0.0</v>
      </c>
      <c r="AE92" s="21">
        <v>0.0</v>
      </c>
      <c r="AF92" s="26">
        <v>8.5</v>
      </c>
      <c r="AG92" s="26">
        <v>42.36</v>
      </c>
      <c r="AH92" s="26">
        <v>31.78</v>
      </c>
      <c r="AI92" s="26">
        <v>25.86</v>
      </c>
    </row>
    <row r="93" ht="15.75" customHeight="1">
      <c r="A93" s="21">
        <v>92.0</v>
      </c>
      <c r="B93" s="21" t="s">
        <v>102</v>
      </c>
      <c r="C93" s="21" t="s">
        <v>36</v>
      </c>
      <c r="D93" s="22" t="s">
        <v>103</v>
      </c>
      <c r="E93" s="22" t="s">
        <v>121</v>
      </c>
      <c r="F93" s="22" t="s">
        <v>81</v>
      </c>
      <c r="G93" s="23">
        <v>18.99752741345947</v>
      </c>
      <c r="H93" s="24">
        <v>93.91502853519341</v>
      </c>
      <c r="I93" s="24">
        <v>1284.7706422018348</v>
      </c>
      <c r="J93" s="24">
        <v>463.7952</v>
      </c>
      <c r="K93" s="24">
        <v>1911.3750000000002</v>
      </c>
      <c r="L93" s="35">
        <v>237.63629370720173</v>
      </c>
      <c r="M93" s="25">
        <v>68.25</v>
      </c>
      <c r="N93" s="23">
        <v>3.569772832637838</v>
      </c>
      <c r="O93" s="36">
        <v>8.03754E-5</v>
      </c>
      <c r="P93" s="26">
        <v>5.4</v>
      </c>
      <c r="Q93" s="26">
        <v>0.17</v>
      </c>
      <c r="R93" s="26">
        <v>30.23</v>
      </c>
      <c r="S93" s="26">
        <v>3.75</v>
      </c>
      <c r="T93" s="26">
        <v>0.04</v>
      </c>
      <c r="U93" s="26">
        <v>0.57</v>
      </c>
      <c r="V93" s="26">
        <v>34.6</v>
      </c>
      <c r="W93" s="26">
        <v>11.76</v>
      </c>
      <c r="X93" s="26">
        <v>20.27</v>
      </c>
      <c r="Y93" s="21">
        <v>75.0</v>
      </c>
      <c r="Z93" s="37">
        <v>7.26666667</v>
      </c>
      <c r="AA93" s="21">
        <v>5.8</v>
      </c>
      <c r="AB93" s="37">
        <v>12.0</v>
      </c>
      <c r="AC93" s="21">
        <v>0.0</v>
      </c>
      <c r="AD93" s="28">
        <v>0.0</v>
      </c>
      <c r="AE93" s="21">
        <v>0.0</v>
      </c>
      <c r="AF93" s="26">
        <v>8.56</v>
      </c>
      <c r="AG93" s="26">
        <v>60.36</v>
      </c>
      <c r="AH93" s="26">
        <v>19.78</v>
      </c>
      <c r="AI93" s="26">
        <v>19.86</v>
      </c>
    </row>
    <row r="94" ht="15.75" customHeight="1">
      <c r="A94" s="21">
        <v>93.0</v>
      </c>
      <c r="B94" s="21" t="s">
        <v>102</v>
      </c>
      <c r="C94" s="21" t="s">
        <v>36</v>
      </c>
      <c r="D94" s="22" t="s">
        <v>103</v>
      </c>
      <c r="E94" s="22" t="s">
        <v>122</v>
      </c>
      <c r="F94" s="22" t="s">
        <v>81</v>
      </c>
      <c r="G94" s="23">
        <v>10.499354977424208</v>
      </c>
      <c r="H94" s="24">
        <v>43.27457197209891</v>
      </c>
      <c r="I94" s="24">
        <v>1171.0091743119265</v>
      </c>
      <c r="J94" s="24">
        <v>711.7440000000001</v>
      </c>
      <c r="K94" s="24">
        <v>1341.3749999999998</v>
      </c>
      <c r="L94" s="35">
        <v>170.384515604203</v>
      </c>
      <c r="M94" s="25">
        <v>92.09</v>
      </c>
      <c r="N94" s="23">
        <v>1.2358832303432052</v>
      </c>
      <c r="O94" s="36">
        <v>4.75736E-4</v>
      </c>
      <c r="P94" s="26">
        <v>4.27</v>
      </c>
      <c r="Q94" s="26">
        <v>0.11</v>
      </c>
      <c r="R94" s="26">
        <v>34.77</v>
      </c>
      <c r="S94" s="26">
        <v>2.8</v>
      </c>
      <c r="T94" s="26">
        <v>0.03</v>
      </c>
      <c r="U94" s="26">
        <v>0.42</v>
      </c>
      <c r="V94" s="26">
        <v>38.02</v>
      </c>
      <c r="W94" s="26">
        <v>10.24</v>
      </c>
      <c r="X94" s="26">
        <v>17.65</v>
      </c>
      <c r="Y94" s="21">
        <v>59.86666666666667</v>
      </c>
      <c r="Z94" s="37">
        <v>7.86666667</v>
      </c>
      <c r="AA94" s="21">
        <v>15.4</v>
      </c>
      <c r="AB94" s="37">
        <v>16.5333333</v>
      </c>
      <c r="AC94" s="21">
        <v>0.0</v>
      </c>
      <c r="AD94" s="28">
        <v>0.0</v>
      </c>
      <c r="AE94" s="21">
        <v>0.0</v>
      </c>
      <c r="AF94" s="26">
        <v>8.65</v>
      </c>
      <c r="AG94" s="26">
        <v>48.63</v>
      </c>
      <c r="AH94" s="26">
        <v>28.43</v>
      </c>
      <c r="AI94" s="26">
        <v>22.94</v>
      </c>
    </row>
    <row r="95" ht="15.75" customHeight="1">
      <c r="A95" s="21">
        <v>94.0</v>
      </c>
      <c r="B95" s="21" t="s">
        <v>102</v>
      </c>
      <c r="C95" s="21" t="s">
        <v>36</v>
      </c>
      <c r="D95" s="22" t="s">
        <v>103</v>
      </c>
      <c r="E95" s="22" t="s">
        <v>123</v>
      </c>
      <c r="F95" s="22" t="s">
        <v>81</v>
      </c>
      <c r="G95" s="23">
        <v>49.42646742635992</v>
      </c>
      <c r="H95" s="24">
        <v>107.38078630310714</v>
      </c>
      <c r="I95" s="24">
        <v>2514.1284403669724</v>
      </c>
      <c r="J95" s="24">
        <v>401.28000000000003</v>
      </c>
      <c r="K95" s="24">
        <v>2597.625</v>
      </c>
      <c r="L95" s="35">
        <v>567.0491018061166</v>
      </c>
      <c r="M95" s="25">
        <v>47.4</v>
      </c>
      <c r="N95" s="23">
        <v>6.878306878307384</v>
      </c>
      <c r="O95" s="36">
        <v>6.85823E-4</v>
      </c>
      <c r="P95" s="26">
        <v>5.4</v>
      </c>
      <c r="Q95" s="26">
        <v>0.16</v>
      </c>
      <c r="R95" s="26">
        <v>36.53</v>
      </c>
      <c r="S95" s="26">
        <v>6.67</v>
      </c>
      <c r="T95" s="26">
        <v>0.11</v>
      </c>
      <c r="U95" s="26">
        <v>1.69</v>
      </c>
      <c r="V95" s="26">
        <v>45.0</v>
      </c>
      <c r="W95" s="26">
        <v>7.75</v>
      </c>
      <c r="X95" s="26">
        <v>13.36</v>
      </c>
      <c r="Y95" s="21">
        <v>71.53333333333333</v>
      </c>
      <c r="Z95" s="37">
        <v>12.2</v>
      </c>
      <c r="AA95" s="21">
        <v>14.26</v>
      </c>
      <c r="AB95" s="37">
        <v>2.0</v>
      </c>
      <c r="AC95" s="21">
        <v>0.0</v>
      </c>
      <c r="AD95" s="28">
        <v>0.0</v>
      </c>
      <c r="AE95" s="21">
        <v>0.0</v>
      </c>
      <c r="AF95" s="26">
        <v>8.5</v>
      </c>
      <c r="AG95" s="26">
        <v>28.56</v>
      </c>
      <c r="AH95" s="26">
        <v>34.5</v>
      </c>
      <c r="AI95" s="26">
        <v>36.94</v>
      </c>
    </row>
    <row r="96" ht="15.75" customHeight="1">
      <c r="A96" s="21">
        <v>95.0</v>
      </c>
      <c r="B96" s="21" t="s">
        <v>102</v>
      </c>
      <c r="C96" s="21" t="s">
        <v>36</v>
      </c>
      <c r="D96" s="22" t="s">
        <v>103</v>
      </c>
      <c r="E96" s="22" t="s">
        <v>124</v>
      </c>
      <c r="F96" s="22" t="s">
        <v>81</v>
      </c>
      <c r="G96" s="23">
        <v>15.159643087508059</v>
      </c>
      <c r="H96" s="24">
        <v>76.65123652504754</v>
      </c>
      <c r="I96" s="24">
        <v>1413.2110091743118</v>
      </c>
      <c r="J96" s="24">
        <v>591.3600000000002</v>
      </c>
      <c r="K96" s="24">
        <v>2668.8750000000005</v>
      </c>
      <c r="L96" s="35">
        <v>572.0080659109078</v>
      </c>
      <c r="M96" s="25">
        <v>54.26</v>
      </c>
      <c r="N96" s="23">
        <v>7.897984368572466</v>
      </c>
      <c r="O96" s="36">
        <v>1.93072E-4</v>
      </c>
      <c r="P96" s="26">
        <v>15.38</v>
      </c>
      <c r="Q96" s="26">
        <v>0.17</v>
      </c>
      <c r="R96" s="26">
        <v>43.69</v>
      </c>
      <c r="S96" s="26">
        <v>9.03</v>
      </c>
      <c r="T96" s="26">
        <v>0.09</v>
      </c>
      <c r="U96" s="26">
        <v>1.67</v>
      </c>
      <c r="V96" s="26">
        <v>54.48</v>
      </c>
      <c r="W96" s="26">
        <v>9.14</v>
      </c>
      <c r="X96" s="26">
        <v>15.76</v>
      </c>
      <c r="Y96" s="21">
        <v>55.26666666666667</v>
      </c>
      <c r="Z96" s="37">
        <v>8.66666667</v>
      </c>
      <c r="AA96" s="21">
        <v>28.2</v>
      </c>
      <c r="AB96" s="37">
        <v>8.0</v>
      </c>
      <c r="AC96" s="21">
        <v>0.0</v>
      </c>
      <c r="AD96" s="28">
        <v>0.0</v>
      </c>
      <c r="AE96" s="21">
        <v>0.0</v>
      </c>
      <c r="AF96" s="26">
        <v>8.29</v>
      </c>
      <c r="AG96" s="26">
        <v>44.36</v>
      </c>
      <c r="AH96" s="26">
        <v>27.78</v>
      </c>
      <c r="AI96" s="26">
        <v>27.86</v>
      </c>
    </row>
    <row r="97" ht="15.75" customHeight="1">
      <c r="A97" s="21">
        <v>96.0</v>
      </c>
      <c r="B97" s="21" t="s">
        <v>102</v>
      </c>
      <c r="C97" s="21" t="s">
        <v>60</v>
      </c>
      <c r="D97" s="22" t="s">
        <v>125</v>
      </c>
      <c r="E97" s="21" t="s">
        <v>104</v>
      </c>
      <c r="F97" s="22" t="s">
        <v>55</v>
      </c>
      <c r="G97" s="23">
        <v>37.91281444850569</v>
      </c>
      <c r="H97" s="24">
        <v>59.387444514901716</v>
      </c>
      <c r="I97" s="24">
        <v>1684.7706422018348</v>
      </c>
      <c r="J97" s="24">
        <v>646.754742857143</v>
      </c>
      <c r="K97" s="24">
        <v>1870.125</v>
      </c>
      <c r="L97" s="35">
        <v>168.514164237288</v>
      </c>
      <c r="M97" s="25">
        <v>40.89</v>
      </c>
      <c r="N97" s="23">
        <v>2.788021832128422</v>
      </c>
      <c r="O97" s="36">
        <v>6.672646237E-4</v>
      </c>
      <c r="P97" s="26">
        <v>11.24</v>
      </c>
      <c r="Q97" s="26">
        <v>0.24</v>
      </c>
      <c r="R97" s="26">
        <v>37.54</v>
      </c>
      <c r="S97" s="26">
        <v>2.32</v>
      </c>
      <c r="T97" s="26">
        <v>0.03</v>
      </c>
      <c r="U97" s="26">
        <v>0.49</v>
      </c>
      <c r="V97" s="26">
        <v>40.38</v>
      </c>
      <c r="W97" s="26">
        <v>9.95</v>
      </c>
      <c r="X97" s="26">
        <v>17.15</v>
      </c>
      <c r="Y97" s="27">
        <v>0.0</v>
      </c>
      <c r="Z97" s="27">
        <v>0.0</v>
      </c>
      <c r="AA97" s="21">
        <v>100.0</v>
      </c>
      <c r="AB97" s="21">
        <v>0.0</v>
      </c>
      <c r="AC97" s="21">
        <v>0.0</v>
      </c>
      <c r="AD97" s="21">
        <v>0.0</v>
      </c>
      <c r="AE97" s="21">
        <v>0.0</v>
      </c>
      <c r="AF97" s="26">
        <v>8.59</v>
      </c>
      <c r="AG97" s="26">
        <v>44.49</v>
      </c>
      <c r="AH97" s="26">
        <v>32.43</v>
      </c>
      <c r="AI97" s="26">
        <v>23.08</v>
      </c>
    </row>
    <row r="98" ht="15.75" customHeight="1">
      <c r="A98" s="21">
        <v>97.0</v>
      </c>
      <c r="B98" s="21" t="s">
        <v>102</v>
      </c>
      <c r="C98" s="21" t="s">
        <v>60</v>
      </c>
      <c r="D98" s="22" t="s">
        <v>125</v>
      </c>
      <c r="E98" s="21" t="s">
        <v>105</v>
      </c>
      <c r="F98" s="22" t="s">
        <v>55</v>
      </c>
      <c r="G98" s="23">
        <v>18.99752741345947</v>
      </c>
      <c r="H98" s="24">
        <v>34.06721623335447</v>
      </c>
      <c r="I98" s="24">
        <v>2209.5412844036696</v>
      </c>
      <c r="J98" s="24">
        <v>84.76160000000043</v>
      </c>
      <c r="K98" s="24">
        <v>2361.3750000000005</v>
      </c>
      <c r="L98" s="35">
        <v>47.52655851872555</v>
      </c>
      <c r="M98" s="25">
        <v>66.6</v>
      </c>
      <c r="N98" s="23">
        <v>2.563013310676922</v>
      </c>
      <c r="O98" s="36">
        <v>2.409662775E-4</v>
      </c>
      <c r="P98" s="26">
        <v>18.4</v>
      </c>
      <c r="Q98" s="26">
        <v>0.13</v>
      </c>
      <c r="R98" s="26">
        <v>38.25</v>
      </c>
      <c r="S98" s="26">
        <v>2.63</v>
      </c>
      <c r="T98" s="26">
        <v>0.05</v>
      </c>
      <c r="U98" s="26">
        <v>0.58</v>
      </c>
      <c r="V98" s="26">
        <v>41.51</v>
      </c>
      <c r="W98" s="26">
        <v>8.84</v>
      </c>
      <c r="X98" s="26">
        <v>15.24</v>
      </c>
      <c r="Y98" s="28">
        <v>4.0</v>
      </c>
      <c r="Z98" s="27">
        <v>0.0</v>
      </c>
      <c r="AA98" s="21">
        <v>94.35</v>
      </c>
      <c r="AB98" s="21">
        <v>1.65</v>
      </c>
      <c r="AC98" s="21">
        <v>0.0</v>
      </c>
      <c r="AD98" s="21">
        <v>0.0</v>
      </c>
      <c r="AE98" s="21">
        <v>0.0</v>
      </c>
      <c r="AF98" s="26">
        <v>8.45</v>
      </c>
      <c r="AG98" s="26">
        <v>46.36</v>
      </c>
      <c r="AH98" s="26">
        <v>27.78</v>
      </c>
      <c r="AI98" s="26">
        <v>25.86</v>
      </c>
    </row>
    <row r="99" ht="15.75" customHeight="1">
      <c r="A99" s="21">
        <v>98.0</v>
      </c>
      <c r="B99" s="21" t="s">
        <v>102</v>
      </c>
      <c r="C99" s="21" t="s">
        <v>60</v>
      </c>
      <c r="D99" s="22" t="s">
        <v>125</v>
      </c>
      <c r="E99" s="21" t="s">
        <v>106</v>
      </c>
      <c r="F99" s="22" t="s">
        <v>55</v>
      </c>
      <c r="G99" s="23">
        <v>6.3873360567619875</v>
      </c>
      <c r="H99" s="24">
        <v>39.82181357006975</v>
      </c>
      <c r="I99" s="24">
        <v>1009.5412844036697</v>
      </c>
      <c r="J99" s="24">
        <v>282.0787200000001</v>
      </c>
      <c r="K99" s="24">
        <v>1322.625</v>
      </c>
      <c r="L99" s="35">
        <v>65.82729230088489</v>
      </c>
      <c r="M99" s="25">
        <v>54.12</v>
      </c>
      <c r="N99" s="23">
        <v>2.717501520989103</v>
      </c>
      <c r="O99" s="36">
        <v>1.044297993E-4</v>
      </c>
      <c r="P99" s="26">
        <v>4.65</v>
      </c>
      <c r="Q99" s="26">
        <v>0.17</v>
      </c>
      <c r="R99" s="26">
        <v>35.85</v>
      </c>
      <c r="S99" s="26">
        <v>3.68</v>
      </c>
      <c r="T99" s="26">
        <v>0.03</v>
      </c>
      <c r="U99" s="26">
        <v>0.43</v>
      </c>
      <c r="V99" s="26">
        <v>39.99</v>
      </c>
      <c r="W99" s="26">
        <v>9.44</v>
      </c>
      <c r="X99" s="26">
        <v>16.28</v>
      </c>
      <c r="Y99" s="27">
        <v>3.17</v>
      </c>
      <c r="Z99" s="27">
        <v>1.0</v>
      </c>
      <c r="AA99" s="27">
        <v>94.82083333333333</v>
      </c>
      <c r="AB99" s="21">
        <v>1.0</v>
      </c>
      <c r="AC99" s="21">
        <v>0.0</v>
      </c>
      <c r="AD99" s="21">
        <v>0.0</v>
      </c>
      <c r="AE99" s="21">
        <v>0.0</v>
      </c>
      <c r="AF99" s="26">
        <v>8.67</v>
      </c>
      <c r="AG99" s="26">
        <v>34.58</v>
      </c>
      <c r="AH99" s="26">
        <v>33.71</v>
      </c>
      <c r="AI99" s="26">
        <v>31.71</v>
      </c>
    </row>
    <row r="100" ht="15.75" customHeight="1">
      <c r="A100" s="21">
        <v>99.0</v>
      </c>
      <c r="B100" s="21" t="s">
        <v>102</v>
      </c>
      <c r="C100" s="21" t="s">
        <v>60</v>
      </c>
      <c r="D100" s="22" t="s">
        <v>125</v>
      </c>
      <c r="E100" s="21" t="s">
        <v>107</v>
      </c>
      <c r="F100" s="22" t="s">
        <v>55</v>
      </c>
      <c r="G100" s="23">
        <v>15.707912276929692</v>
      </c>
      <c r="H100" s="24">
        <v>61.68928344958784</v>
      </c>
      <c r="I100" s="24">
        <v>1237.0642201834862</v>
      </c>
      <c r="J100" s="24">
        <v>675.84</v>
      </c>
      <c r="K100" s="24">
        <v>1933.8750000000005</v>
      </c>
      <c r="L100" s="35">
        <v>164.22791568927778</v>
      </c>
      <c r="M100" s="25">
        <v>49.79</v>
      </c>
      <c r="N100" s="23">
        <v>3.649265078560177</v>
      </c>
      <c r="O100" s="36">
        <v>4.541154506E-4</v>
      </c>
      <c r="P100" s="26">
        <v>6.16</v>
      </c>
      <c r="Q100" s="26">
        <v>0.19</v>
      </c>
      <c r="R100" s="26">
        <v>36.64</v>
      </c>
      <c r="S100" s="26">
        <v>3.08</v>
      </c>
      <c r="T100" s="26">
        <v>0.04</v>
      </c>
      <c r="U100" s="26">
        <v>0.52</v>
      </c>
      <c r="V100" s="26">
        <v>40.28</v>
      </c>
      <c r="W100" s="26">
        <v>9.36</v>
      </c>
      <c r="X100" s="26">
        <v>16.13</v>
      </c>
      <c r="Y100" s="27">
        <v>7.0</v>
      </c>
      <c r="Z100" s="27">
        <v>0.48333</v>
      </c>
      <c r="AA100" s="27">
        <v>92.51666666666665</v>
      </c>
      <c r="AB100" s="21">
        <v>0.0</v>
      </c>
      <c r="AC100" s="21">
        <v>0.0</v>
      </c>
      <c r="AD100" s="21">
        <v>0.0</v>
      </c>
      <c r="AE100" s="21">
        <v>0.0</v>
      </c>
      <c r="AF100" s="26">
        <v>8.58</v>
      </c>
      <c r="AG100" s="26">
        <v>48.58</v>
      </c>
      <c r="AH100" s="26">
        <v>25.71</v>
      </c>
      <c r="AI100" s="26">
        <v>25.71</v>
      </c>
    </row>
    <row r="101" ht="15.75" customHeight="1">
      <c r="A101" s="21">
        <v>100.0</v>
      </c>
      <c r="B101" s="21" t="s">
        <v>102</v>
      </c>
      <c r="C101" s="21" t="s">
        <v>60</v>
      </c>
      <c r="D101" s="22" t="s">
        <v>125</v>
      </c>
      <c r="E101" s="21" t="s">
        <v>108</v>
      </c>
      <c r="F101" s="22" t="s">
        <v>55</v>
      </c>
      <c r="G101" s="23">
        <v>14.337239303375616</v>
      </c>
      <c r="H101" s="24">
        <v>75.5003170577045</v>
      </c>
      <c r="I101" s="24">
        <v>1130.6422018348626</v>
      </c>
      <c r="J101" s="24">
        <v>591.3600000000001</v>
      </c>
      <c r="K101" s="24">
        <v>1735.125</v>
      </c>
      <c r="L101" s="35">
        <v>106.25278937195458</v>
      </c>
      <c r="M101" s="25">
        <v>56.79</v>
      </c>
      <c r="N101" s="23">
        <v>2.702702702702922</v>
      </c>
      <c r="O101" s="36">
        <v>1.726980384E-4</v>
      </c>
      <c r="P101" s="26">
        <v>8.23</v>
      </c>
      <c r="Q101" s="26">
        <v>0.14</v>
      </c>
      <c r="R101" s="26">
        <v>36.39</v>
      </c>
      <c r="S101" s="26">
        <v>2.49</v>
      </c>
      <c r="T101" s="26">
        <v>0.04</v>
      </c>
      <c r="U101" s="26">
        <v>0.6</v>
      </c>
      <c r="V101" s="26">
        <v>39.52</v>
      </c>
      <c r="W101" s="26">
        <v>7.67</v>
      </c>
      <c r="X101" s="26">
        <v>13.22</v>
      </c>
      <c r="Y101" s="27">
        <v>18.2</v>
      </c>
      <c r="Z101" s="27">
        <v>2.0</v>
      </c>
      <c r="AA101" s="27">
        <v>79.98333333333333</v>
      </c>
      <c r="AB101" s="21">
        <v>0.0</v>
      </c>
      <c r="AC101" s="21">
        <v>0.0</v>
      </c>
      <c r="AD101" s="21">
        <v>0.0</v>
      </c>
      <c r="AE101" s="21">
        <v>0.0</v>
      </c>
      <c r="AF101" s="26">
        <v>8.53</v>
      </c>
      <c r="AG101" s="26">
        <v>46.5</v>
      </c>
      <c r="AH101" s="26">
        <v>21.78</v>
      </c>
      <c r="AI101" s="26">
        <v>31.71</v>
      </c>
    </row>
    <row r="102" ht="15.75" customHeight="1">
      <c r="A102" s="21">
        <v>101.0</v>
      </c>
      <c r="B102" s="21" t="s">
        <v>102</v>
      </c>
      <c r="C102" s="21" t="s">
        <v>60</v>
      </c>
      <c r="D102" s="22" t="s">
        <v>125</v>
      </c>
      <c r="E102" s="21" t="s">
        <v>109</v>
      </c>
      <c r="F102" s="22" t="s">
        <v>65</v>
      </c>
      <c r="G102" s="23">
        <v>52.7160825628897</v>
      </c>
      <c r="H102" s="24">
        <v>349.4191502853519</v>
      </c>
      <c r="I102" s="24">
        <v>4268.256880733946</v>
      </c>
      <c r="J102" s="24">
        <v>1161.6000000000001</v>
      </c>
      <c r="K102" s="24">
        <v>4243.875</v>
      </c>
      <c r="L102" s="35">
        <v>162.34732777786303</v>
      </c>
      <c r="M102" s="25">
        <v>29.84</v>
      </c>
      <c r="N102" s="23">
        <v>11.385338622006813</v>
      </c>
      <c r="O102" s="36">
        <v>2.808334207E-4</v>
      </c>
      <c r="P102" s="26">
        <v>13.5</v>
      </c>
      <c r="Q102" s="26">
        <v>0.44</v>
      </c>
      <c r="R102" s="26">
        <v>39.55</v>
      </c>
      <c r="S102" s="26">
        <v>16.49</v>
      </c>
      <c r="T102" s="26">
        <v>0.08</v>
      </c>
      <c r="U102" s="26">
        <v>0.84</v>
      </c>
      <c r="V102" s="26">
        <v>56.96</v>
      </c>
      <c r="W102" s="26">
        <v>13.03</v>
      </c>
      <c r="X102" s="26">
        <v>22.46</v>
      </c>
      <c r="Y102" s="21">
        <v>0.0</v>
      </c>
      <c r="Z102" s="21">
        <v>0.0</v>
      </c>
      <c r="AA102" s="21">
        <v>100.0</v>
      </c>
      <c r="AB102" s="21">
        <v>0.0</v>
      </c>
      <c r="AC102" s="21">
        <v>0.0</v>
      </c>
      <c r="AD102" s="21">
        <v>0.0</v>
      </c>
      <c r="AE102" s="21">
        <v>0.0</v>
      </c>
      <c r="AF102" s="26">
        <v>8.54</v>
      </c>
      <c r="AG102" s="26">
        <v>60.5</v>
      </c>
      <c r="AH102" s="26">
        <v>21.71</v>
      </c>
      <c r="AI102" s="26">
        <v>17.78</v>
      </c>
    </row>
    <row r="103" ht="15.75" customHeight="1">
      <c r="A103" s="21">
        <v>102.0</v>
      </c>
      <c r="B103" s="21" t="s">
        <v>102</v>
      </c>
      <c r="C103" s="21" t="s">
        <v>60</v>
      </c>
      <c r="D103" s="22" t="s">
        <v>125</v>
      </c>
      <c r="E103" s="21" t="s">
        <v>110</v>
      </c>
      <c r="F103" s="22" t="s">
        <v>65</v>
      </c>
      <c r="G103" s="23">
        <v>18.17512362932702</v>
      </c>
      <c r="H103" s="24">
        <v>129.59353202282816</v>
      </c>
      <c r="I103" s="24">
        <v>3273.761467889908</v>
      </c>
      <c r="J103" s="24">
        <v>443.52000000000004</v>
      </c>
      <c r="K103" s="24">
        <v>2650.125</v>
      </c>
      <c r="L103" s="35">
        <v>110.09811039895067</v>
      </c>
      <c r="M103" s="25">
        <v>45.12</v>
      </c>
      <c r="N103" s="23">
        <v>6.635944700460897</v>
      </c>
      <c r="O103" s="36">
        <v>4.948322484E-4</v>
      </c>
      <c r="P103" s="26">
        <v>6.35</v>
      </c>
      <c r="Q103" s="26">
        <v>0.2</v>
      </c>
      <c r="R103" s="26">
        <v>35.51</v>
      </c>
      <c r="S103" s="26">
        <v>10.48</v>
      </c>
      <c r="T103" s="26">
        <v>0.08</v>
      </c>
      <c r="U103" s="26">
        <v>1.04</v>
      </c>
      <c r="V103" s="26">
        <v>47.12</v>
      </c>
      <c r="W103" s="26">
        <v>9.16</v>
      </c>
      <c r="X103" s="26">
        <v>15.79</v>
      </c>
      <c r="Y103" s="21">
        <v>0.0</v>
      </c>
      <c r="Z103" s="21">
        <v>0.0</v>
      </c>
      <c r="AA103" s="21">
        <v>100.0</v>
      </c>
      <c r="AB103" s="21">
        <v>0.0</v>
      </c>
      <c r="AC103" s="21">
        <v>0.0</v>
      </c>
      <c r="AD103" s="21">
        <v>0.0</v>
      </c>
      <c r="AE103" s="21">
        <v>0.0</v>
      </c>
      <c r="AF103" s="26">
        <v>8.53</v>
      </c>
      <c r="AG103" s="26">
        <v>56.5</v>
      </c>
      <c r="AH103" s="26">
        <v>21.71</v>
      </c>
      <c r="AI103" s="26">
        <v>21.78</v>
      </c>
    </row>
    <row r="104" ht="15.75" customHeight="1">
      <c r="A104" s="21">
        <v>103.0</v>
      </c>
      <c r="B104" s="21" t="s">
        <v>102</v>
      </c>
      <c r="C104" s="21" t="s">
        <v>60</v>
      </c>
      <c r="D104" s="22" t="s">
        <v>125</v>
      </c>
      <c r="E104" s="21" t="s">
        <v>111</v>
      </c>
      <c r="F104" s="22" t="s">
        <v>65</v>
      </c>
      <c r="G104" s="23">
        <v>26.399161470651475</v>
      </c>
      <c r="H104" s="24">
        <v>202.10145846544074</v>
      </c>
      <c r="I104" s="24">
        <v>4242.56880733945</v>
      </c>
      <c r="J104" s="24">
        <v>654.7200000000003</v>
      </c>
      <c r="K104" s="24">
        <v>3306.3750000000005</v>
      </c>
      <c r="L104" s="35">
        <v>72.84459158547998</v>
      </c>
      <c r="M104" s="25">
        <v>38.88</v>
      </c>
      <c r="N104" s="23">
        <v>7.800531499139282</v>
      </c>
      <c r="O104" s="36">
        <v>5.21663327E-4</v>
      </c>
      <c r="P104" s="26">
        <v>8.23</v>
      </c>
      <c r="Q104" s="26">
        <v>0.23</v>
      </c>
      <c r="R104" s="26">
        <v>36.36</v>
      </c>
      <c r="S104" s="26">
        <v>10.21</v>
      </c>
      <c r="T104" s="26">
        <v>0.09</v>
      </c>
      <c r="U104" s="26">
        <v>1.01</v>
      </c>
      <c r="V104" s="26">
        <v>47.67</v>
      </c>
      <c r="W104" s="26">
        <v>9.02</v>
      </c>
      <c r="X104" s="26">
        <v>15.55</v>
      </c>
      <c r="Y104" s="21">
        <v>0.0</v>
      </c>
      <c r="Z104" s="21">
        <v>0.0</v>
      </c>
      <c r="AA104" s="21">
        <v>100.0</v>
      </c>
      <c r="AB104" s="21">
        <v>0.0</v>
      </c>
      <c r="AC104" s="21">
        <v>0.0</v>
      </c>
      <c r="AD104" s="21">
        <v>0.0</v>
      </c>
      <c r="AE104" s="21">
        <v>0.0</v>
      </c>
      <c r="AF104" s="26">
        <v>8.69</v>
      </c>
      <c r="AG104" s="26">
        <v>56.5</v>
      </c>
      <c r="AH104" s="26">
        <v>21.71</v>
      </c>
      <c r="AI104" s="26">
        <v>21.78</v>
      </c>
    </row>
    <row r="105" ht="15.75" customHeight="1">
      <c r="A105" s="21">
        <v>104.0</v>
      </c>
      <c r="B105" s="21" t="s">
        <v>102</v>
      </c>
      <c r="C105" s="21" t="s">
        <v>60</v>
      </c>
      <c r="D105" s="22" t="s">
        <v>125</v>
      </c>
      <c r="E105" s="21" t="s">
        <v>112</v>
      </c>
      <c r="F105" s="22" t="s">
        <v>65</v>
      </c>
      <c r="G105" s="23">
        <v>51.893678778757256</v>
      </c>
      <c r="H105" s="24">
        <v>392.003170577045</v>
      </c>
      <c r="I105" s="24">
        <v>5471.926605504587</v>
      </c>
      <c r="J105" s="24">
        <v>1372.8000000000004</v>
      </c>
      <c r="K105" s="24">
        <v>4791.375</v>
      </c>
      <c r="L105" s="35">
        <v>47.74712368853136</v>
      </c>
      <c r="M105" s="25">
        <v>35.4</v>
      </c>
      <c r="N105" s="23">
        <v>10.182689427972122</v>
      </c>
      <c r="O105" s="36">
        <v>3.878328345E-4</v>
      </c>
      <c r="P105" s="26">
        <v>10.5</v>
      </c>
      <c r="Q105" s="26">
        <v>0.2</v>
      </c>
      <c r="R105" s="26">
        <v>37.5</v>
      </c>
      <c r="S105" s="26">
        <v>10.33</v>
      </c>
      <c r="T105" s="26">
        <v>0.08</v>
      </c>
      <c r="U105" s="26">
        <v>0.9</v>
      </c>
      <c r="V105" s="26">
        <v>47.7</v>
      </c>
      <c r="W105" s="26">
        <v>10.5</v>
      </c>
      <c r="X105" s="26">
        <v>15.5</v>
      </c>
      <c r="Y105" s="21">
        <v>0.0</v>
      </c>
      <c r="Z105" s="21">
        <v>0.0</v>
      </c>
      <c r="AA105" s="21">
        <v>100.0</v>
      </c>
      <c r="AB105" s="21">
        <v>0.0</v>
      </c>
      <c r="AC105" s="21">
        <v>0.0</v>
      </c>
      <c r="AD105" s="21">
        <v>0.0</v>
      </c>
      <c r="AE105" s="21">
        <v>0.0</v>
      </c>
      <c r="AF105" s="26">
        <v>8.5</v>
      </c>
      <c r="AG105" s="26">
        <v>57.0</v>
      </c>
      <c r="AH105" s="26">
        <v>21.71</v>
      </c>
      <c r="AI105" s="26">
        <v>20.0</v>
      </c>
    </row>
    <row r="106" ht="15.75" customHeight="1">
      <c r="A106" s="21">
        <v>105.0</v>
      </c>
      <c r="B106" s="21" t="s">
        <v>102</v>
      </c>
      <c r="C106" s="21" t="s">
        <v>60</v>
      </c>
      <c r="D106" s="22" t="s">
        <v>125</v>
      </c>
      <c r="E106" s="21" t="s">
        <v>113</v>
      </c>
      <c r="F106" s="22" t="s">
        <v>65</v>
      </c>
      <c r="G106" s="23">
        <v>33.52666093313265</v>
      </c>
      <c r="H106" s="24">
        <v>234.3272035510463</v>
      </c>
      <c r="I106" s="24">
        <v>4334.311926605505</v>
      </c>
      <c r="J106" s="24">
        <v>718.0800000000004</v>
      </c>
      <c r="K106" s="24">
        <v>1678.875</v>
      </c>
      <c r="L106" s="35">
        <v>68.0390818331797</v>
      </c>
      <c r="M106" s="25">
        <v>32.28</v>
      </c>
      <c r="N106" s="23">
        <v>6.767187219529859</v>
      </c>
      <c r="O106" s="36">
        <v>5.082477877E-4</v>
      </c>
      <c r="P106" s="26">
        <v>24.8</v>
      </c>
      <c r="Q106" s="26">
        <v>0.35</v>
      </c>
      <c r="R106" s="26">
        <v>41.32</v>
      </c>
      <c r="S106" s="26">
        <v>9.82</v>
      </c>
      <c r="T106" s="26">
        <v>0.08</v>
      </c>
      <c r="U106" s="26">
        <v>0.8</v>
      </c>
      <c r="V106" s="26">
        <v>52.02</v>
      </c>
      <c r="W106" s="26">
        <v>11.38</v>
      </c>
      <c r="X106" s="26">
        <v>19.62</v>
      </c>
      <c r="Y106" s="21">
        <v>0.0</v>
      </c>
      <c r="Z106" s="21">
        <v>0.0</v>
      </c>
      <c r="AA106" s="21">
        <v>100.0</v>
      </c>
      <c r="AB106" s="21">
        <v>0.0</v>
      </c>
      <c r="AC106" s="21">
        <v>0.0</v>
      </c>
      <c r="AD106" s="21">
        <v>0.0</v>
      </c>
      <c r="AE106" s="21">
        <v>0.0</v>
      </c>
      <c r="AF106" s="26">
        <v>8.45</v>
      </c>
      <c r="AG106" s="26">
        <v>62.5</v>
      </c>
      <c r="AH106" s="26">
        <v>21.71</v>
      </c>
      <c r="AI106" s="26">
        <v>15.78</v>
      </c>
    </row>
    <row r="107" ht="15.75" customHeight="1">
      <c r="A107" s="21">
        <v>106.0</v>
      </c>
      <c r="B107" s="21" t="s">
        <v>102</v>
      </c>
      <c r="C107" s="21" t="s">
        <v>60</v>
      </c>
      <c r="D107" s="22" t="s">
        <v>125</v>
      </c>
      <c r="E107" s="22" t="s">
        <v>126</v>
      </c>
      <c r="F107" s="22" t="s">
        <v>49</v>
      </c>
      <c r="G107" s="23">
        <v>30.5111803913137</v>
      </c>
      <c r="H107" s="24">
        <v>118.0843373493976</v>
      </c>
      <c r="I107" s="24">
        <v>4352.660550458715</v>
      </c>
      <c r="J107" s="24">
        <v>253.43999999999994</v>
      </c>
      <c r="K107" s="24">
        <v>2627.625</v>
      </c>
      <c r="L107" s="35">
        <v>38.58507125758695</v>
      </c>
      <c r="M107" s="25">
        <v>40.94</v>
      </c>
      <c r="N107" s="23">
        <v>8.468619246861806</v>
      </c>
      <c r="O107" s="36">
        <v>1.569588829E-4</v>
      </c>
      <c r="P107" s="26">
        <v>6.91</v>
      </c>
      <c r="Q107" s="26">
        <v>0.27</v>
      </c>
      <c r="R107" s="26">
        <v>39.36</v>
      </c>
      <c r="S107" s="26">
        <v>5.87</v>
      </c>
      <c r="T107" s="26">
        <v>0.06</v>
      </c>
      <c r="U107" s="26">
        <v>0.76</v>
      </c>
      <c r="V107" s="26">
        <v>46.05</v>
      </c>
      <c r="W107" s="26">
        <v>11.07</v>
      </c>
      <c r="X107" s="26">
        <v>19.08</v>
      </c>
      <c r="Y107" s="21">
        <v>0.0</v>
      </c>
      <c r="Z107" s="21">
        <v>0.0</v>
      </c>
      <c r="AA107" s="21">
        <v>100.0</v>
      </c>
      <c r="AB107" s="21">
        <v>0.0</v>
      </c>
      <c r="AC107" s="21">
        <v>0.0</v>
      </c>
      <c r="AD107" s="21">
        <v>0.0</v>
      </c>
      <c r="AE107" s="21">
        <v>0.0</v>
      </c>
      <c r="AF107" s="26">
        <v>8.55</v>
      </c>
      <c r="AG107" s="26">
        <v>58.5</v>
      </c>
      <c r="AH107" s="26">
        <v>21.71</v>
      </c>
      <c r="AI107" s="26">
        <v>19.78</v>
      </c>
    </row>
    <row r="108" ht="15.75" customHeight="1">
      <c r="A108" s="21">
        <v>107.0</v>
      </c>
      <c r="B108" s="21" t="s">
        <v>102</v>
      </c>
      <c r="C108" s="21" t="s">
        <v>60</v>
      </c>
      <c r="D108" s="22" t="s">
        <v>125</v>
      </c>
      <c r="E108" s="22" t="s">
        <v>127</v>
      </c>
      <c r="F108" s="22" t="s">
        <v>49</v>
      </c>
      <c r="G108" s="23">
        <v>65.87454310900883</v>
      </c>
      <c r="H108" s="24">
        <v>131.89537095751427</v>
      </c>
      <c r="I108" s="24">
        <v>3424.2201834862385</v>
      </c>
      <c r="J108" s="24">
        <v>401.2800000000003</v>
      </c>
      <c r="K108" s="24">
        <v>3340.1250000000005</v>
      </c>
      <c r="L108" s="35">
        <v>195.8316255215069</v>
      </c>
      <c r="M108" s="25">
        <v>39.22</v>
      </c>
      <c r="N108" s="23">
        <v>4.6801872074884585</v>
      </c>
      <c r="O108" s="36">
        <v>3.578828287E-4</v>
      </c>
      <c r="P108" s="26">
        <v>9.36</v>
      </c>
      <c r="Q108" s="26">
        <v>0.26</v>
      </c>
      <c r="R108" s="26">
        <v>40.18</v>
      </c>
      <c r="S108" s="26">
        <v>3.08</v>
      </c>
      <c r="T108" s="26">
        <v>0.05</v>
      </c>
      <c r="U108" s="26">
        <v>0.74</v>
      </c>
      <c r="V108" s="26">
        <v>44.05</v>
      </c>
      <c r="W108" s="26">
        <v>10.35</v>
      </c>
      <c r="X108" s="26">
        <v>17.84</v>
      </c>
      <c r="Y108" s="21">
        <v>0.0</v>
      </c>
      <c r="Z108" s="21">
        <v>0.0</v>
      </c>
      <c r="AA108" s="21">
        <v>100.0</v>
      </c>
      <c r="AB108" s="21">
        <v>0.0</v>
      </c>
      <c r="AC108" s="21">
        <v>0.0</v>
      </c>
      <c r="AD108" s="21">
        <v>0.0</v>
      </c>
      <c r="AE108" s="21">
        <v>0.0</v>
      </c>
      <c r="AF108" s="26">
        <v>8.46</v>
      </c>
      <c r="AG108" s="26">
        <v>60.07</v>
      </c>
      <c r="AH108" s="26">
        <v>21.78</v>
      </c>
      <c r="AI108" s="26">
        <v>18.14</v>
      </c>
    </row>
    <row r="109" ht="15.75" customHeight="1">
      <c r="A109" s="21">
        <v>108.0</v>
      </c>
      <c r="B109" s="21" t="s">
        <v>102</v>
      </c>
      <c r="C109" s="21" t="s">
        <v>60</v>
      </c>
      <c r="D109" s="22" t="s">
        <v>125</v>
      </c>
      <c r="E109" s="22" t="s">
        <v>128</v>
      </c>
      <c r="F109" s="22" t="s">
        <v>49</v>
      </c>
      <c r="G109" s="23">
        <v>0.08224037841324015</v>
      </c>
      <c r="H109" s="24">
        <v>154.91376030437542</v>
      </c>
      <c r="I109" s="24">
        <v>3310.4587155963304</v>
      </c>
      <c r="J109" s="24">
        <v>232.31999999999994</v>
      </c>
      <c r="K109" s="24">
        <v>3505.1250000000005</v>
      </c>
      <c r="L109" s="35">
        <v>31.041822538813562</v>
      </c>
      <c r="M109" s="25">
        <v>38.41</v>
      </c>
      <c r="N109" s="23">
        <v>3.669892276793746</v>
      </c>
      <c r="O109" s="36">
        <v>2.363747683E-4</v>
      </c>
      <c r="P109" s="26">
        <v>12.75</v>
      </c>
      <c r="Q109" s="26">
        <v>0.25</v>
      </c>
      <c r="R109" s="26">
        <v>39.57</v>
      </c>
      <c r="S109" s="26">
        <v>2.71</v>
      </c>
      <c r="T109" s="26">
        <v>0.05</v>
      </c>
      <c r="U109" s="26">
        <v>0.73</v>
      </c>
      <c r="V109" s="26">
        <v>43.06</v>
      </c>
      <c r="W109" s="26">
        <v>9.71</v>
      </c>
      <c r="X109" s="26">
        <v>16.75</v>
      </c>
      <c r="Y109" s="21">
        <v>0.0</v>
      </c>
      <c r="Z109" s="21">
        <v>0.0</v>
      </c>
      <c r="AA109" s="21">
        <v>100.0</v>
      </c>
      <c r="AB109" s="21">
        <v>0.0</v>
      </c>
      <c r="AC109" s="21">
        <v>0.0</v>
      </c>
      <c r="AD109" s="21">
        <v>0.0</v>
      </c>
      <c r="AE109" s="21">
        <v>0.0</v>
      </c>
      <c r="AF109" s="26">
        <v>8.4</v>
      </c>
      <c r="AG109" s="26">
        <v>58.07</v>
      </c>
      <c r="AH109" s="26">
        <v>21.86</v>
      </c>
      <c r="AI109" s="26">
        <v>20.07</v>
      </c>
    </row>
    <row r="110" ht="15.75" customHeight="1">
      <c r="A110" s="21">
        <v>109.0</v>
      </c>
      <c r="B110" s="21" t="s">
        <v>102</v>
      </c>
      <c r="C110" s="21" t="s">
        <v>60</v>
      </c>
      <c r="D110" s="22" t="s">
        <v>125</v>
      </c>
      <c r="E110" s="22" t="s">
        <v>129</v>
      </c>
      <c r="F110" s="22" t="s">
        <v>49</v>
      </c>
      <c r="G110" s="23">
        <v>63.13319716190066</v>
      </c>
      <c r="H110" s="24">
        <v>146.85732403297402</v>
      </c>
      <c r="I110" s="24">
        <v>4448.073394495414</v>
      </c>
      <c r="J110" s="24">
        <v>675.8400000000001</v>
      </c>
      <c r="K110" s="24">
        <v>3257.625</v>
      </c>
      <c r="L110" s="35">
        <v>87.73049009132603</v>
      </c>
      <c r="M110" s="25">
        <v>35.09</v>
      </c>
      <c r="N110" s="23">
        <v>7.494836234877923</v>
      </c>
      <c r="O110" s="36">
        <v>2.574208558E-4</v>
      </c>
      <c r="P110" s="26">
        <v>11.43</v>
      </c>
      <c r="Q110" s="26">
        <v>0.28</v>
      </c>
      <c r="R110" s="26">
        <v>40.18</v>
      </c>
      <c r="S110" s="26">
        <v>6.36</v>
      </c>
      <c r="T110" s="26">
        <v>0.06</v>
      </c>
      <c r="U110" s="26">
        <v>0.86</v>
      </c>
      <c r="V110" s="26">
        <v>47.47</v>
      </c>
      <c r="W110" s="26">
        <v>9.69</v>
      </c>
      <c r="X110" s="26">
        <v>16.71</v>
      </c>
      <c r="Y110" s="28">
        <v>2.3000000000000003</v>
      </c>
      <c r="Z110" s="28">
        <v>24.100000000000005</v>
      </c>
      <c r="AA110" s="28">
        <v>65.36666666666666</v>
      </c>
      <c r="AB110" s="28">
        <v>8.966666666666667</v>
      </c>
      <c r="AC110" s="21">
        <v>0.0</v>
      </c>
      <c r="AD110" s="21">
        <v>0.0</v>
      </c>
      <c r="AE110" s="21">
        <v>0.0</v>
      </c>
      <c r="AF110" s="26">
        <v>8.42</v>
      </c>
      <c r="AG110" s="26">
        <v>60.07</v>
      </c>
      <c r="AH110" s="26">
        <v>17.86</v>
      </c>
      <c r="AI110" s="26">
        <v>22.07</v>
      </c>
    </row>
    <row r="111" ht="15.75" customHeight="1">
      <c r="A111" s="21">
        <v>110.0</v>
      </c>
      <c r="B111" s="21" t="s">
        <v>102</v>
      </c>
      <c r="C111" s="21" t="s">
        <v>60</v>
      </c>
      <c r="D111" s="22" t="s">
        <v>125</v>
      </c>
      <c r="E111" s="22" t="s">
        <v>130</v>
      </c>
      <c r="F111" s="22" t="s">
        <v>49</v>
      </c>
      <c r="G111" s="23">
        <v>17.626854439905394</v>
      </c>
      <c r="H111" s="24">
        <v>126.14077362079897</v>
      </c>
      <c r="I111" s="24">
        <v>3053.577981651376</v>
      </c>
      <c r="J111" s="24">
        <v>570.24</v>
      </c>
      <c r="K111" s="24">
        <v>2740.125</v>
      </c>
      <c r="L111" s="35">
        <v>53.839478194774415</v>
      </c>
      <c r="M111" s="25">
        <v>54.62</v>
      </c>
      <c r="N111" s="23">
        <v>5.257194652163861</v>
      </c>
      <c r="O111" s="36">
        <v>2.971287985E-4</v>
      </c>
      <c r="P111" s="26">
        <v>10.11</v>
      </c>
      <c r="Q111" s="26">
        <v>0.2</v>
      </c>
      <c r="R111" s="26">
        <v>37.9</v>
      </c>
      <c r="S111" s="26">
        <v>5.19</v>
      </c>
      <c r="T111" s="26">
        <v>0.05</v>
      </c>
      <c r="U111" s="26">
        <v>0.8</v>
      </c>
      <c r="V111" s="26">
        <v>43.95</v>
      </c>
      <c r="W111" s="26">
        <v>11.11</v>
      </c>
      <c r="X111" s="26">
        <v>19.15</v>
      </c>
      <c r="Y111" s="28">
        <v>4.533333333333333</v>
      </c>
      <c r="Z111" s="28">
        <v>10.733333333333333</v>
      </c>
      <c r="AA111" s="28">
        <v>80.33333333333333</v>
      </c>
      <c r="AB111" s="28">
        <v>4.6</v>
      </c>
      <c r="AC111" s="21">
        <v>0.0</v>
      </c>
      <c r="AD111" s="21">
        <v>0.0</v>
      </c>
      <c r="AE111" s="21">
        <v>0.0</v>
      </c>
      <c r="AF111" s="26">
        <v>8.44</v>
      </c>
      <c r="AG111" s="26">
        <v>58.49</v>
      </c>
      <c r="AH111" s="26">
        <v>18.43</v>
      </c>
      <c r="AI111" s="26">
        <v>23.08</v>
      </c>
    </row>
    <row r="112" ht="15.75" customHeight="1">
      <c r="A112" s="21">
        <v>111.0</v>
      </c>
      <c r="B112" s="21" t="s">
        <v>102</v>
      </c>
      <c r="C112" s="21" t="s">
        <v>60</v>
      </c>
      <c r="D112" s="22" t="s">
        <v>125</v>
      </c>
      <c r="E112" s="22" t="s">
        <v>120</v>
      </c>
      <c r="F112" s="22" t="s">
        <v>81</v>
      </c>
      <c r="G112" s="23">
        <v>6.113201462051173</v>
      </c>
      <c r="H112" s="24">
        <v>57.08560558021559</v>
      </c>
      <c r="I112" s="24">
        <v>2253.577981651376</v>
      </c>
      <c r="J112" s="24">
        <v>42.239999999999945</v>
      </c>
      <c r="K112" s="24">
        <v>1513.8750000000002</v>
      </c>
      <c r="L112" s="35">
        <v>38.16045661082501</v>
      </c>
      <c r="M112" s="25">
        <v>58.49</v>
      </c>
      <c r="N112" s="23">
        <v>5.53359683794524</v>
      </c>
      <c r="O112" s="36">
        <v>2.598460235E-4</v>
      </c>
      <c r="P112" s="26">
        <v>5.4</v>
      </c>
      <c r="Q112" s="26">
        <v>0.12</v>
      </c>
      <c r="R112" s="26">
        <v>34.68</v>
      </c>
      <c r="S112" s="26">
        <v>2.72</v>
      </c>
      <c r="T112" s="26">
        <v>0.05</v>
      </c>
      <c r="U112" s="26">
        <v>0.55</v>
      </c>
      <c r="V112" s="26">
        <v>38.0</v>
      </c>
      <c r="W112" s="26">
        <v>7.16</v>
      </c>
      <c r="X112" s="26">
        <v>12.34</v>
      </c>
      <c r="Y112" s="21">
        <v>14.3</v>
      </c>
      <c r="Z112" s="21">
        <v>15.1333333333333</v>
      </c>
      <c r="AA112" s="21">
        <v>70.5</v>
      </c>
      <c r="AB112" s="21">
        <v>1.0</v>
      </c>
      <c r="AC112" s="21">
        <v>0.0</v>
      </c>
      <c r="AD112" s="21">
        <v>0.0</v>
      </c>
      <c r="AE112" s="21">
        <v>0.0</v>
      </c>
      <c r="AF112" s="26">
        <v>8.48</v>
      </c>
      <c r="AG112" s="26">
        <v>40.0</v>
      </c>
      <c r="AH112" s="26">
        <v>29.86</v>
      </c>
      <c r="AI112" s="26">
        <v>30.14</v>
      </c>
    </row>
    <row r="113" ht="15.75" customHeight="1">
      <c r="A113" s="21">
        <v>112.0</v>
      </c>
      <c r="B113" s="21" t="s">
        <v>102</v>
      </c>
      <c r="C113" s="21" t="s">
        <v>60</v>
      </c>
      <c r="D113" s="22" t="s">
        <v>125</v>
      </c>
      <c r="E113" s="22" t="s">
        <v>121</v>
      </c>
      <c r="F113" s="22" t="s">
        <v>81</v>
      </c>
      <c r="G113" s="23">
        <v>10.499354977424211</v>
      </c>
      <c r="H113" s="24">
        <v>49.0291693088142</v>
      </c>
      <c r="I113" s="24">
        <v>1776.5137614678902</v>
      </c>
      <c r="J113" s="24">
        <v>528.0000000000002</v>
      </c>
      <c r="K113" s="24">
        <v>1457.6249999999998</v>
      </c>
      <c r="L113" s="35">
        <v>58.15664235577799</v>
      </c>
      <c r="M113" s="25">
        <v>52.16</v>
      </c>
      <c r="N113" s="23">
        <v>3.2753842277646896</v>
      </c>
      <c r="O113" s="36">
        <v>1.761835118E-4</v>
      </c>
      <c r="P113" s="26">
        <v>4.46</v>
      </c>
      <c r="Q113" s="26">
        <v>0.11</v>
      </c>
      <c r="R113" s="26">
        <v>35.37</v>
      </c>
      <c r="S113" s="26">
        <v>2.22</v>
      </c>
      <c r="T113" s="26">
        <v>0.06</v>
      </c>
      <c r="U113" s="26">
        <v>0.47</v>
      </c>
      <c r="V113" s="26">
        <v>38.11</v>
      </c>
      <c r="W113" s="26">
        <v>5.51</v>
      </c>
      <c r="X113" s="26">
        <v>9.5</v>
      </c>
      <c r="Y113" s="21">
        <v>6.9</v>
      </c>
      <c r="Z113" s="21">
        <v>9.533333333333333</v>
      </c>
      <c r="AA113" s="21">
        <v>69.43333333333334</v>
      </c>
      <c r="AB113" s="21">
        <v>14.100000000000001</v>
      </c>
      <c r="AC113" s="21">
        <v>0.0</v>
      </c>
      <c r="AD113" s="21">
        <v>0.0</v>
      </c>
      <c r="AE113" s="21">
        <v>0.0</v>
      </c>
      <c r="AF113" s="26">
        <v>8.43</v>
      </c>
      <c r="AG113" s="26">
        <v>41.93</v>
      </c>
      <c r="AH113" s="26">
        <v>37.93</v>
      </c>
      <c r="AI113" s="26">
        <v>20.14</v>
      </c>
    </row>
    <row r="114" ht="15.75" customHeight="1">
      <c r="A114" s="21">
        <v>113.0</v>
      </c>
      <c r="B114" s="21" t="s">
        <v>102</v>
      </c>
      <c r="C114" s="21" t="s">
        <v>60</v>
      </c>
      <c r="D114" s="22" t="s">
        <v>125</v>
      </c>
      <c r="E114" s="22" t="s">
        <v>122</v>
      </c>
      <c r="F114" s="22" t="s">
        <v>81</v>
      </c>
      <c r="G114" s="23">
        <v>8.032143625026874</v>
      </c>
      <c r="H114" s="24">
        <v>98.51870640456562</v>
      </c>
      <c r="I114" s="24">
        <v>3438.8990825688074</v>
      </c>
      <c r="J114" s="24">
        <v>401.28000000000014</v>
      </c>
      <c r="K114" s="24">
        <v>3246.375</v>
      </c>
      <c r="L114" s="35">
        <v>4.125657573656326</v>
      </c>
      <c r="M114" s="25">
        <v>25.25</v>
      </c>
      <c r="N114" s="23">
        <v>5.2170502092053965</v>
      </c>
      <c r="O114" s="36">
        <v>2.917849241E-4</v>
      </c>
      <c r="P114" s="26">
        <v>8.42</v>
      </c>
      <c r="Q114" s="26">
        <v>0.24</v>
      </c>
      <c r="R114" s="26">
        <v>42.83</v>
      </c>
      <c r="S114" s="26">
        <v>2.91</v>
      </c>
      <c r="T114" s="26">
        <v>0.05</v>
      </c>
      <c r="U114" s="26">
        <v>0.74</v>
      </c>
      <c r="V114" s="26">
        <v>46.54</v>
      </c>
      <c r="W114" s="26">
        <v>6.07</v>
      </c>
      <c r="X114" s="26">
        <v>10.46</v>
      </c>
      <c r="Y114" s="21">
        <v>10.9333333333333</v>
      </c>
      <c r="Z114" s="21">
        <v>11.933333333333332</v>
      </c>
      <c r="AA114" s="21">
        <v>70.99999999999999</v>
      </c>
      <c r="AB114" s="21">
        <v>5.16666666666667</v>
      </c>
      <c r="AC114" s="21">
        <v>0.0</v>
      </c>
      <c r="AD114" s="21">
        <v>0.0</v>
      </c>
      <c r="AE114" s="21">
        <v>0.0</v>
      </c>
      <c r="AF114" s="26">
        <v>8.25</v>
      </c>
      <c r="AG114" s="26">
        <v>51.93</v>
      </c>
      <c r="AH114" s="26">
        <v>25.93</v>
      </c>
      <c r="AI114" s="26">
        <v>22.14</v>
      </c>
    </row>
    <row r="115" ht="15.75" customHeight="1">
      <c r="A115" s="21">
        <v>114.0</v>
      </c>
      <c r="B115" s="21" t="s">
        <v>102</v>
      </c>
      <c r="C115" s="21" t="s">
        <v>60</v>
      </c>
      <c r="D115" s="22" t="s">
        <v>125</v>
      </c>
      <c r="E115" s="22" t="s">
        <v>123</v>
      </c>
      <c r="F115" s="22" t="s">
        <v>81</v>
      </c>
      <c r="G115" s="23">
        <v>21.19060417114599</v>
      </c>
      <c r="H115" s="24">
        <v>103.12238427393785</v>
      </c>
      <c r="I115" s="24">
        <v>2455.4128440366976</v>
      </c>
      <c r="J115" s="24">
        <v>1034.88</v>
      </c>
      <c r="K115" s="24">
        <v>2121.375</v>
      </c>
      <c r="L115" s="35">
        <v>1.5161853603303825</v>
      </c>
      <c r="M115" s="25">
        <v>20.0</v>
      </c>
      <c r="N115" s="23">
        <v>6.696974995628537</v>
      </c>
      <c r="O115" s="36">
        <v>2.180147677E-4</v>
      </c>
      <c r="P115" s="26">
        <v>7.1</v>
      </c>
      <c r="Q115" s="26">
        <v>0.19</v>
      </c>
      <c r="R115" s="26">
        <v>38.36</v>
      </c>
      <c r="S115" s="26">
        <v>2.62</v>
      </c>
      <c r="T115" s="26">
        <v>0.08</v>
      </c>
      <c r="U115" s="26">
        <v>1.33</v>
      </c>
      <c r="V115" s="26">
        <v>42.39</v>
      </c>
      <c r="W115" s="26">
        <v>3.85</v>
      </c>
      <c r="X115" s="26">
        <v>6.64</v>
      </c>
      <c r="Y115" s="28">
        <v>10.25</v>
      </c>
      <c r="Z115" s="28">
        <v>11.9</v>
      </c>
      <c r="AA115" s="28">
        <v>69.56666666666668</v>
      </c>
      <c r="AB115" s="28">
        <v>8.6</v>
      </c>
      <c r="AC115" s="21">
        <v>0.0</v>
      </c>
      <c r="AD115" s="21">
        <v>0.0</v>
      </c>
      <c r="AE115" s="21">
        <v>0.0</v>
      </c>
      <c r="AF115" s="26">
        <v>8.28</v>
      </c>
      <c r="AG115" s="26">
        <v>47.93</v>
      </c>
      <c r="AH115" s="26">
        <v>23.86</v>
      </c>
      <c r="AI115" s="26">
        <v>28.22</v>
      </c>
    </row>
    <row r="116" ht="15.75" customHeight="1">
      <c r="A116" s="21">
        <v>115.0</v>
      </c>
      <c r="B116" s="21" t="s">
        <v>102</v>
      </c>
      <c r="C116" s="21" t="s">
        <v>60</v>
      </c>
      <c r="D116" s="22" t="s">
        <v>125</v>
      </c>
      <c r="E116" s="22" t="s">
        <v>124</v>
      </c>
      <c r="F116" s="22" t="s">
        <v>81</v>
      </c>
      <c r="G116" s="23">
        <v>10.773489572135025</v>
      </c>
      <c r="H116" s="24">
        <v>58.23652504755866</v>
      </c>
      <c r="I116" s="24">
        <v>1868.2568807339444</v>
      </c>
      <c r="J116" s="24">
        <v>485.7600000000003</v>
      </c>
      <c r="K116" s="24">
        <v>1686.3749999999998</v>
      </c>
      <c r="L116" s="35">
        <v>1.029273930814952</v>
      </c>
      <c r="M116" s="25">
        <v>48.99</v>
      </c>
      <c r="N116" s="23">
        <v>7.3785950023569455</v>
      </c>
      <c r="O116" s="36">
        <v>2.339842179E-4</v>
      </c>
      <c r="P116" s="26">
        <v>6.16</v>
      </c>
      <c r="Q116" s="26">
        <v>0.14</v>
      </c>
      <c r="R116" s="26">
        <v>35.44</v>
      </c>
      <c r="S116" s="26">
        <v>4.13</v>
      </c>
      <c r="T116" s="26">
        <v>0.05</v>
      </c>
      <c r="U116" s="26">
        <v>0.68</v>
      </c>
      <c r="V116" s="26">
        <v>40.3</v>
      </c>
      <c r="W116" s="26">
        <v>6.94</v>
      </c>
      <c r="X116" s="26">
        <v>11.97</v>
      </c>
      <c r="Y116" s="28">
        <v>9.6</v>
      </c>
      <c r="Z116" s="28">
        <v>11.35</v>
      </c>
      <c r="AA116" s="28">
        <v>70.83333333333333</v>
      </c>
      <c r="AB116" s="28">
        <v>8.55</v>
      </c>
      <c r="AC116" s="21">
        <v>0.0</v>
      </c>
      <c r="AD116" s="21">
        <v>0.0</v>
      </c>
      <c r="AE116" s="21">
        <v>0.0</v>
      </c>
      <c r="AF116" s="26">
        <v>8.12</v>
      </c>
      <c r="AG116" s="26">
        <v>23.93</v>
      </c>
      <c r="AH116" s="26">
        <v>31.86</v>
      </c>
      <c r="AI116" s="26">
        <v>44.22</v>
      </c>
    </row>
    <row r="117" ht="15.75" customHeight="1">
      <c r="A117" s="21">
        <v>116.0</v>
      </c>
      <c r="B117" s="21" t="s">
        <v>131</v>
      </c>
      <c r="C117" s="21" t="s">
        <v>36</v>
      </c>
      <c r="D117" s="21" t="s">
        <v>132</v>
      </c>
      <c r="E117" s="21" t="s">
        <v>133</v>
      </c>
      <c r="F117" s="22" t="s">
        <v>115</v>
      </c>
      <c r="G117" s="23">
        <v>16.0</v>
      </c>
      <c r="H117" s="24">
        <v>20.6</v>
      </c>
      <c r="I117" s="24">
        <v>1918.0</v>
      </c>
      <c r="J117" s="24">
        <v>573.0</v>
      </c>
      <c r="K117" s="24">
        <v>835.0</v>
      </c>
      <c r="L117" s="24">
        <v>2225.0</v>
      </c>
      <c r="M117" s="25">
        <v>21.92</v>
      </c>
      <c r="N117" s="23">
        <v>24.6</v>
      </c>
      <c r="O117" s="21"/>
      <c r="P117" s="26">
        <v>17.84</v>
      </c>
      <c r="Q117" s="26">
        <v>0.24</v>
      </c>
      <c r="R117" s="26">
        <v>0.7</v>
      </c>
      <c r="S117" s="26">
        <v>0.43</v>
      </c>
      <c r="T117" s="26">
        <v>0.08</v>
      </c>
      <c r="U117" s="26">
        <v>0.15</v>
      </c>
      <c r="V117" s="26">
        <v>6.1</v>
      </c>
      <c r="W117" s="26">
        <v>5.33</v>
      </c>
      <c r="X117" s="26">
        <v>9.19</v>
      </c>
      <c r="Y117" s="21"/>
      <c r="Z117" s="21"/>
      <c r="AA117" s="21"/>
      <c r="AB117" s="21"/>
      <c r="AC117" s="21"/>
      <c r="AD117" s="21"/>
      <c r="AE117" s="21"/>
      <c r="AF117" s="26">
        <v>4.4</v>
      </c>
      <c r="AG117" s="26">
        <v>77.19</v>
      </c>
      <c r="AH117" s="26">
        <v>9.71</v>
      </c>
      <c r="AI117" s="26">
        <v>13.1</v>
      </c>
    </row>
    <row r="118" ht="15.75" customHeight="1">
      <c r="A118" s="21">
        <v>117.0</v>
      </c>
      <c r="B118" s="21" t="s">
        <v>131</v>
      </c>
      <c r="C118" s="21" t="s">
        <v>36</v>
      </c>
      <c r="D118" s="21" t="s">
        <v>132</v>
      </c>
      <c r="E118" s="21" t="s">
        <v>133</v>
      </c>
      <c r="F118" s="22" t="s">
        <v>115</v>
      </c>
      <c r="G118" s="23">
        <v>23.4</v>
      </c>
      <c r="H118" s="24">
        <v>25.0</v>
      </c>
      <c r="I118" s="24">
        <v>4276.0</v>
      </c>
      <c r="J118" s="24">
        <v>724.0</v>
      </c>
      <c r="K118" s="24">
        <v>1722.0</v>
      </c>
      <c r="L118" s="24">
        <v>1732.0</v>
      </c>
      <c r="M118" s="25">
        <v>18.23</v>
      </c>
      <c r="N118" s="23">
        <v>20.0</v>
      </c>
      <c r="O118" s="21"/>
      <c r="P118" s="26">
        <v>5.92</v>
      </c>
      <c r="Q118" s="26">
        <v>0.32</v>
      </c>
      <c r="R118" s="26">
        <v>0.47</v>
      </c>
      <c r="S118" s="26">
        <v>0.3</v>
      </c>
      <c r="T118" s="26">
        <v>0.05</v>
      </c>
      <c r="U118" s="26">
        <v>0.12</v>
      </c>
      <c r="V118" s="26">
        <v>5.7</v>
      </c>
      <c r="W118" s="26">
        <v>5.83</v>
      </c>
      <c r="X118" s="26">
        <v>10.06</v>
      </c>
      <c r="Y118" s="21"/>
      <c r="Z118" s="21"/>
      <c r="AA118" s="21"/>
      <c r="AB118" s="21"/>
      <c r="AC118" s="21"/>
      <c r="AD118" s="21"/>
      <c r="AE118" s="21"/>
      <c r="AF118" s="26">
        <v>4.3</v>
      </c>
      <c r="AG118" s="26">
        <v>73.26</v>
      </c>
      <c r="AH118" s="26">
        <v>11.71</v>
      </c>
      <c r="AI118" s="26">
        <v>15.02</v>
      </c>
    </row>
    <row r="119" ht="15.75" customHeight="1">
      <c r="A119" s="21">
        <v>118.0</v>
      </c>
      <c r="B119" s="21" t="s">
        <v>131</v>
      </c>
      <c r="C119" s="21" t="s">
        <v>36</v>
      </c>
      <c r="D119" s="21" t="s">
        <v>132</v>
      </c>
      <c r="E119" s="21" t="s">
        <v>133</v>
      </c>
      <c r="F119" s="22" t="s">
        <v>115</v>
      </c>
      <c r="G119" s="23">
        <v>29.5</v>
      </c>
      <c r="H119" s="24">
        <v>21.0</v>
      </c>
      <c r="I119" s="24">
        <v>5777.0</v>
      </c>
      <c r="J119" s="24">
        <v>724.0</v>
      </c>
      <c r="K119" s="24">
        <v>1865.0</v>
      </c>
      <c r="L119" s="24">
        <v>1983.0</v>
      </c>
      <c r="M119" s="25">
        <v>21.72</v>
      </c>
      <c r="N119" s="23">
        <v>19.0</v>
      </c>
      <c r="O119" s="21"/>
      <c r="P119" s="26">
        <v>13.94</v>
      </c>
      <c r="Q119" s="26">
        <v>0.29</v>
      </c>
      <c r="R119" s="26">
        <v>0.7</v>
      </c>
      <c r="S119" s="26">
        <v>0.4</v>
      </c>
      <c r="T119" s="26">
        <v>0.05</v>
      </c>
      <c r="U119" s="26">
        <v>0.13</v>
      </c>
      <c r="V119" s="26">
        <v>5.03</v>
      </c>
      <c r="W119" s="26">
        <v>6.28</v>
      </c>
      <c r="X119" s="26">
        <v>10.83</v>
      </c>
      <c r="Y119" s="21"/>
      <c r="Z119" s="21"/>
      <c r="AA119" s="21"/>
      <c r="AB119" s="21"/>
      <c r="AC119" s="21"/>
      <c r="AD119" s="21"/>
      <c r="AE119" s="21"/>
      <c r="AF119" s="26">
        <v>4.44</v>
      </c>
      <c r="AG119" s="26">
        <v>77.26</v>
      </c>
      <c r="AH119" s="26">
        <v>9.71</v>
      </c>
      <c r="AI119" s="26">
        <v>13.02</v>
      </c>
    </row>
    <row r="120" ht="15.75" customHeight="1">
      <c r="A120" s="21">
        <v>119.0</v>
      </c>
      <c r="B120" s="21" t="s">
        <v>131</v>
      </c>
      <c r="C120" s="21" t="s">
        <v>36</v>
      </c>
      <c r="D120" s="21" t="s">
        <v>132</v>
      </c>
      <c r="E120" s="21" t="s">
        <v>133</v>
      </c>
      <c r="F120" s="22" t="s">
        <v>115</v>
      </c>
      <c r="G120" s="23">
        <v>14.4</v>
      </c>
      <c r="H120" s="24">
        <v>18.3</v>
      </c>
      <c r="I120" s="24">
        <v>3111.0</v>
      </c>
      <c r="J120" s="24">
        <v>580.0</v>
      </c>
      <c r="K120" s="24">
        <v>1505.0</v>
      </c>
      <c r="L120" s="24">
        <v>1776.0</v>
      </c>
      <c r="M120" s="25">
        <v>19.12</v>
      </c>
      <c r="N120" s="23">
        <v>23.5</v>
      </c>
      <c r="O120" s="21"/>
      <c r="P120" s="26">
        <v>13.69</v>
      </c>
      <c r="Q120" s="26">
        <v>0.33</v>
      </c>
      <c r="R120" s="26">
        <v>0.7</v>
      </c>
      <c r="S120" s="26">
        <v>0.59</v>
      </c>
      <c r="T120" s="26">
        <v>0.09</v>
      </c>
      <c r="U120" s="26">
        <v>0.16</v>
      </c>
      <c r="V120" s="26">
        <v>6.87</v>
      </c>
      <c r="W120" s="26">
        <v>6.33</v>
      </c>
      <c r="X120" s="26">
        <v>10.91</v>
      </c>
      <c r="Y120" s="21"/>
      <c r="Z120" s="21"/>
      <c r="AA120" s="21"/>
      <c r="AB120" s="21"/>
      <c r="AC120" s="21"/>
      <c r="AD120" s="21"/>
      <c r="AE120" s="21"/>
      <c r="AF120" s="26">
        <v>4.4</v>
      </c>
      <c r="AG120" s="26">
        <v>75.26</v>
      </c>
      <c r="AH120" s="26">
        <v>11.78</v>
      </c>
      <c r="AI120" s="26">
        <v>12.95</v>
      </c>
    </row>
    <row r="121" ht="15.75" customHeight="1">
      <c r="A121" s="21">
        <v>120.0</v>
      </c>
      <c r="B121" s="21" t="s">
        <v>131</v>
      </c>
      <c r="C121" s="21" t="s">
        <v>36</v>
      </c>
      <c r="D121" s="21" t="s">
        <v>132</v>
      </c>
      <c r="E121" s="21" t="s">
        <v>133</v>
      </c>
      <c r="F121" s="22" t="s">
        <v>115</v>
      </c>
      <c r="G121" s="23">
        <v>21.0</v>
      </c>
      <c r="H121" s="24">
        <v>18.3</v>
      </c>
      <c r="I121" s="24">
        <v>1033.0</v>
      </c>
      <c r="J121" s="24">
        <v>302.0</v>
      </c>
      <c r="K121" s="24">
        <v>1480.0</v>
      </c>
      <c r="L121" s="24">
        <v>1379.0</v>
      </c>
      <c r="M121" s="25">
        <v>21.39</v>
      </c>
      <c r="N121" s="23">
        <v>25.3</v>
      </c>
      <c r="O121" s="21"/>
      <c r="P121" s="26">
        <v>17.3</v>
      </c>
      <c r="Q121" s="26">
        <v>0.3</v>
      </c>
      <c r="R121" s="26">
        <v>0.63</v>
      </c>
      <c r="S121" s="26">
        <v>0.4</v>
      </c>
      <c r="T121" s="26">
        <v>0.08</v>
      </c>
      <c r="U121" s="26">
        <v>0.13</v>
      </c>
      <c r="V121" s="26">
        <v>6.02</v>
      </c>
      <c r="W121" s="26">
        <v>6.49</v>
      </c>
      <c r="X121" s="26">
        <v>11.19</v>
      </c>
      <c r="Y121" s="21"/>
      <c r="Z121" s="21"/>
      <c r="AA121" s="21"/>
      <c r="AB121" s="21"/>
      <c r="AC121" s="21"/>
      <c r="AD121" s="21"/>
      <c r="AE121" s="21"/>
      <c r="AF121" s="26">
        <v>4.08</v>
      </c>
      <c r="AG121" s="26">
        <v>73.34</v>
      </c>
      <c r="AH121" s="26">
        <v>11.71</v>
      </c>
      <c r="AI121" s="26">
        <v>14.95</v>
      </c>
    </row>
    <row r="122" ht="15.75" customHeight="1">
      <c r="A122" s="21">
        <v>121.0</v>
      </c>
      <c r="B122" s="21" t="s">
        <v>131</v>
      </c>
      <c r="C122" s="21" t="s">
        <v>36</v>
      </c>
      <c r="D122" s="21" t="s">
        <v>132</v>
      </c>
      <c r="E122" s="21" t="s">
        <v>55</v>
      </c>
      <c r="F122" s="22" t="s">
        <v>55</v>
      </c>
      <c r="G122" s="23">
        <v>11.0</v>
      </c>
      <c r="H122" s="24">
        <v>20.6</v>
      </c>
      <c r="I122" s="24">
        <v>2176.0</v>
      </c>
      <c r="J122" s="24">
        <v>453.0</v>
      </c>
      <c r="K122" s="24">
        <v>990.0</v>
      </c>
      <c r="L122" s="24">
        <v>1157.0</v>
      </c>
      <c r="M122" s="25">
        <v>26.88</v>
      </c>
      <c r="N122" s="23">
        <v>15.9</v>
      </c>
      <c r="O122" s="21"/>
      <c r="P122" s="26">
        <v>8.63</v>
      </c>
      <c r="Q122" s="26">
        <v>0.23</v>
      </c>
      <c r="R122" s="26">
        <v>0.76</v>
      </c>
      <c r="S122" s="26">
        <v>0.28</v>
      </c>
      <c r="T122" s="26">
        <v>0.08</v>
      </c>
      <c r="U122" s="26">
        <v>0.17</v>
      </c>
      <c r="V122" s="26">
        <v>6.6</v>
      </c>
      <c r="W122" s="26">
        <v>6.22</v>
      </c>
      <c r="X122" s="26">
        <v>10.72</v>
      </c>
      <c r="Y122" s="21"/>
      <c r="Z122" s="21"/>
      <c r="AA122" s="21"/>
      <c r="AB122" s="21"/>
      <c r="AC122" s="21"/>
      <c r="AD122" s="21"/>
      <c r="AE122" s="21"/>
      <c r="AF122" s="26">
        <v>4.16</v>
      </c>
      <c r="AG122" s="26">
        <v>79.41</v>
      </c>
      <c r="AH122" s="26">
        <v>7.64</v>
      </c>
      <c r="AI122" s="26">
        <v>12.95</v>
      </c>
    </row>
    <row r="123" ht="15.75" customHeight="1">
      <c r="A123" s="21">
        <v>122.0</v>
      </c>
      <c r="B123" s="21" t="s">
        <v>131</v>
      </c>
      <c r="C123" s="21" t="s">
        <v>36</v>
      </c>
      <c r="D123" s="21" t="s">
        <v>132</v>
      </c>
      <c r="E123" s="21" t="s">
        <v>55</v>
      </c>
      <c r="F123" s="22" t="s">
        <v>55</v>
      </c>
      <c r="G123" s="23">
        <v>9.2</v>
      </c>
      <c r="H123" s="24">
        <v>16.7</v>
      </c>
      <c r="I123" s="24">
        <v>406.0</v>
      </c>
      <c r="J123" s="24">
        <v>272.0</v>
      </c>
      <c r="K123" s="24">
        <v>945.0</v>
      </c>
      <c r="L123" s="24">
        <v>1473.0</v>
      </c>
      <c r="M123" s="25">
        <v>27.71</v>
      </c>
      <c r="N123" s="23">
        <v>17.9</v>
      </c>
      <c r="O123" s="21"/>
      <c r="P123" s="26">
        <v>23.8</v>
      </c>
      <c r="Q123" s="26">
        <v>0.31</v>
      </c>
      <c r="R123" s="26">
        <v>1.57</v>
      </c>
      <c r="S123" s="26">
        <v>0.59</v>
      </c>
      <c r="T123" s="26">
        <v>0.12</v>
      </c>
      <c r="U123" s="26">
        <v>0.21</v>
      </c>
      <c r="V123" s="26">
        <v>6.61</v>
      </c>
      <c r="W123" s="26">
        <v>8.57</v>
      </c>
      <c r="X123" s="26">
        <v>14.78</v>
      </c>
      <c r="Y123" s="21"/>
      <c r="Z123" s="21"/>
      <c r="AA123" s="21"/>
      <c r="AB123" s="21"/>
      <c r="AC123" s="21"/>
      <c r="AD123" s="21"/>
      <c r="AE123" s="21"/>
      <c r="AF123" s="26">
        <v>4.17</v>
      </c>
      <c r="AG123" s="26">
        <v>77.34</v>
      </c>
      <c r="AH123" s="26">
        <v>9.71</v>
      </c>
      <c r="AI123" s="26">
        <v>12.95</v>
      </c>
    </row>
    <row r="124" ht="15.75" customHeight="1">
      <c r="A124" s="21">
        <v>123.0</v>
      </c>
      <c r="B124" s="21" t="s">
        <v>131</v>
      </c>
      <c r="C124" s="21" t="s">
        <v>36</v>
      </c>
      <c r="D124" s="21" t="s">
        <v>132</v>
      </c>
      <c r="E124" s="21" t="s">
        <v>55</v>
      </c>
      <c r="F124" s="22" t="s">
        <v>55</v>
      </c>
      <c r="G124" s="23">
        <v>15.0</v>
      </c>
      <c r="H124" s="24">
        <v>20.2</v>
      </c>
      <c r="I124" s="24">
        <v>567.0</v>
      </c>
      <c r="J124" s="24">
        <v>362.0</v>
      </c>
      <c r="K124" s="24">
        <v>1481.0</v>
      </c>
      <c r="L124" s="24">
        <v>1763.0</v>
      </c>
      <c r="M124" s="25">
        <v>19.41</v>
      </c>
      <c r="N124" s="23">
        <v>22.2</v>
      </c>
      <c r="O124" s="21"/>
      <c r="P124" s="26">
        <v>4.84</v>
      </c>
      <c r="Q124" s="26">
        <v>0.2</v>
      </c>
      <c r="R124" s="26">
        <v>1.84</v>
      </c>
      <c r="S124" s="26">
        <v>0.6</v>
      </c>
      <c r="T124" s="26">
        <v>0.09</v>
      </c>
      <c r="U124" s="26">
        <v>0.15</v>
      </c>
      <c r="V124" s="26">
        <v>4.97</v>
      </c>
      <c r="W124" s="26">
        <v>3.96</v>
      </c>
      <c r="X124" s="26">
        <v>6.82</v>
      </c>
      <c r="Y124" s="21"/>
      <c r="Z124" s="21"/>
      <c r="AA124" s="21"/>
      <c r="AB124" s="21"/>
      <c r="AC124" s="21"/>
      <c r="AD124" s="21"/>
      <c r="AE124" s="21"/>
      <c r="AF124" s="26">
        <v>4.53</v>
      </c>
      <c r="AG124" s="26">
        <v>81.34</v>
      </c>
      <c r="AH124" s="26">
        <v>5.71</v>
      </c>
      <c r="AI124" s="26">
        <v>12.95</v>
      </c>
    </row>
    <row r="125" ht="15.75" customHeight="1">
      <c r="A125" s="21">
        <v>124.0</v>
      </c>
      <c r="B125" s="21" t="s">
        <v>131</v>
      </c>
      <c r="C125" s="21" t="s">
        <v>36</v>
      </c>
      <c r="D125" s="21" t="s">
        <v>132</v>
      </c>
      <c r="E125" s="21" t="s">
        <v>55</v>
      </c>
      <c r="F125" s="22" t="s">
        <v>55</v>
      </c>
      <c r="G125" s="23">
        <v>25.2</v>
      </c>
      <c r="H125" s="24">
        <v>22.2</v>
      </c>
      <c r="I125" s="24">
        <v>562.0</v>
      </c>
      <c r="J125" s="24">
        <v>347.0</v>
      </c>
      <c r="K125" s="24">
        <v>1350.0</v>
      </c>
      <c r="L125" s="24">
        <v>2246.0</v>
      </c>
      <c r="M125" s="25">
        <v>21.17</v>
      </c>
      <c r="N125" s="23">
        <v>26.4</v>
      </c>
      <c r="O125" s="21"/>
      <c r="P125" s="26">
        <v>12.24</v>
      </c>
      <c r="Q125" s="26">
        <v>0.39</v>
      </c>
      <c r="R125" s="26">
        <v>1.6</v>
      </c>
      <c r="S125" s="26">
        <v>0.46</v>
      </c>
      <c r="T125" s="26">
        <v>0.08</v>
      </c>
      <c r="U125" s="26">
        <v>0.14</v>
      </c>
      <c r="V125" s="26">
        <v>4.8</v>
      </c>
      <c r="W125" s="26">
        <v>8.24</v>
      </c>
      <c r="X125" s="26">
        <v>14.21</v>
      </c>
      <c r="Y125" s="21"/>
      <c r="Z125" s="21"/>
      <c r="AA125" s="21"/>
      <c r="AB125" s="21"/>
      <c r="AC125" s="21"/>
      <c r="AD125" s="21"/>
      <c r="AE125" s="21"/>
      <c r="AF125" s="26">
        <v>4.42</v>
      </c>
      <c r="AG125" s="26">
        <v>79.26</v>
      </c>
      <c r="AH125" s="26">
        <v>7.78</v>
      </c>
      <c r="AI125" s="26">
        <v>12.95</v>
      </c>
    </row>
    <row r="126" ht="15.75" customHeight="1">
      <c r="A126" s="21">
        <v>125.0</v>
      </c>
      <c r="B126" s="21" t="s">
        <v>131</v>
      </c>
      <c r="C126" s="21" t="s">
        <v>36</v>
      </c>
      <c r="D126" s="21" t="s">
        <v>132</v>
      </c>
      <c r="E126" s="21" t="s">
        <v>55</v>
      </c>
      <c r="F126" s="22" t="s">
        <v>55</v>
      </c>
      <c r="G126" s="23">
        <v>15.0</v>
      </c>
      <c r="H126" s="24">
        <v>19.4</v>
      </c>
      <c r="I126" s="24">
        <v>628.0</v>
      </c>
      <c r="J126" s="24">
        <v>301.0</v>
      </c>
      <c r="K126" s="24">
        <v>1321.0</v>
      </c>
      <c r="L126" s="24">
        <v>1396.0</v>
      </c>
      <c r="M126" s="25">
        <v>13.93</v>
      </c>
      <c r="N126" s="23">
        <v>19.5</v>
      </c>
      <c r="O126" s="21"/>
      <c r="P126" s="26">
        <v>6.82</v>
      </c>
      <c r="Q126" s="26">
        <v>0.28</v>
      </c>
      <c r="R126" s="26">
        <v>1.73</v>
      </c>
      <c r="S126" s="26">
        <v>0.59</v>
      </c>
      <c r="T126" s="26">
        <v>0.07</v>
      </c>
      <c r="U126" s="26">
        <v>0.14</v>
      </c>
      <c r="V126" s="26">
        <v>4.95</v>
      </c>
      <c r="W126" s="26">
        <v>3.9</v>
      </c>
      <c r="X126" s="26">
        <v>6.72</v>
      </c>
      <c r="Y126" s="21"/>
      <c r="Z126" s="21"/>
      <c r="AA126" s="21"/>
      <c r="AB126" s="21"/>
      <c r="AC126" s="21"/>
      <c r="AD126" s="21"/>
      <c r="AE126" s="21"/>
      <c r="AF126" s="26">
        <v>4.55</v>
      </c>
      <c r="AG126" s="26">
        <v>79.26</v>
      </c>
      <c r="AH126" s="26">
        <v>7.78</v>
      </c>
      <c r="AI126" s="26">
        <v>12.95</v>
      </c>
    </row>
    <row r="127" ht="15.75" customHeight="1">
      <c r="A127" s="22">
        <v>131.0</v>
      </c>
      <c r="B127" s="21" t="s">
        <v>131</v>
      </c>
      <c r="C127" s="21" t="s">
        <v>36</v>
      </c>
      <c r="D127" s="21" t="s">
        <v>132</v>
      </c>
      <c r="E127" s="21" t="s">
        <v>65</v>
      </c>
      <c r="F127" s="21" t="str">
        <f>IFERROR(__xludf.DUMMYFUNCTION("REGEXEXTRACT(E127,""[A-Za-z]+"")"),"NQ")</f>
        <v>NQ</v>
      </c>
      <c r="G127" s="23">
        <v>37.6</v>
      </c>
      <c r="H127" s="24">
        <v>67.9</v>
      </c>
      <c r="I127" s="24">
        <v>6509.0</v>
      </c>
      <c r="J127" s="24">
        <v>634.0</v>
      </c>
      <c r="K127" s="24">
        <v>2168.0</v>
      </c>
      <c r="L127" s="24">
        <v>3700.0</v>
      </c>
      <c r="M127" s="25">
        <v>24.1</v>
      </c>
      <c r="N127" s="23">
        <v>26.1</v>
      </c>
      <c r="O127" s="21"/>
      <c r="P127" s="26">
        <v>2.49</v>
      </c>
      <c r="Q127" s="26">
        <v>0.38</v>
      </c>
      <c r="R127" s="26">
        <v>0.95</v>
      </c>
      <c r="S127" s="26">
        <v>0.65</v>
      </c>
      <c r="T127" s="26">
        <v>0.17</v>
      </c>
      <c r="U127" s="26">
        <v>0.29</v>
      </c>
      <c r="V127" s="26">
        <v>9.17</v>
      </c>
      <c r="W127" s="26">
        <v>9.1</v>
      </c>
      <c r="X127" s="26">
        <v>15.68</v>
      </c>
      <c r="Y127" s="21"/>
      <c r="Z127" s="21"/>
      <c r="AA127" s="21"/>
      <c r="AB127" s="21"/>
      <c r="AC127" s="21"/>
      <c r="AD127" s="21"/>
      <c r="AE127" s="21"/>
      <c r="AF127" s="26">
        <v>4.36</v>
      </c>
      <c r="AG127" s="26">
        <v>73.77</v>
      </c>
      <c r="AH127" s="26">
        <v>12.0</v>
      </c>
      <c r="AI127" s="26">
        <v>14.23</v>
      </c>
    </row>
    <row r="128" ht="15.75" customHeight="1">
      <c r="A128" s="22">
        <v>132.0</v>
      </c>
      <c r="B128" s="21" t="s">
        <v>131</v>
      </c>
      <c r="C128" s="21" t="s">
        <v>36</v>
      </c>
      <c r="D128" s="21" t="s">
        <v>132</v>
      </c>
      <c r="E128" s="21" t="s">
        <v>65</v>
      </c>
      <c r="F128" s="21" t="str">
        <f>IFERROR(__xludf.DUMMYFUNCTION("REGEXEXTRACT(E128,""[A-Za-z]+"")"),"NQ")</f>
        <v>NQ</v>
      </c>
      <c r="G128" s="23">
        <v>29.0</v>
      </c>
      <c r="H128" s="24">
        <v>62.7</v>
      </c>
      <c r="I128" s="24">
        <v>6700.0</v>
      </c>
      <c r="J128" s="24">
        <v>573.0</v>
      </c>
      <c r="K128" s="24">
        <v>2344.0</v>
      </c>
      <c r="L128" s="24">
        <v>3168.0</v>
      </c>
      <c r="M128" s="25">
        <v>25.48</v>
      </c>
      <c r="N128" s="23">
        <v>22.3</v>
      </c>
      <c r="O128" s="21"/>
      <c r="P128" s="26">
        <v>2.85</v>
      </c>
      <c r="Q128" s="26">
        <v>0.26</v>
      </c>
      <c r="R128" s="26">
        <v>1.03</v>
      </c>
      <c r="S128" s="26">
        <v>0.49</v>
      </c>
      <c r="T128" s="26">
        <v>0.11</v>
      </c>
      <c r="U128" s="26">
        <v>0.16</v>
      </c>
      <c r="V128" s="26">
        <v>6.46</v>
      </c>
      <c r="W128" s="26">
        <v>6.68</v>
      </c>
      <c r="X128" s="26">
        <v>11.52</v>
      </c>
      <c r="Y128" s="21"/>
      <c r="Z128" s="21"/>
      <c r="AA128" s="21"/>
      <c r="AB128" s="21"/>
      <c r="AC128" s="21"/>
      <c r="AD128" s="21"/>
      <c r="AE128" s="21"/>
      <c r="AF128" s="26">
        <v>4.52</v>
      </c>
      <c r="AG128" s="26">
        <v>77.77</v>
      </c>
      <c r="AH128" s="26">
        <v>10.07</v>
      </c>
      <c r="AI128" s="26">
        <v>12.16</v>
      </c>
    </row>
    <row r="129" ht="15.75" customHeight="1">
      <c r="A129" s="22">
        <v>133.0</v>
      </c>
      <c r="B129" s="21" t="s">
        <v>131</v>
      </c>
      <c r="C129" s="21" t="s">
        <v>36</v>
      </c>
      <c r="D129" s="21" t="s">
        <v>132</v>
      </c>
      <c r="E129" s="21" t="s">
        <v>65</v>
      </c>
      <c r="F129" s="21" t="str">
        <f>IFERROR(__xludf.DUMMYFUNCTION("REGEXEXTRACT(E129,""[A-Za-z]+"")"),"NQ")</f>
        <v>NQ</v>
      </c>
      <c r="G129" s="23">
        <v>28.3</v>
      </c>
      <c r="H129" s="24">
        <v>61.1</v>
      </c>
      <c r="I129" s="24">
        <v>6900.0</v>
      </c>
      <c r="J129" s="24">
        <v>520.0</v>
      </c>
      <c r="K129" s="24">
        <v>2033.0</v>
      </c>
      <c r="L129" s="24">
        <v>4300.0</v>
      </c>
      <c r="M129" s="25">
        <v>22.15</v>
      </c>
      <c r="N129" s="23">
        <v>36.5</v>
      </c>
      <c r="O129" s="21"/>
      <c r="P129" s="26">
        <v>2.85</v>
      </c>
      <c r="Q129" s="26">
        <v>0.45</v>
      </c>
      <c r="R129" s="26">
        <v>1.53</v>
      </c>
      <c r="S129" s="26">
        <v>0.4</v>
      </c>
      <c r="T129" s="26">
        <v>0.17</v>
      </c>
      <c r="U129" s="26">
        <v>0.34</v>
      </c>
      <c r="V129" s="26">
        <v>8.6</v>
      </c>
      <c r="W129" s="26">
        <v>10.0</v>
      </c>
      <c r="X129" s="26">
        <v>19.76</v>
      </c>
      <c r="Y129" s="21"/>
      <c r="Z129" s="21"/>
      <c r="AA129" s="21"/>
      <c r="AB129" s="21"/>
      <c r="AC129" s="21"/>
      <c r="AD129" s="21"/>
      <c r="AE129" s="21"/>
      <c r="AF129" s="26">
        <v>4.09</v>
      </c>
      <c r="AG129" s="26">
        <v>81.77</v>
      </c>
      <c r="AH129" s="26">
        <v>8.07</v>
      </c>
      <c r="AI129" s="26">
        <v>10.16</v>
      </c>
    </row>
    <row r="130" ht="15.75" customHeight="1">
      <c r="A130" s="22">
        <v>134.0</v>
      </c>
      <c r="B130" s="21" t="s">
        <v>131</v>
      </c>
      <c r="C130" s="21" t="s">
        <v>36</v>
      </c>
      <c r="D130" s="21" t="s">
        <v>132</v>
      </c>
      <c r="E130" s="21" t="s">
        <v>65</v>
      </c>
      <c r="F130" s="21" t="str">
        <f>IFERROR(__xludf.DUMMYFUNCTION("REGEXEXTRACT(E130,""[A-Za-z]+"")"),"NQ")</f>
        <v>NQ</v>
      </c>
      <c r="G130" s="23">
        <v>27.2</v>
      </c>
      <c r="H130" s="24">
        <v>64.7</v>
      </c>
      <c r="I130" s="24">
        <v>6800.0</v>
      </c>
      <c r="J130" s="24">
        <v>422.0</v>
      </c>
      <c r="K130" s="24">
        <v>2164.0</v>
      </c>
      <c r="L130" s="24">
        <v>3404.0</v>
      </c>
      <c r="M130" s="25">
        <v>26.13</v>
      </c>
      <c r="N130" s="23">
        <v>16.5</v>
      </c>
      <c r="O130" s="21"/>
      <c r="P130" s="26">
        <v>3.39</v>
      </c>
      <c r="Q130" s="26">
        <v>0.23</v>
      </c>
      <c r="R130" s="26">
        <v>0.2</v>
      </c>
      <c r="S130" s="26">
        <v>0.16</v>
      </c>
      <c r="T130" s="26">
        <v>0.14</v>
      </c>
      <c r="U130" s="26">
        <v>0.2</v>
      </c>
      <c r="V130" s="26">
        <v>5.81</v>
      </c>
      <c r="W130" s="26">
        <v>5.95</v>
      </c>
      <c r="X130" s="26">
        <v>10.25</v>
      </c>
      <c r="Y130" s="21"/>
      <c r="Z130" s="21"/>
      <c r="AA130" s="21"/>
      <c r="AB130" s="21"/>
      <c r="AC130" s="21"/>
      <c r="AD130" s="21"/>
      <c r="AE130" s="21"/>
      <c r="AF130" s="26">
        <v>4.83</v>
      </c>
      <c r="AG130" s="26">
        <v>77.84</v>
      </c>
      <c r="AH130" s="26">
        <v>10.0</v>
      </c>
      <c r="AI130" s="26">
        <v>12.16</v>
      </c>
    </row>
    <row r="131" ht="15.75" customHeight="1">
      <c r="A131" s="22">
        <v>135.0</v>
      </c>
      <c r="B131" s="21" t="s">
        <v>131</v>
      </c>
      <c r="C131" s="21" t="s">
        <v>36</v>
      </c>
      <c r="D131" s="21" t="s">
        <v>132</v>
      </c>
      <c r="E131" s="21" t="s">
        <v>65</v>
      </c>
      <c r="F131" s="21" t="str">
        <f>IFERROR(__xludf.DUMMYFUNCTION("REGEXEXTRACT(E131,""[A-Za-z]+"")"),"NQ")</f>
        <v>NQ</v>
      </c>
      <c r="G131" s="23">
        <v>31.5</v>
      </c>
      <c r="H131" s="24">
        <v>64.0</v>
      </c>
      <c r="I131" s="24">
        <v>6659.0</v>
      </c>
      <c r="J131" s="24">
        <v>453.0</v>
      </c>
      <c r="K131" s="24">
        <v>2573.0</v>
      </c>
      <c r="L131" s="24">
        <v>3909.0</v>
      </c>
      <c r="M131" s="25">
        <v>28.13</v>
      </c>
      <c r="N131" s="23">
        <v>30.3</v>
      </c>
      <c r="O131" s="21"/>
      <c r="P131" s="26">
        <v>2.13</v>
      </c>
      <c r="Q131" s="26">
        <v>0.32</v>
      </c>
      <c r="R131" s="26">
        <v>1.54</v>
      </c>
      <c r="S131" s="26">
        <v>0.76</v>
      </c>
      <c r="T131" s="26">
        <v>0.16</v>
      </c>
      <c r="U131" s="26">
        <v>0.27</v>
      </c>
      <c r="V131" s="26">
        <v>9.66</v>
      </c>
      <c r="W131" s="26">
        <v>9.0</v>
      </c>
      <c r="X131" s="26">
        <v>18.41</v>
      </c>
      <c r="Y131" s="21"/>
      <c r="Z131" s="21"/>
      <c r="AA131" s="21"/>
      <c r="AB131" s="21"/>
      <c r="AC131" s="21"/>
      <c r="AD131" s="21"/>
      <c r="AE131" s="21"/>
      <c r="AF131" s="26">
        <v>4.55</v>
      </c>
      <c r="AG131" s="26">
        <v>77.91</v>
      </c>
      <c r="AH131" s="26">
        <v>10.0</v>
      </c>
      <c r="AI131" s="26">
        <v>12.09</v>
      </c>
    </row>
    <row r="132" ht="15.75" customHeight="1">
      <c r="A132" s="22">
        <v>136.0</v>
      </c>
      <c r="B132" s="21" t="s">
        <v>131</v>
      </c>
      <c r="C132" s="21" t="s">
        <v>60</v>
      </c>
      <c r="D132" s="21" t="s">
        <v>134</v>
      </c>
      <c r="E132" s="21" t="s">
        <v>55</v>
      </c>
      <c r="F132" s="22" t="s">
        <v>55</v>
      </c>
      <c r="G132" s="23">
        <v>17.7</v>
      </c>
      <c r="H132" s="24">
        <v>21.0</v>
      </c>
      <c r="I132" s="24">
        <v>3273.0</v>
      </c>
      <c r="J132" s="24">
        <v>483.0</v>
      </c>
      <c r="K132" s="24">
        <v>1375.0</v>
      </c>
      <c r="L132" s="24">
        <v>2172.0</v>
      </c>
      <c r="M132" s="25">
        <v>27.53</v>
      </c>
      <c r="N132" s="23">
        <v>28.5</v>
      </c>
      <c r="O132" s="21"/>
      <c r="P132" s="26">
        <v>5.92</v>
      </c>
      <c r="Q132" s="26">
        <v>0.28</v>
      </c>
      <c r="R132" s="26">
        <v>0.6</v>
      </c>
      <c r="S132" s="26">
        <v>0.22</v>
      </c>
      <c r="T132" s="26">
        <v>0.04</v>
      </c>
      <c r="U132" s="26">
        <v>0.19</v>
      </c>
      <c r="V132" s="26">
        <v>7.15</v>
      </c>
      <c r="W132" s="26">
        <v>7.82</v>
      </c>
      <c r="X132" s="26">
        <v>13.48</v>
      </c>
      <c r="Y132" s="21"/>
      <c r="Z132" s="21"/>
      <c r="AA132" s="21"/>
      <c r="AB132" s="21"/>
      <c r="AC132" s="21"/>
      <c r="AD132" s="21"/>
      <c r="AE132" s="21"/>
      <c r="AF132" s="26">
        <v>4.63</v>
      </c>
      <c r="AG132" s="26">
        <v>57.91</v>
      </c>
      <c r="AH132" s="26">
        <v>26.0</v>
      </c>
      <c r="AI132" s="26">
        <v>16.09</v>
      </c>
    </row>
    <row r="133" ht="15.75" customHeight="1">
      <c r="A133" s="22">
        <v>137.0</v>
      </c>
      <c r="B133" s="21" t="s">
        <v>131</v>
      </c>
      <c r="C133" s="21" t="s">
        <v>60</v>
      </c>
      <c r="D133" s="21" t="s">
        <v>134</v>
      </c>
      <c r="E133" s="21" t="s">
        <v>55</v>
      </c>
      <c r="F133" s="22" t="s">
        <v>55</v>
      </c>
      <c r="G133" s="23">
        <v>28.0</v>
      </c>
      <c r="H133" s="24">
        <v>15.5</v>
      </c>
      <c r="I133" s="24">
        <v>3100.0</v>
      </c>
      <c r="J133" s="24">
        <v>905.0</v>
      </c>
      <c r="K133" s="24">
        <v>1272.0</v>
      </c>
      <c r="L133" s="24">
        <v>2664.0</v>
      </c>
      <c r="M133" s="25">
        <v>23.86</v>
      </c>
      <c r="N133" s="23">
        <v>30.1</v>
      </c>
      <c r="O133" s="21"/>
      <c r="P133" s="26">
        <v>7.73</v>
      </c>
      <c r="Q133" s="26">
        <v>0.33</v>
      </c>
      <c r="R133" s="26">
        <v>1.1</v>
      </c>
      <c r="S133" s="26">
        <v>0.2</v>
      </c>
      <c r="T133" s="26">
        <v>0.05</v>
      </c>
      <c r="U133" s="26">
        <v>0.19</v>
      </c>
      <c r="V133" s="26">
        <v>8.22</v>
      </c>
      <c r="W133" s="26">
        <v>7.8</v>
      </c>
      <c r="X133" s="26">
        <v>13.44</v>
      </c>
      <c r="Y133" s="21"/>
      <c r="Z133" s="21"/>
      <c r="AA133" s="21"/>
      <c r="AB133" s="21"/>
      <c r="AC133" s="21"/>
      <c r="AD133" s="21"/>
      <c r="AE133" s="21"/>
      <c r="AF133" s="26">
        <v>4.41</v>
      </c>
      <c r="AG133" s="26">
        <v>51.91</v>
      </c>
      <c r="AH133" s="26">
        <v>32.0</v>
      </c>
      <c r="AI133" s="26">
        <v>16.09</v>
      </c>
    </row>
    <row r="134" ht="15.75" customHeight="1">
      <c r="A134" s="22">
        <v>138.0</v>
      </c>
      <c r="B134" s="21" t="s">
        <v>131</v>
      </c>
      <c r="C134" s="21" t="s">
        <v>60</v>
      </c>
      <c r="D134" s="21" t="s">
        <v>134</v>
      </c>
      <c r="E134" s="21" t="s">
        <v>55</v>
      </c>
      <c r="F134" s="22" t="s">
        <v>55</v>
      </c>
      <c r="G134" s="23">
        <v>44.5</v>
      </c>
      <c r="H134" s="24">
        <v>21.4</v>
      </c>
      <c r="I134" s="24">
        <v>2857.0</v>
      </c>
      <c r="J134" s="24">
        <v>603.0</v>
      </c>
      <c r="K134" s="24">
        <v>1526.0</v>
      </c>
      <c r="L134" s="24">
        <v>2950.0</v>
      </c>
      <c r="M134" s="25">
        <v>11.76</v>
      </c>
      <c r="N134" s="23">
        <v>30.3</v>
      </c>
      <c r="O134" s="21"/>
      <c r="P134" s="26">
        <v>7.91</v>
      </c>
      <c r="Q134" s="26">
        <v>0.85</v>
      </c>
      <c r="R134" s="26">
        <v>1.73</v>
      </c>
      <c r="S134" s="26">
        <v>0.4</v>
      </c>
      <c r="T134" s="26">
        <v>0.06</v>
      </c>
      <c r="U134" s="26">
        <v>0.35</v>
      </c>
      <c r="V134" s="26">
        <v>7.87</v>
      </c>
      <c r="W134" s="26">
        <v>9.97</v>
      </c>
      <c r="X134" s="26">
        <v>17.19</v>
      </c>
      <c r="Y134" s="21"/>
      <c r="Z134" s="21"/>
      <c r="AA134" s="21"/>
      <c r="AB134" s="21"/>
      <c r="AC134" s="21"/>
      <c r="AD134" s="21"/>
      <c r="AE134" s="21"/>
      <c r="AF134" s="26">
        <v>4.72</v>
      </c>
      <c r="AG134" s="26">
        <v>51.91</v>
      </c>
      <c r="AH134" s="26">
        <v>34.0</v>
      </c>
      <c r="AI134" s="26">
        <v>14.09</v>
      </c>
    </row>
    <row r="135" ht="15.75" customHeight="1">
      <c r="A135" s="22">
        <v>139.0</v>
      </c>
      <c r="B135" s="21" t="s">
        <v>131</v>
      </c>
      <c r="C135" s="21" t="s">
        <v>60</v>
      </c>
      <c r="D135" s="21" t="s">
        <v>134</v>
      </c>
      <c r="E135" s="21" t="s">
        <v>55</v>
      </c>
      <c r="F135" s="22" t="s">
        <v>55</v>
      </c>
      <c r="G135" s="23">
        <v>26.5</v>
      </c>
      <c r="H135" s="24">
        <v>25.0</v>
      </c>
      <c r="I135" s="24">
        <v>2819.0</v>
      </c>
      <c r="J135" s="24">
        <v>784.0</v>
      </c>
      <c r="K135" s="24">
        <v>1669.0</v>
      </c>
      <c r="L135" s="24">
        <v>5207.0</v>
      </c>
      <c r="M135" s="25">
        <v>24.36</v>
      </c>
      <c r="N135" s="23">
        <v>34.0</v>
      </c>
      <c r="O135" s="21"/>
      <c r="P135" s="26">
        <v>10.98</v>
      </c>
      <c r="Q135" s="26">
        <v>0.6</v>
      </c>
      <c r="R135" s="26">
        <v>1.34</v>
      </c>
      <c r="S135" s="26">
        <v>0.32</v>
      </c>
      <c r="T135" s="26">
        <v>0.1</v>
      </c>
      <c r="U135" s="26">
        <v>0.38</v>
      </c>
      <c r="V135" s="26">
        <v>9.07</v>
      </c>
      <c r="W135" s="26">
        <v>14.59</v>
      </c>
      <c r="X135" s="26">
        <v>25.15</v>
      </c>
      <c r="Y135" s="21"/>
      <c r="Z135" s="21"/>
      <c r="AA135" s="21"/>
      <c r="AB135" s="21"/>
      <c r="AC135" s="21"/>
      <c r="AD135" s="21"/>
      <c r="AE135" s="21"/>
      <c r="AF135" s="26">
        <v>4.48</v>
      </c>
      <c r="AG135" s="26">
        <v>51.84</v>
      </c>
      <c r="AH135" s="26">
        <v>34.07</v>
      </c>
      <c r="AI135" s="26">
        <v>14.09</v>
      </c>
    </row>
    <row r="136" ht="15.75" customHeight="1">
      <c r="A136" s="22">
        <v>140.0</v>
      </c>
      <c r="B136" s="21" t="s">
        <v>131</v>
      </c>
      <c r="C136" s="21" t="s">
        <v>60</v>
      </c>
      <c r="D136" s="21" t="s">
        <v>134</v>
      </c>
      <c r="E136" s="21" t="s">
        <v>55</v>
      </c>
      <c r="F136" s="22" t="s">
        <v>55</v>
      </c>
      <c r="G136" s="23">
        <v>24.5</v>
      </c>
      <c r="H136" s="24">
        <v>52.8</v>
      </c>
      <c r="I136" s="24">
        <v>3776.0</v>
      </c>
      <c r="J136" s="24">
        <v>690.0</v>
      </c>
      <c r="K136" s="24">
        <v>2082.0</v>
      </c>
      <c r="L136" s="24">
        <v>4819.0</v>
      </c>
      <c r="M136" s="25">
        <v>24.89</v>
      </c>
      <c r="N136" s="23">
        <v>24.2</v>
      </c>
      <c r="O136" s="21"/>
      <c r="P136" s="26">
        <v>9.71</v>
      </c>
      <c r="Q136" s="26">
        <v>0.22</v>
      </c>
      <c r="R136" s="26">
        <v>1.09</v>
      </c>
      <c r="S136" s="26">
        <v>0.38</v>
      </c>
      <c r="T136" s="26">
        <v>0.07</v>
      </c>
      <c r="U136" s="26">
        <v>0.28</v>
      </c>
      <c r="V136" s="26">
        <v>6.61</v>
      </c>
      <c r="W136" s="26">
        <v>5.36</v>
      </c>
      <c r="X136" s="26">
        <v>9.24</v>
      </c>
      <c r="Y136" s="21"/>
      <c r="Z136" s="21"/>
      <c r="AA136" s="21"/>
      <c r="AB136" s="21"/>
      <c r="AC136" s="21"/>
      <c r="AD136" s="21"/>
      <c r="AE136" s="21"/>
      <c r="AF136" s="26">
        <v>4.7</v>
      </c>
      <c r="AG136" s="26">
        <v>57.98</v>
      </c>
      <c r="AH136" s="26">
        <v>27.93</v>
      </c>
      <c r="AI136" s="26">
        <v>14.09</v>
      </c>
    </row>
    <row r="137" ht="15.75" customHeight="1">
      <c r="A137" s="22">
        <v>141.0</v>
      </c>
      <c r="B137" s="21" t="s">
        <v>131</v>
      </c>
      <c r="C137" s="21" t="s">
        <v>60</v>
      </c>
      <c r="D137" s="21" t="s">
        <v>134</v>
      </c>
      <c r="E137" s="21" t="s">
        <v>81</v>
      </c>
      <c r="F137" s="21" t="str">
        <f>IFERROR(__xludf.DUMMYFUNCTION("REGEXEXTRACT(E137,""[A-Za-z]+"")"),"Q")</f>
        <v>Q</v>
      </c>
      <c r="G137" s="23">
        <v>25.9</v>
      </c>
      <c r="H137" s="24">
        <v>33.3</v>
      </c>
      <c r="I137" s="24">
        <v>3817.0</v>
      </c>
      <c r="J137" s="24">
        <v>664.0</v>
      </c>
      <c r="K137" s="24">
        <v>1788.0</v>
      </c>
      <c r="L137" s="24">
        <v>2335.0</v>
      </c>
      <c r="M137" s="25">
        <v>22.69</v>
      </c>
      <c r="N137" s="23">
        <v>26.1</v>
      </c>
      <c r="O137" s="21"/>
      <c r="P137" s="26">
        <v>6.28</v>
      </c>
      <c r="Q137" s="26">
        <v>0.29</v>
      </c>
      <c r="R137" s="26">
        <v>1.02</v>
      </c>
      <c r="S137" s="26">
        <v>0.42</v>
      </c>
      <c r="T137" s="26">
        <v>0.05</v>
      </c>
      <c r="U137" s="26">
        <v>0.46</v>
      </c>
      <c r="V137" s="26">
        <v>6.7</v>
      </c>
      <c r="W137" s="26">
        <v>6.69</v>
      </c>
      <c r="X137" s="26">
        <v>11.53</v>
      </c>
      <c r="Y137" s="21"/>
      <c r="Z137" s="21"/>
      <c r="AA137" s="21"/>
      <c r="AB137" s="21"/>
      <c r="AC137" s="21"/>
      <c r="AD137" s="21"/>
      <c r="AE137" s="21"/>
      <c r="AF137" s="26">
        <v>4.36</v>
      </c>
      <c r="AG137" s="26">
        <v>41.98</v>
      </c>
      <c r="AH137" s="26">
        <v>41.93</v>
      </c>
      <c r="AI137" s="26">
        <v>16.09</v>
      </c>
    </row>
    <row r="138" ht="15.75" customHeight="1">
      <c r="A138" s="22">
        <v>142.0</v>
      </c>
      <c r="B138" s="21" t="s">
        <v>131</v>
      </c>
      <c r="C138" s="21" t="s">
        <v>60</v>
      </c>
      <c r="D138" s="21" t="s">
        <v>134</v>
      </c>
      <c r="E138" s="21" t="s">
        <v>81</v>
      </c>
      <c r="F138" s="21" t="str">
        <f>IFERROR(__xludf.DUMMYFUNCTION("REGEXEXTRACT(E138,""[A-Za-z]+"")"),"Q")</f>
        <v>Q</v>
      </c>
      <c r="G138" s="23">
        <v>13.0</v>
      </c>
      <c r="H138" s="24">
        <v>23.4</v>
      </c>
      <c r="I138" s="24">
        <v>2659.0</v>
      </c>
      <c r="J138" s="24">
        <v>450.0</v>
      </c>
      <c r="K138" s="24">
        <v>1526.0</v>
      </c>
      <c r="L138" s="24">
        <v>1537.0</v>
      </c>
      <c r="M138" s="25">
        <v>25.25</v>
      </c>
      <c r="N138" s="23">
        <v>23.1</v>
      </c>
      <c r="O138" s="21"/>
      <c r="P138" s="26">
        <v>8.63</v>
      </c>
      <c r="Q138" s="26">
        <v>0.21</v>
      </c>
      <c r="R138" s="26">
        <v>0.91</v>
      </c>
      <c r="S138" s="26">
        <v>0.32</v>
      </c>
      <c r="T138" s="26">
        <v>0.11</v>
      </c>
      <c r="U138" s="26">
        <v>0.31</v>
      </c>
      <c r="V138" s="26">
        <v>5.89</v>
      </c>
      <c r="W138" s="26">
        <v>5.36</v>
      </c>
      <c r="X138" s="26">
        <v>9.23</v>
      </c>
      <c r="Y138" s="21"/>
      <c r="Z138" s="21"/>
      <c r="AA138" s="21"/>
      <c r="AB138" s="21"/>
      <c r="AC138" s="21"/>
      <c r="AD138" s="21"/>
      <c r="AE138" s="21"/>
      <c r="AF138" s="26">
        <v>4.39</v>
      </c>
      <c r="AG138" s="26">
        <v>49.98</v>
      </c>
      <c r="AH138" s="26">
        <v>35.93</v>
      </c>
      <c r="AI138" s="26">
        <v>14.09</v>
      </c>
    </row>
    <row r="139" ht="15.75" customHeight="1">
      <c r="A139" s="22">
        <v>143.0</v>
      </c>
      <c r="B139" s="21" t="s">
        <v>131</v>
      </c>
      <c r="C139" s="21" t="s">
        <v>60</v>
      </c>
      <c r="D139" s="21" t="s">
        <v>134</v>
      </c>
      <c r="E139" s="21" t="s">
        <v>81</v>
      </c>
      <c r="F139" s="21" t="str">
        <f>IFERROR(__xludf.DUMMYFUNCTION("REGEXEXTRACT(E139,""[A-Za-z]+"")"),"Q")</f>
        <v>Q</v>
      </c>
      <c r="G139" s="23">
        <v>14.9</v>
      </c>
      <c r="H139" s="24">
        <v>25.0</v>
      </c>
      <c r="I139" s="24">
        <v>2600.0</v>
      </c>
      <c r="J139" s="24">
        <v>272.0</v>
      </c>
      <c r="K139" s="24">
        <v>1268.0</v>
      </c>
      <c r="L139" s="24">
        <v>1800.0</v>
      </c>
      <c r="M139" s="25">
        <v>19.28</v>
      </c>
      <c r="N139" s="23">
        <v>23.1</v>
      </c>
      <c r="O139" s="21"/>
      <c r="P139" s="26">
        <v>11.7</v>
      </c>
      <c r="Q139" s="26">
        <v>0.2</v>
      </c>
      <c r="R139" s="26">
        <v>0.53</v>
      </c>
      <c r="S139" s="26">
        <v>0.19</v>
      </c>
      <c r="T139" s="26">
        <v>0.06</v>
      </c>
      <c r="U139" s="26">
        <v>0.32</v>
      </c>
      <c r="V139" s="26">
        <v>4.19</v>
      </c>
      <c r="W139" s="26">
        <v>3.79</v>
      </c>
      <c r="X139" s="26">
        <v>6.53</v>
      </c>
      <c r="Y139" s="21"/>
      <c r="Z139" s="21"/>
      <c r="AA139" s="21"/>
      <c r="AB139" s="21"/>
      <c r="AC139" s="21"/>
      <c r="AD139" s="21"/>
      <c r="AE139" s="21"/>
      <c r="AF139" s="26">
        <v>4.18</v>
      </c>
      <c r="AG139" s="26">
        <v>47.98</v>
      </c>
      <c r="AH139" s="26">
        <v>35.93</v>
      </c>
      <c r="AI139" s="26">
        <v>16.09</v>
      </c>
    </row>
    <row r="140" ht="15.75" customHeight="1">
      <c r="A140" s="22">
        <v>144.0</v>
      </c>
      <c r="B140" s="21" t="s">
        <v>131</v>
      </c>
      <c r="C140" s="21" t="s">
        <v>60</v>
      </c>
      <c r="D140" s="21" t="s">
        <v>134</v>
      </c>
      <c r="E140" s="21" t="s">
        <v>81</v>
      </c>
      <c r="F140" s="21" t="str">
        <f>IFERROR(__xludf.DUMMYFUNCTION("REGEXEXTRACT(E140,""[A-Za-z]+"")"),"Q")</f>
        <v>Q</v>
      </c>
      <c r="G140" s="23">
        <v>17.9</v>
      </c>
      <c r="H140" s="24">
        <v>18.6</v>
      </c>
      <c r="I140" s="24">
        <v>2503.0</v>
      </c>
      <c r="J140" s="24">
        <v>362.0</v>
      </c>
      <c r="K140" s="24">
        <v>1685.0</v>
      </c>
      <c r="L140" s="24">
        <v>1913.0</v>
      </c>
      <c r="M140" s="25">
        <v>24.66</v>
      </c>
      <c r="N140" s="23">
        <v>27.9</v>
      </c>
      <c r="O140" s="21"/>
      <c r="P140" s="26">
        <v>3.94</v>
      </c>
      <c r="Q140" s="26">
        <v>0.21</v>
      </c>
      <c r="R140" s="26">
        <v>0.26</v>
      </c>
      <c r="S140" s="26">
        <v>0.15</v>
      </c>
      <c r="T140" s="26">
        <v>0.05</v>
      </c>
      <c r="U140" s="26">
        <v>0.21</v>
      </c>
      <c r="V140" s="26">
        <v>6.98</v>
      </c>
      <c r="W140" s="26">
        <v>5.07</v>
      </c>
      <c r="X140" s="26">
        <v>8.74</v>
      </c>
      <c r="Y140" s="21"/>
      <c r="Z140" s="21"/>
      <c r="AA140" s="21"/>
      <c r="AB140" s="21"/>
      <c r="AC140" s="21"/>
      <c r="AD140" s="21"/>
      <c r="AE140" s="21"/>
      <c r="AF140" s="26">
        <v>4.57</v>
      </c>
      <c r="AG140" s="26">
        <v>37.98</v>
      </c>
      <c r="AH140" s="26">
        <v>45.93</v>
      </c>
      <c r="AI140" s="26">
        <v>16.09</v>
      </c>
    </row>
    <row r="141" ht="15.75" customHeight="1">
      <c r="A141" s="22">
        <v>145.0</v>
      </c>
      <c r="B141" s="21" t="s">
        <v>131</v>
      </c>
      <c r="C141" s="21" t="s">
        <v>60</v>
      </c>
      <c r="D141" s="21" t="s">
        <v>134</v>
      </c>
      <c r="E141" s="21" t="s">
        <v>81</v>
      </c>
      <c r="F141" s="21" t="str">
        <f>IFERROR(__xludf.DUMMYFUNCTION("REGEXEXTRACT(E141,""[A-Za-z]+"")"),"Q")</f>
        <v>Q</v>
      </c>
      <c r="G141" s="23">
        <v>14.0</v>
      </c>
      <c r="H141" s="24">
        <v>16.3</v>
      </c>
      <c r="I141" s="24">
        <v>1632.0</v>
      </c>
      <c r="J141" s="24">
        <v>483.0</v>
      </c>
      <c r="K141" s="24">
        <v>1317.0</v>
      </c>
      <c r="L141" s="24">
        <v>1225.0</v>
      </c>
      <c r="M141" s="25">
        <v>24.84</v>
      </c>
      <c r="N141" s="23">
        <v>21.0</v>
      </c>
      <c r="O141" s="21"/>
      <c r="P141" s="26">
        <v>4.48</v>
      </c>
      <c r="Q141" s="26">
        <v>0.18</v>
      </c>
      <c r="R141" s="26">
        <v>0.32</v>
      </c>
      <c r="S141" s="26">
        <v>0.14</v>
      </c>
      <c r="T141" s="26">
        <v>0.06</v>
      </c>
      <c r="U141" s="26">
        <v>0.25</v>
      </c>
      <c r="V141" s="26">
        <v>6.0</v>
      </c>
      <c r="W141" s="26">
        <v>4.35</v>
      </c>
      <c r="X141" s="26">
        <v>7.5</v>
      </c>
      <c r="Y141" s="21"/>
      <c r="Z141" s="21"/>
      <c r="AA141" s="21"/>
      <c r="AB141" s="21"/>
      <c r="AC141" s="21"/>
      <c r="AD141" s="21"/>
      <c r="AE141" s="21"/>
      <c r="AF141" s="26">
        <v>4.63</v>
      </c>
      <c r="AG141" s="26">
        <v>39.98</v>
      </c>
      <c r="AH141" s="26">
        <v>43.93</v>
      </c>
      <c r="AI141" s="26">
        <v>16.09</v>
      </c>
    </row>
    <row r="142" ht="15.75" customHeight="1">
      <c r="A142" s="22">
        <v>146.0</v>
      </c>
      <c r="B142" s="21" t="s">
        <v>131</v>
      </c>
      <c r="C142" s="21" t="s">
        <v>60</v>
      </c>
      <c r="D142" s="21" t="s">
        <v>134</v>
      </c>
      <c r="E142" s="21" t="s">
        <v>115</v>
      </c>
      <c r="F142" s="21" t="str">
        <f>IFERROR(__xludf.DUMMYFUNCTION("REGEXEXTRACT(E142,""[A-Za-z]+"")"),"QM")</f>
        <v>QM</v>
      </c>
      <c r="G142" s="23">
        <v>28.1</v>
      </c>
      <c r="H142" s="24">
        <v>21.4</v>
      </c>
      <c r="I142" s="24">
        <v>2584.0</v>
      </c>
      <c r="J142" s="24">
        <v>875.0</v>
      </c>
      <c r="K142" s="24">
        <v>1751.0</v>
      </c>
      <c r="L142" s="24">
        <v>1652.0</v>
      </c>
      <c r="M142" s="25">
        <v>28.38</v>
      </c>
      <c r="N142" s="23">
        <v>17.7</v>
      </c>
      <c r="O142" s="21"/>
      <c r="P142" s="26">
        <v>16.39</v>
      </c>
      <c r="Q142" s="26">
        <v>0.16</v>
      </c>
      <c r="R142" s="26">
        <v>0.59</v>
      </c>
      <c r="S142" s="26">
        <v>0.21</v>
      </c>
      <c r="T142" s="26">
        <v>0.05</v>
      </c>
      <c r="U142" s="26">
        <v>0.16</v>
      </c>
      <c r="V142" s="26">
        <v>4.91</v>
      </c>
      <c r="W142" s="26">
        <v>4.52</v>
      </c>
      <c r="X142" s="26">
        <v>7.79</v>
      </c>
      <c r="Y142" s="21"/>
      <c r="Z142" s="21"/>
      <c r="AA142" s="21"/>
      <c r="AB142" s="21"/>
      <c r="AC142" s="21"/>
      <c r="AD142" s="21"/>
      <c r="AE142" s="21"/>
      <c r="AF142" s="26">
        <v>4.38</v>
      </c>
      <c r="AG142" s="26">
        <v>47.98</v>
      </c>
      <c r="AH142" s="26">
        <v>37.93</v>
      </c>
      <c r="AI142" s="26">
        <v>14.09</v>
      </c>
    </row>
    <row r="143" ht="15.75" customHeight="1">
      <c r="A143" s="22">
        <v>147.0</v>
      </c>
      <c r="B143" s="21" t="s">
        <v>131</v>
      </c>
      <c r="C143" s="21" t="s">
        <v>60</v>
      </c>
      <c r="D143" s="21" t="s">
        <v>134</v>
      </c>
      <c r="E143" s="21" t="s">
        <v>115</v>
      </c>
      <c r="F143" s="21" t="str">
        <f>IFERROR(__xludf.DUMMYFUNCTION("REGEXEXTRACT(E143,""[A-Za-z]+"")"),"QM")</f>
        <v>QM</v>
      </c>
      <c r="G143" s="23">
        <v>23.2</v>
      </c>
      <c r="H143" s="24">
        <v>24.0</v>
      </c>
      <c r="I143" s="24">
        <v>2138.0</v>
      </c>
      <c r="J143" s="24">
        <v>302.0</v>
      </c>
      <c r="K143" s="24">
        <v>1400.0</v>
      </c>
      <c r="L143" s="24">
        <v>1710.0</v>
      </c>
      <c r="M143" s="25">
        <v>24.33</v>
      </c>
      <c r="N143" s="23">
        <v>23.2</v>
      </c>
      <c r="O143" s="21"/>
      <c r="P143" s="26">
        <v>12.06</v>
      </c>
      <c r="Q143" s="26">
        <v>0.22</v>
      </c>
      <c r="R143" s="26">
        <v>0.89</v>
      </c>
      <c r="S143" s="26">
        <v>0.25</v>
      </c>
      <c r="T143" s="26">
        <v>0.04</v>
      </c>
      <c r="U143" s="26">
        <v>0.27</v>
      </c>
      <c r="V143" s="26">
        <v>5.73</v>
      </c>
      <c r="W143" s="26">
        <v>5.34</v>
      </c>
      <c r="X143" s="26">
        <v>9.2</v>
      </c>
      <c r="Y143" s="21"/>
      <c r="Z143" s="21"/>
      <c r="AA143" s="21"/>
      <c r="AB143" s="21"/>
      <c r="AC143" s="21"/>
      <c r="AD143" s="21"/>
      <c r="AE143" s="21"/>
      <c r="AF143" s="26">
        <v>4.69</v>
      </c>
      <c r="AG143" s="26">
        <v>47.98</v>
      </c>
      <c r="AH143" s="26">
        <v>35.93</v>
      </c>
      <c r="AI143" s="26">
        <v>16.09</v>
      </c>
    </row>
    <row r="144" ht="15.75" customHeight="1">
      <c r="A144" s="22">
        <v>148.0</v>
      </c>
      <c r="B144" s="21" t="s">
        <v>131</v>
      </c>
      <c r="C144" s="21" t="s">
        <v>60</v>
      </c>
      <c r="D144" s="21" t="s">
        <v>134</v>
      </c>
      <c r="E144" s="21" t="s">
        <v>115</v>
      </c>
      <c r="F144" s="21" t="str">
        <f>IFERROR(__xludf.DUMMYFUNCTION("REGEXEXTRACT(E144,""[A-Za-z]+"")"),"QM")</f>
        <v>QM</v>
      </c>
      <c r="G144" s="23">
        <v>25.0</v>
      </c>
      <c r="H144" s="24">
        <v>24.0</v>
      </c>
      <c r="I144" s="24">
        <v>2307.0</v>
      </c>
      <c r="J144" s="24">
        <v>272.0</v>
      </c>
      <c r="K144" s="24">
        <v>1039.0</v>
      </c>
      <c r="L144" s="24">
        <v>1790.0</v>
      </c>
      <c r="M144" s="25">
        <v>28.31</v>
      </c>
      <c r="N144" s="23">
        <v>16.8</v>
      </c>
      <c r="O144" s="21"/>
      <c r="P144" s="26">
        <v>7.37</v>
      </c>
      <c r="Q144" s="26">
        <v>0.14</v>
      </c>
      <c r="R144" s="26">
        <v>0.27</v>
      </c>
      <c r="S144" s="26">
        <v>0.12</v>
      </c>
      <c r="T144" s="26">
        <v>0.04</v>
      </c>
      <c r="U144" s="26">
        <v>0.15</v>
      </c>
      <c r="V144" s="26">
        <v>4.73</v>
      </c>
      <c r="W144" s="26">
        <v>3.91</v>
      </c>
      <c r="X144" s="26">
        <v>6.74</v>
      </c>
      <c r="Y144" s="21"/>
      <c r="Z144" s="21"/>
      <c r="AA144" s="21"/>
      <c r="AB144" s="21"/>
      <c r="AC144" s="21"/>
      <c r="AD144" s="21"/>
      <c r="AE144" s="21"/>
      <c r="AF144" s="26">
        <v>4.67</v>
      </c>
      <c r="AG144" s="26">
        <v>47.98</v>
      </c>
      <c r="AH144" s="26">
        <v>37.93</v>
      </c>
      <c r="AI144" s="26">
        <v>14.09</v>
      </c>
    </row>
    <row r="145" ht="15.75" customHeight="1">
      <c r="A145" s="22">
        <v>149.0</v>
      </c>
      <c r="B145" s="21" t="s">
        <v>131</v>
      </c>
      <c r="C145" s="21" t="s">
        <v>60</v>
      </c>
      <c r="D145" s="21" t="s">
        <v>134</v>
      </c>
      <c r="E145" s="21" t="s">
        <v>115</v>
      </c>
      <c r="F145" s="21" t="str">
        <f>IFERROR(__xludf.DUMMYFUNCTION("REGEXEXTRACT(E145,""[A-Za-z]+"")"),"QM")</f>
        <v>QM</v>
      </c>
      <c r="G145" s="23">
        <v>29.8</v>
      </c>
      <c r="H145" s="24">
        <v>25.4</v>
      </c>
      <c r="I145" s="24">
        <v>2026.0</v>
      </c>
      <c r="J145" s="24">
        <v>483.0</v>
      </c>
      <c r="K145" s="24">
        <v>1248.0</v>
      </c>
      <c r="L145" s="24">
        <v>2003.0</v>
      </c>
      <c r="M145" s="25">
        <v>26.38</v>
      </c>
      <c r="N145" s="23">
        <v>20.5</v>
      </c>
      <c r="O145" s="21"/>
      <c r="P145" s="26">
        <v>16.03</v>
      </c>
      <c r="Q145" s="26">
        <v>0.2</v>
      </c>
      <c r="R145" s="26">
        <v>0.77</v>
      </c>
      <c r="S145" s="26">
        <v>0.33</v>
      </c>
      <c r="T145" s="26">
        <v>0.05</v>
      </c>
      <c r="U145" s="26">
        <v>0.29</v>
      </c>
      <c r="V145" s="26">
        <v>4.41</v>
      </c>
      <c r="W145" s="26">
        <v>5.28</v>
      </c>
      <c r="X145" s="26">
        <v>9.1</v>
      </c>
      <c r="Y145" s="21"/>
      <c r="Z145" s="21"/>
      <c r="AA145" s="21"/>
      <c r="AB145" s="21"/>
      <c r="AC145" s="21"/>
      <c r="AD145" s="21"/>
      <c r="AE145" s="21"/>
      <c r="AF145" s="26">
        <v>4.65</v>
      </c>
      <c r="AG145" s="26">
        <v>51.98</v>
      </c>
      <c r="AH145" s="26">
        <v>33.93</v>
      </c>
      <c r="AI145" s="26">
        <v>14.09</v>
      </c>
    </row>
    <row r="146" ht="15.75" customHeight="1">
      <c r="A146" s="22">
        <v>150.0</v>
      </c>
      <c r="B146" s="21" t="s">
        <v>131</v>
      </c>
      <c r="C146" s="21" t="s">
        <v>60</v>
      </c>
      <c r="D146" s="21" t="s">
        <v>134</v>
      </c>
      <c r="E146" s="21" t="s">
        <v>115</v>
      </c>
      <c r="F146" s="21" t="str">
        <f>IFERROR(__xludf.DUMMYFUNCTION("REGEXEXTRACT(E146,""[A-Za-z]+"")"),"QM")</f>
        <v>QM</v>
      </c>
      <c r="G146" s="23">
        <v>16.4</v>
      </c>
      <c r="H146" s="24">
        <v>33.7</v>
      </c>
      <c r="I146" s="24">
        <v>2011.0</v>
      </c>
      <c r="J146" s="24">
        <v>483.0</v>
      </c>
      <c r="K146" s="24">
        <v>1714.0</v>
      </c>
      <c r="L146" s="24">
        <v>1774.0</v>
      </c>
      <c r="M146" s="25">
        <v>23.11</v>
      </c>
      <c r="N146" s="23">
        <v>19.0</v>
      </c>
      <c r="O146" s="21"/>
      <c r="P146" s="26">
        <v>12.96</v>
      </c>
      <c r="Q146" s="26">
        <v>0.17</v>
      </c>
      <c r="R146" s="26">
        <v>0.4</v>
      </c>
      <c r="S146" s="26">
        <v>0.21</v>
      </c>
      <c r="T146" s="26">
        <v>0.05</v>
      </c>
      <c r="U146" s="26">
        <v>0.18</v>
      </c>
      <c r="V146" s="26">
        <v>4.29</v>
      </c>
      <c r="W146" s="26">
        <v>3.82</v>
      </c>
      <c r="X146" s="26">
        <v>6.59</v>
      </c>
      <c r="Y146" s="21"/>
      <c r="Z146" s="21"/>
      <c r="AA146" s="21"/>
      <c r="AB146" s="21"/>
      <c r="AC146" s="21"/>
      <c r="AD146" s="21"/>
      <c r="AE146" s="21"/>
      <c r="AF146" s="26">
        <v>4.4</v>
      </c>
      <c r="AG146" s="26">
        <v>47.98</v>
      </c>
      <c r="AH146" s="26">
        <v>35.93</v>
      </c>
      <c r="AI146" s="26">
        <v>16.09</v>
      </c>
    </row>
    <row r="147" ht="15.75" customHeight="1">
      <c r="A147" s="22">
        <v>151.0</v>
      </c>
      <c r="B147" s="21" t="s">
        <v>131</v>
      </c>
      <c r="C147" s="21" t="s">
        <v>60</v>
      </c>
      <c r="D147" s="21" t="s">
        <v>134</v>
      </c>
      <c r="E147" s="21" t="s">
        <v>65</v>
      </c>
      <c r="F147" s="21" t="str">
        <f>IFERROR(__xludf.DUMMYFUNCTION("REGEXEXTRACT(E147,""[A-Za-z]+"")"),"NQ")</f>
        <v>NQ</v>
      </c>
      <c r="G147" s="23">
        <v>55.3</v>
      </c>
      <c r="H147" s="24">
        <v>58.6</v>
      </c>
      <c r="I147" s="24">
        <v>3970.0</v>
      </c>
      <c r="J147" s="24">
        <v>603.0</v>
      </c>
      <c r="K147" s="24">
        <v>2140.0</v>
      </c>
      <c r="L147" s="24">
        <v>2144.0</v>
      </c>
      <c r="M147" s="25">
        <v>23.69</v>
      </c>
      <c r="N147" s="23">
        <v>21.5</v>
      </c>
      <c r="O147" s="21"/>
      <c r="P147" s="26">
        <v>6.28</v>
      </c>
      <c r="Q147" s="26">
        <v>0.28</v>
      </c>
      <c r="R147" s="26">
        <v>0.27</v>
      </c>
      <c r="S147" s="26">
        <v>0.26</v>
      </c>
      <c r="T147" s="26">
        <v>0.1</v>
      </c>
      <c r="U147" s="26">
        <v>0.1</v>
      </c>
      <c r="V147" s="26">
        <v>7.25</v>
      </c>
      <c r="W147" s="26">
        <v>6.54</v>
      </c>
      <c r="X147" s="26">
        <v>11.27</v>
      </c>
      <c r="Y147" s="21"/>
      <c r="Z147" s="21"/>
      <c r="AA147" s="21"/>
      <c r="AB147" s="21"/>
      <c r="AC147" s="21"/>
      <c r="AD147" s="21"/>
      <c r="AE147" s="21"/>
      <c r="AF147" s="26">
        <v>4.49</v>
      </c>
      <c r="AG147" s="26">
        <v>53.64</v>
      </c>
      <c r="AH147" s="26">
        <v>31.78</v>
      </c>
      <c r="AI147" s="26">
        <v>14.58</v>
      </c>
    </row>
    <row r="148" ht="15.75" customHeight="1">
      <c r="A148" s="22">
        <v>152.0</v>
      </c>
      <c r="B148" s="21" t="s">
        <v>131</v>
      </c>
      <c r="C148" s="21" t="s">
        <v>60</v>
      </c>
      <c r="D148" s="21" t="s">
        <v>134</v>
      </c>
      <c r="E148" s="21" t="s">
        <v>65</v>
      </c>
      <c r="F148" s="21" t="str">
        <f>IFERROR(__xludf.DUMMYFUNCTION("REGEXEXTRACT(E148,""[A-Za-z]+"")"),"NQ")</f>
        <v>NQ</v>
      </c>
      <c r="G148" s="23">
        <v>43.5</v>
      </c>
      <c r="H148" s="24">
        <v>42.9</v>
      </c>
      <c r="I148" s="24">
        <v>4898.0</v>
      </c>
      <c r="J148" s="24">
        <v>60.0</v>
      </c>
      <c r="K148" s="24">
        <v>1595.0</v>
      </c>
      <c r="L148" s="24">
        <v>2595.0</v>
      </c>
      <c r="M148" s="25">
        <v>21.73</v>
      </c>
      <c r="N148" s="23">
        <v>24.1</v>
      </c>
      <c r="O148" s="21"/>
      <c r="P148" s="26">
        <v>6.1</v>
      </c>
      <c r="Q148" s="26">
        <v>0.32</v>
      </c>
      <c r="R148" s="26">
        <v>0.2</v>
      </c>
      <c r="S148" s="26">
        <v>0.26</v>
      </c>
      <c r="T148" s="26">
        <v>0.07</v>
      </c>
      <c r="U148" s="26">
        <v>0.12</v>
      </c>
      <c r="V148" s="26">
        <v>7.69</v>
      </c>
      <c r="W148" s="26">
        <v>6.86</v>
      </c>
      <c r="X148" s="26">
        <v>11.83</v>
      </c>
      <c r="Y148" s="21"/>
      <c r="Z148" s="21"/>
      <c r="AA148" s="21"/>
      <c r="AB148" s="21"/>
      <c r="AC148" s="21"/>
      <c r="AD148" s="21"/>
      <c r="AE148" s="21"/>
      <c r="AF148" s="26">
        <v>4.38</v>
      </c>
      <c r="AG148" s="26">
        <v>55.64</v>
      </c>
      <c r="AH148" s="26">
        <v>31.71</v>
      </c>
      <c r="AI148" s="26">
        <v>12.65</v>
      </c>
    </row>
    <row r="149" ht="15.75" customHeight="1">
      <c r="A149" s="22">
        <v>153.0</v>
      </c>
      <c r="B149" s="21" t="s">
        <v>131</v>
      </c>
      <c r="C149" s="21" t="s">
        <v>60</v>
      </c>
      <c r="D149" s="21" t="s">
        <v>134</v>
      </c>
      <c r="E149" s="21" t="s">
        <v>65</v>
      </c>
      <c r="F149" s="21" t="str">
        <f>IFERROR(__xludf.DUMMYFUNCTION("REGEXEXTRACT(E149,""[A-Za-z]+"")"),"NQ")</f>
        <v>NQ</v>
      </c>
      <c r="G149" s="23">
        <v>20.6</v>
      </c>
      <c r="H149" s="24">
        <v>31.3</v>
      </c>
      <c r="I149" s="24">
        <v>3202.0</v>
      </c>
      <c r="J149" s="24">
        <v>965.0</v>
      </c>
      <c r="K149" s="24">
        <v>1620.0</v>
      </c>
      <c r="L149" s="24">
        <v>1958.0</v>
      </c>
      <c r="M149" s="25">
        <v>24.27</v>
      </c>
      <c r="N149" s="23">
        <v>20.4</v>
      </c>
      <c r="O149" s="21"/>
      <c r="P149" s="26">
        <v>5.92</v>
      </c>
      <c r="Q149" s="26">
        <v>0.18</v>
      </c>
      <c r="R149" s="26">
        <v>0.12</v>
      </c>
      <c r="S149" s="26">
        <v>0.16</v>
      </c>
      <c r="T149" s="26">
        <v>0.06</v>
      </c>
      <c r="U149" s="26">
        <v>0.09</v>
      </c>
      <c r="V149" s="26">
        <v>6.36</v>
      </c>
      <c r="W149" s="26">
        <v>4.44</v>
      </c>
      <c r="X149" s="26">
        <v>7.65</v>
      </c>
      <c r="Y149" s="21"/>
      <c r="Z149" s="21"/>
      <c r="AA149" s="21"/>
      <c r="AB149" s="21"/>
      <c r="AC149" s="21"/>
      <c r="AD149" s="21"/>
      <c r="AE149" s="21"/>
      <c r="AF149" s="26">
        <v>4.46</v>
      </c>
      <c r="AG149" s="26">
        <v>57.64</v>
      </c>
      <c r="AH149" s="26">
        <v>27.71</v>
      </c>
      <c r="AI149" s="26">
        <v>14.65</v>
      </c>
    </row>
    <row r="150" ht="15.75" customHeight="1">
      <c r="A150" s="22">
        <v>154.0</v>
      </c>
      <c r="B150" s="21" t="s">
        <v>131</v>
      </c>
      <c r="C150" s="21" t="s">
        <v>60</v>
      </c>
      <c r="D150" s="21" t="s">
        <v>134</v>
      </c>
      <c r="E150" s="21" t="s">
        <v>65</v>
      </c>
      <c r="F150" s="21" t="str">
        <f>IFERROR(__xludf.DUMMYFUNCTION("REGEXEXTRACT(E150,""[A-Za-z]+"")"),"NQ")</f>
        <v>NQ</v>
      </c>
      <c r="G150" s="23">
        <v>39.0</v>
      </c>
      <c r="H150" s="24">
        <v>35.0</v>
      </c>
      <c r="I150" s="24">
        <v>3500.0</v>
      </c>
      <c r="J150" s="24">
        <v>750.0</v>
      </c>
      <c r="K150" s="24">
        <v>2446.0</v>
      </c>
      <c r="L150" s="24">
        <v>6855.0</v>
      </c>
      <c r="M150" s="25">
        <v>28.87</v>
      </c>
      <c r="N150" s="23">
        <v>32.7</v>
      </c>
      <c r="O150" s="21"/>
      <c r="P150" s="26">
        <v>5.2</v>
      </c>
      <c r="Q150" s="26">
        <v>0.42</v>
      </c>
      <c r="R150" s="26">
        <v>0.39</v>
      </c>
      <c r="S150" s="26">
        <v>0.4</v>
      </c>
      <c r="T150" s="26">
        <v>0.1</v>
      </c>
      <c r="U150" s="26">
        <v>0.27</v>
      </c>
      <c r="V150" s="26">
        <v>10.93</v>
      </c>
      <c r="W150" s="26">
        <v>12.21</v>
      </c>
      <c r="X150" s="26">
        <v>21.05</v>
      </c>
      <c r="Y150" s="21"/>
      <c r="Z150" s="21"/>
      <c r="AA150" s="21"/>
      <c r="AB150" s="21"/>
      <c r="AC150" s="21"/>
      <c r="AD150" s="21"/>
      <c r="AE150" s="21"/>
      <c r="AF150" s="26">
        <v>4.4</v>
      </c>
      <c r="AG150" s="26">
        <v>59.78</v>
      </c>
      <c r="AH150" s="26">
        <v>29.57</v>
      </c>
      <c r="AI150" s="26">
        <v>10.65</v>
      </c>
    </row>
    <row r="151" ht="15.75" customHeight="1">
      <c r="A151" s="22">
        <v>155.0</v>
      </c>
      <c r="B151" s="21" t="s">
        <v>131</v>
      </c>
      <c r="C151" s="21" t="s">
        <v>60</v>
      </c>
      <c r="D151" s="21" t="s">
        <v>134</v>
      </c>
      <c r="E151" s="21" t="s">
        <v>65</v>
      </c>
      <c r="F151" s="21" t="str">
        <f>IFERROR(__xludf.DUMMYFUNCTION("REGEXEXTRACT(E151,""[A-Za-z]+"")"),"NQ")</f>
        <v>NQ</v>
      </c>
      <c r="G151" s="23">
        <v>40.0</v>
      </c>
      <c r="H151" s="24">
        <v>38.0</v>
      </c>
      <c r="I151" s="24">
        <v>4000.0</v>
      </c>
      <c r="J151" s="24">
        <v>659.0</v>
      </c>
      <c r="K151" s="24">
        <v>1919.0</v>
      </c>
      <c r="L151" s="24">
        <v>3500.0</v>
      </c>
      <c r="M151" s="25">
        <v>30.02</v>
      </c>
      <c r="N151" s="23">
        <v>39.1</v>
      </c>
      <c r="O151" s="21"/>
      <c r="P151" s="26">
        <v>13.69</v>
      </c>
      <c r="Q151" s="26">
        <v>0.54</v>
      </c>
      <c r="R151" s="26">
        <v>0.74</v>
      </c>
      <c r="S151" s="26">
        <v>0.46</v>
      </c>
      <c r="T151" s="26">
        <v>0.1</v>
      </c>
      <c r="U151" s="26">
        <v>0.4</v>
      </c>
      <c r="V151" s="26">
        <v>14.32</v>
      </c>
      <c r="W151" s="26">
        <v>16.14</v>
      </c>
      <c r="X151" s="26">
        <v>27.83</v>
      </c>
      <c r="Y151" s="21"/>
      <c r="Z151" s="21"/>
      <c r="AA151" s="21"/>
      <c r="AB151" s="21"/>
      <c r="AC151" s="21"/>
      <c r="AD151" s="21"/>
      <c r="AE151" s="21"/>
      <c r="AF151" s="26">
        <v>4.17</v>
      </c>
      <c r="AG151" s="26">
        <v>65.78</v>
      </c>
      <c r="AH151" s="26">
        <v>27.57</v>
      </c>
      <c r="AI151" s="26">
        <v>6.65</v>
      </c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3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</row>
    <row r="354" ht="15.75" customHeight="1">
      <c r="A354" s="28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</row>
    <row r="355" ht="15.75" customHeight="1">
      <c r="A355" s="28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</row>
    <row r="356" ht="15.75" customHeight="1">
      <c r="A356" s="28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</row>
    <row r="357" ht="15.75" customHeight="1">
      <c r="A357" s="28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</row>
    <row r="358" ht="15.75" customHeight="1">
      <c r="A358" s="28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</row>
    <row r="359" ht="15.75" customHeight="1">
      <c r="A359" s="28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</row>
    <row r="360" ht="15.75" customHeight="1">
      <c r="A360" s="28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</row>
    <row r="361" ht="15.75" customHeight="1">
      <c r="A361" s="28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</row>
    <row r="362" ht="15.75" customHeight="1">
      <c r="A362" s="28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</row>
    <row r="363" ht="15.75" customHeight="1">
      <c r="A363" s="28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</row>
    <row r="364" ht="15.75" customHeight="1">
      <c r="A364" s="28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</row>
    <row r="365" ht="15.75" customHeight="1">
      <c r="A365" s="28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</row>
    <row r="366" ht="15.75" customHeight="1">
      <c r="A366" s="28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</row>
    <row r="367" ht="15.75" customHeight="1">
      <c r="A367" s="28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</row>
    <row r="368" ht="15.75" customHeight="1">
      <c r="A368" s="28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</row>
    <row r="369" ht="15.75" customHeight="1">
      <c r="A369" s="28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</row>
    <row r="370" ht="15.75" customHeight="1">
      <c r="A370" s="28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</row>
    <row r="371" ht="15.75" customHeight="1">
      <c r="A371" s="28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</row>
    <row r="372" ht="15.75" customHeight="1">
      <c r="A372" s="28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</row>
    <row r="373" ht="15.75" customHeight="1">
      <c r="A373" s="28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</row>
    <row r="374" ht="15.75" customHeight="1">
      <c r="A374" s="28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</row>
    <row r="375" ht="15.75" customHeight="1">
      <c r="A375" s="28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</row>
    <row r="376" ht="15.75" customHeight="1">
      <c r="A376" s="28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</row>
    <row r="377" ht="15.75" customHeight="1">
      <c r="A377" s="28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</row>
    <row r="378" ht="15.75" customHeight="1">
      <c r="A378" s="28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</row>
    <row r="379" ht="15.75" customHeight="1">
      <c r="A379" s="28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</row>
    <row r="380" ht="15.75" customHeight="1">
      <c r="A380" s="28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</row>
    <row r="381" ht="15.75" customHeight="1">
      <c r="A381" s="28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</row>
    <row r="382" ht="15.75" customHeight="1">
      <c r="A382" s="28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</row>
    <row r="383" ht="15.75" customHeight="1">
      <c r="A383" s="28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</row>
    <row r="384" ht="15.75" customHeight="1">
      <c r="A384" s="28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</row>
    <row r="385" ht="15.75" customHeight="1">
      <c r="A385" s="28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</row>
    <row r="386" ht="15.75" customHeight="1">
      <c r="A386" s="28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</row>
    <row r="387" ht="15.75" customHeight="1">
      <c r="A387" s="28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</row>
    <row r="388" ht="15.75" customHeight="1">
      <c r="A388" s="28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</row>
    <row r="389" ht="15.75" customHeight="1">
      <c r="A389" s="28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</row>
    <row r="390" ht="15.75" customHeight="1">
      <c r="A390" s="28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</row>
    <row r="391" ht="15.75" customHeight="1">
      <c r="A391" s="28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</row>
    <row r="392" ht="15.75" customHeight="1">
      <c r="A392" s="28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</row>
    <row r="393" ht="15.75" customHeight="1">
      <c r="A393" s="28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</row>
    <row r="394" ht="15.75" customHeight="1">
      <c r="A394" s="28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</row>
    <row r="395" ht="15.75" customHeight="1">
      <c r="A395" s="28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</row>
    <row r="396" ht="15.75" customHeight="1">
      <c r="A396" s="28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</row>
    <row r="397" ht="15.75" customHeight="1">
      <c r="A397" s="28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</row>
    <row r="398" ht="15.75" customHeight="1">
      <c r="A398" s="28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</row>
    <row r="399" ht="15.75" customHeight="1">
      <c r="A399" s="28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</row>
    <row r="400" ht="15.75" customHeight="1">
      <c r="A400" s="28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</row>
    <row r="401" ht="15.75" customHeight="1">
      <c r="A401" s="28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</row>
    <row r="402" ht="15.75" customHeight="1">
      <c r="A402" s="28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</row>
    <row r="403" ht="15.75" customHeight="1">
      <c r="A403" s="28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</row>
    <row r="404" ht="15.75" customHeight="1">
      <c r="A404" s="28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</row>
    <row r="405" ht="15.75" customHeight="1">
      <c r="A405" s="28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</row>
    <row r="406" ht="15.75" customHeight="1">
      <c r="A406" s="28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</row>
    <row r="407" ht="15.75" customHeight="1">
      <c r="A407" s="28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</row>
    <row r="408" ht="15.75" customHeight="1">
      <c r="A408" s="28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</row>
    <row r="409" ht="15.75" customHeight="1">
      <c r="A409" s="28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</row>
    <row r="410" ht="15.75" customHeight="1">
      <c r="A410" s="28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</row>
    <row r="411" ht="15.75" customHeight="1">
      <c r="A411" s="28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</row>
    <row r="412" ht="15.75" customHeight="1">
      <c r="A412" s="28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</row>
    <row r="413" ht="15.75" customHeight="1">
      <c r="A413" s="28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</row>
    <row r="414" ht="15.75" customHeight="1">
      <c r="A414" s="28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</row>
    <row r="415" ht="15.75" customHeight="1">
      <c r="A415" s="28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</row>
    <row r="416" ht="15.75" customHeight="1">
      <c r="A416" s="28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</row>
    <row r="417" ht="15.75" customHeight="1">
      <c r="A417" s="28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</row>
    <row r="418" ht="15.75" customHeight="1">
      <c r="A418" s="28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</row>
    <row r="419" ht="15.75" customHeight="1">
      <c r="A419" s="28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</row>
    <row r="420" ht="15.75" customHeight="1">
      <c r="A420" s="28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</row>
    <row r="421" ht="15.75" customHeight="1">
      <c r="A421" s="28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</row>
    <row r="422" ht="15.75" customHeight="1">
      <c r="A422" s="28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</row>
    <row r="423" ht="15.75" customHeight="1">
      <c r="A423" s="28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</row>
    <row r="424" ht="15.75" customHeight="1">
      <c r="A424" s="28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</row>
    <row r="425" ht="15.75" customHeight="1">
      <c r="A425" s="28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</row>
    <row r="426" ht="15.75" customHeight="1">
      <c r="A426" s="28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</row>
    <row r="427" ht="15.75" customHeight="1">
      <c r="A427" s="28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</row>
    <row r="428" ht="15.75" customHeight="1">
      <c r="A428" s="28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</row>
    <row r="429" ht="15.75" customHeight="1">
      <c r="A429" s="28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</row>
    <row r="430" ht="15.75" customHeight="1">
      <c r="A430" s="28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</row>
    <row r="431" ht="15.75" customHeight="1">
      <c r="A431" s="28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</row>
    <row r="432" ht="15.75" customHeight="1">
      <c r="A432" s="28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</row>
    <row r="433" ht="15.75" customHeight="1">
      <c r="A433" s="28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</row>
    <row r="434" ht="15.75" customHeight="1">
      <c r="A434" s="28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</row>
    <row r="435" ht="15.75" customHeight="1">
      <c r="A435" s="28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</row>
    <row r="436" ht="15.75" customHeight="1">
      <c r="A436" s="28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</row>
    <row r="437" ht="15.75" customHeight="1">
      <c r="A437" s="28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</row>
    <row r="438" ht="15.75" customHeight="1">
      <c r="A438" s="28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</row>
    <row r="439" ht="15.75" customHeight="1">
      <c r="A439" s="28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</row>
    <row r="440" ht="15.75" customHeight="1">
      <c r="A440" s="28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</row>
    <row r="441" ht="15.75" customHeight="1">
      <c r="A441" s="28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</row>
    <row r="442" ht="15.75" customHeight="1">
      <c r="A442" s="28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</row>
    <row r="443" ht="15.75" customHeight="1">
      <c r="A443" s="28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</row>
    <row r="444" ht="15.75" customHeight="1">
      <c r="A444" s="28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</row>
    <row r="445" ht="15.75" customHeight="1">
      <c r="A445" s="28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</row>
    <row r="446" ht="15.75" customHeight="1">
      <c r="A446" s="28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</row>
    <row r="447" ht="15.75" customHeight="1">
      <c r="A447" s="28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</row>
    <row r="448" ht="15.75" customHeight="1">
      <c r="A448" s="28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</row>
    <row r="449" ht="15.75" customHeight="1">
      <c r="A449" s="28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</row>
    <row r="450" ht="15.75" customHeight="1">
      <c r="A450" s="28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</row>
    <row r="451" ht="15.75" customHeight="1">
      <c r="A451" s="28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</row>
    <row r="452" ht="15.75" customHeight="1">
      <c r="A452" s="28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</row>
    <row r="453" ht="15.75" customHeight="1">
      <c r="A453" s="28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</row>
    <row r="454" ht="15.75" customHeight="1">
      <c r="A454" s="28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</row>
    <row r="455" ht="15.75" customHeight="1">
      <c r="A455" s="28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</row>
    <row r="456" ht="15.75" customHeight="1">
      <c r="A456" s="28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</row>
    <row r="457" ht="15.75" customHeight="1">
      <c r="A457" s="28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</row>
    <row r="458" ht="15.75" customHeight="1">
      <c r="A458" s="28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</row>
    <row r="459" ht="15.75" customHeight="1">
      <c r="A459" s="28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</row>
    <row r="460" ht="15.75" customHeight="1">
      <c r="A460" s="28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</row>
    <row r="461" ht="15.75" customHeight="1">
      <c r="A461" s="28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</row>
    <row r="462" ht="15.75" customHeight="1">
      <c r="A462" s="28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</row>
    <row r="463" ht="15.75" customHeight="1">
      <c r="A463" s="28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</row>
    <row r="464" ht="15.75" customHeight="1">
      <c r="A464" s="28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</row>
    <row r="465" ht="15.75" customHeight="1">
      <c r="A465" s="28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</row>
    <row r="466" ht="15.75" customHeight="1">
      <c r="A466" s="28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</row>
    <row r="467" ht="15.75" customHeight="1">
      <c r="A467" s="28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</row>
    <row r="468" ht="15.75" customHeight="1">
      <c r="A468" s="28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</row>
    <row r="469" ht="15.75" customHeight="1">
      <c r="A469" s="28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</row>
    <row r="470" ht="15.75" customHeight="1">
      <c r="A470" s="28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</row>
    <row r="471" ht="15.75" customHeight="1">
      <c r="A471" s="28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</row>
    <row r="472" ht="15.75" customHeight="1">
      <c r="A472" s="28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</row>
    <row r="473" ht="15.75" customHeight="1">
      <c r="A473" s="28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</row>
    <row r="474" ht="15.75" customHeight="1">
      <c r="A474" s="28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</row>
    <row r="475" ht="15.75" customHeight="1">
      <c r="A475" s="28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</row>
    <row r="476" ht="15.75" customHeight="1">
      <c r="A476" s="28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</row>
    <row r="477" ht="15.75" customHeight="1">
      <c r="A477" s="28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</row>
    <row r="478" ht="15.75" customHeight="1">
      <c r="A478" s="28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</row>
    <row r="479" ht="15.75" customHeight="1">
      <c r="A479" s="28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</row>
    <row r="480" ht="15.75" customHeight="1">
      <c r="A480" s="28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</row>
    <row r="481" ht="15.75" customHeight="1">
      <c r="A481" s="28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</row>
    <row r="482" ht="15.75" customHeight="1">
      <c r="A482" s="28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</row>
    <row r="483" ht="15.75" customHeight="1">
      <c r="A483" s="28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</row>
    <row r="484" ht="15.75" customHeight="1">
      <c r="A484" s="28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</row>
    <row r="485" ht="15.75" customHeight="1">
      <c r="A485" s="28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</row>
    <row r="486" ht="15.75" customHeight="1">
      <c r="A486" s="28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</row>
    <row r="487" ht="15.75" customHeight="1">
      <c r="A487" s="28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</row>
    <row r="488" ht="15.75" customHeight="1">
      <c r="A488" s="28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</row>
    <row r="489" ht="15.75" customHeight="1">
      <c r="A489" s="28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</row>
    <row r="490" ht="15.75" customHeight="1">
      <c r="A490" s="28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</row>
    <row r="491" ht="15.75" customHeight="1">
      <c r="A491" s="28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</row>
    <row r="492" ht="15.75" customHeight="1">
      <c r="A492" s="28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</row>
    <row r="493" ht="15.75" customHeight="1">
      <c r="A493" s="28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</row>
    <row r="494" ht="15.75" customHeight="1">
      <c r="A494" s="28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</row>
    <row r="495" ht="15.75" customHeight="1">
      <c r="A495" s="28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</row>
    <row r="496" ht="15.75" customHeight="1">
      <c r="A496" s="28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</row>
    <row r="497" ht="15.75" customHeight="1">
      <c r="A497" s="28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</row>
    <row r="498" ht="15.75" customHeight="1">
      <c r="A498" s="28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</row>
    <row r="499" ht="15.75" customHeight="1">
      <c r="A499" s="28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</row>
    <row r="500" ht="15.75" customHeight="1">
      <c r="A500" s="28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</row>
    <row r="501" ht="15.75" customHeight="1">
      <c r="A501" s="28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</row>
    <row r="502" ht="15.75" customHeight="1">
      <c r="A502" s="28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</row>
    <row r="503" ht="15.75" customHeight="1">
      <c r="A503" s="28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</row>
    <row r="504" ht="15.75" customHeight="1">
      <c r="A504" s="28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</row>
    <row r="505" ht="15.75" customHeight="1">
      <c r="A505" s="28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</row>
    <row r="506" ht="15.75" customHeight="1">
      <c r="A506" s="28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</row>
    <row r="507" ht="15.75" customHeight="1">
      <c r="A507" s="28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</row>
    <row r="508" ht="15.75" customHeight="1">
      <c r="A508" s="28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</row>
    <row r="509" ht="15.75" customHeight="1">
      <c r="A509" s="28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</row>
    <row r="510" ht="15.75" customHeight="1">
      <c r="A510" s="28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</row>
    <row r="511" ht="15.75" customHeight="1">
      <c r="A511" s="28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</row>
    <row r="512" ht="15.75" customHeight="1">
      <c r="A512" s="28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</row>
    <row r="513" ht="15.75" customHeight="1">
      <c r="A513" s="28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</row>
    <row r="514" ht="15.75" customHeight="1">
      <c r="A514" s="28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</row>
    <row r="515" ht="15.75" customHeight="1">
      <c r="A515" s="28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</row>
    <row r="516" ht="15.75" customHeight="1">
      <c r="A516" s="28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</row>
    <row r="517" ht="15.75" customHeight="1">
      <c r="A517" s="28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</row>
    <row r="518" ht="15.75" customHeight="1">
      <c r="A518" s="28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</row>
    <row r="519" ht="15.75" customHeight="1">
      <c r="A519" s="28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</row>
    <row r="520" ht="15.75" customHeight="1">
      <c r="A520" s="28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</row>
    <row r="521" ht="15.75" customHeight="1">
      <c r="A521" s="28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</row>
    <row r="522" ht="15.75" customHeight="1">
      <c r="A522" s="28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</row>
    <row r="523" ht="15.75" customHeight="1">
      <c r="A523" s="28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</row>
    <row r="524" ht="15.75" customHeight="1">
      <c r="A524" s="28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</row>
    <row r="525" ht="15.75" customHeight="1">
      <c r="A525" s="28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</row>
    <row r="526" ht="15.75" customHeight="1">
      <c r="A526" s="28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</row>
    <row r="527" ht="15.75" customHeight="1">
      <c r="A527" s="28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</row>
    <row r="528" ht="15.75" customHeight="1">
      <c r="A528" s="28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</row>
    <row r="529" ht="15.75" customHeight="1">
      <c r="A529" s="28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</row>
    <row r="530" ht="15.75" customHeight="1">
      <c r="A530" s="28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</row>
    <row r="531" ht="15.75" customHeight="1">
      <c r="A531" s="28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</row>
    <row r="532" ht="15.75" customHeight="1">
      <c r="A532" s="28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</row>
    <row r="533" ht="15.75" customHeight="1">
      <c r="A533" s="28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</row>
    <row r="534" ht="15.75" customHeight="1">
      <c r="A534" s="28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</row>
    <row r="535" ht="15.75" customHeight="1">
      <c r="A535" s="28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</row>
    <row r="536" ht="15.75" customHeight="1">
      <c r="A536" s="28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</row>
    <row r="537" ht="15.75" customHeight="1">
      <c r="A537" s="28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</row>
    <row r="538" ht="15.75" customHeight="1">
      <c r="A538" s="28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</row>
    <row r="539" ht="15.75" customHeight="1">
      <c r="A539" s="28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</row>
    <row r="540" ht="15.75" customHeight="1">
      <c r="A540" s="28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</row>
    <row r="541" ht="15.75" customHeight="1">
      <c r="A541" s="28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</row>
    <row r="542" ht="15.75" customHeight="1">
      <c r="A542" s="28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</row>
    <row r="543" ht="15.75" customHeight="1">
      <c r="A543" s="28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</row>
    <row r="544" ht="15.75" customHeight="1">
      <c r="A544" s="28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</row>
    <row r="545" ht="15.75" customHeight="1">
      <c r="A545" s="28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</row>
    <row r="546" ht="15.75" customHeight="1">
      <c r="A546" s="28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</row>
    <row r="547" ht="15.75" customHeight="1">
      <c r="A547" s="28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</row>
    <row r="548" ht="15.75" customHeight="1">
      <c r="A548" s="28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</row>
    <row r="549" ht="15.75" customHeight="1">
      <c r="A549" s="28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</row>
    <row r="550" ht="15.75" customHeight="1">
      <c r="A550" s="28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</row>
    <row r="551" ht="15.75" customHeight="1">
      <c r="A551" s="28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</row>
    <row r="552" ht="15.75" customHeight="1">
      <c r="A552" s="28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</row>
    <row r="553" ht="15.75" customHeight="1">
      <c r="A553" s="28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</row>
    <row r="554" ht="15.75" customHeight="1">
      <c r="A554" s="28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</row>
    <row r="555" ht="15.75" customHeight="1">
      <c r="A555" s="28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</row>
    <row r="556" ht="15.75" customHeight="1">
      <c r="A556" s="28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</row>
    <row r="557" ht="15.75" customHeight="1">
      <c r="A557" s="28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</row>
    <row r="558" ht="15.75" customHeight="1">
      <c r="A558" s="28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</row>
    <row r="559" ht="15.75" customHeight="1">
      <c r="A559" s="28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</row>
    <row r="560" ht="15.75" customHeight="1">
      <c r="A560" s="28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</row>
    <row r="561" ht="15.75" customHeight="1">
      <c r="A561" s="28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</row>
    <row r="562" ht="15.75" customHeight="1">
      <c r="A562" s="28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</row>
    <row r="563" ht="15.75" customHeight="1">
      <c r="A563" s="28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</row>
    <row r="564" ht="15.75" customHeight="1">
      <c r="A564" s="28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</row>
    <row r="565" ht="15.75" customHeight="1">
      <c r="A565" s="28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</row>
    <row r="566" ht="15.75" customHeight="1">
      <c r="A566" s="28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</row>
    <row r="567" ht="15.75" customHeight="1">
      <c r="A567" s="28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</row>
    <row r="568" ht="15.75" customHeight="1">
      <c r="A568" s="28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</row>
    <row r="569" ht="15.75" customHeight="1">
      <c r="A569" s="28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</row>
    <row r="570" ht="15.75" customHeight="1">
      <c r="A570" s="28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</row>
    <row r="571" ht="15.75" customHeight="1">
      <c r="A571" s="28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</row>
    <row r="572" ht="15.75" customHeight="1">
      <c r="A572" s="28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</row>
    <row r="573" ht="15.75" customHeight="1">
      <c r="A573" s="28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</row>
    <row r="574" ht="15.75" customHeight="1">
      <c r="A574" s="28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</row>
    <row r="575" ht="15.75" customHeight="1">
      <c r="A575" s="28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</row>
    <row r="576" ht="15.75" customHeight="1">
      <c r="A576" s="28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</row>
    <row r="577" ht="15.75" customHeight="1">
      <c r="A577" s="28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</row>
    <row r="578" ht="15.75" customHeight="1">
      <c r="A578" s="28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</row>
    <row r="579" ht="15.75" customHeight="1">
      <c r="A579" s="28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</row>
    <row r="580" ht="15.75" customHeight="1">
      <c r="A580" s="28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</row>
    <row r="581" ht="15.75" customHeight="1">
      <c r="A581" s="28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</row>
    <row r="582" ht="15.75" customHeight="1">
      <c r="A582" s="28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</row>
    <row r="583" ht="15.75" customHeight="1">
      <c r="A583" s="28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</row>
    <row r="584" ht="15.75" customHeight="1">
      <c r="A584" s="28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</row>
    <row r="585" ht="15.75" customHeight="1">
      <c r="A585" s="28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</row>
    <row r="586" ht="15.75" customHeight="1">
      <c r="A586" s="28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</row>
    <row r="587" ht="15.75" customHeight="1">
      <c r="A587" s="28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</row>
    <row r="588" ht="15.75" customHeight="1">
      <c r="A588" s="28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</row>
    <row r="589" ht="15.75" customHeight="1">
      <c r="A589" s="28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</row>
    <row r="590" ht="15.75" customHeight="1">
      <c r="A590" s="28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</row>
    <row r="591" ht="15.75" customHeight="1">
      <c r="A591" s="28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</row>
    <row r="592" ht="15.75" customHeight="1">
      <c r="A592" s="28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</row>
    <row r="593" ht="15.75" customHeight="1">
      <c r="A593" s="28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</row>
    <row r="594" ht="15.75" customHeight="1">
      <c r="A594" s="28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</row>
    <row r="595" ht="15.75" customHeight="1">
      <c r="A595" s="28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</row>
    <row r="596" ht="15.75" customHeight="1">
      <c r="A596" s="28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</row>
    <row r="597" ht="15.75" customHeight="1">
      <c r="A597" s="28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</row>
    <row r="598" ht="15.75" customHeight="1">
      <c r="A598" s="28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</row>
    <row r="599" ht="15.75" customHeight="1">
      <c r="A599" s="28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</row>
    <row r="600" ht="15.75" customHeight="1">
      <c r="A600" s="28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</row>
    <row r="601" ht="15.75" customHeight="1">
      <c r="A601" s="28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</row>
    <row r="602" ht="15.75" customHeight="1">
      <c r="A602" s="28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</row>
    <row r="603" ht="15.75" customHeight="1">
      <c r="A603" s="28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</row>
    <row r="604" ht="15.75" customHeight="1">
      <c r="A604" s="28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</row>
    <row r="605" ht="15.75" customHeight="1">
      <c r="A605" s="28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</row>
    <row r="606" ht="15.75" customHeight="1">
      <c r="A606" s="28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</row>
    <row r="607" ht="15.75" customHeight="1">
      <c r="A607" s="28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</row>
    <row r="608" ht="15.75" customHeight="1">
      <c r="A608" s="28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</row>
    <row r="609" ht="15.75" customHeight="1">
      <c r="A609" s="28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</row>
    <row r="610" ht="15.75" customHeight="1">
      <c r="A610" s="28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</row>
    <row r="611" ht="15.75" customHeight="1">
      <c r="A611" s="28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</row>
    <row r="612" ht="15.75" customHeight="1">
      <c r="A612" s="28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</row>
    <row r="613" ht="15.75" customHeight="1">
      <c r="A613" s="28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</row>
    <row r="614" ht="15.75" customHeight="1">
      <c r="A614" s="28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</row>
    <row r="615" ht="15.75" customHeight="1">
      <c r="A615" s="28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</row>
    <row r="616" ht="15.75" customHeight="1">
      <c r="A616" s="28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</row>
    <row r="617" ht="15.75" customHeight="1">
      <c r="A617" s="28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</row>
    <row r="618" ht="15.75" customHeight="1">
      <c r="A618" s="28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</row>
    <row r="619" ht="15.75" customHeight="1">
      <c r="A619" s="28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</row>
    <row r="620" ht="15.75" customHeight="1">
      <c r="A620" s="28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</row>
    <row r="621" ht="15.75" customHeight="1">
      <c r="A621" s="28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</row>
    <row r="622" ht="15.75" customHeight="1">
      <c r="A622" s="28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</row>
    <row r="623" ht="15.75" customHeight="1">
      <c r="A623" s="28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</row>
    <row r="624" ht="15.75" customHeight="1">
      <c r="A624" s="28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</row>
    <row r="625" ht="15.75" customHeight="1">
      <c r="A625" s="28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</row>
    <row r="626" ht="15.75" customHeight="1">
      <c r="A626" s="28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</row>
    <row r="627" ht="15.75" customHeight="1">
      <c r="A627" s="28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</row>
    <row r="628" ht="15.75" customHeight="1">
      <c r="A628" s="28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</row>
    <row r="629" ht="15.75" customHeight="1">
      <c r="A629" s="28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</row>
    <row r="630" ht="15.75" customHeight="1">
      <c r="A630" s="28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</row>
    <row r="631" ht="15.75" customHeight="1">
      <c r="A631" s="28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</row>
    <row r="632" ht="15.75" customHeight="1">
      <c r="A632" s="28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</row>
    <row r="633" ht="15.75" customHeight="1">
      <c r="A633" s="28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</row>
    <row r="634" ht="15.75" customHeight="1">
      <c r="A634" s="28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</row>
    <row r="635" ht="15.75" customHeight="1">
      <c r="A635" s="28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</row>
    <row r="636" ht="15.75" customHeight="1">
      <c r="A636" s="28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</row>
    <row r="637" ht="15.75" customHeight="1">
      <c r="A637" s="28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</row>
    <row r="638" ht="15.75" customHeight="1">
      <c r="A638" s="28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</row>
    <row r="639" ht="15.75" customHeight="1">
      <c r="A639" s="28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</row>
    <row r="640" ht="15.75" customHeight="1">
      <c r="A640" s="28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</row>
    <row r="641" ht="15.75" customHeight="1">
      <c r="A641" s="28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</row>
    <row r="642" ht="15.75" customHeight="1">
      <c r="A642" s="28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</row>
    <row r="643" ht="15.75" customHeight="1">
      <c r="A643" s="28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</row>
    <row r="644" ht="15.75" customHeight="1">
      <c r="A644" s="28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</row>
    <row r="645" ht="15.75" customHeight="1">
      <c r="A645" s="28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</row>
    <row r="646" ht="15.75" customHeight="1">
      <c r="A646" s="28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</row>
    <row r="647" ht="15.75" customHeight="1">
      <c r="A647" s="28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</row>
    <row r="648" ht="15.75" customHeight="1">
      <c r="A648" s="28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</row>
    <row r="649" ht="15.75" customHeight="1">
      <c r="A649" s="28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</row>
    <row r="650" ht="15.75" customHeight="1">
      <c r="A650" s="28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</row>
    <row r="651" ht="15.75" customHeight="1">
      <c r="A651" s="28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</row>
    <row r="652" ht="15.75" customHeight="1">
      <c r="A652" s="28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</row>
    <row r="653" ht="15.75" customHeight="1">
      <c r="A653" s="28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</row>
    <row r="654" ht="15.75" customHeight="1">
      <c r="A654" s="28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</row>
    <row r="655" ht="15.75" customHeight="1">
      <c r="A655" s="28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</row>
    <row r="656" ht="15.75" customHeight="1">
      <c r="A656" s="28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</row>
    <row r="657" ht="15.75" customHeight="1">
      <c r="A657" s="28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</row>
    <row r="658" ht="15.75" customHeight="1">
      <c r="A658" s="28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</row>
    <row r="659" ht="15.75" customHeight="1">
      <c r="A659" s="28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</row>
    <row r="660" ht="15.75" customHeight="1">
      <c r="A660" s="28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</row>
    <row r="661" ht="15.75" customHeight="1">
      <c r="A661" s="28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</row>
    <row r="662" ht="15.75" customHeight="1">
      <c r="A662" s="28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</row>
    <row r="663" ht="15.75" customHeight="1">
      <c r="A663" s="28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</row>
    <row r="664" ht="15.75" customHeight="1">
      <c r="A664" s="28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</row>
    <row r="665" ht="15.75" customHeight="1">
      <c r="A665" s="28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</row>
    <row r="666" ht="15.75" customHeight="1">
      <c r="A666" s="28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</row>
    <row r="667" ht="15.75" customHeight="1">
      <c r="A667" s="28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</row>
    <row r="668" ht="15.75" customHeight="1">
      <c r="A668" s="28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</row>
    <row r="669" ht="15.75" customHeight="1">
      <c r="A669" s="28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</row>
    <row r="670" ht="15.75" customHeight="1">
      <c r="A670" s="28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</row>
    <row r="671" ht="15.75" customHeight="1">
      <c r="A671" s="28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</row>
    <row r="672" ht="15.75" customHeight="1">
      <c r="A672" s="28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</row>
    <row r="673" ht="15.75" customHeight="1">
      <c r="A673" s="28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</row>
    <row r="674" ht="15.75" customHeight="1">
      <c r="A674" s="28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</row>
    <row r="675" ht="15.75" customHeight="1">
      <c r="A675" s="28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</row>
    <row r="676" ht="15.75" customHeight="1">
      <c r="A676" s="28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</row>
    <row r="677" ht="15.75" customHeight="1">
      <c r="A677" s="28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</row>
    <row r="678" ht="15.75" customHeight="1">
      <c r="A678" s="28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</row>
    <row r="679" ht="15.75" customHeight="1">
      <c r="A679" s="28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</row>
    <row r="680" ht="15.75" customHeight="1">
      <c r="A680" s="28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</row>
    <row r="681" ht="15.75" customHeight="1">
      <c r="A681" s="28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</row>
    <row r="682" ht="15.75" customHeight="1">
      <c r="A682" s="28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</row>
    <row r="683" ht="15.75" customHeight="1">
      <c r="A683" s="28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</row>
    <row r="684" ht="15.75" customHeight="1">
      <c r="A684" s="28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</row>
    <row r="685" ht="15.75" customHeight="1">
      <c r="A685" s="28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</row>
    <row r="686" ht="15.75" customHeight="1">
      <c r="A686" s="28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</row>
    <row r="687" ht="15.75" customHeight="1">
      <c r="A687" s="28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</row>
    <row r="688" ht="15.75" customHeight="1">
      <c r="A688" s="28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</row>
    <row r="689" ht="15.75" customHeight="1">
      <c r="A689" s="28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</row>
    <row r="690" ht="15.75" customHeight="1">
      <c r="A690" s="28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</row>
    <row r="691" ht="15.75" customHeight="1">
      <c r="A691" s="28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</row>
    <row r="692" ht="15.75" customHeight="1">
      <c r="A692" s="28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</row>
    <row r="693" ht="15.75" customHeight="1">
      <c r="A693" s="28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</row>
    <row r="694" ht="15.75" customHeight="1">
      <c r="A694" s="28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</row>
    <row r="695" ht="15.75" customHeight="1">
      <c r="A695" s="28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</row>
    <row r="696" ht="15.75" customHeight="1">
      <c r="A696" s="28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</row>
    <row r="697" ht="15.75" customHeight="1">
      <c r="A697" s="28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</row>
    <row r="698" ht="15.75" customHeight="1">
      <c r="A698" s="28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</row>
    <row r="699" ht="15.75" customHeight="1">
      <c r="A699" s="28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</row>
    <row r="700" ht="15.75" customHeight="1">
      <c r="A700" s="28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</row>
    <row r="701" ht="15.75" customHeight="1">
      <c r="A701" s="28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</row>
    <row r="702" ht="15.75" customHeight="1">
      <c r="A702" s="28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</row>
    <row r="703" ht="15.75" customHeight="1">
      <c r="A703" s="28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</row>
    <row r="704" ht="15.75" customHeight="1">
      <c r="A704" s="28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</row>
    <row r="705" ht="15.75" customHeight="1">
      <c r="A705" s="28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</row>
    <row r="706" ht="15.75" customHeight="1">
      <c r="A706" s="28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</row>
    <row r="707" ht="15.75" customHeight="1">
      <c r="A707" s="28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</row>
    <row r="708" ht="15.75" customHeight="1">
      <c r="A708" s="28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</row>
    <row r="709" ht="15.75" customHeight="1">
      <c r="A709" s="28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</row>
    <row r="710" ht="15.75" customHeight="1">
      <c r="A710" s="28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</row>
    <row r="711" ht="15.75" customHeight="1">
      <c r="A711" s="28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</row>
    <row r="712" ht="15.75" customHeight="1">
      <c r="A712" s="28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</row>
    <row r="713" ht="15.75" customHeight="1">
      <c r="A713" s="28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</row>
    <row r="714" ht="15.75" customHeight="1">
      <c r="A714" s="28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</row>
    <row r="715" ht="15.75" customHeight="1">
      <c r="A715" s="28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</row>
    <row r="716" ht="15.75" customHeight="1">
      <c r="A716" s="28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</row>
    <row r="717" ht="15.75" customHeight="1">
      <c r="A717" s="28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</row>
    <row r="718" ht="15.75" customHeight="1">
      <c r="A718" s="28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</row>
    <row r="719" ht="15.75" customHeight="1">
      <c r="A719" s="28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</row>
    <row r="720" ht="15.75" customHeight="1">
      <c r="A720" s="28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</row>
    <row r="721" ht="15.75" customHeight="1">
      <c r="A721" s="28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</row>
    <row r="722" ht="15.75" customHeight="1">
      <c r="A722" s="28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</row>
    <row r="723" ht="15.75" customHeight="1">
      <c r="A723" s="28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</row>
    <row r="724" ht="15.75" customHeight="1">
      <c r="A724" s="28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</row>
    <row r="725" ht="15.75" customHeight="1">
      <c r="A725" s="28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</row>
    <row r="726" ht="15.75" customHeight="1">
      <c r="A726" s="28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</row>
    <row r="727" ht="15.75" customHeight="1">
      <c r="A727" s="28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</row>
    <row r="728" ht="15.75" customHeight="1">
      <c r="A728" s="28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</row>
    <row r="729" ht="15.75" customHeight="1">
      <c r="A729" s="28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</row>
    <row r="730" ht="15.75" customHeight="1">
      <c r="A730" s="28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</row>
    <row r="731" ht="15.75" customHeight="1">
      <c r="A731" s="28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</row>
    <row r="732" ht="15.75" customHeight="1">
      <c r="A732" s="28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</row>
    <row r="733" ht="15.75" customHeight="1">
      <c r="A733" s="28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</row>
    <row r="734" ht="15.75" customHeight="1">
      <c r="A734" s="28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</row>
    <row r="735" ht="15.75" customHeight="1">
      <c r="A735" s="28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</row>
    <row r="736" ht="15.75" customHeight="1">
      <c r="A736" s="28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</row>
    <row r="737" ht="15.75" customHeight="1">
      <c r="A737" s="28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</row>
    <row r="738" ht="15.75" customHeight="1">
      <c r="A738" s="28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</row>
    <row r="739" ht="15.75" customHeight="1">
      <c r="A739" s="28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</row>
    <row r="740" ht="15.75" customHeight="1">
      <c r="A740" s="28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</row>
    <row r="741" ht="15.75" customHeight="1">
      <c r="A741" s="28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</row>
    <row r="742" ht="15.75" customHeight="1">
      <c r="A742" s="28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</row>
    <row r="743" ht="15.75" customHeight="1">
      <c r="A743" s="28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</row>
    <row r="744" ht="15.75" customHeight="1">
      <c r="A744" s="28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</row>
    <row r="745" ht="15.75" customHeight="1">
      <c r="A745" s="28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</row>
    <row r="746" ht="15.75" customHeight="1">
      <c r="A746" s="28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</row>
    <row r="747" ht="15.75" customHeight="1">
      <c r="A747" s="28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</row>
    <row r="748" ht="15.75" customHeight="1">
      <c r="A748" s="28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</row>
    <row r="749" ht="15.75" customHeight="1">
      <c r="A749" s="28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</row>
    <row r="750" ht="15.75" customHeight="1">
      <c r="A750" s="28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</row>
    <row r="751" ht="15.75" customHeight="1">
      <c r="A751" s="28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</row>
    <row r="752" ht="15.75" customHeight="1">
      <c r="A752" s="28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</row>
    <row r="753" ht="15.75" customHeight="1">
      <c r="A753" s="28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</row>
    <row r="754" ht="15.75" customHeight="1">
      <c r="A754" s="28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</row>
    <row r="755" ht="15.75" customHeight="1">
      <c r="A755" s="28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</row>
    <row r="756" ht="15.75" customHeight="1">
      <c r="A756" s="28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</row>
    <row r="757" ht="15.75" customHeight="1">
      <c r="A757" s="28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</row>
    <row r="758" ht="15.75" customHeight="1">
      <c r="A758" s="28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</row>
    <row r="759" ht="15.75" customHeight="1">
      <c r="A759" s="28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</row>
    <row r="760" ht="15.75" customHeight="1">
      <c r="A760" s="28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</row>
    <row r="761" ht="15.75" customHeight="1">
      <c r="A761" s="28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</row>
    <row r="762" ht="15.75" customHeight="1">
      <c r="A762" s="28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</row>
    <row r="763" ht="15.75" customHeight="1">
      <c r="A763" s="28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</row>
    <row r="764" ht="15.75" customHeight="1">
      <c r="A764" s="28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</row>
    <row r="765" ht="15.75" customHeight="1">
      <c r="A765" s="28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</row>
    <row r="766" ht="15.75" customHeight="1">
      <c r="A766" s="28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</row>
    <row r="767" ht="15.75" customHeight="1">
      <c r="A767" s="28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</row>
    <row r="768" ht="15.75" customHeight="1">
      <c r="A768" s="28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</row>
    <row r="769" ht="15.75" customHeight="1">
      <c r="A769" s="28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</row>
    <row r="770" ht="15.75" customHeight="1">
      <c r="A770" s="28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</row>
    <row r="771" ht="15.75" customHeight="1">
      <c r="A771" s="28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</row>
    <row r="772" ht="15.75" customHeight="1">
      <c r="A772" s="28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</row>
    <row r="773" ht="15.75" customHeight="1">
      <c r="A773" s="28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</row>
    <row r="774" ht="15.75" customHeight="1">
      <c r="A774" s="28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</row>
    <row r="775" ht="15.75" customHeight="1">
      <c r="A775" s="28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</row>
    <row r="776" ht="15.75" customHeight="1">
      <c r="A776" s="28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</row>
    <row r="777" ht="15.75" customHeight="1">
      <c r="A777" s="28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</row>
    <row r="778" ht="15.75" customHeight="1">
      <c r="A778" s="28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</row>
    <row r="779" ht="15.75" customHeight="1">
      <c r="A779" s="28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</row>
    <row r="780" ht="15.75" customHeight="1">
      <c r="A780" s="28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</row>
    <row r="781" ht="15.75" customHeight="1">
      <c r="A781" s="28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</row>
    <row r="782" ht="15.75" customHeight="1">
      <c r="A782" s="28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</row>
    <row r="783" ht="15.75" customHeight="1">
      <c r="A783" s="28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</row>
    <row r="784" ht="15.75" customHeight="1">
      <c r="A784" s="28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</row>
    <row r="785" ht="15.75" customHeight="1">
      <c r="A785" s="28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</row>
    <row r="786" ht="15.75" customHeight="1">
      <c r="A786" s="28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</row>
    <row r="787" ht="15.75" customHeight="1">
      <c r="A787" s="28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</row>
    <row r="788" ht="15.75" customHeight="1">
      <c r="A788" s="28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</row>
    <row r="789" ht="15.75" customHeight="1">
      <c r="A789" s="28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</row>
    <row r="790" ht="15.75" customHeight="1">
      <c r="A790" s="28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</row>
    <row r="791" ht="15.75" customHeight="1">
      <c r="A791" s="28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</row>
    <row r="792" ht="15.75" customHeight="1">
      <c r="A792" s="28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</row>
    <row r="793" ht="15.75" customHeight="1">
      <c r="A793" s="28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</row>
    <row r="794" ht="15.75" customHeight="1">
      <c r="A794" s="28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</row>
    <row r="795" ht="15.75" customHeight="1">
      <c r="A795" s="28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</row>
    <row r="796" ht="15.75" customHeight="1">
      <c r="A796" s="28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</row>
    <row r="797" ht="15.75" customHeight="1">
      <c r="A797" s="28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</row>
    <row r="798" ht="15.75" customHeight="1">
      <c r="A798" s="28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</row>
    <row r="799" ht="15.75" customHeight="1">
      <c r="A799" s="28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</row>
    <row r="800" ht="15.75" customHeight="1">
      <c r="A800" s="28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</row>
    <row r="801" ht="15.75" customHeight="1">
      <c r="A801" s="28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</row>
    <row r="802" ht="15.75" customHeight="1">
      <c r="A802" s="28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</row>
    <row r="803" ht="15.75" customHeight="1">
      <c r="A803" s="28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</row>
    <row r="804" ht="15.75" customHeight="1">
      <c r="A804" s="28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</row>
    <row r="805" ht="15.75" customHeight="1">
      <c r="A805" s="28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</row>
    <row r="806" ht="15.75" customHeight="1">
      <c r="A806" s="28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</row>
    <row r="807" ht="15.75" customHeight="1">
      <c r="A807" s="28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</row>
    <row r="808" ht="15.75" customHeight="1">
      <c r="A808" s="28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</row>
    <row r="809" ht="15.75" customHeight="1">
      <c r="A809" s="28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</row>
    <row r="810" ht="15.75" customHeight="1">
      <c r="A810" s="28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</row>
    <row r="811" ht="15.75" customHeight="1">
      <c r="A811" s="28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</row>
    <row r="812" ht="15.75" customHeight="1">
      <c r="A812" s="28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</row>
    <row r="813" ht="15.75" customHeight="1">
      <c r="A813" s="28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</row>
    <row r="814" ht="15.75" customHeight="1">
      <c r="A814" s="28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</row>
    <row r="815" ht="15.75" customHeight="1">
      <c r="A815" s="28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</row>
    <row r="816" ht="15.75" customHeight="1">
      <c r="A816" s="28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</row>
    <row r="817" ht="15.75" customHeight="1">
      <c r="A817" s="28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</row>
    <row r="818" ht="15.75" customHeight="1">
      <c r="A818" s="28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</row>
    <row r="819" ht="15.75" customHeight="1">
      <c r="A819" s="28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</row>
    <row r="820" ht="15.75" customHeight="1">
      <c r="A820" s="28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</row>
    <row r="821" ht="15.75" customHeight="1">
      <c r="A821" s="28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</row>
    <row r="822" ht="15.75" customHeight="1">
      <c r="A822" s="28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</row>
    <row r="823" ht="15.75" customHeight="1">
      <c r="A823" s="28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</row>
    <row r="824" ht="15.75" customHeight="1">
      <c r="A824" s="28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</row>
    <row r="825" ht="15.75" customHeight="1">
      <c r="A825" s="28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</row>
    <row r="826" ht="15.75" customHeight="1">
      <c r="A826" s="28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</row>
    <row r="827" ht="15.75" customHeight="1">
      <c r="A827" s="28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</row>
    <row r="828" ht="15.75" customHeight="1">
      <c r="A828" s="28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</row>
    <row r="829" ht="15.75" customHeight="1">
      <c r="A829" s="28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</row>
    <row r="830" ht="15.75" customHeight="1">
      <c r="A830" s="28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</row>
    <row r="831" ht="15.75" customHeight="1">
      <c r="A831" s="28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</row>
    <row r="832" ht="15.75" customHeight="1">
      <c r="A832" s="28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</row>
    <row r="833" ht="15.75" customHeight="1">
      <c r="A833" s="28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</row>
    <row r="834" ht="15.75" customHeight="1">
      <c r="A834" s="28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</row>
    <row r="835" ht="15.75" customHeight="1">
      <c r="A835" s="28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</row>
    <row r="836" ht="15.75" customHeight="1">
      <c r="A836" s="28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</row>
    <row r="837" ht="15.75" customHeight="1">
      <c r="A837" s="28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</row>
    <row r="838" ht="15.75" customHeight="1">
      <c r="A838" s="28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</row>
    <row r="839" ht="15.75" customHeight="1">
      <c r="A839" s="28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</row>
    <row r="840" ht="15.75" customHeight="1">
      <c r="A840" s="28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</row>
    <row r="841" ht="15.75" customHeight="1">
      <c r="A841" s="28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</row>
    <row r="842" ht="15.75" customHeight="1">
      <c r="A842" s="28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</row>
    <row r="843" ht="15.75" customHeight="1">
      <c r="A843" s="28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</row>
    <row r="844" ht="15.75" customHeight="1">
      <c r="A844" s="28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</row>
    <row r="845" ht="15.75" customHeight="1">
      <c r="A845" s="28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</row>
    <row r="846" ht="15.75" customHeight="1">
      <c r="A846" s="28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</row>
    <row r="847" ht="15.75" customHeight="1">
      <c r="A847" s="28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</row>
    <row r="848" ht="15.75" customHeight="1">
      <c r="A848" s="28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</row>
    <row r="849" ht="15.75" customHeight="1">
      <c r="A849" s="28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</row>
    <row r="850" ht="15.75" customHeight="1">
      <c r="A850" s="28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</row>
    <row r="851" ht="15.75" customHeight="1">
      <c r="A851" s="28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</row>
    <row r="852" ht="15.75" customHeight="1">
      <c r="A852" s="28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</row>
    <row r="853" ht="15.75" customHeight="1">
      <c r="A853" s="28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</row>
    <row r="854" ht="15.75" customHeight="1">
      <c r="A854" s="28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</row>
    <row r="855" ht="15.75" customHeight="1">
      <c r="A855" s="28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</row>
    <row r="856" ht="15.75" customHeight="1">
      <c r="A856" s="28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</row>
    <row r="857" ht="15.75" customHeight="1">
      <c r="A857" s="28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</row>
    <row r="858" ht="15.75" customHeight="1">
      <c r="A858" s="28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</row>
    <row r="859" ht="15.75" customHeight="1">
      <c r="A859" s="28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</row>
    <row r="860" ht="15.75" customHeight="1">
      <c r="A860" s="28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</row>
    <row r="861" ht="15.75" customHeight="1">
      <c r="A861" s="28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</row>
    <row r="862" ht="15.75" customHeight="1">
      <c r="A862" s="28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</row>
    <row r="863" ht="15.75" customHeight="1">
      <c r="A863" s="28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</row>
    <row r="864" ht="15.75" customHeight="1">
      <c r="A864" s="28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</row>
    <row r="865" ht="15.75" customHeight="1">
      <c r="A865" s="28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</row>
    <row r="866" ht="15.75" customHeight="1">
      <c r="A866" s="28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</row>
    <row r="867" ht="15.75" customHeight="1">
      <c r="A867" s="28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</row>
    <row r="868" ht="15.75" customHeight="1">
      <c r="A868" s="28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</row>
    <row r="869" ht="15.75" customHeight="1">
      <c r="A869" s="28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</row>
    <row r="870" ht="15.75" customHeight="1">
      <c r="A870" s="28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</row>
    <row r="871" ht="15.75" customHeight="1">
      <c r="A871" s="28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</row>
    <row r="872" ht="15.75" customHeight="1">
      <c r="A872" s="28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</row>
    <row r="873" ht="15.75" customHeight="1">
      <c r="A873" s="28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</row>
    <row r="874" ht="15.75" customHeight="1">
      <c r="A874" s="28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</row>
    <row r="875" ht="15.75" customHeight="1">
      <c r="A875" s="28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</row>
    <row r="876" ht="15.75" customHeight="1">
      <c r="A876" s="28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</row>
    <row r="877" ht="15.75" customHeight="1">
      <c r="A877" s="28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</row>
    <row r="878" ht="15.75" customHeight="1">
      <c r="A878" s="28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</row>
    <row r="879" ht="15.75" customHeight="1">
      <c r="A879" s="28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</row>
    <row r="880" ht="15.75" customHeight="1">
      <c r="A880" s="28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</row>
    <row r="881" ht="15.75" customHeight="1">
      <c r="A881" s="28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</row>
    <row r="882" ht="15.75" customHeight="1">
      <c r="A882" s="28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</row>
    <row r="883" ht="15.75" customHeight="1">
      <c r="A883" s="28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</row>
    <row r="884" ht="15.75" customHeight="1">
      <c r="A884" s="28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</row>
    <row r="885" ht="15.75" customHeight="1">
      <c r="A885" s="28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</row>
    <row r="886" ht="15.75" customHeight="1">
      <c r="A886" s="28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</row>
    <row r="887" ht="15.75" customHeight="1">
      <c r="A887" s="28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</row>
    <row r="888" ht="15.75" customHeight="1">
      <c r="A888" s="28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</row>
    <row r="889" ht="15.75" customHeight="1">
      <c r="A889" s="28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</row>
    <row r="890" ht="15.75" customHeight="1">
      <c r="A890" s="28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</row>
    <row r="891" ht="15.75" customHeight="1">
      <c r="A891" s="28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</row>
    <row r="892" ht="15.75" customHeight="1">
      <c r="A892" s="28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</row>
    <row r="893" ht="15.75" customHeight="1">
      <c r="A893" s="28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</row>
    <row r="894" ht="15.75" customHeight="1">
      <c r="A894" s="28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</row>
    <row r="895" ht="15.75" customHeight="1">
      <c r="A895" s="28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</row>
    <row r="896" ht="15.75" customHeight="1">
      <c r="A896" s="28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</row>
    <row r="897" ht="15.75" customHeight="1">
      <c r="A897" s="28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</row>
    <row r="898" ht="15.75" customHeight="1">
      <c r="A898" s="28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</row>
    <row r="899" ht="15.75" customHeight="1">
      <c r="A899" s="28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</row>
    <row r="900" ht="15.75" customHeight="1">
      <c r="A900" s="28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</row>
    <row r="901" ht="15.75" customHeight="1">
      <c r="A901" s="28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</row>
    <row r="902" ht="15.75" customHeight="1">
      <c r="A902" s="28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</row>
    <row r="903" ht="15.75" customHeight="1">
      <c r="A903" s="28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</row>
    <row r="904" ht="15.75" customHeight="1">
      <c r="A904" s="28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</row>
    <row r="905" ht="15.75" customHeight="1">
      <c r="A905" s="28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</row>
    <row r="906" ht="15.75" customHeight="1">
      <c r="A906" s="28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</row>
    <row r="907" ht="15.75" customHeight="1">
      <c r="A907" s="28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</row>
    <row r="908" ht="15.75" customHeight="1">
      <c r="A908" s="28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</row>
    <row r="909" ht="15.75" customHeight="1">
      <c r="A909" s="28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</row>
    <row r="910" ht="15.75" customHeight="1">
      <c r="A910" s="28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</row>
    <row r="911" ht="15.75" customHeight="1">
      <c r="A911" s="28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</row>
    <row r="912" ht="15.75" customHeight="1">
      <c r="A912" s="28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</row>
    <row r="913" ht="15.75" customHeight="1">
      <c r="A913" s="28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</row>
    <row r="914" ht="15.75" customHeight="1">
      <c r="A914" s="28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</row>
    <row r="915" ht="15.75" customHeight="1">
      <c r="A915" s="28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</row>
    <row r="916" ht="15.75" customHeight="1">
      <c r="A916" s="28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</row>
    <row r="917" ht="15.75" customHeight="1">
      <c r="A917" s="28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</row>
    <row r="918" ht="15.75" customHeight="1">
      <c r="A918" s="28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</row>
    <row r="919" ht="15.75" customHeight="1">
      <c r="A919" s="28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</row>
    <row r="920" ht="15.75" customHeight="1">
      <c r="A920" s="28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</row>
    <row r="921" ht="15.75" customHeight="1">
      <c r="A921" s="28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</row>
    <row r="922" ht="15.75" customHeight="1">
      <c r="A922" s="28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</row>
    <row r="923" ht="15.75" customHeight="1">
      <c r="A923" s="28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</row>
    <row r="924" ht="15.75" customHeight="1">
      <c r="A924" s="28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</row>
    <row r="925" ht="15.75" customHeight="1">
      <c r="A925" s="28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</row>
    <row r="926" ht="15.75" customHeight="1">
      <c r="A926" s="28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</row>
    <row r="927" ht="15.75" customHeight="1">
      <c r="A927" s="28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</row>
    <row r="928" ht="15.75" customHeight="1">
      <c r="A928" s="28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</row>
    <row r="929" ht="15.75" customHeight="1">
      <c r="A929" s="28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</row>
    <row r="930" ht="15.75" customHeight="1">
      <c r="A930" s="28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</row>
    <row r="931" ht="15.75" customHeight="1">
      <c r="A931" s="28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</row>
    <row r="932" ht="15.75" customHeight="1">
      <c r="A932" s="28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</row>
    <row r="933" ht="15.75" customHeight="1">
      <c r="A933" s="28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</row>
    <row r="934" ht="15.75" customHeight="1">
      <c r="A934" s="28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</row>
    <row r="935" ht="15.75" customHeight="1">
      <c r="A935" s="28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</row>
    <row r="936" ht="15.75" customHeight="1">
      <c r="A936" s="28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</row>
    <row r="937" ht="15.75" customHeight="1">
      <c r="A937" s="28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</row>
    <row r="938" ht="15.75" customHeight="1">
      <c r="A938" s="28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</row>
    <row r="939" ht="15.75" customHeight="1">
      <c r="A939" s="28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</row>
    <row r="940" ht="15.75" customHeight="1">
      <c r="A940" s="28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</row>
    <row r="941" ht="15.75" customHeight="1">
      <c r="A941" s="28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</row>
    <row r="942" ht="15.75" customHeight="1">
      <c r="A942" s="28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</row>
    <row r="943" ht="15.75" customHeight="1">
      <c r="A943" s="28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</row>
    <row r="944" ht="15.75" customHeight="1">
      <c r="A944" s="28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</row>
    <row r="945" ht="15.75" customHeight="1">
      <c r="A945" s="28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</row>
    <row r="946" ht="15.75" customHeight="1">
      <c r="A946" s="28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</row>
    <row r="947" ht="15.75" customHeight="1">
      <c r="A947" s="28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</row>
    <row r="948" ht="15.75" customHeight="1">
      <c r="A948" s="28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</row>
    <row r="949" ht="15.75" customHeight="1">
      <c r="A949" s="28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</row>
    <row r="950" ht="15.75" customHeight="1">
      <c r="A950" s="28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</row>
    <row r="951" ht="15.75" customHeight="1">
      <c r="A951" s="28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</row>
    <row r="952" ht="15.75" customHeight="1">
      <c r="A952" s="28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</row>
    <row r="953" ht="15.75" customHeight="1">
      <c r="A953" s="28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</row>
    <row r="954" ht="15.75" customHeight="1">
      <c r="A954" s="28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</row>
    <row r="955" ht="15.75" customHeight="1">
      <c r="A955" s="28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</row>
    <row r="956" ht="15.75" customHeight="1">
      <c r="A956" s="28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</row>
    <row r="957" ht="15.75" customHeight="1">
      <c r="A957" s="28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</row>
    <row r="958" ht="15.75" customHeight="1">
      <c r="A958" s="28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</row>
    <row r="959" ht="15.75" customHeight="1">
      <c r="A959" s="28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</row>
    <row r="960" ht="15.75" customHeight="1">
      <c r="A960" s="28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</row>
    <row r="961" ht="15.75" customHeight="1">
      <c r="A961" s="28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</row>
    <row r="962" ht="15.75" customHeight="1">
      <c r="A962" s="28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</row>
    <row r="963" ht="15.75" customHeight="1">
      <c r="A963" s="28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</row>
    <row r="964" ht="15.75" customHeight="1">
      <c r="A964" s="28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</row>
    <row r="965" ht="15.75" customHeight="1">
      <c r="A965" s="28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</row>
    <row r="966" ht="15.75" customHeight="1">
      <c r="A966" s="28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</row>
    <row r="967" ht="15.75" customHeight="1">
      <c r="A967" s="28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</row>
    <row r="968" ht="15.75" customHeight="1">
      <c r="A968" s="28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</row>
    <row r="969" ht="15.75" customHeight="1">
      <c r="A969" s="28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</row>
    <row r="970" ht="15.75" customHeight="1">
      <c r="A970" s="28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</row>
    <row r="971" ht="15.75" customHeight="1">
      <c r="A971" s="28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</row>
    <row r="972" ht="15.75" customHeight="1">
      <c r="A972" s="28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</row>
    <row r="973" ht="15.75" customHeight="1">
      <c r="A973" s="28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</row>
    <row r="974" ht="15.75" customHeight="1">
      <c r="A974" s="28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</row>
    <row r="975" ht="15.75" customHeight="1">
      <c r="A975" s="28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</row>
    <row r="976" ht="15.75" customHeight="1">
      <c r="A976" s="28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</row>
    <row r="977" ht="15.75" customHeight="1">
      <c r="A977" s="28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</row>
    <row r="978" ht="15.75" customHeight="1">
      <c r="A978" s="28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</row>
    <row r="979" ht="15.75" customHeight="1">
      <c r="A979" s="28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</row>
    <row r="980" ht="15.75" customHeight="1">
      <c r="A980" s="28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</row>
    <row r="981" ht="15.75" customHeight="1">
      <c r="A981" s="28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</row>
    <row r="982" ht="15.75" customHeight="1">
      <c r="A982" s="28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</row>
    <row r="983" ht="15.75" customHeight="1">
      <c r="A983" s="28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</row>
    <row r="984" ht="15.75" customHeight="1">
      <c r="A984" s="28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</row>
    <row r="985" ht="15.75" customHeight="1">
      <c r="A985" s="28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</row>
    <row r="986" ht="15.75" customHeight="1">
      <c r="A986" s="28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</row>
    <row r="987" ht="15.75" customHeight="1">
      <c r="A987" s="28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</row>
    <row r="988" ht="15.75" customHeight="1">
      <c r="A988" s="28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</row>
    <row r="989" ht="15.75" customHeight="1">
      <c r="A989" s="28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</row>
    <row r="990" ht="15.75" customHeight="1">
      <c r="A990" s="28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</row>
    <row r="991" ht="15.75" customHeight="1">
      <c r="A991" s="28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</row>
    <row r="992" ht="15.75" customHeight="1">
      <c r="A992" s="28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</row>
    <row r="993" ht="15.75" customHeight="1">
      <c r="A993" s="28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</row>
    <row r="994" ht="15.75" customHeight="1">
      <c r="A994" s="28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</row>
    <row r="995" ht="15.75" customHeight="1">
      <c r="A995" s="28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</row>
    <row r="996" ht="15.75" customHeight="1">
      <c r="A996" s="28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</row>
    <row r="997" ht="15.75" customHeight="1">
      <c r="A997" s="28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</row>
    <row r="998" ht="15.75" customHeight="1">
      <c r="A998" s="28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2" width="15.22"/>
    <col customWidth="1" min="3" max="3" width="24.22"/>
    <col customWidth="1" min="4" max="4" width="18.22"/>
    <col customWidth="1" min="5" max="5" width="39.56"/>
    <col customWidth="1" min="6" max="6" width="29.0"/>
  </cols>
  <sheetData>
    <row r="1" ht="40.5" customHeight="1">
      <c r="A1" s="40" t="s">
        <v>135</v>
      </c>
      <c r="B1" s="41" t="s">
        <v>0</v>
      </c>
      <c r="C1" s="42" t="s">
        <v>136</v>
      </c>
      <c r="D1" s="43"/>
      <c r="E1" s="44"/>
      <c r="F1" s="45" t="s">
        <v>137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B2" s="47" t="s">
        <v>1</v>
      </c>
      <c r="C2" s="48"/>
      <c r="D2" s="49" t="s">
        <v>35</v>
      </c>
      <c r="E2" s="50" t="s">
        <v>138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>
      <c r="B3" s="51"/>
      <c r="C3" s="51"/>
      <c r="D3" s="49" t="s">
        <v>62</v>
      </c>
      <c r="E3" s="50" t="s">
        <v>139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>
      <c r="B4" s="51"/>
      <c r="C4" s="51"/>
      <c r="D4" s="49" t="s">
        <v>102</v>
      </c>
      <c r="E4" s="50" t="s">
        <v>140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>
      <c r="B5" s="52"/>
      <c r="C5" s="52"/>
      <c r="D5" s="53" t="s">
        <v>131</v>
      </c>
      <c r="E5" s="50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>
      <c r="B6" s="54" t="s">
        <v>2</v>
      </c>
      <c r="C6" s="55" t="s">
        <v>141</v>
      </c>
      <c r="D6" s="53" t="s">
        <v>36</v>
      </c>
      <c r="E6" s="56" t="s">
        <v>142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>
      <c r="B7" s="52"/>
      <c r="C7" s="52"/>
      <c r="D7" s="57" t="s">
        <v>60</v>
      </c>
      <c r="E7" s="58" t="s">
        <v>143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>
      <c r="B8" s="59" t="s">
        <v>3</v>
      </c>
      <c r="C8" s="60"/>
      <c r="D8" s="57" t="s">
        <v>37</v>
      </c>
      <c r="E8" s="61" t="s">
        <v>144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>
      <c r="B9" s="51"/>
      <c r="C9" s="51"/>
      <c r="D9" s="57" t="s">
        <v>61</v>
      </c>
      <c r="E9" s="58" t="s">
        <v>145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>
      <c r="B10" s="51"/>
      <c r="C10" s="51"/>
      <c r="D10" s="57" t="s">
        <v>63</v>
      </c>
      <c r="E10" s="58" t="s">
        <v>146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>
      <c r="B11" s="51"/>
      <c r="C11" s="51"/>
      <c r="D11" s="57" t="s">
        <v>86</v>
      </c>
      <c r="E11" s="58" t="s">
        <v>147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>
      <c r="B12" s="51"/>
      <c r="C12" s="51"/>
      <c r="D12" s="57" t="s">
        <v>103</v>
      </c>
      <c r="E12" s="58" t="s">
        <v>148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>
      <c r="B13" s="51"/>
      <c r="C13" s="51"/>
      <c r="D13" s="57" t="s">
        <v>125</v>
      </c>
      <c r="E13" s="58" t="s">
        <v>149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>
      <c r="B14" s="51"/>
      <c r="C14" s="51"/>
      <c r="D14" s="57" t="s">
        <v>132</v>
      </c>
      <c r="E14" s="58" t="s">
        <v>150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>
      <c r="B15" s="52"/>
      <c r="C15" s="52"/>
      <c r="D15" s="57" t="s">
        <v>134</v>
      </c>
      <c r="E15" s="58" t="s">
        <v>151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 ht="33.0" customHeight="1">
      <c r="A16" s="62" t="s">
        <v>5</v>
      </c>
      <c r="B16" s="63" t="s">
        <v>4</v>
      </c>
      <c r="C16" s="64" t="s">
        <v>152</v>
      </c>
      <c r="D16" s="65"/>
      <c r="E16" s="44"/>
      <c r="F16" s="66" t="s">
        <v>153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B17" s="67" t="s">
        <v>5</v>
      </c>
      <c r="C17" s="68" t="s">
        <v>154</v>
      </c>
      <c r="D17" s="69" t="s">
        <v>65</v>
      </c>
      <c r="E17" s="70" t="s">
        <v>155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B18" s="51"/>
      <c r="C18" s="51"/>
      <c r="D18" s="69" t="s">
        <v>156</v>
      </c>
      <c r="E18" s="58" t="s">
        <v>157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B19" s="51"/>
      <c r="C19" s="51"/>
      <c r="D19" s="69" t="s">
        <v>49</v>
      </c>
      <c r="E19" s="58" t="s">
        <v>158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B20" s="51"/>
      <c r="C20" s="51"/>
      <c r="D20" s="69" t="s">
        <v>159</v>
      </c>
      <c r="E20" s="61" t="s">
        <v>144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>
      <c r="B21" s="51"/>
      <c r="C21" s="51"/>
      <c r="D21" s="69" t="s">
        <v>55</v>
      </c>
      <c r="E21" s="58" t="s">
        <v>160</v>
      </c>
      <c r="F21" s="66" t="s">
        <v>161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>
      <c r="B22" s="51"/>
      <c r="C22" s="51"/>
      <c r="D22" s="69" t="s">
        <v>115</v>
      </c>
      <c r="E22" s="58" t="s">
        <v>162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>
      <c r="B23" s="52"/>
      <c r="C23" s="52"/>
      <c r="D23" s="69" t="s">
        <v>133</v>
      </c>
      <c r="E23" s="58" t="s">
        <v>163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B24" s="67" t="s">
        <v>164</v>
      </c>
      <c r="C24" s="71"/>
      <c r="D24" s="69" t="s">
        <v>65</v>
      </c>
      <c r="E24" s="58" t="s">
        <v>165</v>
      </c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B25" s="52"/>
      <c r="C25" s="52"/>
      <c r="D25" s="69" t="s">
        <v>81</v>
      </c>
      <c r="E25" s="58" t="s">
        <v>166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B26" s="63" t="s">
        <v>167</v>
      </c>
      <c r="C26" s="72" t="s">
        <v>168</v>
      </c>
      <c r="D26" s="69" t="s">
        <v>169</v>
      </c>
      <c r="E26" s="73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74" t="s">
        <v>170</v>
      </c>
      <c r="B27" s="75" t="s">
        <v>6</v>
      </c>
      <c r="C27" s="76" t="s">
        <v>171</v>
      </c>
      <c r="D27" s="77" t="s">
        <v>172</v>
      </c>
      <c r="E27" s="73"/>
      <c r="F27" s="66" t="s">
        <v>173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51"/>
      <c r="B28" s="75" t="s">
        <v>7</v>
      </c>
      <c r="C28" s="76" t="s">
        <v>174</v>
      </c>
      <c r="D28" s="77" t="s">
        <v>175</v>
      </c>
      <c r="E28" s="73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51"/>
      <c r="B29" s="75" t="s">
        <v>8</v>
      </c>
      <c r="C29" s="76" t="s">
        <v>176</v>
      </c>
      <c r="D29" s="77" t="s">
        <v>177</v>
      </c>
      <c r="E29" s="73"/>
      <c r="F29" s="66" t="s">
        <v>178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51"/>
      <c r="B30" s="75" t="s">
        <v>9</v>
      </c>
      <c r="C30" s="76" t="s">
        <v>179</v>
      </c>
      <c r="D30" s="77" t="s">
        <v>180</v>
      </c>
      <c r="E30" s="73"/>
      <c r="F30" s="66" t="s">
        <v>181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51"/>
      <c r="B31" s="75" t="s">
        <v>10</v>
      </c>
      <c r="C31" s="76" t="s">
        <v>182</v>
      </c>
      <c r="D31" s="77" t="s">
        <v>183</v>
      </c>
      <c r="E31" s="73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51"/>
      <c r="B32" s="75" t="s">
        <v>11</v>
      </c>
      <c r="C32" s="76" t="s">
        <v>184</v>
      </c>
      <c r="D32" s="77" t="s">
        <v>185</v>
      </c>
      <c r="E32" s="73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52"/>
      <c r="B33" s="75" t="s">
        <v>12</v>
      </c>
      <c r="C33" s="76" t="s">
        <v>186</v>
      </c>
      <c r="D33" s="78"/>
      <c r="E33" s="73"/>
      <c r="F33" s="79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80" t="s">
        <v>187</v>
      </c>
      <c r="B34" s="81" t="s">
        <v>188</v>
      </c>
      <c r="C34" s="82" t="s">
        <v>189</v>
      </c>
      <c r="D34" s="83" t="s">
        <v>190</v>
      </c>
      <c r="E34" s="73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52"/>
      <c r="B35" s="81" t="s">
        <v>14</v>
      </c>
      <c r="C35" s="84"/>
      <c r="D35" s="85"/>
      <c r="E35" s="73"/>
      <c r="F35" s="66" t="s">
        <v>191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86" t="s">
        <v>192</v>
      </c>
      <c r="B36" s="87" t="s">
        <v>15</v>
      </c>
      <c r="C36" s="88"/>
      <c r="D36" s="89" t="s">
        <v>193</v>
      </c>
      <c r="E36" s="73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51"/>
      <c r="B37" s="87" t="s">
        <v>16</v>
      </c>
      <c r="C37" s="88"/>
      <c r="D37" s="90"/>
      <c r="E37" s="73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51"/>
      <c r="B38" s="87" t="s">
        <v>17</v>
      </c>
      <c r="C38" s="88"/>
      <c r="D38" s="91" t="s">
        <v>194</v>
      </c>
      <c r="E38" s="92"/>
      <c r="F38" s="93"/>
      <c r="G38" s="93"/>
      <c r="H38" s="93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51"/>
      <c r="B39" s="87" t="s">
        <v>18</v>
      </c>
      <c r="C39" s="88"/>
      <c r="D39" s="94" t="s">
        <v>194</v>
      </c>
      <c r="E39" s="73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51"/>
      <c r="B40" s="87" t="s">
        <v>19</v>
      </c>
      <c r="C40" s="88"/>
      <c r="D40" s="91" t="s">
        <v>194</v>
      </c>
      <c r="E40" s="73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51"/>
      <c r="B41" s="87" t="s">
        <v>16</v>
      </c>
      <c r="C41" s="88"/>
      <c r="D41" s="94" t="s">
        <v>194</v>
      </c>
      <c r="E41" s="73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52"/>
      <c r="B42" s="87" t="s">
        <v>195</v>
      </c>
      <c r="C42" s="88"/>
      <c r="D42" s="91" t="s">
        <v>194</v>
      </c>
      <c r="E42" s="73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95" t="s">
        <v>196</v>
      </c>
      <c r="B43" s="96" t="s">
        <v>22</v>
      </c>
      <c r="C43" s="97"/>
      <c r="D43" s="98" t="s">
        <v>197</v>
      </c>
      <c r="E43" s="73"/>
      <c r="F43" s="66" t="s">
        <v>198</v>
      </c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52"/>
      <c r="B44" s="96" t="s">
        <v>23</v>
      </c>
      <c r="C44" s="97"/>
      <c r="D44" s="98" t="s">
        <v>197</v>
      </c>
      <c r="E44" s="73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99" t="s">
        <v>199</v>
      </c>
      <c r="B45" s="100" t="s">
        <v>24</v>
      </c>
      <c r="C45" s="101" t="s">
        <v>200</v>
      </c>
      <c r="D45" s="102" t="s">
        <v>197</v>
      </c>
      <c r="E45" s="73"/>
      <c r="F45" s="103" t="s">
        <v>201</v>
      </c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51"/>
      <c r="B46" s="100" t="s">
        <v>25</v>
      </c>
      <c r="C46" s="101" t="s">
        <v>202</v>
      </c>
      <c r="D46" s="102" t="s">
        <v>197</v>
      </c>
      <c r="E46" s="73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51"/>
      <c r="B47" s="100" t="s">
        <v>26</v>
      </c>
      <c r="C47" s="101" t="s">
        <v>203</v>
      </c>
      <c r="D47" s="102" t="s">
        <v>197</v>
      </c>
      <c r="E47" s="73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51"/>
      <c r="B48" s="100" t="s">
        <v>27</v>
      </c>
      <c r="C48" s="101" t="s">
        <v>204</v>
      </c>
      <c r="D48" s="102" t="s">
        <v>197</v>
      </c>
      <c r="E48" s="73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51"/>
      <c r="B49" s="100" t="s">
        <v>28</v>
      </c>
      <c r="C49" s="101" t="s">
        <v>205</v>
      </c>
      <c r="D49" s="102" t="s">
        <v>197</v>
      </c>
      <c r="E49" s="73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51"/>
      <c r="B50" s="100" t="s">
        <v>29</v>
      </c>
      <c r="C50" s="101" t="s">
        <v>206</v>
      </c>
      <c r="D50" s="102" t="s">
        <v>197</v>
      </c>
      <c r="E50" s="73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52"/>
      <c r="B51" s="100" t="s">
        <v>30</v>
      </c>
      <c r="C51" s="101" t="s">
        <v>207</v>
      </c>
      <c r="D51" s="102" t="s">
        <v>197</v>
      </c>
      <c r="E51" s="73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104" t="s">
        <v>208</v>
      </c>
      <c r="B52" s="63" t="s">
        <v>31</v>
      </c>
      <c r="C52" s="105"/>
      <c r="D52" s="65"/>
      <c r="E52" s="73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51"/>
      <c r="B53" s="63" t="s">
        <v>32</v>
      </c>
      <c r="C53" s="105"/>
      <c r="D53" s="69" t="s">
        <v>197</v>
      </c>
      <c r="E53" s="73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51"/>
      <c r="B54" s="63" t="s">
        <v>33</v>
      </c>
      <c r="C54" s="105"/>
      <c r="D54" s="69" t="s">
        <v>197</v>
      </c>
      <c r="E54" s="73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52"/>
      <c r="B55" s="63" t="s">
        <v>34</v>
      </c>
      <c r="C55" s="105"/>
      <c r="D55" s="69" t="s">
        <v>197</v>
      </c>
      <c r="E55" s="73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106"/>
      <c r="B56" s="106"/>
      <c r="C56" s="106"/>
      <c r="D56" s="107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106"/>
      <c r="B57" s="106"/>
      <c r="C57" s="106"/>
      <c r="D57" s="107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106"/>
      <c r="B58" s="106"/>
      <c r="C58" s="106"/>
      <c r="D58" s="107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106"/>
      <c r="B59" s="106"/>
      <c r="C59" s="106"/>
      <c r="D59" s="107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106"/>
      <c r="B60" s="106"/>
      <c r="C60" s="106"/>
      <c r="D60" s="107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106"/>
      <c r="B61" s="106"/>
      <c r="C61" s="106"/>
      <c r="D61" s="10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106"/>
      <c r="B62" s="106"/>
      <c r="C62" s="106"/>
      <c r="D62" s="10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106"/>
      <c r="B63" s="106"/>
      <c r="C63" s="106"/>
      <c r="D63" s="107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106"/>
      <c r="B64" s="106"/>
      <c r="C64" s="106"/>
      <c r="D64" s="107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106"/>
      <c r="B65" s="106"/>
      <c r="C65" s="106"/>
      <c r="D65" s="107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106"/>
      <c r="B66" s="106"/>
      <c r="C66" s="106"/>
      <c r="D66" s="107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106"/>
      <c r="B67" s="106"/>
      <c r="C67" s="106"/>
      <c r="D67" s="107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106"/>
      <c r="B68" s="106"/>
      <c r="C68" s="106"/>
      <c r="D68" s="107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106"/>
      <c r="B69" s="106"/>
      <c r="C69" s="106"/>
      <c r="D69" s="107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106"/>
      <c r="B70" s="106"/>
      <c r="C70" s="106"/>
      <c r="D70" s="107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106"/>
      <c r="B71" s="106"/>
      <c r="C71" s="106"/>
      <c r="D71" s="107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106"/>
      <c r="B72" s="106"/>
      <c r="C72" s="106"/>
      <c r="D72" s="107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106"/>
      <c r="B73" s="106"/>
      <c r="C73" s="106"/>
      <c r="D73" s="107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106"/>
      <c r="B74" s="106"/>
      <c r="C74" s="106"/>
      <c r="D74" s="107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106"/>
      <c r="B75" s="106"/>
      <c r="C75" s="106"/>
      <c r="D75" s="107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106"/>
      <c r="B76" s="106"/>
      <c r="C76" s="106"/>
      <c r="D76" s="107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106"/>
      <c r="B77" s="106"/>
      <c r="C77" s="106"/>
      <c r="D77" s="107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106"/>
      <c r="B78" s="106"/>
      <c r="C78" s="106"/>
      <c r="D78" s="107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106"/>
      <c r="B79" s="106"/>
      <c r="C79" s="106"/>
      <c r="D79" s="107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106"/>
      <c r="B80" s="106"/>
      <c r="C80" s="106"/>
      <c r="D80" s="107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106"/>
      <c r="B81" s="106"/>
      <c r="C81" s="106"/>
      <c r="D81" s="107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106"/>
      <c r="B82" s="106"/>
      <c r="C82" s="106"/>
      <c r="D82" s="107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106"/>
      <c r="B83" s="106"/>
      <c r="C83" s="106"/>
      <c r="D83" s="107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106"/>
      <c r="B84" s="106"/>
      <c r="C84" s="106"/>
      <c r="D84" s="107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106"/>
      <c r="B85" s="106"/>
      <c r="C85" s="106"/>
      <c r="D85" s="107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106"/>
      <c r="B86" s="106"/>
      <c r="C86" s="106"/>
      <c r="D86" s="107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106"/>
      <c r="B87" s="106"/>
      <c r="C87" s="106"/>
      <c r="D87" s="107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106"/>
      <c r="B88" s="106"/>
      <c r="C88" s="106"/>
      <c r="D88" s="107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106"/>
      <c r="B89" s="106"/>
      <c r="C89" s="106"/>
      <c r="D89" s="107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106"/>
      <c r="B90" s="106"/>
      <c r="C90" s="106"/>
      <c r="D90" s="107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106"/>
      <c r="B91" s="106"/>
      <c r="C91" s="106"/>
      <c r="D91" s="107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106"/>
      <c r="B92" s="106"/>
      <c r="C92" s="106"/>
      <c r="D92" s="107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106"/>
      <c r="B93" s="106"/>
      <c r="C93" s="106"/>
      <c r="D93" s="107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106"/>
      <c r="B94" s="106"/>
      <c r="C94" s="106"/>
      <c r="D94" s="107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106"/>
      <c r="B95" s="106"/>
      <c r="C95" s="106"/>
      <c r="D95" s="107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106"/>
      <c r="B96" s="106"/>
      <c r="C96" s="106"/>
      <c r="D96" s="107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106"/>
      <c r="B97" s="106"/>
      <c r="C97" s="106"/>
      <c r="D97" s="107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106"/>
      <c r="B98" s="106"/>
      <c r="C98" s="106"/>
      <c r="D98" s="107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106"/>
      <c r="B99" s="106"/>
      <c r="C99" s="106"/>
      <c r="D99" s="107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106"/>
      <c r="B100" s="106"/>
      <c r="C100" s="106"/>
      <c r="D100" s="107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106"/>
      <c r="B101" s="106"/>
      <c r="C101" s="106"/>
      <c r="D101" s="107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106"/>
      <c r="B102" s="106"/>
      <c r="C102" s="106"/>
      <c r="D102" s="107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106"/>
      <c r="B103" s="106"/>
      <c r="C103" s="106"/>
      <c r="D103" s="10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106"/>
      <c r="B104" s="106"/>
      <c r="C104" s="106"/>
      <c r="D104" s="10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106"/>
      <c r="B105" s="106"/>
      <c r="C105" s="106"/>
      <c r="D105" s="107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106"/>
      <c r="B106" s="106"/>
      <c r="C106" s="106"/>
      <c r="D106" s="107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106"/>
      <c r="B107" s="106"/>
      <c r="C107" s="106"/>
      <c r="D107" s="107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106"/>
      <c r="B108" s="106"/>
      <c r="C108" s="106"/>
      <c r="D108" s="107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106"/>
      <c r="B109" s="106"/>
      <c r="C109" s="106"/>
      <c r="D109" s="10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106"/>
      <c r="B110" s="106"/>
      <c r="C110" s="106"/>
      <c r="D110" s="10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106"/>
      <c r="B111" s="106"/>
      <c r="C111" s="106"/>
      <c r="D111" s="10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106"/>
      <c r="B112" s="106"/>
      <c r="C112" s="106"/>
      <c r="D112" s="10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106"/>
      <c r="B113" s="106"/>
      <c r="C113" s="106"/>
      <c r="D113" s="107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106"/>
      <c r="B114" s="106"/>
      <c r="C114" s="106"/>
      <c r="D114" s="10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106"/>
      <c r="B115" s="106"/>
      <c r="C115" s="106"/>
      <c r="D115" s="10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106"/>
      <c r="B116" s="106"/>
      <c r="C116" s="106"/>
      <c r="D116" s="10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106"/>
      <c r="B117" s="106"/>
      <c r="C117" s="106"/>
      <c r="D117" s="10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106"/>
      <c r="B118" s="106"/>
      <c r="C118" s="106"/>
      <c r="D118" s="10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106"/>
      <c r="B119" s="106"/>
      <c r="C119" s="106"/>
      <c r="D119" s="10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106"/>
      <c r="B120" s="106"/>
      <c r="C120" s="106"/>
      <c r="D120" s="10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106"/>
      <c r="B121" s="106"/>
      <c r="C121" s="106"/>
      <c r="D121" s="107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106"/>
      <c r="B122" s="106"/>
      <c r="C122" s="106"/>
      <c r="D122" s="10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106"/>
      <c r="B123" s="106"/>
      <c r="C123" s="106"/>
      <c r="D123" s="10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106"/>
      <c r="B124" s="106"/>
      <c r="C124" s="106"/>
      <c r="D124" s="10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106"/>
      <c r="B125" s="106"/>
      <c r="C125" s="106"/>
      <c r="D125" s="107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106"/>
      <c r="B126" s="106"/>
      <c r="C126" s="106"/>
      <c r="D126" s="10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106"/>
      <c r="B127" s="106"/>
      <c r="C127" s="106"/>
      <c r="D127" s="10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106"/>
      <c r="B128" s="106"/>
      <c r="C128" s="106"/>
      <c r="D128" s="10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106"/>
      <c r="B129" s="106"/>
      <c r="C129" s="106"/>
      <c r="D129" s="10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106"/>
      <c r="B130" s="106"/>
      <c r="C130" s="106"/>
      <c r="D130" s="10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106"/>
      <c r="B131" s="106"/>
      <c r="C131" s="106"/>
      <c r="D131" s="10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106"/>
      <c r="B132" s="106"/>
      <c r="C132" s="106"/>
      <c r="D132" s="10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106"/>
      <c r="B133" s="106"/>
      <c r="C133" s="106"/>
      <c r="D133" s="10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106"/>
      <c r="B134" s="106"/>
      <c r="C134" s="106"/>
      <c r="D134" s="10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106"/>
      <c r="B135" s="106"/>
      <c r="C135" s="106"/>
      <c r="D135" s="10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106"/>
      <c r="B136" s="106"/>
      <c r="C136" s="106"/>
      <c r="D136" s="10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106"/>
      <c r="B137" s="106"/>
      <c r="C137" s="106"/>
      <c r="D137" s="10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106"/>
      <c r="B138" s="106"/>
      <c r="C138" s="106"/>
      <c r="D138" s="10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106"/>
      <c r="B139" s="106"/>
      <c r="C139" s="106"/>
      <c r="D139" s="10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106"/>
      <c r="B140" s="106"/>
      <c r="C140" s="106"/>
      <c r="D140" s="10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106"/>
      <c r="B141" s="106"/>
      <c r="C141" s="106"/>
      <c r="D141" s="10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106"/>
      <c r="B142" s="106"/>
      <c r="C142" s="106"/>
      <c r="D142" s="10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106"/>
      <c r="B143" s="106"/>
      <c r="C143" s="106"/>
      <c r="D143" s="107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106"/>
      <c r="B144" s="106"/>
      <c r="C144" s="106"/>
      <c r="D144" s="107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106"/>
      <c r="B145" s="106"/>
      <c r="C145" s="106"/>
      <c r="D145" s="107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106"/>
      <c r="B146" s="106"/>
      <c r="C146" s="106"/>
      <c r="D146" s="107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106"/>
      <c r="B147" s="106"/>
      <c r="C147" s="106"/>
      <c r="D147" s="107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106"/>
      <c r="B148" s="106"/>
      <c r="C148" s="106"/>
      <c r="D148" s="107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106"/>
      <c r="B149" s="106"/>
      <c r="C149" s="106"/>
      <c r="D149" s="107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106"/>
      <c r="B150" s="106"/>
      <c r="C150" s="106"/>
      <c r="D150" s="107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106"/>
      <c r="B151" s="106"/>
      <c r="C151" s="106"/>
      <c r="D151" s="107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106"/>
      <c r="B152" s="106"/>
      <c r="C152" s="106"/>
      <c r="D152" s="107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106"/>
      <c r="B153" s="106"/>
      <c r="C153" s="106"/>
      <c r="D153" s="107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106"/>
      <c r="B154" s="106"/>
      <c r="C154" s="106"/>
      <c r="D154" s="107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106"/>
      <c r="B155" s="106"/>
      <c r="C155" s="106"/>
      <c r="D155" s="107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106"/>
      <c r="B156" s="106"/>
      <c r="C156" s="106"/>
      <c r="D156" s="107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106"/>
      <c r="B157" s="106"/>
      <c r="C157" s="106"/>
      <c r="D157" s="107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106"/>
      <c r="B158" s="106"/>
      <c r="C158" s="106"/>
      <c r="D158" s="107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106"/>
      <c r="B159" s="106"/>
      <c r="C159" s="106"/>
      <c r="D159" s="107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106"/>
      <c r="B160" s="106"/>
      <c r="C160" s="106"/>
      <c r="D160" s="107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106"/>
      <c r="B161" s="106"/>
      <c r="C161" s="106"/>
      <c r="D161" s="107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106"/>
      <c r="B162" s="106"/>
      <c r="C162" s="106"/>
      <c r="D162" s="107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106"/>
      <c r="B163" s="106"/>
      <c r="C163" s="106"/>
      <c r="D163" s="107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106"/>
      <c r="B164" s="106"/>
      <c r="C164" s="106"/>
      <c r="D164" s="107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106"/>
      <c r="B165" s="106"/>
      <c r="C165" s="106"/>
      <c r="D165" s="107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106"/>
      <c r="B166" s="106"/>
      <c r="C166" s="106"/>
      <c r="D166" s="107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106"/>
      <c r="B167" s="106"/>
      <c r="C167" s="106"/>
      <c r="D167" s="107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106"/>
      <c r="B168" s="106"/>
      <c r="C168" s="106"/>
      <c r="D168" s="107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106"/>
      <c r="B169" s="106"/>
      <c r="C169" s="106"/>
      <c r="D169" s="107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106"/>
      <c r="B170" s="106"/>
      <c r="C170" s="106"/>
      <c r="D170" s="107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106"/>
      <c r="B171" s="106"/>
      <c r="C171" s="106"/>
      <c r="D171" s="107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106"/>
      <c r="B172" s="106"/>
      <c r="C172" s="106"/>
      <c r="D172" s="107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106"/>
      <c r="B173" s="106"/>
      <c r="C173" s="106"/>
      <c r="D173" s="107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106"/>
      <c r="B174" s="106"/>
      <c r="C174" s="106"/>
      <c r="D174" s="107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106"/>
      <c r="B175" s="106"/>
      <c r="C175" s="106"/>
      <c r="D175" s="107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106"/>
      <c r="B176" s="106"/>
      <c r="C176" s="106"/>
      <c r="D176" s="107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106"/>
      <c r="B177" s="106"/>
      <c r="C177" s="106"/>
      <c r="D177" s="107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106"/>
      <c r="B178" s="106"/>
      <c r="C178" s="106"/>
      <c r="D178" s="107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106"/>
      <c r="B179" s="106"/>
      <c r="C179" s="106"/>
      <c r="D179" s="107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106"/>
      <c r="B180" s="106"/>
      <c r="C180" s="106"/>
      <c r="D180" s="107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106"/>
      <c r="B181" s="106"/>
      <c r="C181" s="106"/>
      <c r="D181" s="107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106"/>
      <c r="B182" s="106"/>
      <c r="C182" s="106"/>
      <c r="D182" s="107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106"/>
      <c r="B183" s="106"/>
      <c r="C183" s="106"/>
      <c r="D183" s="107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106"/>
      <c r="B184" s="106"/>
      <c r="C184" s="106"/>
      <c r="D184" s="107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106"/>
      <c r="B185" s="106"/>
      <c r="C185" s="106"/>
      <c r="D185" s="107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106"/>
      <c r="B186" s="106"/>
      <c r="C186" s="106"/>
      <c r="D186" s="107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106"/>
      <c r="B187" s="106"/>
      <c r="C187" s="106"/>
      <c r="D187" s="107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106"/>
      <c r="B188" s="106"/>
      <c r="C188" s="106"/>
      <c r="D188" s="107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106"/>
      <c r="B189" s="106"/>
      <c r="C189" s="106"/>
      <c r="D189" s="107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106"/>
      <c r="B190" s="106"/>
      <c r="C190" s="106"/>
      <c r="D190" s="107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106"/>
      <c r="B191" s="106"/>
      <c r="C191" s="106"/>
      <c r="D191" s="107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106"/>
      <c r="B192" s="106"/>
      <c r="C192" s="106"/>
      <c r="D192" s="107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106"/>
      <c r="B193" s="106"/>
      <c r="C193" s="106"/>
      <c r="D193" s="107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106"/>
      <c r="B194" s="106"/>
      <c r="C194" s="106"/>
      <c r="D194" s="107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106"/>
      <c r="B195" s="106"/>
      <c r="C195" s="106"/>
      <c r="D195" s="107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106"/>
      <c r="B196" s="106"/>
      <c r="C196" s="106"/>
      <c r="D196" s="107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106"/>
      <c r="B197" s="106"/>
      <c r="C197" s="106"/>
      <c r="D197" s="107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106"/>
      <c r="B198" s="106"/>
      <c r="C198" s="106"/>
      <c r="D198" s="107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106"/>
      <c r="B199" s="106"/>
      <c r="C199" s="106"/>
      <c r="D199" s="107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106"/>
      <c r="B200" s="106"/>
      <c r="C200" s="106"/>
      <c r="D200" s="107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106"/>
      <c r="B201" s="106"/>
      <c r="C201" s="106"/>
      <c r="D201" s="107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106"/>
      <c r="B202" s="106"/>
      <c r="C202" s="106"/>
      <c r="D202" s="107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106"/>
      <c r="B203" s="106"/>
      <c r="C203" s="106"/>
      <c r="D203" s="107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106"/>
      <c r="B204" s="106"/>
      <c r="C204" s="106"/>
      <c r="D204" s="107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106"/>
      <c r="B205" s="106"/>
      <c r="C205" s="106"/>
      <c r="D205" s="107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106"/>
      <c r="B206" s="106"/>
      <c r="C206" s="106"/>
      <c r="D206" s="107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106"/>
      <c r="B207" s="106"/>
      <c r="C207" s="106"/>
      <c r="D207" s="107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106"/>
      <c r="B208" s="106"/>
      <c r="C208" s="106"/>
      <c r="D208" s="107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106"/>
      <c r="B209" s="106"/>
      <c r="C209" s="106"/>
      <c r="D209" s="107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106"/>
      <c r="B210" s="106"/>
      <c r="C210" s="106"/>
      <c r="D210" s="107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106"/>
      <c r="B211" s="106"/>
      <c r="C211" s="106"/>
      <c r="D211" s="107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106"/>
      <c r="B212" s="106"/>
      <c r="C212" s="106"/>
      <c r="D212" s="107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106"/>
      <c r="B213" s="106"/>
      <c r="C213" s="106"/>
      <c r="D213" s="107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106"/>
      <c r="B214" s="106"/>
      <c r="C214" s="106"/>
      <c r="D214" s="107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106"/>
      <c r="B215" s="106"/>
      <c r="C215" s="106"/>
      <c r="D215" s="107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106"/>
      <c r="B216" s="106"/>
      <c r="C216" s="106"/>
      <c r="D216" s="107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106"/>
      <c r="B217" s="106"/>
      <c r="C217" s="106"/>
      <c r="D217" s="107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106"/>
      <c r="B218" s="106"/>
      <c r="C218" s="106"/>
      <c r="D218" s="107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106"/>
      <c r="B219" s="106"/>
      <c r="C219" s="106"/>
      <c r="D219" s="107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106"/>
      <c r="B220" s="106"/>
      <c r="C220" s="106"/>
      <c r="D220" s="107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106"/>
      <c r="B221" s="106"/>
      <c r="C221" s="106"/>
      <c r="D221" s="107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106"/>
      <c r="B222" s="106"/>
      <c r="C222" s="106"/>
      <c r="D222" s="107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106"/>
      <c r="B223" s="106"/>
      <c r="C223" s="106"/>
      <c r="D223" s="107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106"/>
      <c r="B224" s="106"/>
      <c r="C224" s="106"/>
      <c r="D224" s="107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106"/>
      <c r="B225" s="106"/>
      <c r="C225" s="106"/>
      <c r="D225" s="107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106"/>
      <c r="B226" s="106"/>
      <c r="C226" s="106"/>
      <c r="D226" s="107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106"/>
      <c r="B227" s="106"/>
      <c r="C227" s="106"/>
      <c r="D227" s="107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106"/>
      <c r="B228" s="106"/>
      <c r="C228" s="106"/>
      <c r="D228" s="107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106"/>
      <c r="B229" s="106"/>
      <c r="C229" s="106"/>
      <c r="D229" s="107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106"/>
      <c r="B230" s="106"/>
      <c r="C230" s="106"/>
      <c r="D230" s="107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106"/>
      <c r="B231" s="106"/>
      <c r="C231" s="106"/>
      <c r="D231" s="107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106"/>
      <c r="B232" s="106"/>
      <c r="C232" s="106"/>
      <c r="D232" s="107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106"/>
      <c r="B233" s="106"/>
      <c r="C233" s="106"/>
      <c r="D233" s="107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106"/>
      <c r="B234" s="106"/>
      <c r="C234" s="106"/>
      <c r="D234" s="107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106"/>
      <c r="B235" s="106"/>
      <c r="C235" s="106"/>
      <c r="D235" s="107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106"/>
      <c r="B236" s="106"/>
      <c r="C236" s="106"/>
      <c r="D236" s="107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106"/>
      <c r="B237" s="106"/>
      <c r="C237" s="106"/>
      <c r="D237" s="107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106"/>
      <c r="B238" s="106"/>
      <c r="C238" s="106"/>
      <c r="D238" s="107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106"/>
      <c r="B239" s="106"/>
      <c r="C239" s="106"/>
      <c r="D239" s="107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106"/>
      <c r="B240" s="106"/>
      <c r="C240" s="106"/>
      <c r="D240" s="107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106"/>
      <c r="B241" s="106"/>
      <c r="C241" s="106"/>
      <c r="D241" s="107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106"/>
      <c r="B242" s="106"/>
      <c r="C242" s="106"/>
      <c r="D242" s="107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106"/>
      <c r="B243" s="106"/>
      <c r="C243" s="106"/>
      <c r="D243" s="107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106"/>
      <c r="B244" s="106"/>
      <c r="C244" s="106"/>
      <c r="D244" s="107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106"/>
      <c r="B245" s="106"/>
      <c r="C245" s="106"/>
      <c r="D245" s="107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106"/>
      <c r="B246" s="106"/>
      <c r="C246" s="106"/>
      <c r="D246" s="107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106"/>
      <c r="B247" s="106"/>
      <c r="C247" s="106"/>
      <c r="D247" s="107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106"/>
      <c r="B248" s="106"/>
      <c r="C248" s="106"/>
      <c r="D248" s="107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106"/>
      <c r="B249" s="106"/>
      <c r="C249" s="106"/>
      <c r="D249" s="107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106"/>
      <c r="B250" s="106"/>
      <c r="C250" s="106"/>
      <c r="D250" s="107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106"/>
      <c r="B251" s="106"/>
      <c r="C251" s="106"/>
      <c r="D251" s="107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106"/>
      <c r="B252" s="106"/>
      <c r="C252" s="106"/>
      <c r="D252" s="107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106"/>
      <c r="B253" s="106"/>
      <c r="C253" s="106"/>
      <c r="D253" s="107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106"/>
      <c r="B254" s="106"/>
      <c r="C254" s="106"/>
      <c r="D254" s="107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106"/>
      <c r="B255" s="106"/>
      <c r="C255" s="106"/>
      <c r="D255" s="107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106"/>
      <c r="B256" s="106"/>
      <c r="C256" s="106"/>
      <c r="D256" s="107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106"/>
      <c r="B257" s="106"/>
      <c r="C257" s="106"/>
      <c r="D257" s="107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106"/>
      <c r="B258" s="106"/>
      <c r="C258" s="106"/>
      <c r="D258" s="107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106"/>
      <c r="B259" s="106"/>
      <c r="C259" s="106"/>
      <c r="D259" s="107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106"/>
      <c r="B260" s="106"/>
      <c r="C260" s="106"/>
      <c r="D260" s="107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106"/>
      <c r="B261" s="106"/>
      <c r="C261" s="106"/>
      <c r="D261" s="107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106"/>
      <c r="B262" s="106"/>
      <c r="C262" s="106"/>
      <c r="D262" s="107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106"/>
      <c r="B263" s="106"/>
      <c r="C263" s="106"/>
      <c r="D263" s="107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106"/>
      <c r="B264" s="106"/>
      <c r="C264" s="106"/>
      <c r="D264" s="107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106"/>
      <c r="B265" s="106"/>
      <c r="C265" s="106"/>
      <c r="D265" s="107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106"/>
      <c r="B266" s="106"/>
      <c r="C266" s="106"/>
      <c r="D266" s="107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106"/>
      <c r="B267" s="106"/>
      <c r="C267" s="106"/>
      <c r="D267" s="107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106"/>
      <c r="B268" s="106"/>
      <c r="C268" s="106"/>
      <c r="D268" s="107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106"/>
      <c r="B269" s="106"/>
      <c r="C269" s="106"/>
      <c r="D269" s="107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106"/>
      <c r="B270" s="106"/>
      <c r="C270" s="106"/>
      <c r="D270" s="107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106"/>
      <c r="B271" s="106"/>
      <c r="C271" s="106"/>
      <c r="D271" s="107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106"/>
      <c r="B272" s="106"/>
      <c r="C272" s="106"/>
      <c r="D272" s="107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106"/>
      <c r="B273" s="106"/>
      <c r="C273" s="106"/>
      <c r="D273" s="107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106"/>
      <c r="B274" s="106"/>
      <c r="C274" s="106"/>
      <c r="D274" s="107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106"/>
      <c r="B275" s="106"/>
      <c r="C275" s="106"/>
      <c r="D275" s="107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106"/>
      <c r="B276" s="106"/>
      <c r="C276" s="106"/>
      <c r="D276" s="107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106"/>
      <c r="B277" s="106"/>
      <c r="C277" s="106"/>
      <c r="D277" s="107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106"/>
      <c r="B278" s="106"/>
      <c r="C278" s="106"/>
      <c r="D278" s="107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106"/>
      <c r="B279" s="106"/>
      <c r="C279" s="106"/>
      <c r="D279" s="107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106"/>
      <c r="B280" s="106"/>
      <c r="C280" s="106"/>
      <c r="D280" s="107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106"/>
      <c r="B281" s="106"/>
      <c r="C281" s="106"/>
      <c r="D281" s="107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106"/>
      <c r="B282" s="106"/>
      <c r="C282" s="106"/>
      <c r="D282" s="107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106"/>
      <c r="B283" s="106"/>
      <c r="C283" s="106"/>
      <c r="D283" s="107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106"/>
      <c r="B284" s="106"/>
      <c r="C284" s="106"/>
      <c r="D284" s="107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106"/>
      <c r="B285" s="106"/>
      <c r="C285" s="106"/>
      <c r="D285" s="107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106"/>
      <c r="B286" s="106"/>
      <c r="C286" s="106"/>
      <c r="D286" s="107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106"/>
      <c r="B287" s="106"/>
      <c r="C287" s="106"/>
      <c r="D287" s="107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106"/>
      <c r="B288" s="106"/>
      <c r="C288" s="106"/>
      <c r="D288" s="107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106"/>
      <c r="B289" s="106"/>
      <c r="C289" s="106"/>
      <c r="D289" s="107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106"/>
      <c r="B290" s="106"/>
      <c r="C290" s="106"/>
      <c r="D290" s="107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106"/>
      <c r="B291" s="106"/>
      <c r="C291" s="106"/>
      <c r="D291" s="107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106"/>
      <c r="B292" s="106"/>
      <c r="C292" s="106"/>
      <c r="D292" s="107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106"/>
      <c r="B293" s="106"/>
      <c r="C293" s="106"/>
      <c r="D293" s="107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106"/>
      <c r="B294" s="106"/>
      <c r="C294" s="106"/>
      <c r="D294" s="107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106"/>
      <c r="B295" s="106"/>
      <c r="C295" s="106"/>
      <c r="D295" s="107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106"/>
      <c r="B296" s="106"/>
      <c r="C296" s="106"/>
      <c r="D296" s="107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106"/>
      <c r="B297" s="106"/>
      <c r="C297" s="106"/>
      <c r="D297" s="107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106"/>
      <c r="B298" s="106"/>
      <c r="C298" s="106"/>
      <c r="D298" s="107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106"/>
      <c r="B299" s="106"/>
      <c r="C299" s="106"/>
      <c r="D299" s="107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106"/>
      <c r="B300" s="106"/>
      <c r="C300" s="106"/>
      <c r="D300" s="107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106"/>
      <c r="B301" s="106"/>
      <c r="C301" s="106"/>
      <c r="D301" s="107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106"/>
      <c r="B302" s="106"/>
      <c r="C302" s="106"/>
      <c r="D302" s="107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106"/>
      <c r="B303" s="106"/>
      <c r="C303" s="106"/>
      <c r="D303" s="107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106"/>
      <c r="B304" s="106"/>
      <c r="C304" s="106"/>
      <c r="D304" s="107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106"/>
      <c r="B305" s="106"/>
      <c r="C305" s="106"/>
      <c r="D305" s="107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106"/>
      <c r="B306" s="106"/>
      <c r="C306" s="106"/>
      <c r="D306" s="107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106"/>
      <c r="B307" s="106"/>
      <c r="C307" s="106"/>
      <c r="D307" s="107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106"/>
      <c r="B308" s="106"/>
      <c r="C308" s="106"/>
      <c r="D308" s="107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106"/>
      <c r="B309" s="106"/>
      <c r="C309" s="106"/>
      <c r="D309" s="107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106"/>
      <c r="B310" s="106"/>
      <c r="C310" s="106"/>
      <c r="D310" s="107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106"/>
      <c r="B311" s="106"/>
      <c r="C311" s="106"/>
      <c r="D311" s="107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106"/>
      <c r="B312" s="106"/>
      <c r="C312" s="106"/>
      <c r="D312" s="107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106"/>
      <c r="B313" s="106"/>
      <c r="C313" s="106"/>
      <c r="D313" s="107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106"/>
      <c r="B314" s="106"/>
      <c r="C314" s="106"/>
      <c r="D314" s="107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106"/>
      <c r="B315" s="106"/>
      <c r="C315" s="106"/>
      <c r="D315" s="107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106"/>
      <c r="B316" s="106"/>
      <c r="C316" s="106"/>
      <c r="D316" s="107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106"/>
      <c r="B317" s="106"/>
      <c r="C317" s="106"/>
      <c r="D317" s="107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106"/>
      <c r="B318" s="106"/>
      <c r="C318" s="106"/>
      <c r="D318" s="107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106"/>
      <c r="B319" s="106"/>
      <c r="C319" s="106"/>
      <c r="D319" s="107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106"/>
      <c r="B320" s="106"/>
      <c r="C320" s="106"/>
      <c r="D320" s="107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106"/>
      <c r="B321" s="106"/>
      <c r="C321" s="106"/>
      <c r="D321" s="107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106"/>
      <c r="B322" s="106"/>
      <c r="C322" s="106"/>
      <c r="D322" s="107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106"/>
      <c r="B323" s="106"/>
      <c r="C323" s="106"/>
      <c r="D323" s="107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106"/>
      <c r="B324" s="106"/>
      <c r="C324" s="106"/>
      <c r="D324" s="107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106"/>
      <c r="B325" s="106"/>
      <c r="C325" s="106"/>
      <c r="D325" s="107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106"/>
      <c r="B326" s="106"/>
      <c r="C326" s="106"/>
      <c r="D326" s="107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106"/>
      <c r="B327" s="106"/>
      <c r="C327" s="106"/>
      <c r="D327" s="107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106"/>
      <c r="B328" s="106"/>
      <c r="C328" s="106"/>
      <c r="D328" s="107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106"/>
      <c r="B329" s="106"/>
      <c r="C329" s="106"/>
      <c r="D329" s="107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106"/>
      <c r="B330" s="106"/>
      <c r="C330" s="106"/>
      <c r="D330" s="107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106"/>
      <c r="B331" s="106"/>
      <c r="C331" s="106"/>
      <c r="D331" s="107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106"/>
      <c r="B332" s="106"/>
      <c r="C332" s="106"/>
      <c r="D332" s="107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106"/>
      <c r="B333" s="106"/>
      <c r="C333" s="106"/>
      <c r="D333" s="107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106"/>
      <c r="B334" s="106"/>
      <c r="C334" s="106"/>
      <c r="D334" s="107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106"/>
      <c r="B335" s="106"/>
      <c r="C335" s="106"/>
      <c r="D335" s="107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106"/>
      <c r="B336" s="106"/>
      <c r="C336" s="106"/>
      <c r="D336" s="107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106"/>
      <c r="B337" s="106"/>
      <c r="C337" s="106"/>
      <c r="D337" s="107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106"/>
      <c r="B338" s="106"/>
      <c r="C338" s="106"/>
      <c r="D338" s="107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106"/>
      <c r="B339" s="106"/>
      <c r="C339" s="106"/>
      <c r="D339" s="107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106"/>
      <c r="B340" s="106"/>
      <c r="C340" s="106"/>
      <c r="D340" s="107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106"/>
      <c r="B341" s="106"/>
      <c r="C341" s="106"/>
      <c r="D341" s="107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106"/>
      <c r="B342" s="106"/>
      <c r="C342" s="106"/>
      <c r="D342" s="107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106"/>
      <c r="B343" s="106"/>
      <c r="C343" s="106"/>
      <c r="D343" s="107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106"/>
      <c r="B344" s="106"/>
      <c r="C344" s="106"/>
      <c r="D344" s="107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106"/>
      <c r="B345" s="106"/>
      <c r="C345" s="106"/>
      <c r="D345" s="107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106"/>
      <c r="B346" s="106"/>
      <c r="C346" s="106"/>
      <c r="D346" s="107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106"/>
      <c r="B347" s="106"/>
      <c r="C347" s="106"/>
      <c r="D347" s="107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106"/>
      <c r="B348" s="106"/>
      <c r="C348" s="106"/>
      <c r="D348" s="107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106"/>
      <c r="B349" s="106"/>
      <c r="C349" s="106"/>
      <c r="D349" s="107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106"/>
      <c r="B350" s="106"/>
      <c r="C350" s="106"/>
      <c r="D350" s="107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106"/>
      <c r="B351" s="106"/>
      <c r="C351" s="106"/>
      <c r="D351" s="107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106"/>
      <c r="B352" s="106"/>
      <c r="C352" s="106"/>
      <c r="D352" s="107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106"/>
      <c r="B353" s="106"/>
      <c r="C353" s="106"/>
      <c r="D353" s="107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106"/>
      <c r="B354" s="106"/>
      <c r="C354" s="106"/>
      <c r="D354" s="107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106"/>
      <c r="B355" s="106"/>
      <c r="C355" s="106"/>
      <c r="D355" s="107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106"/>
      <c r="B356" s="106"/>
      <c r="C356" s="106"/>
      <c r="D356" s="107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106"/>
      <c r="B357" s="106"/>
      <c r="C357" s="106"/>
      <c r="D357" s="107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106"/>
      <c r="B358" s="106"/>
      <c r="C358" s="106"/>
      <c r="D358" s="107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106"/>
      <c r="B359" s="106"/>
      <c r="C359" s="106"/>
      <c r="D359" s="107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106"/>
      <c r="B360" s="106"/>
      <c r="C360" s="106"/>
      <c r="D360" s="107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106"/>
      <c r="B361" s="106"/>
      <c r="C361" s="106"/>
      <c r="D361" s="107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106"/>
      <c r="B362" s="106"/>
      <c r="C362" s="106"/>
      <c r="D362" s="107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106"/>
      <c r="B363" s="106"/>
      <c r="C363" s="106"/>
      <c r="D363" s="107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106"/>
      <c r="B364" s="106"/>
      <c r="C364" s="106"/>
      <c r="D364" s="107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106"/>
      <c r="B365" s="106"/>
      <c r="C365" s="106"/>
      <c r="D365" s="107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106"/>
      <c r="B366" s="106"/>
      <c r="C366" s="106"/>
      <c r="D366" s="107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106"/>
      <c r="B367" s="106"/>
      <c r="C367" s="106"/>
      <c r="D367" s="107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106"/>
      <c r="B368" s="106"/>
      <c r="C368" s="106"/>
      <c r="D368" s="107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106"/>
      <c r="B369" s="106"/>
      <c r="C369" s="106"/>
      <c r="D369" s="107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106"/>
      <c r="B370" s="106"/>
      <c r="C370" s="106"/>
      <c r="D370" s="107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106"/>
      <c r="B371" s="106"/>
      <c r="C371" s="106"/>
      <c r="D371" s="107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106"/>
      <c r="B372" s="106"/>
      <c r="C372" s="106"/>
      <c r="D372" s="107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106"/>
      <c r="B373" s="106"/>
      <c r="C373" s="106"/>
      <c r="D373" s="107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106"/>
      <c r="B374" s="106"/>
      <c r="C374" s="106"/>
      <c r="D374" s="107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106"/>
      <c r="B375" s="106"/>
      <c r="C375" s="106"/>
      <c r="D375" s="107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106"/>
      <c r="B376" s="106"/>
      <c r="C376" s="106"/>
      <c r="D376" s="107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106"/>
      <c r="B377" s="106"/>
      <c r="C377" s="106"/>
      <c r="D377" s="107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106"/>
      <c r="B378" s="106"/>
      <c r="C378" s="106"/>
      <c r="D378" s="107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106"/>
      <c r="B379" s="106"/>
      <c r="C379" s="106"/>
      <c r="D379" s="107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106"/>
      <c r="B380" s="106"/>
      <c r="C380" s="106"/>
      <c r="D380" s="107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106"/>
      <c r="B381" s="106"/>
      <c r="C381" s="106"/>
      <c r="D381" s="107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106"/>
      <c r="B382" s="106"/>
      <c r="C382" s="106"/>
      <c r="D382" s="107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106"/>
      <c r="B383" s="106"/>
      <c r="C383" s="106"/>
      <c r="D383" s="107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106"/>
      <c r="B384" s="106"/>
      <c r="C384" s="106"/>
      <c r="D384" s="107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106"/>
      <c r="B385" s="106"/>
      <c r="C385" s="106"/>
      <c r="D385" s="107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106"/>
      <c r="B386" s="106"/>
      <c r="C386" s="106"/>
      <c r="D386" s="107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106"/>
      <c r="B387" s="106"/>
      <c r="C387" s="106"/>
      <c r="D387" s="107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106"/>
      <c r="B388" s="106"/>
      <c r="C388" s="106"/>
      <c r="D388" s="107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106"/>
      <c r="B389" s="106"/>
      <c r="C389" s="106"/>
      <c r="D389" s="107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106"/>
      <c r="B390" s="106"/>
      <c r="C390" s="106"/>
      <c r="D390" s="107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106"/>
      <c r="B391" s="106"/>
      <c r="C391" s="106"/>
      <c r="D391" s="107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106"/>
      <c r="B392" s="106"/>
      <c r="C392" s="106"/>
      <c r="D392" s="107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106"/>
      <c r="B393" s="106"/>
      <c r="C393" s="106"/>
      <c r="D393" s="107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106"/>
      <c r="B394" s="106"/>
      <c r="C394" s="106"/>
      <c r="D394" s="107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106"/>
      <c r="B395" s="106"/>
      <c r="C395" s="106"/>
      <c r="D395" s="107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106"/>
      <c r="B396" s="106"/>
      <c r="C396" s="106"/>
      <c r="D396" s="107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106"/>
      <c r="B397" s="106"/>
      <c r="C397" s="106"/>
      <c r="D397" s="107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106"/>
      <c r="B398" s="106"/>
      <c r="C398" s="106"/>
      <c r="D398" s="107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106"/>
      <c r="B399" s="106"/>
      <c r="C399" s="106"/>
      <c r="D399" s="107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106"/>
      <c r="B400" s="106"/>
      <c r="C400" s="106"/>
      <c r="D400" s="107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106"/>
      <c r="B401" s="106"/>
      <c r="C401" s="106"/>
      <c r="D401" s="107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106"/>
      <c r="B402" s="106"/>
      <c r="C402" s="106"/>
      <c r="D402" s="107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106"/>
      <c r="B403" s="106"/>
      <c r="C403" s="106"/>
      <c r="D403" s="107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106"/>
      <c r="B404" s="106"/>
      <c r="C404" s="106"/>
      <c r="D404" s="107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106"/>
      <c r="B405" s="106"/>
      <c r="C405" s="106"/>
      <c r="D405" s="107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106"/>
      <c r="B406" s="106"/>
      <c r="C406" s="106"/>
      <c r="D406" s="107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106"/>
      <c r="B407" s="106"/>
      <c r="C407" s="106"/>
      <c r="D407" s="107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106"/>
      <c r="B408" s="106"/>
      <c r="C408" s="106"/>
      <c r="D408" s="107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106"/>
      <c r="B409" s="106"/>
      <c r="C409" s="106"/>
      <c r="D409" s="107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106"/>
      <c r="B410" s="106"/>
      <c r="C410" s="106"/>
      <c r="D410" s="107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106"/>
      <c r="B411" s="106"/>
      <c r="C411" s="106"/>
      <c r="D411" s="107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106"/>
      <c r="B412" s="106"/>
      <c r="C412" s="106"/>
      <c r="D412" s="107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106"/>
      <c r="B413" s="106"/>
      <c r="C413" s="106"/>
      <c r="D413" s="107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106"/>
      <c r="B414" s="106"/>
      <c r="C414" s="106"/>
      <c r="D414" s="107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106"/>
      <c r="B415" s="106"/>
      <c r="C415" s="106"/>
      <c r="D415" s="107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106"/>
      <c r="B416" s="106"/>
      <c r="C416" s="106"/>
      <c r="D416" s="107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106"/>
      <c r="B417" s="106"/>
      <c r="C417" s="106"/>
      <c r="D417" s="107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106"/>
      <c r="B418" s="106"/>
      <c r="C418" s="106"/>
      <c r="D418" s="107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106"/>
      <c r="B419" s="106"/>
      <c r="C419" s="106"/>
      <c r="D419" s="107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106"/>
      <c r="B420" s="106"/>
      <c r="C420" s="106"/>
      <c r="D420" s="107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106"/>
      <c r="B421" s="106"/>
      <c r="C421" s="106"/>
      <c r="D421" s="107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106"/>
      <c r="B422" s="106"/>
      <c r="C422" s="106"/>
      <c r="D422" s="107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106"/>
      <c r="B423" s="106"/>
      <c r="C423" s="106"/>
      <c r="D423" s="107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106"/>
      <c r="B424" s="106"/>
      <c r="C424" s="106"/>
      <c r="D424" s="107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106"/>
      <c r="B425" s="106"/>
      <c r="C425" s="106"/>
      <c r="D425" s="107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106"/>
      <c r="B426" s="106"/>
      <c r="C426" s="106"/>
      <c r="D426" s="107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106"/>
      <c r="B427" s="106"/>
      <c r="C427" s="106"/>
      <c r="D427" s="107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106"/>
      <c r="B428" s="106"/>
      <c r="C428" s="106"/>
      <c r="D428" s="107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106"/>
      <c r="B429" s="106"/>
      <c r="C429" s="106"/>
      <c r="D429" s="107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106"/>
      <c r="B430" s="106"/>
      <c r="C430" s="106"/>
      <c r="D430" s="107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106"/>
      <c r="B431" s="106"/>
      <c r="C431" s="106"/>
      <c r="D431" s="107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106"/>
      <c r="B432" s="106"/>
      <c r="C432" s="106"/>
      <c r="D432" s="107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106"/>
      <c r="B433" s="106"/>
      <c r="C433" s="106"/>
      <c r="D433" s="107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106"/>
      <c r="B434" s="106"/>
      <c r="C434" s="106"/>
      <c r="D434" s="107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106"/>
      <c r="B435" s="106"/>
      <c r="C435" s="106"/>
      <c r="D435" s="107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106"/>
      <c r="B436" s="106"/>
      <c r="C436" s="106"/>
      <c r="D436" s="107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106"/>
      <c r="B437" s="106"/>
      <c r="C437" s="106"/>
      <c r="D437" s="107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106"/>
      <c r="B438" s="106"/>
      <c r="C438" s="106"/>
      <c r="D438" s="107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106"/>
      <c r="B439" s="106"/>
      <c r="C439" s="106"/>
      <c r="D439" s="107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106"/>
      <c r="B440" s="106"/>
      <c r="C440" s="106"/>
      <c r="D440" s="107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106"/>
      <c r="B441" s="106"/>
      <c r="C441" s="106"/>
      <c r="D441" s="107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106"/>
      <c r="B442" s="106"/>
      <c r="C442" s="106"/>
      <c r="D442" s="107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106"/>
      <c r="B443" s="106"/>
      <c r="C443" s="106"/>
      <c r="D443" s="107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106"/>
      <c r="B444" s="106"/>
      <c r="C444" s="106"/>
      <c r="D444" s="107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106"/>
      <c r="B445" s="106"/>
      <c r="C445" s="106"/>
      <c r="D445" s="107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106"/>
      <c r="B446" s="106"/>
      <c r="C446" s="106"/>
      <c r="D446" s="107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106"/>
      <c r="B447" s="106"/>
      <c r="C447" s="106"/>
      <c r="D447" s="107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106"/>
      <c r="B448" s="106"/>
      <c r="C448" s="106"/>
      <c r="D448" s="107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106"/>
      <c r="B449" s="106"/>
      <c r="C449" s="106"/>
      <c r="D449" s="107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106"/>
      <c r="B450" s="106"/>
      <c r="C450" s="106"/>
      <c r="D450" s="107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106"/>
      <c r="B451" s="106"/>
      <c r="C451" s="106"/>
      <c r="D451" s="107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106"/>
      <c r="B452" s="106"/>
      <c r="C452" s="106"/>
      <c r="D452" s="107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106"/>
      <c r="B453" s="106"/>
      <c r="C453" s="106"/>
      <c r="D453" s="107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106"/>
      <c r="B454" s="106"/>
      <c r="C454" s="106"/>
      <c r="D454" s="107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106"/>
      <c r="B455" s="106"/>
      <c r="C455" s="106"/>
      <c r="D455" s="107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106"/>
      <c r="B456" s="106"/>
      <c r="C456" s="106"/>
      <c r="D456" s="107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106"/>
      <c r="B457" s="106"/>
      <c r="C457" s="106"/>
      <c r="D457" s="107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106"/>
      <c r="B458" s="106"/>
      <c r="C458" s="106"/>
      <c r="D458" s="107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106"/>
      <c r="B459" s="106"/>
      <c r="C459" s="106"/>
      <c r="D459" s="107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106"/>
      <c r="B460" s="106"/>
      <c r="C460" s="106"/>
      <c r="D460" s="107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106"/>
      <c r="B461" s="106"/>
      <c r="C461" s="106"/>
      <c r="D461" s="107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106"/>
      <c r="B462" s="106"/>
      <c r="C462" s="106"/>
      <c r="D462" s="107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106"/>
      <c r="B463" s="106"/>
      <c r="C463" s="106"/>
      <c r="D463" s="107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106"/>
      <c r="B464" s="106"/>
      <c r="C464" s="106"/>
      <c r="D464" s="107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106"/>
      <c r="B465" s="106"/>
      <c r="C465" s="106"/>
      <c r="D465" s="107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106"/>
      <c r="B466" s="106"/>
      <c r="C466" s="106"/>
      <c r="D466" s="107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106"/>
      <c r="B467" s="106"/>
      <c r="C467" s="106"/>
      <c r="D467" s="107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106"/>
      <c r="B468" s="106"/>
      <c r="C468" s="106"/>
      <c r="D468" s="107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106"/>
      <c r="B469" s="106"/>
      <c r="C469" s="106"/>
      <c r="D469" s="107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106"/>
      <c r="B470" s="106"/>
      <c r="C470" s="106"/>
      <c r="D470" s="107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106"/>
      <c r="B471" s="106"/>
      <c r="C471" s="106"/>
      <c r="D471" s="107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106"/>
      <c r="B472" s="106"/>
      <c r="C472" s="106"/>
      <c r="D472" s="107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106"/>
      <c r="B473" s="106"/>
      <c r="C473" s="106"/>
      <c r="D473" s="107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106"/>
      <c r="B474" s="106"/>
      <c r="C474" s="106"/>
      <c r="D474" s="107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106"/>
      <c r="B475" s="106"/>
      <c r="C475" s="106"/>
      <c r="D475" s="107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106"/>
      <c r="B476" s="106"/>
      <c r="C476" s="106"/>
      <c r="D476" s="107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106"/>
      <c r="B477" s="106"/>
      <c r="C477" s="106"/>
      <c r="D477" s="107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106"/>
      <c r="B478" s="106"/>
      <c r="C478" s="106"/>
      <c r="D478" s="107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106"/>
      <c r="B479" s="106"/>
      <c r="C479" s="106"/>
      <c r="D479" s="107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106"/>
      <c r="B480" s="106"/>
      <c r="C480" s="106"/>
      <c r="D480" s="107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106"/>
      <c r="B481" s="106"/>
      <c r="C481" s="106"/>
      <c r="D481" s="107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106"/>
      <c r="B482" s="106"/>
      <c r="C482" s="106"/>
      <c r="D482" s="107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106"/>
      <c r="B483" s="106"/>
      <c r="C483" s="106"/>
      <c r="D483" s="107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106"/>
      <c r="B484" s="106"/>
      <c r="C484" s="106"/>
      <c r="D484" s="107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106"/>
      <c r="B485" s="106"/>
      <c r="C485" s="106"/>
      <c r="D485" s="107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106"/>
      <c r="B486" s="106"/>
      <c r="C486" s="106"/>
      <c r="D486" s="107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106"/>
      <c r="B487" s="106"/>
      <c r="C487" s="106"/>
      <c r="D487" s="107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106"/>
      <c r="B488" s="106"/>
      <c r="C488" s="106"/>
      <c r="D488" s="107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106"/>
      <c r="B489" s="106"/>
      <c r="C489" s="106"/>
      <c r="D489" s="107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106"/>
      <c r="B490" s="106"/>
      <c r="C490" s="106"/>
      <c r="D490" s="107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106"/>
      <c r="B491" s="106"/>
      <c r="C491" s="106"/>
      <c r="D491" s="107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106"/>
      <c r="B492" s="106"/>
      <c r="C492" s="106"/>
      <c r="D492" s="107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106"/>
      <c r="B493" s="106"/>
      <c r="C493" s="106"/>
      <c r="D493" s="107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106"/>
      <c r="B494" s="106"/>
      <c r="C494" s="106"/>
      <c r="D494" s="107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106"/>
      <c r="B495" s="106"/>
      <c r="C495" s="106"/>
      <c r="D495" s="107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106"/>
      <c r="B496" s="106"/>
      <c r="C496" s="106"/>
      <c r="D496" s="107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106"/>
      <c r="B497" s="106"/>
      <c r="C497" s="106"/>
      <c r="D497" s="107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106"/>
      <c r="B498" s="106"/>
      <c r="C498" s="106"/>
      <c r="D498" s="107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106"/>
      <c r="B499" s="106"/>
      <c r="C499" s="106"/>
      <c r="D499" s="107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106"/>
      <c r="B500" s="106"/>
      <c r="C500" s="106"/>
      <c r="D500" s="107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106"/>
      <c r="B501" s="106"/>
      <c r="C501" s="106"/>
      <c r="D501" s="107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106"/>
      <c r="B502" s="106"/>
      <c r="C502" s="106"/>
      <c r="D502" s="107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106"/>
      <c r="B503" s="106"/>
      <c r="C503" s="106"/>
      <c r="D503" s="107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106"/>
      <c r="B504" s="106"/>
      <c r="C504" s="106"/>
      <c r="D504" s="107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106"/>
      <c r="B505" s="106"/>
      <c r="C505" s="106"/>
      <c r="D505" s="107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106"/>
      <c r="B506" s="106"/>
      <c r="C506" s="106"/>
      <c r="D506" s="107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106"/>
      <c r="B507" s="106"/>
      <c r="C507" s="106"/>
      <c r="D507" s="107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106"/>
      <c r="B508" s="106"/>
      <c r="C508" s="106"/>
      <c r="D508" s="107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106"/>
      <c r="B509" s="106"/>
      <c r="C509" s="106"/>
      <c r="D509" s="107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106"/>
      <c r="B510" s="106"/>
      <c r="C510" s="106"/>
      <c r="D510" s="107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106"/>
      <c r="B511" s="106"/>
      <c r="C511" s="106"/>
      <c r="D511" s="107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106"/>
      <c r="B512" s="106"/>
      <c r="C512" s="106"/>
      <c r="D512" s="107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106"/>
      <c r="B513" s="106"/>
      <c r="C513" s="106"/>
      <c r="D513" s="107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106"/>
      <c r="B514" s="106"/>
      <c r="C514" s="106"/>
      <c r="D514" s="107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106"/>
      <c r="B515" s="106"/>
      <c r="C515" s="106"/>
      <c r="D515" s="107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106"/>
      <c r="B516" s="106"/>
      <c r="C516" s="106"/>
      <c r="D516" s="107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106"/>
      <c r="B517" s="106"/>
      <c r="C517" s="106"/>
      <c r="D517" s="107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106"/>
      <c r="B518" s="106"/>
      <c r="C518" s="106"/>
      <c r="D518" s="107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106"/>
      <c r="B519" s="106"/>
      <c r="C519" s="106"/>
      <c r="D519" s="107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106"/>
      <c r="B520" s="106"/>
      <c r="C520" s="106"/>
      <c r="D520" s="107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106"/>
      <c r="B521" s="106"/>
      <c r="C521" s="106"/>
      <c r="D521" s="107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106"/>
      <c r="B522" s="106"/>
      <c r="C522" s="106"/>
      <c r="D522" s="107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106"/>
      <c r="B523" s="106"/>
      <c r="C523" s="106"/>
      <c r="D523" s="107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106"/>
      <c r="B524" s="106"/>
      <c r="C524" s="106"/>
      <c r="D524" s="107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106"/>
      <c r="B525" s="106"/>
      <c r="C525" s="106"/>
      <c r="D525" s="107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106"/>
      <c r="B526" s="106"/>
      <c r="C526" s="106"/>
      <c r="D526" s="107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106"/>
      <c r="B527" s="106"/>
      <c r="C527" s="106"/>
      <c r="D527" s="107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106"/>
      <c r="B528" s="106"/>
      <c r="C528" s="106"/>
      <c r="D528" s="107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106"/>
      <c r="B529" s="106"/>
      <c r="C529" s="106"/>
      <c r="D529" s="107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106"/>
      <c r="B530" s="106"/>
      <c r="C530" s="106"/>
      <c r="D530" s="107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106"/>
      <c r="B531" s="106"/>
      <c r="C531" s="106"/>
      <c r="D531" s="107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106"/>
      <c r="B532" s="106"/>
      <c r="C532" s="106"/>
      <c r="D532" s="107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106"/>
      <c r="B533" s="106"/>
      <c r="C533" s="106"/>
      <c r="D533" s="107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106"/>
      <c r="B534" s="106"/>
      <c r="C534" s="106"/>
      <c r="D534" s="107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106"/>
      <c r="B535" s="106"/>
      <c r="C535" s="106"/>
      <c r="D535" s="107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106"/>
      <c r="B536" s="106"/>
      <c r="C536" s="106"/>
      <c r="D536" s="107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106"/>
      <c r="B537" s="106"/>
      <c r="C537" s="106"/>
      <c r="D537" s="107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106"/>
      <c r="B538" s="106"/>
      <c r="C538" s="106"/>
      <c r="D538" s="107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106"/>
      <c r="B539" s="106"/>
      <c r="C539" s="106"/>
      <c r="D539" s="107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106"/>
      <c r="B540" s="106"/>
      <c r="C540" s="106"/>
      <c r="D540" s="107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106"/>
      <c r="B541" s="106"/>
      <c r="C541" s="106"/>
      <c r="D541" s="107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106"/>
      <c r="B542" s="106"/>
      <c r="C542" s="106"/>
      <c r="D542" s="107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106"/>
      <c r="B543" s="106"/>
      <c r="C543" s="106"/>
      <c r="D543" s="107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106"/>
      <c r="B544" s="106"/>
      <c r="C544" s="106"/>
      <c r="D544" s="107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106"/>
      <c r="B545" s="106"/>
      <c r="C545" s="106"/>
      <c r="D545" s="107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106"/>
      <c r="B546" s="106"/>
      <c r="C546" s="106"/>
      <c r="D546" s="107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106"/>
      <c r="B547" s="106"/>
      <c r="C547" s="106"/>
      <c r="D547" s="107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106"/>
      <c r="B548" s="106"/>
      <c r="C548" s="106"/>
      <c r="D548" s="107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106"/>
      <c r="B549" s="106"/>
      <c r="C549" s="106"/>
      <c r="D549" s="107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106"/>
      <c r="B550" s="106"/>
      <c r="C550" s="106"/>
      <c r="D550" s="107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106"/>
      <c r="B551" s="106"/>
      <c r="C551" s="106"/>
      <c r="D551" s="107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106"/>
      <c r="B552" s="106"/>
      <c r="C552" s="106"/>
      <c r="D552" s="107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106"/>
      <c r="B553" s="106"/>
      <c r="C553" s="106"/>
      <c r="D553" s="107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106"/>
      <c r="B554" s="106"/>
      <c r="C554" s="106"/>
      <c r="D554" s="107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106"/>
      <c r="B555" s="106"/>
      <c r="C555" s="106"/>
      <c r="D555" s="107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106"/>
      <c r="B556" s="106"/>
      <c r="C556" s="106"/>
      <c r="D556" s="107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106"/>
      <c r="B557" s="106"/>
      <c r="C557" s="106"/>
      <c r="D557" s="107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106"/>
      <c r="B558" s="106"/>
      <c r="C558" s="106"/>
      <c r="D558" s="107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106"/>
      <c r="B559" s="106"/>
      <c r="C559" s="106"/>
      <c r="D559" s="107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106"/>
      <c r="B560" s="106"/>
      <c r="C560" s="106"/>
      <c r="D560" s="107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106"/>
      <c r="B561" s="106"/>
      <c r="C561" s="106"/>
      <c r="D561" s="107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106"/>
      <c r="B562" s="106"/>
      <c r="C562" s="106"/>
      <c r="D562" s="107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106"/>
      <c r="B563" s="106"/>
      <c r="C563" s="106"/>
      <c r="D563" s="107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106"/>
      <c r="B564" s="106"/>
      <c r="C564" s="106"/>
      <c r="D564" s="107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106"/>
      <c r="B565" s="106"/>
      <c r="C565" s="106"/>
      <c r="D565" s="107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106"/>
      <c r="B566" s="106"/>
      <c r="C566" s="106"/>
      <c r="D566" s="107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106"/>
      <c r="B567" s="106"/>
      <c r="C567" s="106"/>
      <c r="D567" s="107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106"/>
      <c r="B568" s="106"/>
      <c r="C568" s="106"/>
      <c r="D568" s="107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106"/>
      <c r="B569" s="106"/>
      <c r="C569" s="106"/>
      <c r="D569" s="107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106"/>
      <c r="B570" s="106"/>
      <c r="C570" s="106"/>
      <c r="D570" s="107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106"/>
      <c r="B571" s="106"/>
      <c r="C571" s="106"/>
      <c r="D571" s="107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106"/>
      <c r="B572" s="106"/>
      <c r="C572" s="106"/>
      <c r="D572" s="107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106"/>
      <c r="B573" s="106"/>
      <c r="C573" s="106"/>
      <c r="D573" s="107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106"/>
      <c r="B574" s="106"/>
      <c r="C574" s="106"/>
      <c r="D574" s="107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106"/>
      <c r="B575" s="106"/>
      <c r="C575" s="106"/>
      <c r="D575" s="107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106"/>
      <c r="B576" s="106"/>
      <c r="C576" s="106"/>
      <c r="D576" s="107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106"/>
      <c r="B577" s="106"/>
      <c r="C577" s="106"/>
      <c r="D577" s="107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106"/>
      <c r="B578" s="106"/>
      <c r="C578" s="106"/>
      <c r="D578" s="107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106"/>
      <c r="B579" s="106"/>
      <c r="C579" s="106"/>
      <c r="D579" s="107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106"/>
      <c r="B580" s="106"/>
      <c r="C580" s="106"/>
      <c r="D580" s="107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106"/>
      <c r="B581" s="106"/>
      <c r="C581" s="106"/>
      <c r="D581" s="107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106"/>
      <c r="B582" s="106"/>
      <c r="C582" s="106"/>
      <c r="D582" s="107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106"/>
      <c r="B583" s="106"/>
      <c r="C583" s="106"/>
      <c r="D583" s="107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106"/>
      <c r="B584" s="106"/>
      <c r="C584" s="106"/>
      <c r="D584" s="107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106"/>
      <c r="B585" s="106"/>
      <c r="C585" s="106"/>
      <c r="D585" s="107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106"/>
      <c r="B586" s="106"/>
      <c r="C586" s="106"/>
      <c r="D586" s="107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106"/>
      <c r="B587" s="106"/>
      <c r="C587" s="106"/>
      <c r="D587" s="107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106"/>
      <c r="B588" s="106"/>
      <c r="C588" s="106"/>
      <c r="D588" s="107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106"/>
      <c r="B589" s="106"/>
      <c r="C589" s="106"/>
      <c r="D589" s="107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106"/>
      <c r="B590" s="106"/>
      <c r="C590" s="106"/>
      <c r="D590" s="107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106"/>
      <c r="B591" s="106"/>
      <c r="C591" s="106"/>
      <c r="D591" s="107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106"/>
      <c r="B592" s="106"/>
      <c r="C592" s="106"/>
      <c r="D592" s="107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106"/>
      <c r="B593" s="106"/>
      <c r="C593" s="106"/>
      <c r="D593" s="107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106"/>
      <c r="B594" s="106"/>
      <c r="C594" s="106"/>
      <c r="D594" s="107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106"/>
      <c r="B595" s="106"/>
      <c r="C595" s="106"/>
      <c r="D595" s="107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106"/>
      <c r="B596" s="106"/>
      <c r="C596" s="106"/>
      <c r="D596" s="107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106"/>
      <c r="B597" s="106"/>
      <c r="C597" s="106"/>
      <c r="D597" s="107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106"/>
      <c r="B598" s="106"/>
      <c r="C598" s="106"/>
      <c r="D598" s="107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106"/>
      <c r="B599" s="106"/>
      <c r="C599" s="106"/>
      <c r="D599" s="107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106"/>
      <c r="B600" s="106"/>
      <c r="C600" s="106"/>
      <c r="D600" s="107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106"/>
      <c r="B601" s="106"/>
      <c r="C601" s="106"/>
      <c r="D601" s="107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106"/>
      <c r="B602" s="106"/>
      <c r="C602" s="106"/>
      <c r="D602" s="107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106"/>
      <c r="B603" s="106"/>
      <c r="C603" s="106"/>
      <c r="D603" s="107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106"/>
      <c r="B604" s="106"/>
      <c r="C604" s="106"/>
      <c r="D604" s="107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106"/>
      <c r="B605" s="106"/>
      <c r="C605" s="106"/>
      <c r="D605" s="107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106"/>
      <c r="B606" s="106"/>
      <c r="C606" s="106"/>
      <c r="D606" s="107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106"/>
      <c r="B607" s="106"/>
      <c r="C607" s="106"/>
      <c r="D607" s="107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106"/>
      <c r="B608" s="106"/>
      <c r="C608" s="106"/>
      <c r="D608" s="107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106"/>
      <c r="B609" s="106"/>
      <c r="C609" s="106"/>
      <c r="D609" s="107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106"/>
      <c r="B610" s="106"/>
      <c r="C610" s="106"/>
      <c r="D610" s="107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106"/>
      <c r="B611" s="106"/>
      <c r="C611" s="106"/>
      <c r="D611" s="107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106"/>
      <c r="B612" s="106"/>
      <c r="C612" s="106"/>
      <c r="D612" s="107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106"/>
      <c r="B613" s="106"/>
      <c r="C613" s="106"/>
      <c r="D613" s="107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106"/>
      <c r="B614" s="106"/>
      <c r="C614" s="106"/>
      <c r="D614" s="107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106"/>
      <c r="B615" s="106"/>
      <c r="C615" s="106"/>
      <c r="D615" s="107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106"/>
      <c r="B616" s="106"/>
      <c r="C616" s="106"/>
      <c r="D616" s="107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106"/>
      <c r="B617" s="106"/>
      <c r="C617" s="106"/>
      <c r="D617" s="107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106"/>
      <c r="B618" s="106"/>
      <c r="C618" s="106"/>
      <c r="D618" s="107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106"/>
      <c r="B619" s="106"/>
      <c r="C619" s="106"/>
      <c r="D619" s="107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106"/>
      <c r="B620" s="106"/>
      <c r="C620" s="106"/>
      <c r="D620" s="107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106"/>
      <c r="B621" s="106"/>
      <c r="C621" s="106"/>
      <c r="D621" s="107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106"/>
      <c r="B622" s="106"/>
      <c r="C622" s="106"/>
      <c r="D622" s="107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106"/>
      <c r="B623" s="106"/>
      <c r="C623" s="106"/>
      <c r="D623" s="107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106"/>
      <c r="B624" s="106"/>
      <c r="C624" s="106"/>
      <c r="D624" s="107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106"/>
      <c r="B625" s="106"/>
      <c r="C625" s="106"/>
      <c r="D625" s="107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106"/>
      <c r="B626" s="106"/>
      <c r="C626" s="106"/>
      <c r="D626" s="107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106"/>
      <c r="B627" s="106"/>
      <c r="C627" s="106"/>
      <c r="D627" s="107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106"/>
      <c r="B628" s="106"/>
      <c r="C628" s="106"/>
      <c r="D628" s="107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106"/>
      <c r="B629" s="106"/>
      <c r="C629" s="106"/>
      <c r="D629" s="107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106"/>
      <c r="B630" s="106"/>
      <c r="C630" s="106"/>
      <c r="D630" s="107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106"/>
      <c r="B631" s="106"/>
      <c r="C631" s="106"/>
      <c r="D631" s="107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106"/>
      <c r="B632" s="106"/>
      <c r="C632" s="106"/>
      <c r="D632" s="107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106"/>
      <c r="B633" s="106"/>
      <c r="C633" s="106"/>
      <c r="D633" s="107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106"/>
      <c r="B634" s="106"/>
      <c r="C634" s="106"/>
      <c r="D634" s="107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106"/>
      <c r="B635" s="106"/>
      <c r="C635" s="106"/>
      <c r="D635" s="107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106"/>
      <c r="B636" s="106"/>
      <c r="C636" s="106"/>
      <c r="D636" s="107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106"/>
      <c r="B637" s="106"/>
      <c r="C637" s="106"/>
      <c r="D637" s="107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106"/>
      <c r="B638" s="106"/>
      <c r="C638" s="106"/>
      <c r="D638" s="107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106"/>
      <c r="B639" s="106"/>
      <c r="C639" s="106"/>
      <c r="D639" s="107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106"/>
      <c r="B640" s="106"/>
      <c r="C640" s="106"/>
      <c r="D640" s="107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106"/>
      <c r="B641" s="106"/>
      <c r="C641" s="106"/>
      <c r="D641" s="107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106"/>
      <c r="B642" s="106"/>
      <c r="C642" s="106"/>
      <c r="D642" s="107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106"/>
      <c r="B643" s="106"/>
      <c r="C643" s="106"/>
      <c r="D643" s="107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106"/>
      <c r="B644" s="106"/>
      <c r="C644" s="106"/>
      <c r="D644" s="107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106"/>
      <c r="B645" s="106"/>
      <c r="C645" s="106"/>
      <c r="D645" s="107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106"/>
      <c r="B646" s="106"/>
      <c r="C646" s="106"/>
      <c r="D646" s="107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106"/>
      <c r="B647" s="106"/>
      <c r="C647" s="106"/>
      <c r="D647" s="107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106"/>
      <c r="B648" s="106"/>
      <c r="C648" s="106"/>
      <c r="D648" s="107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106"/>
      <c r="B649" s="106"/>
      <c r="C649" s="106"/>
      <c r="D649" s="107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106"/>
      <c r="B650" s="106"/>
      <c r="C650" s="106"/>
      <c r="D650" s="107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106"/>
      <c r="B651" s="106"/>
      <c r="C651" s="106"/>
      <c r="D651" s="107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106"/>
      <c r="B652" s="106"/>
      <c r="C652" s="106"/>
      <c r="D652" s="107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106"/>
      <c r="B653" s="106"/>
      <c r="C653" s="106"/>
      <c r="D653" s="107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106"/>
      <c r="B654" s="106"/>
      <c r="C654" s="106"/>
      <c r="D654" s="107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106"/>
      <c r="B655" s="106"/>
      <c r="C655" s="106"/>
      <c r="D655" s="107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106"/>
      <c r="B656" s="106"/>
      <c r="C656" s="106"/>
      <c r="D656" s="107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106"/>
      <c r="B657" s="106"/>
      <c r="C657" s="106"/>
      <c r="D657" s="107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106"/>
      <c r="B658" s="106"/>
      <c r="C658" s="106"/>
      <c r="D658" s="107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106"/>
      <c r="B659" s="106"/>
      <c r="C659" s="106"/>
      <c r="D659" s="107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106"/>
      <c r="B660" s="106"/>
      <c r="C660" s="106"/>
      <c r="D660" s="107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106"/>
      <c r="B661" s="106"/>
      <c r="C661" s="106"/>
      <c r="D661" s="107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106"/>
      <c r="B662" s="106"/>
      <c r="C662" s="106"/>
      <c r="D662" s="107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106"/>
      <c r="B663" s="106"/>
      <c r="C663" s="106"/>
      <c r="D663" s="107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106"/>
      <c r="B664" s="106"/>
      <c r="C664" s="106"/>
      <c r="D664" s="107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106"/>
      <c r="B665" s="106"/>
      <c r="C665" s="106"/>
      <c r="D665" s="107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106"/>
      <c r="B666" s="106"/>
      <c r="C666" s="106"/>
      <c r="D666" s="107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106"/>
      <c r="B667" s="106"/>
      <c r="C667" s="106"/>
      <c r="D667" s="107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106"/>
      <c r="B668" s="106"/>
      <c r="C668" s="106"/>
      <c r="D668" s="107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106"/>
      <c r="B669" s="106"/>
      <c r="C669" s="106"/>
      <c r="D669" s="107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106"/>
      <c r="B670" s="106"/>
      <c r="C670" s="106"/>
      <c r="D670" s="107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106"/>
      <c r="B671" s="106"/>
      <c r="C671" s="106"/>
      <c r="D671" s="107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106"/>
      <c r="B672" s="106"/>
      <c r="C672" s="106"/>
      <c r="D672" s="107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106"/>
      <c r="B673" s="106"/>
      <c r="C673" s="106"/>
      <c r="D673" s="107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106"/>
      <c r="B674" s="106"/>
      <c r="C674" s="106"/>
      <c r="D674" s="107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106"/>
      <c r="B675" s="106"/>
      <c r="C675" s="106"/>
      <c r="D675" s="107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106"/>
      <c r="B676" s="106"/>
      <c r="C676" s="106"/>
      <c r="D676" s="107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106"/>
      <c r="B677" s="106"/>
      <c r="C677" s="106"/>
      <c r="D677" s="107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106"/>
      <c r="B678" s="106"/>
      <c r="C678" s="106"/>
      <c r="D678" s="107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106"/>
      <c r="B679" s="106"/>
      <c r="C679" s="106"/>
      <c r="D679" s="107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106"/>
      <c r="B680" s="106"/>
      <c r="C680" s="106"/>
      <c r="D680" s="107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106"/>
      <c r="B681" s="106"/>
      <c r="C681" s="106"/>
      <c r="D681" s="107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106"/>
      <c r="B682" s="106"/>
      <c r="C682" s="106"/>
      <c r="D682" s="107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106"/>
      <c r="B683" s="106"/>
      <c r="C683" s="106"/>
      <c r="D683" s="107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106"/>
      <c r="B684" s="106"/>
      <c r="C684" s="106"/>
      <c r="D684" s="107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106"/>
      <c r="B685" s="106"/>
      <c r="C685" s="106"/>
      <c r="D685" s="107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106"/>
      <c r="B686" s="106"/>
      <c r="C686" s="106"/>
      <c r="D686" s="107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106"/>
      <c r="B687" s="106"/>
      <c r="C687" s="106"/>
      <c r="D687" s="107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106"/>
      <c r="B688" s="106"/>
      <c r="C688" s="106"/>
      <c r="D688" s="107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106"/>
      <c r="B689" s="106"/>
      <c r="C689" s="106"/>
      <c r="D689" s="107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106"/>
      <c r="B690" s="106"/>
      <c r="C690" s="106"/>
      <c r="D690" s="107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106"/>
      <c r="B691" s="106"/>
      <c r="C691" s="106"/>
      <c r="D691" s="107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106"/>
      <c r="B692" s="106"/>
      <c r="C692" s="106"/>
      <c r="D692" s="107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106"/>
      <c r="B693" s="106"/>
      <c r="C693" s="106"/>
      <c r="D693" s="107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106"/>
      <c r="B694" s="106"/>
      <c r="C694" s="106"/>
      <c r="D694" s="107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106"/>
      <c r="B695" s="106"/>
      <c r="C695" s="106"/>
      <c r="D695" s="107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106"/>
      <c r="B696" s="106"/>
      <c r="C696" s="106"/>
      <c r="D696" s="107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106"/>
      <c r="B697" s="106"/>
      <c r="C697" s="106"/>
      <c r="D697" s="107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106"/>
      <c r="B698" s="106"/>
      <c r="C698" s="106"/>
      <c r="D698" s="107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106"/>
      <c r="B699" s="106"/>
      <c r="C699" s="106"/>
      <c r="D699" s="107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106"/>
      <c r="B700" s="106"/>
      <c r="C700" s="106"/>
      <c r="D700" s="107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106"/>
      <c r="B701" s="106"/>
      <c r="C701" s="106"/>
      <c r="D701" s="107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106"/>
      <c r="B702" s="106"/>
      <c r="C702" s="106"/>
      <c r="D702" s="107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106"/>
      <c r="B703" s="106"/>
      <c r="C703" s="106"/>
      <c r="D703" s="107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106"/>
      <c r="B704" s="106"/>
      <c r="C704" s="106"/>
      <c r="D704" s="107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106"/>
      <c r="B705" s="106"/>
      <c r="C705" s="106"/>
      <c r="D705" s="107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106"/>
      <c r="B706" s="106"/>
      <c r="C706" s="106"/>
      <c r="D706" s="107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106"/>
      <c r="B707" s="106"/>
      <c r="C707" s="106"/>
      <c r="D707" s="107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106"/>
      <c r="B708" s="106"/>
      <c r="C708" s="106"/>
      <c r="D708" s="107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106"/>
      <c r="B709" s="106"/>
      <c r="C709" s="106"/>
      <c r="D709" s="107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106"/>
      <c r="B710" s="106"/>
      <c r="C710" s="106"/>
      <c r="D710" s="107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106"/>
      <c r="B711" s="106"/>
      <c r="C711" s="106"/>
      <c r="D711" s="107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106"/>
      <c r="B712" s="106"/>
      <c r="C712" s="106"/>
      <c r="D712" s="107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106"/>
      <c r="B713" s="106"/>
      <c r="C713" s="106"/>
      <c r="D713" s="107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106"/>
      <c r="B714" s="106"/>
      <c r="C714" s="106"/>
      <c r="D714" s="107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106"/>
      <c r="B715" s="106"/>
      <c r="C715" s="106"/>
      <c r="D715" s="107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106"/>
      <c r="B716" s="106"/>
      <c r="C716" s="106"/>
      <c r="D716" s="107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106"/>
      <c r="B717" s="106"/>
      <c r="C717" s="106"/>
      <c r="D717" s="107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106"/>
      <c r="B718" s="106"/>
      <c r="C718" s="106"/>
      <c r="D718" s="107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106"/>
      <c r="B719" s="106"/>
      <c r="C719" s="106"/>
      <c r="D719" s="107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106"/>
      <c r="B720" s="106"/>
      <c r="C720" s="106"/>
      <c r="D720" s="107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106"/>
      <c r="B721" s="106"/>
      <c r="C721" s="106"/>
      <c r="D721" s="107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106"/>
      <c r="B722" s="106"/>
      <c r="C722" s="106"/>
      <c r="D722" s="107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106"/>
      <c r="B723" s="106"/>
      <c r="C723" s="106"/>
      <c r="D723" s="107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106"/>
      <c r="B724" s="106"/>
      <c r="C724" s="106"/>
      <c r="D724" s="107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106"/>
      <c r="B725" s="106"/>
      <c r="C725" s="106"/>
      <c r="D725" s="107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106"/>
      <c r="B726" s="106"/>
      <c r="C726" s="106"/>
      <c r="D726" s="107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106"/>
      <c r="B727" s="106"/>
      <c r="C727" s="106"/>
      <c r="D727" s="107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106"/>
      <c r="B728" s="106"/>
      <c r="C728" s="106"/>
      <c r="D728" s="107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106"/>
      <c r="B729" s="106"/>
      <c r="C729" s="106"/>
      <c r="D729" s="107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106"/>
      <c r="B730" s="106"/>
      <c r="C730" s="106"/>
      <c r="D730" s="107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106"/>
      <c r="B731" s="106"/>
      <c r="C731" s="106"/>
      <c r="D731" s="107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106"/>
      <c r="B732" s="106"/>
      <c r="C732" s="106"/>
      <c r="D732" s="107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106"/>
      <c r="B733" s="106"/>
      <c r="C733" s="106"/>
      <c r="D733" s="107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106"/>
      <c r="B734" s="106"/>
      <c r="C734" s="106"/>
      <c r="D734" s="107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106"/>
      <c r="B735" s="106"/>
      <c r="C735" s="106"/>
      <c r="D735" s="107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106"/>
      <c r="B736" s="106"/>
      <c r="C736" s="106"/>
      <c r="D736" s="107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106"/>
      <c r="B737" s="106"/>
      <c r="C737" s="106"/>
      <c r="D737" s="107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106"/>
      <c r="B738" s="106"/>
      <c r="C738" s="106"/>
      <c r="D738" s="107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106"/>
      <c r="B739" s="106"/>
      <c r="C739" s="106"/>
      <c r="D739" s="107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106"/>
      <c r="B740" s="106"/>
      <c r="C740" s="106"/>
      <c r="D740" s="107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106"/>
      <c r="B741" s="106"/>
      <c r="C741" s="106"/>
      <c r="D741" s="107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106"/>
      <c r="B742" s="106"/>
      <c r="C742" s="106"/>
      <c r="D742" s="107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106"/>
      <c r="B743" s="106"/>
      <c r="C743" s="106"/>
      <c r="D743" s="107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106"/>
      <c r="B744" s="106"/>
      <c r="C744" s="106"/>
      <c r="D744" s="107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106"/>
      <c r="B745" s="106"/>
      <c r="C745" s="106"/>
      <c r="D745" s="107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106"/>
      <c r="B746" s="106"/>
      <c r="C746" s="106"/>
      <c r="D746" s="107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106"/>
      <c r="B747" s="106"/>
      <c r="C747" s="106"/>
      <c r="D747" s="107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106"/>
      <c r="B748" s="106"/>
      <c r="C748" s="106"/>
      <c r="D748" s="107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106"/>
      <c r="B749" s="106"/>
      <c r="C749" s="106"/>
      <c r="D749" s="107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106"/>
      <c r="B750" s="106"/>
      <c r="C750" s="106"/>
      <c r="D750" s="107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106"/>
      <c r="B751" s="106"/>
      <c r="C751" s="106"/>
      <c r="D751" s="107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106"/>
      <c r="B752" s="106"/>
      <c r="C752" s="106"/>
      <c r="D752" s="107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106"/>
      <c r="B753" s="106"/>
      <c r="C753" s="106"/>
      <c r="D753" s="107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106"/>
      <c r="B754" s="106"/>
      <c r="C754" s="106"/>
      <c r="D754" s="107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106"/>
      <c r="B755" s="106"/>
      <c r="C755" s="106"/>
      <c r="D755" s="107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106"/>
      <c r="B756" s="106"/>
      <c r="C756" s="106"/>
      <c r="D756" s="107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106"/>
      <c r="B757" s="106"/>
      <c r="C757" s="106"/>
      <c r="D757" s="107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106"/>
      <c r="B758" s="106"/>
      <c r="C758" s="106"/>
      <c r="D758" s="107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106"/>
      <c r="B759" s="106"/>
      <c r="C759" s="106"/>
      <c r="D759" s="107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106"/>
      <c r="B760" s="106"/>
      <c r="C760" s="106"/>
      <c r="D760" s="107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106"/>
      <c r="B761" s="106"/>
      <c r="C761" s="106"/>
      <c r="D761" s="107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106"/>
      <c r="B762" s="106"/>
      <c r="C762" s="106"/>
      <c r="D762" s="107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106"/>
      <c r="B763" s="106"/>
      <c r="C763" s="106"/>
      <c r="D763" s="107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106"/>
      <c r="B764" s="106"/>
      <c r="C764" s="106"/>
      <c r="D764" s="107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106"/>
      <c r="B765" s="106"/>
      <c r="C765" s="106"/>
      <c r="D765" s="107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106"/>
      <c r="B766" s="106"/>
      <c r="C766" s="106"/>
      <c r="D766" s="107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106"/>
      <c r="B767" s="106"/>
      <c r="C767" s="106"/>
      <c r="D767" s="107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106"/>
      <c r="B768" s="106"/>
      <c r="C768" s="106"/>
      <c r="D768" s="107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106"/>
      <c r="B769" s="106"/>
      <c r="C769" s="106"/>
      <c r="D769" s="107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106"/>
      <c r="B770" s="106"/>
      <c r="C770" s="106"/>
      <c r="D770" s="107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106"/>
      <c r="B771" s="106"/>
      <c r="C771" s="106"/>
      <c r="D771" s="107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106"/>
      <c r="B772" s="106"/>
      <c r="C772" s="106"/>
      <c r="D772" s="107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106"/>
      <c r="B773" s="106"/>
      <c r="C773" s="106"/>
      <c r="D773" s="107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106"/>
      <c r="B774" s="106"/>
      <c r="C774" s="106"/>
      <c r="D774" s="107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106"/>
      <c r="B775" s="106"/>
      <c r="C775" s="106"/>
      <c r="D775" s="107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106"/>
      <c r="B776" s="106"/>
      <c r="C776" s="106"/>
      <c r="D776" s="107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106"/>
      <c r="B777" s="106"/>
      <c r="C777" s="106"/>
      <c r="D777" s="107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106"/>
      <c r="B778" s="106"/>
      <c r="C778" s="106"/>
      <c r="D778" s="107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106"/>
      <c r="B779" s="106"/>
      <c r="C779" s="106"/>
      <c r="D779" s="107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106"/>
      <c r="B780" s="106"/>
      <c r="C780" s="106"/>
      <c r="D780" s="107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106"/>
      <c r="B781" s="106"/>
      <c r="C781" s="106"/>
      <c r="D781" s="107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106"/>
      <c r="B782" s="106"/>
      <c r="C782" s="106"/>
      <c r="D782" s="107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106"/>
      <c r="B783" s="106"/>
      <c r="C783" s="106"/>
      <c r="D783" s="107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106"/>
      <c r="B784" s="106"/>
      <c r="C784" s="106"/>
      <c r="D784" s="107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106"/>
      <c r="B785" s="106"/>
      <c r="C785" s="106"/>
      <c r="D785" s="107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106"/>
      <c r="B786" s="106"/>
      <c r="C786" s="106"/>
      <c r="D786" s="107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106"/>
      <c r="B787" s="106"/>
      <c r="C787" s="106"/>
      <c r="D787" s="107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106"/>
      <c r="B788" s="106"/>
      <c r="C788" s="106"/>
      <c r="D788" s="107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106"/>
      <c r="B789" s="106"/>
      <c r="C789" s="106"/>
      <c r="D789" s="107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106"/>
      <c r="B790" s="106"/>
      <c r="C790" s="106"/>
      <c r="D790" s="107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106"/>
      <c r="B791" s="106"/>
      <c r="C791" s="106"/>
      <c r="D791" s="107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106"/>
      <c r="B792" s="106"/>
      <c r="C792" s="106"/>
      <c r="D792" s="107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106"/>
      <c r="B793" s="106"/>
      <c r="C793" s="106"/>
      <c r="D793" s="107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106"/>
      <c r="B794" s="106"/>
      <c r="C794" s="106"/>
      <c r="D794" s="107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106"/>
      <c r="B795" s="106"/>
      <c r="C795" s="106"/>
      <c r="D795" s="107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106"/>
      <c r="B796" s="106"/>
      <c r="C796" s="106"/>
      <c r="D796" s="107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106"/>
      <c r="B797" s="106"/>
      <c r="C797" s="106"/>
      <c r="D797" s="107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106"/>
      <c r="B798" s="106"/>
      <c r="C798" s="106"/>
      <c r="D798" s="107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106"/>
      <c r="B799" s="106"/>
      <c r="C799" s="106"/>
      <c r="D799" s="107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106"/>
      <c r="B800" s="106"/>
      <c r="C800" s="106"/>
      <c r="D800" s="107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106"/>
      <c r="B801" s="106"/>
      <c r="C801" s="106"/>
      <c r="D801" s="107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106"/>
      <c r="B802" s="106"/>
      <c r="C802" s="106"/>
      <c r="D802" s="107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106"/>
      <c r="B803" s="106"/>
      <c r="C803" s="106"/>
      <c r="D803" s="107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106"/>
      <c r="B804" s="106"/>
      <c r="C804" s="106"/>
      <c r="D804" s="107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106"/>
      <c r="B805" s="106"/>
      <c r="C805" s="106"/>
      <c r="D805" s="107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106"/>
      <c r="B806" s="106"/>
      <c r="C806" s="106"/>
      <c r="D806" s="107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106"/>
      <c r="B807" s="106"/>
      <c r="C807" s="106"/>
      <c r="D807" s="107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106"/>
      <c r="B808" s="106"/>
      <c r="C808" s="106"/>
      <c r="D808" s="107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106"/>
      <c r="B809" s="106"/>
      <c r="C809" s="106"/>
      <c r="D809" s="107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106"/>
      <c r="B810" s="106"/>
      <c r="C810" s="106"/>
      <c r="D810" s="107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106"/>
      <c r="B811" s="106"/>
      <c r="C811" s="106"/>
      <c r="D811" s="107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106"/>
      <c r="B812" s="106"/>
      <c r="C812" s="106"/>
      <c r="D812" s="107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106"/>
      <c r="B813" s="106"/>
      <c r="C813" s="106"/>
      <c r="D813" s="107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106"/>
      <c r="B814" s="106"/>
      <c r="C814" s="106"/>
      <c r="D814" s="107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106"/>
      <c r="B815" s="106"/>
      <c r="C815" s="106"/>
      <c r="D815" s="107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106"/>
      <c r="B816" s="106"/>
      <c r="C816" s="106"/>
      <c r="D816" s="107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106"/>
      <c r="B817" s="106"/>
      <c r="C817" s="106"/>
      <c r="D817" s="107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106"/>
      <c r="B818" s="106"/>
      <c r="C818" s="106"/>
      <c r="D818" s="107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106"/>
      <c r="B819" s="106"/>
      <c r="C819" s="106"/>
      <c r="D819" s="107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106"/>
      <c r="B820" s="106"/>
      <c r="C820" s="106"/>
      <c r="D820" s="107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106"/>
      <c r="B821" s="106"/>
      <c r="C821" s="106"/>
      <c r="D821" s="107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106"/>
      <c r="B822" s="106"/>
      <c r="C822" s="106"/>
      <c r="D822" s="107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106"/>
      <c r="B823" s="106"/>
      <c r="C823" s="106"/>
      <c r="D823" s="107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106"/>
      <c r="B824" s="106"/>
      <c r="C824" s="106"/>
      <c r="D824" s="107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106"/>
      <c r="B825" s="106"/>
      <c r="C825" s="106"/>
      <c r="D825" s="107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106"/>
      <c r="B826" s="106"/>
      <c r="C826" s="106"/>
      <c r="D826" s="107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106"/>
      <c r="B827" s="106"/>
      <c r="C827" s="106"/>
      <c r="D827" s="107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106"/>
      <c r="B828" s="106"/>
      <c r="C828" s="106"/>
      <c r="D828" s="107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106"/>
      <c r="B829" s="106"/>
      <c r="C829" s="106"/>
      <c r="D829" s="107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106"/>
      <c r="B830" s="106"/>
      <c r="C830" s="106"/>
      <c r="D830" s="107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106"/>
      <c r="B831" s="106"/>
      <c r="C831" s="106"/>
      <c r="D831" s="107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106"/>
      <c r="B832" s="106"/>
      <c r="C832" s="106"/>
      <c r="D832" s="107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106"/>
      <c r="B833" s="106"/>
      <c r="C833" s="106"/>
      <c r="D833" s="107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106"/>
      <c r="B834" s="106"/>
      <c r="C834" s="106"/>
      <c r="D834" s="107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106"/>
      <c r="B835" s="106"/>
      <c r="C835" s="106"/>
      <c r="D835" s="107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106"/>
      <c r="B836" s="106"/>
      <c r="C836" s="106"/>
      <c r="D836" s="107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106"/>
      <c r="B837" s="106"/>
      <c r="C837" s="106"/>
      <c r="D837" s="107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106"/>
      <c r="B838" s="106"/>
      <c r="C838" s="106"/>
      <c r="D838" s="107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106"/>
      <c r="B839" s="106"/>
      <c r="C839" s="106"/>
      <c r="D839" s="107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106"/>
      <c r="B840" s="106"/>
      <c r="C840" s="106"/>
      <c r="D840" s="107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106"/>
      <c r="B841" s="106"/>
      <c r="C841" s="106"/>
      <c r="D841" s="107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106"/>
      <c r="B842" s="106"/>
      <c r="C842" s="106"/>
      <c r="D842" s="107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106"/>
      <c r="B843" s="106"/>
      <c r="C843" s="106"/>
      <c r="D843" s="107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106"/>
      <c r="B844" s="106"/>
      <c r="C844" s="106"/>
      <c r="D844" s="107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106"/>
      <c r="B845" s="106"/>
      <c r="C845" s="106"/>
      <c r="D845" s="107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106"/>
      <c r="B846" s="106"/>
      <c r="C846" s="106"/>
      <c r="D846" s="107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106"/>
      <c r="B847" s="106"/>
      <c r="C847" s="106"/>
      <c r="D847" s="107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106"/>
      <c r="B848" s="106"/>
      <c r="C848" s="106"/>
      <c r="D848" s="107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106"/>
      <c r="B849" s="106"/>
      <c r="C849" s="106"/>
      <c r="D849" s="107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106"/>
      <c r="B850" s="106"/>
      <c r="C850" s="106"/>
      <c r="D850" s="107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106"/>
      <c r="B851" s="106"/>
      <c r="C851" s="106"/>
      <c r="D851" s="107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106"/>
      <c r="B852" s="106"/>
      <c r="C852" s="106"/>
      <c r="D852" s="107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106"/>
      <c r="B853" s="106"/>
      <c r="C853" s="106"/>
      <c r="D853" s="107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106"/>
      <c r="B854" s="106"/>
      <c r="C854" s="106"/>
      <c r="D854" s="107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106"/>
      <c r="B855" s="106"/>
      <c r="C855" s="106"/>
      <c r="D855" s="107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106"/>
      <c r="B856" s="106"/>
      <c r="C856" s="106"/>
      <c r="D856" s="107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106"/>
      <c r="B857" s="106"/>
      <c r="C857" s="106"/>
      <c r="D857" s="107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106"/>
      <c r="B858" s="106"/>
      <c r="C858" s="106"/>
      <c r="D858" s="107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106"/>
      <c r="B859" s="106"/>
      <c r="C859" s="106"/>
      <c r="D859" s="107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106"/>
      <c r="B860" s="106"/>
      <c r="C860" s="106"/>
      <c r="D860" s="107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106"/>
      <c r="B861" s="106"/>
      <c r="C861" s="106"/>
      <c r="D861" s="107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106"/>
      <c r="B862" s="106"/>
      <c r="C862" s="106"/>
      <c r="D862" s="107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106"/>
      <c r="B863" s="106"/>
      <c r="C863" s="106"/>
      <c r="D863" s="107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106"/>
      <c r="B864" s="106"/>
      <c r="C864" s="106"/>
      <c r="D864" s="107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106"/>
      <c r="B865" s="106"/>
      <c r="C865" s="106"/>
      <c r="D865" s="107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106"/>
      <c r="B866" s="106"/>
      <c r="C866" s="106"/>
      <c r="D866" s="107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106"/>
      <c r="B867" s="106"/>
      <c r="C867" s="106"/>
      <c r="D867" s="107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106"/>
      <c r="B868" s="106"/>
      <c r="C868" s="106"/>
      <c r="D868" s="107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106"/>
      <c r="B869" s="106"/>
      <c r="C869" s="106"/>
      <c r="D869" s="107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106"/>
      <c r="B870" s="106"/>
      <c r="C870" s="106"/>
      <c r="D870" s="107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106"/>
      <c r="B871" s="106"/>
      <c r="C871" s="106"/>
      <c r="D871" s="107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106"/>
      <c r="B872" s="106"/>
      <c r="C872" s="106"/>
      <c r="D872" s="107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106"/>
      <c r="B873" s="106"/>
      <c r="C873" s="106"/>
      <c r="D873" s="107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106"/>
      <c r="B874" s="106"/>
      <c r="C874" s="106"/>
      <c r="D874" s="107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106"/>
      <c r="B875" s="106"/>
      <c r="C875" s="106"/>
      <c r="D875" s="107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106"/>
      <c r="B876" s="106"/>
      <c r="C876" s="106"/>
      <c r="D876" s="107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106"/>
      <c r="B877" s="106"/>
      <c r="C877" s="106"/>
      <c r="D877" s="107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106"/>
      <c r="B878" s="106"/>
      <c r="C878" s="106"/>
      <c r="D878" s="107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106"/>
      <c r="B879" s="106"/>
      <c r="C879" s="106"/>
      <c r="D879" s="107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106"/>
      <c r="B880" s="106"/>
      <c r="C880" s="106"/>
      <c r="D880" s="107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106"/>
      <c r="B881" s="106"/>
      <c r="C881" s="106"/>
      <c r="D881" s="107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106"/>
      <c r="B882" s="106"/>
      <c r="C882" s="106"/>
      <c r="D882" s="107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106"/>
      <c r="B883" s="106"/>
      <c r="C883" s="106"/>
      <c r="D883" s="107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106"/>
      <c r="B884" s="106"/>
      <c r="C884" s="106"/>
      <c r="D884" s="107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106"/>
      <c r="B885" s="106"/>
      <c r="C885" s="106"/>
      <c r="D885" s="107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106"/>
      <c r="B886" s="106"/>
      <c r="C886" s="106"/>
      <c r="D886" s="107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106"/>
      <c r="B887" s="106"/>
      <c r="C887" s="106"/>
      <c r="D887" s="107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106"/>
      <c r="B888" s="106"/>
      <c r="C888" s="106"/>
      <c r="D888" s="107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106"/>
      <c r="B889" s="106"/>
      <c r="C889" s="106"/>
      <c r="D889" s="107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106"/>
      <c r="B890" s="106"/>
      <c r="C890" s="106"/>
      <c r="D890" s="107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106"/>
      <c r="B891" s="106"/>
      <c r="C891" s="106"/>
      <c r="D891" s="107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106"/>
      <c r="B892" s="106"/>
      <c r="C892" s="106"/>
      <c r="D892" s="107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106"/>
      <c r="B893" s="106"/>
      <c r="C893" s="106"/>
      <c r="D893" s="107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106"/>
      <c r="B894" s="106"/>
      <c r="C894" s="106"/>
      <c r="D894" s="107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106"/>
      <c r="B895" s="106"/>
      <c r="C895" s="106"/>
      <c r="D895" s="107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106"/>
      <c r="B896" s="106"/>
      <c r="C896" s="106"/>
      <c r="D896" s="107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106"/>
      <c r="B897" s="106"/>
      <c r="C897" s="106"/>
      <c r="D897" s="107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106"/>
      <c r="B898" s="106"/>
      <c r="C898" s="106"/>
      <c r="D898" s="107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106"/>
      <c r="B899" s="106"/>
      <c r="C899" s="106"/>
      <c r="D899" s="107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106"/>
      <c r="B900" s="106"/>
      <c r="C900" s="106"/>
      <c r="D900" s="107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106"/>
      <c r="B901" s="106"/>
      <c r="C901" s="106"/>
      <c r="D901" s="107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106"/>
      <c r="B902" s="106"/>
      <c r="C902" s="106"/>
      <c r="D902" s="107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106"/>
      <c r="B903" s="106"/>
      <c r="C903" s="106"/>
      <c r="D903" s="107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106"/>
      <c r="B904" s="106"/>
      <c r="C904" s="106"/>
      <c r="D904" s="107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106"/>
      <c r="B905" s="106"/>
      <c r="C905" s="106"/>
      <c r="D905" s="107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106"/>
      <c r="B906" s="106"/>
      <c r="C906" s="106"/>
      <c r="D906" s="107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106"/>
      <c r="B907" s="106"/>
      <c r="C907" s="106"/>
      <c r="D907" s="107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106"/>
      <c r="B908" s="106"/>
      <c r="C908" s="106"/>
      <c r="D908" s="107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106"/>
      <c r="B909" s="106"/>
      <c r="C909" s="106"/>
      <c r="D909" s="107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106"/>
      <c r="B910" s="106"/>
      <c r="C910" s="106"/>
      <c r="D910" s="107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106"/>
      <c r="B911" s="106"/>
      <c r="C911" s="106"/>
      <c r="D911" s="107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106"/>
      <c r="B912" s="106"/>
      <c r="C912" s="106"/>
      <c r="D912" s="107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106"/>
      <c r="B913" s="106"/>
      <c r="C913" s="106"/>
      <c r="D913" s="107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106"/>
      <c r="B914" s="106"/>
      <c r="C914" s="106"/>
      <c r="D914" s="107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106"/>
      <c r="B915" s="106"/>
      <c r="C915" s="106"/>
      <c r="D915" s="107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106"/>
      <c r="B916" s="106"/>
      <c r="C916" s="106"/>
      <c r="D916" s="107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106"/>
      <c r="B917" s="106"/>
      <c r="C917" s="106"/>
      <c r="D917" s="107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106"/>
      <c r="B918" s="106"/>
      <c r="C918" s="106"/>
      <c r="D918" s="107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106"/>
      <c r="B919" s="106"/>
      <c r="C919" s="106"/>
      <c r="D919" s="107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106"/>
      <c r="B920" s="106"/>
      <c r="C920" s="106"/>
      <c r="D920" s="107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106"/>
      <c r="B921" s="106"/>
      <c r="C921" s="106"/>
      <c r="D921" s="107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106"/>
      <c r="B922" s="106"/>
      <c r="C922" s="106"/>
      <c r="D922" s="107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106"/>
      <c r="B923" s="106"/>
      <c r="C923" s="106"/>
      <c r="D923" s="107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106"/>
      <c r="B924" s="106"/>
      <c r="C924" s="106"/>
      <c r="D924" s="107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106"/>
      <c r="B925" s="106"/>
      <c r="C925" s="106"/>
      <c r="D925" s="107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106"/>
      <c r="B926" s="106"/>
      <c r="C926" s="106"/>
      <c r="D926" s="107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106"/>
      <c r="B927" s="106"/>
      <c r="C927" s="106"/>
      <c r="D927" s="107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106"/>
      <c r="B928" s="106"/>
      <c r="C928" s="106"/>
      <c r="D928" s="107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106"/>
      <c r="B929" s="106"/>
      <c r="C929" s="106"/>
      <c r="D929" s="107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106"/>
      <c r="B930" s="106"/>
      <c r="C930" s="106"/>
      <c r="D930" s="107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106"/>
      <c r="B931" s="106"/>
      <c r="C931" s="106"/>
      <c r="D931" s="107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106"/>
      <c r="B932" s="106"/>
      <c r="C932" s="106"/>
      <c r="D932" s="107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106"/>
      <c r="B933" s="106"/>
      <c r="C933" s="106"/>
      <c r="D933" s="107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106"/>
      <c r="B934" s="106"/>
      <c r="C934" s="106"/>
      <c r="D934" s="107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106"/>
      <c r="B935" s="106"/>
      <c r="C935" s="106"/>
      <c r="D935" s="107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106"/>
      <c r="B936" s="106"/>
      <c r="C936" s="106"/>
      <c r="D936" s="107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106"/>
      <c r="B937" s="106"/>
      <c r="C937" s="106"/>
      <c r="D937" s="107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106"/>
      <c r="B938" s="106"/>
      <c r="C938" s="106"/>
      <c r="D938" s="107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106"/>
      <c r="B939" s="106"/>
      <c r="C939" s="106"/>
      <c r="D939" s="107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106"/>
      <c r="B940" s="106"/>
      <c r="C940" s="106"/>
      <c r="D940" s="107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106"/>
      <c r="B941" s="106"/>
      <c r="C941" s="106"/>
      <c r="D941" s="107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106"/>
      <c r="B942" s="106"/>
      <c r="C942" s="106"/>
      <c r="D942" s="107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106"/>
      <c r="B943" s="106"/>
      <c r="C943" s="106"/>
      <c r="D943" s="107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106"/>
      <c r="B944" s="106"/>
      <c r="C944" s="106"/>
      <c r="D944" s="107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106"/>
      <c r="B945" s="106"/>
      <c r="C945" s="106"/>
      <c r="D945" s="107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106"/>
      <c r="B946" s="106"/>
      <c r="C946" s="106"/>
      <c r="D946" s="107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106"/>
      <c r="B947" s="106"/>
      <c r="C947" s="106"/>
      <c r="D947" s="107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106"/>
      <c r="B948" s="106"/>
      <c r="C948" s="106"/>
      <c r="D948" s="107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106"/>
      <c r="B949" s="106"/>
      <c r="C949" s="106"/>
      <c r="D949" s="107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106"/>
      <c r="B950" s="106"/>
      <c r="C950" s="106"/>
      <c r="D950" s="107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106"/>
      <c r="B951" s="106"/>
      <c r="C951" s="106"/>
      <c r="D951" s="107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106"/>
      <c r="B952" s="106"/>
      <c r="C952" s="106"/>
      <c r="D952" s="107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106"/>
      <c r="B953" s="106"/>
      <c r="C953" s="106"/>
      <c r="D953" s="107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106"/>
      <c r="B954" s="106"/>
      <c r="C954" s="106"/>
      <c r="D954" s="107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106"/>
      <c r="B955" s="106"/>
      <c r="C955" s="106"/>
      <c r="D955" s="107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106"/>
      <c r="B956" s="106"/>
      <c r="C956" s="106"/>
      <c r="D956" s="107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106"/>
      <c r="B957" s="106"/>
      <c r="C957" s="106"/>
      <c r="D957" s="107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106"/>
      <c r="B958" s="106"/>
      <c r="C958" s="106"/>
      <c r="D958" s="107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106"/>
      <c r="B959" s="106"/>
      <c r="C959" s="106"/>
      <c r="D959" s="107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106"/>
      <c r="B960" s="106"/>
      <c r="C960" s="106"/>
      <c r="D960" s="107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106"/>
      <c r="B961" s="106"/>
      <c r="C961" s="106"/>
      <c r="D961" s="107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106"/>
      <c r="B962" s="106"/>
      <c r="C962" s="106"/>
      <c r="D962" s="107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106"/>
      <c r="B963" s="106"/>
      <c r="C963" s="106"/>
      <c r="D963" s="107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106"/>
      <c r="B964" s="106"/>
      <c r="C964" s="106"/>
      <c r="D964" s="107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106"/>
      <c r="B965" s="106"/>
      <c r="C965" s="106"/>
      <c r="D965" s="107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106"/>
      <c r="B966" s="106"/>
      <c r="C966" s="106"/>
      <c r="D966" s="107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106"/>
      <c r="B967" s="106"/>
      <c r="C967" s="106"/>
      <c r="D967" s="107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106"/>
      <c r="B968" s="106"/>
      <c r="C968" s="106"/>
      <c r="D968" s="107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106"/>
      <c r="B969" s="106"/>
      <c r="C969" s="106"/>
      <c r="D969" s="107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106"/>
      <c r="B970" s="106"/>
      <c r="C970" s="106"/>
      <c r="D970" s="107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106"/>
      <c r="B971" s="106"/>
      <c r="C971" s="106"/>
      <c r="D971" s="107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106"/>
      <c r="B972" s="106"/>
      <c r="C972" s="106"/>
      <c r="D972" s="107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106"/>
      <c r="B973" s="106"/>
      <c r="C973" s="106"/>
      <c r="D973" s="107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106"/>
      <c r="B974" s="106"/>
      <c r="C974" s="106"/>
      <c r="D974" s="107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106"/>
      <c r="B975" s="106"/>
      <c r="C975" s="106"/>
      <c r="D975" s="107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106"/>
      <c r="B976" s="106"/>
      <c r="C976" s="106"/>
      <c r="D976" s="107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106"/>
      <c r="B977" s="106"/>
      <c r="C977" s="106"/>
      <c r="D977" s="107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106"/>
      <c r="B978" s="106"/>
      <c r="C978" s="106"/>
      <c r="D978" s="107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106"/>
      <c r="B979" s="106"/>
      <c r="C979" s="106"/>
      <c r="D979" s="107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106"/>
      <c r="B980" s="106"/>
      <c r="C980" s="106"/>
      <c r="D980" s="107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>
      <c r="A981" s="106"/>
      <c r="B981" s="106"/>
      <c r="C981" s="106"/>
      <c r="D981" s="107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>
      <c r="A982" s="106"/>
      <c r="B982" s="106"/>
      <c r="C982" s="106"/>
      <c r="D982" s="107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>
      <c r="A983" s="106"/>
      <c r="B983" s="106"/>
      <c r="C983" s="106"/>
      <c r="D983" s="107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>
      <c r="A984" s="106"/>
      <c r="B984" s="106"/>
      <c r="C984" s="106"/>
      <c r="D984" s="107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>
      <c r="A985" s="106"/>
      <c r="B985" s="106"/>
      <c r="C985" s="106"/>
      <c r="D985" s="107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>
      <c r="A986" s="106"/>
      <c r="B986" s="106"/>
      <c r="C986" s="106"/>
      <c r="D986" s="107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>
      <c r="A987" s="106"/>
      <c r="B987" s="106"/>
      <c r="C987" s="106"/>
      <c r="D987" s="107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>
      <c r="A988" s="106"/>
      <c r="B988" s="106"/>
      <c r="C988" s="106"/>
      <c r="D988" s="107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>
      <c r="A989" s="106"/>
      <c r="B989" s="106"/>
      <c r="C989" s="106"/>
      <c r="D989" s="107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>
      <c r="A990" s="106"/>
      <c r="B990" s="106"/>
      <c r="C990" s="106"/>
      <c r="D990" s="107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>
      <c r="A991" s="106"/>
      <c r="B991" s="106"/>
      <c r="C991" s="106"/>
      <c r="D991" s="107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>
      <c r="A992" s="106"/>
      <c r="B992" s="106"/>
      <c r="C992" s="106"/>
      <c r="D992" s="107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>
      <c r="A993" s="106"/>
      <c r="B993" s="106"/>
      <c r="C993" s="106"/>
      <c r="D993" s="107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>
      <c r="A994" s="106"/>
      <c r="B994" s="106"/>
      <c r="C994" s="106"/>
      <c r="D994" s="107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>
      <c r="A995" s="106"/>
      <c r="B995" s="106"/>
      <c r="C995" s="106"/>
      <c r="D995" s="107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>
      <c r="A996" s="106"/>
      <c r="B996" s="106"/>
      <c r="C996" s="106"/>
      <c r="D996" s="107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>
      <c r="A997" s="106"/>
      <c r="B997" s="106"/>
      <c r="C997" s="106"/>
      <c r="D997" s="107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>
      <c r="A998" s="106"/>
      <c r="B998" s="106"/>
      <c r="C998" s="106"/>
      <c r="D998" s="107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>
      <c r="A999" s="106"/>
      <c r="B999" s="106"/>
      <c r="C999" s="106"/>
      <c r="D999" s="107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  <row r="1000">
      <c r="A1000" s="106"/>
      <c r="B1000" s="106"/>
      <c r="C1000" s="106"/>
      <c r="D1000" s="107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</row>
  </sheetData>
  <mergeCells count="20">
    <mergeCell ref="B8:B15"/>
    <mergeCell ref="B17:B23"/>
    <mergeCell ref="C17:C23"/>
    <mergeCell ref="B24:B25"/>
    <mergeCell ref="C24:C25"/>
    <mergeCell ref="A27:A33"/>
    <mergeCell ref="A34:A35"/>
    <mergeCell ref="A36:A42"/>
    <mergeCell ref="A43:A44"/>
    <mergeCell ref="F43:F44"/>
    <mergeCell ref="A45:A51"/>
    <mergeCell ref="F45:F51"/>
    <mergeCell ref="A52:A55"/>
    <mergeCell ref="A1:A15"/>
    <mergeCell ref="B2:B5"/>
    <mergeCell ref="C2:C5"/>
    <mergeCell ref="B6:B7"/>
    <mergeCell ref="C6:C7"/>
    <mergeCell ref="C8:C15"/>
    <mergeCell ref="A16:A2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2024-05-15T11:18:19Z</dcterms:created>
  <dc:creator>María Dolores Carmona Yáñez</dc:creator>
</cp:coreProperties>
</file>