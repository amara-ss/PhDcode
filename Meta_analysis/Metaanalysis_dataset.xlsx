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amara.santiesteban\Desktop\FPI_INIA\PhDcode\Meta_analysis\"/>
    </mc:Choice>
  </mc:AlternateContent>
  <bookViews>
    <workbookView xWindow="-105" yWindow="-105" windowWidth="19425" windowHeight="10425"/>
  </bookViews>
  <sheets>
    <sheet name="means_data" sheetId="2" r:id="rId1"/>
    <sheet name="ordinations_data" sheetId="4" r:id="rId2"/>
    <sheet name="Summary" sheetId="5" r:id="rId3"/>
  </sheets>
  <definedNames>
    <definedName name="_xlnm._FilterDatabase" localSheetId="0" hidden="1">means_data!$A$1:$BJ$489</definedName>
    <definedName name="_xlnm._FilterDatabase" localSheetId="1" hidden="1">ordinations_data!$A$1:$AJ$128</definedName>
  </definedNames>
  <calcPr calcId="162913"/>
</workbook>
</file>

<file path=xl/calcChain.xml><?xml version="1.0" encoding="utf-8"?>
<calcChain xmlns="http://schemas.openxmlformats.org/spreadsheetml/2006/main">
  <c r="AH137" i="2" l="1"/>
  <c r="AI99" i="4" l="1"/>
  <c r="AJ99" i="4"/>
  <c r="AI98" i="4"/>
  <c r="AJ98" i="4"/>
  <c r="AI389" i="2"/>
  <c r="AH389" i="2" s="1"/>
  <c r="AL389" i="2"/>
  <c r="AK389" i="2" s="1"/>
  <c r="AI388" i="2"/>
  <c r="AH388" i="2" s="1"/>
  <c r="AL388" i="2"/>
  <c r="AK388" i="2" s="1"/>
  <c r="AQ389" i="2"/>
  <c r="AM389" i="2"/>
  <c r="AH385" i="2"/>
  <c r="AH381" i="2"/>
  <c r="AK385" i="2"/>
  <c r="AK381" i="2"/>
  <c r="AH384" i="2"/>
  <c r="AK384" i="2"/>
  <c r="AK380" i="2"/>
  <c r="AH380" i="2"/>
  <c r="AM378" i="2"/>
  <c r="AQ378" i="2"/>
  <c r="AM379" i="2"/>
  <c r="AQ379" i="2"/>
  <c r="AM380" i="2"/>
  <c r="AQ380" i="2"/>
  <c r="AM381" i="2"/>
  <c r="AQ381" i="2"/>
  <c r="AM382" i="2"/>
  <c r="AQ382" i="2"/>
  <c r="AM383" i="2"/>
  <c r="AQ383" i="2"/>
  <c r="AM384" i="2"/>
  <c r="AQ384" i="2"/>
  <c r="AM385" i="2"/>
  <c r="AQ385" i="2"/>
  <c r="AH383" i="2"/>
  <c r="AH379" i="2"/>
  <c r="AK383" i="2"/>
  <c r="AK379" i="2"/>
  <c r="AK382" i="2"/>
  <c r="AK378" i="2"/>
  <c r="AH378" i="2"/>
  <c r="AH382" i="2"/>
  <c r="AI97" i="4"/>
  <c r="AJ97" i="4"/>
  <c r="AI96" i="4"/>
  <c r="AJ96" i="4"/>
  <c r="AH31" i="2"/>
  <c r="AK31" i="2"/>
  <c r="AH30" i="2"/>
  <c r="AK30" i="2"/>
  <c r="AH29" i="2"/>
  <c r="AK29" i="2"/>
  <c r="AH28" i="2"/>
  <c r="AK28" i="2"/>
  <c r="AM244" i="2"/>
  <c r="AQ244" i="2"/>
  <c r="AM245" i="2"/>
  <c r="AN245" i="2"/>
  <c r="AQ245" i="2"/>
  <c r="AM246" i="2"/>
  <c r="AN246" i="2"/>
  <c r="AQ246" i="2"/>
  <c r="AK244" i="2"/>
  <c r="AH244" i="2"/>
  <c r="AO246" i="2" l="1"/>
  <c r="AP246" i="2" s="1"/>
  <c r="AT246" i="2" s="1"/>
  <c r="AN380" i="2"/>
  <c r="AO380" i="2" s="1"/>
  <c r="AP380" i="2" s="1"/>
  <c r="AN378" i="2"/>
  <c r="AO378" i="2" s="1"/>
  <c r="AN389" i="2"/>
  <c r="AN381" i="2"/>
  <c r="AO381" i="2" s="1"/>
  <c r="AP381" i="2" s="1"/>
  <c r="AN385" i="2"/>
  <c r="AO385" i="2" s="1"/>
  <c r="AR385" i="2" s="1"/>
  <c r="AO245" i="2"/>
  <c r="AP245" i="2" s="1"/>
  <c r="AT245" i="2" s="1"/>
  <c r="AN384" i="2"/>
  <c r="AO384" i="2" s="1"/>
  <c r="AR384" i="2" s="1"/>
  <c r="AN383" i="2"/>
  <c r="AO383" i="2" s="1"/>
  <c r="AR383" i="2" s="1"/>
  <c r="AN379" i="2"/>
  <c r="AO379" i="2" s="1"/>
  <c r="AR379" i="2" s="1"/>
  <c r="AN382" i="2"/>
  <c r="AO382" i="2" s="1"/>
  <c r="AP382" i="2" s="1"/>
  <c r="AO389" i="2"/>
  <c r="AP389" i="2" s="1"/>
  <c r="AN244" i="2"/>
  <c r="AO244" i="2" s="1"/>
  <c r="AP244" i="2" s="1"/>
  <c r="AT244" i="2" s="1"/>
  <c r="AI49" i="4"/>
  <c r="AJ49" i="4"/>
  <c r="AI48" i="4"/>
  <c r="AJ48" i="4"/>
  <c r="AK229" i="2"/>
  <c r="AK230" i="2"/>
  <c r="AH229" i="2"/>
  <c r="AH230" i="2"/>
  <c r="AK228" i="2"/>
  <c r="AH228" i="2"/>
  <c r="AK227" i="2"/>
  <c r="AH227" i="2"/>
  <c r="AR246" i="2" l="1"/>
  <c r="AT382" i="2"/>
  <c r="AS382" i="2"/>
  <c r="AU382" i="2" s="1"/>
  <c r="AT380" i="2"/>
  <c r="AS380" i="2"/>
  <c r="AU380" i="2" s="1"/>
  <c r="AT381" i="2"/>
  <c r="AS381" i="2"/>
  <c r="AU381" i="2" s="1"/>
  <c r="AT389" i="2"/>
  <c r="AS389" i="2"/>
  <c r="AU389" i="2" s="1"/>
  <c r="AR389" i="2"/>
  <c r="AR380" i="2"/>
  <c r="AR378" i="2"/>
  <c r="AP378" i="2"/>
  <c r="AP379" i="2"/>
  <c r="AP383" i="2"/>
  <c r="AR245" i="2"/>
  <c r="AR244" i="2"/>
  <c r="AR381" i="2"/>
  <c r="AP385" i="2"/>
  <c r="AR382" i="2"/>
  <c r="AP384" i="2"/>
  <c r="AQ230" i="2"/>
  <c r="AN230" i="2"/>
  <c r="AM230" i="2"/>
  <c r="AQ228" i="2"/>
  <c r="AN228" i="2"/>
  <c r="AM228" i="2"/>
  <c r="AQ229" i="2"/>
  <c r="AN229" i="2"/>
  <c r="AM229" i="2"/>
  <c r="AM189" i="2"/>
  <c r="AN189" i="2"/>
  <c r="AQ189" i="2"/>
  <c r="AM190" i="2"/>
  <c r="AN190" i="2"/>
  <c r="AQ190" i="2"/>
  <c r="AM191" i="2"/>
  <c r="AQ191" i="2"/>
  <c r="AM192" i="2"/>
  <c r="AN192" i="2"/>
  <c r="AQ192" i="2"/>
  <c r="AM193" i="2"/>
  <c r="AN193" i="2"/>
  <c r="AQ193" i="2"/>
  <c r="AI46" i="4"/>
  <c r="AJ46" i="4"/>
  <c r="AI45" i="4"/>
  <c r="AJ45" i="4"/>
  <c r="AI44" i="4"/>
  <c r="AJ44" i="4"/>
  <c r="AM182" i="2"/>
  <c r="AQ182" i="2"/>
  <c r="AM183" i="2"/>
  <c r="AQ183" i="2"/>
  <c r="AM184" i="2"/>
  <c r="AQ184" i="2"/>
  <c r="AH182" i="2"/>
  <c r="AH183" i="2"/>
  <c r="AH184" i="2"/>
  <c r="AK184" i="2"/>
  <c r="AK183" i="2"/>
  <c r="AK182" i="2"/>
  <c r="AI35" i="4"/>
  <c r="AJ35" i="4"/>
  <c r="AI34" i="4"/>
  <c r="AJ34" i="4"/>
  <c r="AI28" i="4"/>
  <c r="AJ28" i="4"/>
  <c r="AO189" i="2" l="1"/>
  <c r="AT379" i="2"/>
  <c r="AS379" i="2"/>
  <c r="AW380" i="2"/>
  <c r="AV380" i="2"/>
  <c r="AW389" i="2"/>
  <c r="AV389" i="2"/>
  <c r="AT384" i="2"/>
  <c r="AS384" i="2"/>
  <c r="AT383" i="2"/>
  <c r="AS383" i="2"/>
  <c r="AW382" i="2"/>
  <c r="AV382" i="2"/>
  <c r="AT385" i="2"/>
  <c r="AS385" i="2"/>
  <c r="AT378" i="2"/>
  <c r="AS378" i="2"/>
  <c r="AU378" i="2" s="1"/>
  <c r="AW381" i="2"/>
  <c r="AV381" i="2"/>
  <c r="AO190" i="2"/>
  <c r="AR190" i="2" s="1"/>
  <c r="AO193" i="2"/>
  <c r="AP193" i="2" s="1"/>
  <c r="AT193" i="2" s="1"/>
  <c r="AO192" i="2"/>
  <c r="AP192" i="2" s="1"/>
  <c r="AT192" i="2" s="1"/>
  <c r="AO230" i="2"/>
  <c r="AR230" i="2" s="1"/>
  <c r="AO228" i="2"/>
  <c r="AP228" i="2" s="1"/>
  <c r="AN183" i="2"/>
  <c r="AO183" i="2" s="1"/>
  <c r="AR183" i="2" s="1"/>
  <c r="AO229" i="2"/>
  <c r="AR229" i="2" s="1"/>
  <c r="AN184" i="2"/>
  <c r="AO184" i="2" s="1"/>
  <c r="AP184" i="2" s="1"/>
  <c r="AN182" i="2"/>
  <c r="AO182" i="2" s="1"/>
  <c r="AR182" i="2" s="1"/>
  <c r="AP189" i="2"/>
  <c r="AT189" i="2" s="1"/>
  <c r="AR189" i="2"/>
  <c r="AI195" i="2"/>
  <c r="AH195" i="2" s="1"/>
  <c r="AL195" i="2"/>
  <c r="AK195" i="2" s="1"/>
  <c r="AI199" i="2"/>
  <c r="AH199" i="2" s="1"/>
  <c r="AL199" i="2"/>
  <c r="AK199" i="2" s="1"/>
  <c r="AI198" i="2"/>
  <c r="AH198" i="2" s="1"/>
  <c r="AL198" i="2"/>
  <c r="AK198" i="2" s="1"/>
  <c r="AI197" i="2"/>
  <c r="AH197" i="2" s="1"/>
  <c r="AL197" i="2"/>
  <c r="AK197" i="2" s="1"/>
  <c r="AI196" i="2"/>
  <c r="AH196" i="2" s="1"/>
  <c r="AL196" i="2"/>
  <c r="AK196" i="2" s="1"/>
  <c r="AI194" i="2"/>
  <c r="AH194" i="2" s="1"/>
  <c r="AL194" i="2"/>
  <c r="AK194" i="2" s="1"/>
  <c r="AQ199" i="2"/>
  <c r="AM199" i="2"/>
  <c r="AQ198" i="2"/>
  <c r="AM198" i="2"/>
  <c r="AQ197" i="2"/>
  <c r="AM197" i="2"/>
  <c r="AQ196" i="2"/>
  <c r="AM196" i="2"/>
  <c r="AP190" i="2" l="1"/>
  <c r="AT190" i="2" s="1"/>
  <c r="AU385" i="2"/>
  <c r="AW385" i="2"/>
  <c r="AV385" i="2"/>
  <c r="AV378" i="2"/>
  <c r="AU384" i="2"/>
  <c r="AV384" i="2"/>
  <c r="AW384" i="2"/>
  <c r="AR192" i="2"/>
  <c r="AW378" i="2"/>
  <c r="AU383" i="2"/>
  <c r="AW383" i="2"/>
  <c r="AV383" i="2"/>
  <c r="AU379" i="2"/>
  <c r="AW379" i="2"/>
  <c r="AV379" i="2"/>
  <c r="AT184" i="2"/>
  <c r="AS184" i="2"/>
  <c r="AU184" i="2" s="1"/>
  <c r="AT228" i="2"/>
  <c r="AS228" i="2"/>
  <c r="AU228" i="2" s="1"/>
  <c r="AR193" i="2"/>
  <c r="AP230" i="2"/>
  <c r="AR228" i="2"/>
  <c r="AP183" i="2"/>
  <c r="AP229" i="2"/>
  <c r="AP182" i="2"/>
  <c r="AR184" i="2"/>
  <c r="AN197" i="2"/>
  <c r="AO197" i="2" s="1"/>
  <c r="AR197" i="2" s="1"/>
  <c r="AN198" i="2"/>
  <c r="AO198" i="2" s="1"/>
  <c r="AR198" i="2" s="1"/>
  <c r="AN196" i="2"/>
  <c r="AO196" i="2" s="1"/>
  <c r="AP196" i="2" s="1"/>
  <c r="AN199" i="2"/>
  <c r="AO199" i="2" s="1"/>
  <c r="AR199" i="2" s="1"/>
  <c r="AH252" i="2"/>
  <c r="AM251" i="2"/>
  <c r="AQ251" i="2"/>
  <c r="AK252" i="2"/>
  <c r="AH251" i="2"/>
  <c r="AK251" i="2"/>
  <c r="AH249" i="2"/>
  <c r="AK249" i="2"/>
  <c r="AH248" i="2"/>
  <c r="AK248" i="2"/>
  <c r="AM248" i="2"/>
  <c r="AQ248" i="2"/>
  <c r="AM249" i="2"/>
  <c r="AQ249" i="2"/>
  <c r="AM252" i="2"/>
  <c r="AQ252" i="2"/>
  <c r="AI51" i="4"/>
  <c r="AJ51" i="4"/>
  <c r="AI50" i="4"/>
  <c r="AJ50" i="4"/>
  <c r="AI52" i="4"/>
  <c r="AJ52" i="4"/>
  <c r="AI203" i="2"/>
  <c r="AH203" i="2" s="1"/>
  <c r="AL203" i="2"/>
  <c r="AK203" i="2" s="1"/>
  <c r="AL202" i="2"/>
  <c r="AK202" i="2" s="1"/>
  <c r="AI202" i="2"/>
  <c r="AH202" i="2" s="1"/>
  <c r="AQ203" i="2"/>
  <c r="AM203" i="2"/>
  <c r="AM355" i="2"/>
  <c r="AQ355" i="2"/>
  <c r="AM356" i="2"/>
  <c r="AQ356" i="2"/>
  <c r="AM357" i="2"/>
  <c r="AQ357" i="2"/>
  <c r="AM358" i="2"/>
  <c r="AQ358" i="2"/>
  <c r="AM360" i="2"/>
  <c r="AQ360" i="2"/>
  <c r="AM361" i="2"/>
  <c r="AQ361" i="2"/>
  <c r="AM362" i="2"/>
  <c r="AQ362" i="2"/>
  <c r="AM363" i="2"/>
  <c r="AQ363" i="2"/>
  <c r="AM365" i="2"/>
  <c r="AQ365" i="2"/>
  <c r="AM366" i="2"/>
  <c r="AQ366" i="2"/>
  <c r="AM367" i="2"/>
  <c r="AQ367" i="2"/>
  <c r="AM368" i="2"/>
  <c r="AQ368" i="2"/>
  <c r="AI368" i="2"/>
  <c r="AH368" i="2" s="1"/>
  <c r="AL368" i="2"/>
  <c r="AK368" i="2" s="1"/>
  <c r="AI363" i="2"/>
  <c r="AH363" i="2" s="1"/>
  <c r="AL363" i="2"/>
  <c r="AK363" i="2" s="1"/>
  <c r="AI358" i="2"/>
  <c r="AH358" i="2" s="1"/>
  <c r="AL358" i="2"/>
  <c r="AK358" i="2" s="1"/>
  <c r="AI367" i="2"/>
  <c r="AH367" i="2" s="1"/>
  <c r="AL367" i="2"/>
  <c r="AK367" i="2" s="1"/>
  <c r="AI362" i="2"/>
  <c r="AH362" i="2" s="1"/>
  <c r="AL362" i="2"/>
  <c r="AK362" i="2" s="1"/>
  <c r="AI357" i="2"/>
  <c r="AH357" i="2" s="1"/>
  <c r="AL357" i="2"/>
  <c r="AK357" i="2" s="1"/>
  <c r="AI366" i="2"/>
  <c r="AH366" i="2" s="1"/>
  <c r="AL366" i="2"/>
  <c r="AK366" i="2" s="1"/>
  <c r="AI361" i="2"/>
  <c r="AH361" i="2" s="1"/>
  <c r="AL361" i="2"/>
  <c r="AK361" i="2" s="1"/>
  <c r="AI356" i="2"/>
  <c r="AH356" i="2" s="1"/>
  <c r="AL356" i="2"/>
  <c r="AK356" i="2" s="1"/>
  <c r="AI93" i="4"/>
  <c r="AJ93" i="4"/>
  <c r="AI92" i="4"/>
  <c r="AJ92" i="4"/>
  <c r="AI91" i="4"/>
  <c r="AJ91" i="4"/>
  <c r="AI365" i="2"/>
  <c r="AH365" i="2" s="1"/>
  <c r="AL365" i="2"/>
  <c r="AK365" i="2" s="1"/>
  <c r="AI360" i="2"/>
  <c r="AH360" i="2" s="1"/>
  <c r="AL360" i="2"/>
  <c r="AK360" i="2" s="1"/>
  <c r="AI355" i="2"/>
  <c r="AH355" i="2" s="1"/>
  <c r="AL355" i="2"/>
  <c r="AK355" i="2" s="1"/>
  <c r="AI88" i="4"/>
  <c r="AJ88" i="4"/>
  <c r="AI89" i="4"/>
  <c r="AJ89" i="4"/>
  <c r="AI90" i="4"/>
  <c r="AJ90" i="4"/>
  <c r="AI87" i="4"/>
  <c r="AJ87" i="4"/>
  <c r="AT229" i="2" l="1"/>
  <c r="AS229" i="2"/>
  <c r="AW228" i="2"/>
  <c r="AV228" i="2"/>
  <c r="AT183" i="2"/>
  <c r="AS183" i="2"/>
  <c r="AT182" i="2"/>
  <c r="AS182" i="2"/>
  <c r="AT230" i="2"/>
  <c r="AS230" i="2"/>
  <c r="AT196" i="2"/>
  <c r="AS196" i="2"/>
  <c r="AU196" i="2" s="1"/>
  <c r="AW184" i="2"/>
  <c r="AV184" i="2"/>
  <c r="AN248" i="2"/>
  <c r="AO248" i="2" s="1"/>
  <c r="AR248" i="2" s="1"/>
  <c r="AR196" i="2"/>
  <c r="AP197" i="2"/>
  <c r="AP198" i="2"/>
  <c r="AP199" i="2"/>
  <c r="AN249" i="2"/>
  <c r="AN251" i="2"/>
  <c r="AO251" i="2" s="1"/>
  <c r="AR251" i="2" s="1"/>
  <c r="AN252" i="2"/>
  <c r="AO252" i="2" s="1"/>
  <c r="AR252" i="2" s="1"/>
  <c r="AO249" i="2"/>
  <c r="AP249" i="2" s="1"/>
  <c r="AN203" i="2"/>
  <c r="AO203" i="2" s="1"/>
  <c r="AN355" i="2"/>
  <c r="AO355" i="2" s="1"/>
  <c r="AP355" i="2" s="1"/>
  <c r="AN357" i="2"/>
  <c r="AO357" i="2" s="1"/>
  <c r="AP357" i="2" s="1"/>
  <c r="AN356" i="2"/>
  <c r="AO356" i="2" s="1"/>
  <c r="AR356" i="2" s="1"/>
  <c r="AN358" i="2"/>
  <c r="AO358" i="2" s="1"/>
  <c r="AR358" i="2" s="1"/>
  <c r="AN368" i="2"/>
  <c r="AO368" i="2" s="1"/>
  <c r="AR368" i="2" s="1"/>
  <c r="AN360" i="2"/>
  <c r="AO360" i="2" s="1"/>
  <c r="AR360" i="2" s="1"/>
  <c r="AN361" i="2"/>
  <c r="AO361" i="2" s="1"/>
  <c r="AP361" i="2" s="1"/>
  <c r="AN363" i="2"/>
  <c r="AO363" i="2" s="1"/>
  <c r="AP363" i="2" s="1"/>
  <c r="AN362" i="2"/>
  <c r="AO362" i="2" s="1"/>
  <c r="AR362" i="2" s="1"/>
  <c r="AN366" i="2"/>
  <c r="AO366" i="2" s="1"/>
  <c r="AP366" i="2" s="1"/>
  <c r="AN367" i="2"/>
  <c r="AO367" i="2" s="1"/>
  <c r="AP367" i="2" s="1"/>
  <c r="AN365" i="2"/>
  <c r="AO365" i="2" s="1"/>
  <c r="AP365" i="2" s="1"/>
  <c r="AQ350" i="2"/>
  <c r="AN350" i="2"/>
  <c r="AM350" i="2"/>
  <c r="AQ349" i="2"/>
  <c r="AN349" i="2"/>
  <c r="AM349" i="2"/>
  <c r="AQ347" i="2"/>
  <c r="AN347" i="2"/>
  <c r="AM347" i="2"/>
  <c r="AQ346" i="2"/>
  <c r="AN346" i="2"/>
  <c r="AM346" i="2"/>
  <c r="AQ344" i="2"/>
  <c r="AN344" i="2"/>
  <c r="AM344" i="2"/>
  <c r="AQ343" i="2"/>
  <c r="AN343" i="2"/>
  <c r="AM343" i="2"/>
  <c r="AQ341" i="2"/>
  <c r="AN341" i="2"/>
  <c r="AM341" i="2"/>
  <c r="AQ340" i="2"/>
  <c r="AN340" i="2"/>
  <c r="AM340" i="2"/>
  <c r="AI86" i="4"/>
  <c r="AJ86" i="4"/>
  <c r="AH337" i="2"/>
  <c r="AK337" i="2"/>
  <c r="AH335" i="2"/>
  <c r="AH331" i="2"/>
  <c r="AH325" i="2"/>
  <c r="AK335" i="2"/>
  <c r="AK331" i="2"/>
  <c r="AK325" i="2"/>
  <c r="AH328" i="2"/>
  <c r="AH322" i="2"/>
  <c r="AK328" i="2"/>
  <c r="AK322" i="2"/>
  <c r="AQ335" i="2"/>
  <c r="AM335" i="2"/>
  <c r="AQ331" i="2"/>
  <c r="AM331" i="2"/>
  <c r="AQ328" i="2"/>
  <c r="AM328" i="2"/>
  <c r="AQ325" i="2"/>
  <c r="AM325" i="2"/>
  <c r="AQ322" i="2"/>
  <c r="AM322" i="2"/>
  <c r="AH334" i="2"/>
  <c r="AH330" i="2"/>
  <c r="AH324" i="2"/>
  <c r="AK334" i="2"/>
  <c r="AK330" i="2"/>
  <c r="AK324" i="2"/>
  <c r="AK327" i="2"/>
  <c r="AH327" i="2"/>
  <c r="AH321" i="2"/>
  <c r="AK321" i="2"/>
  <c r="AI100" i="4"/>
  <c r="AJ100" i="4"/>
  <c r="AI394" i="2"/>
  <c r="AH394" i="2" s="1"/>
  <c r="AL394" i="2"/>
  <c r="AK394" i="2" s="1"/>
  <c r="AI393" i="2"/>
  <c r="AH393" i="2" s="1"/>
  <c r="AL393" i="2"/>
  <c r="AK393" i="2" s="1"/>
  <c r="AQ394" i="2"/>
  <c r="AM394" i="2"/>
  <c r="AQ393" i="2"/>
  <c r="AM393" i="2"/>
  <c r="AI392" i="2"/>
  <c r="AH392" i="2" s="1"/>
  <c r="AL392" i="2"/>
  <c r="AK392" i="2" s="1"/>
  <c r="AT357" i="2" l="1"/>
  <c r="AS357" i="2"/>
  <c r="AU357" i="2" s="1"/>
  <c r="AU230" i="2"/>
  <c r="AW230" i="2"/>
  <c r="AV230" i="2"/>
  <c r="AT367" i="2"/>
  <c r="AS367" i="2"/>
  <c r="AU367" i="2" s="1"/>
  <c r="AU183" i="2"/>
  <c r="AV183" i="2"/>
  <c r="AW183" i="2"/>
  <c r="AT355" i="2"/>
  <c r="AS355" i="2"/>
  <c r="AU355" i="2" s="1"/>
  <c r="AT366" i="2"/>
  <c r="AS366" i="2"/>
  <c r="AU366" i="2" s="1"/>
  <c r="AT249" i="2"/>
  <c r="AS249" i="2"/>
  <c r="AU249" i="2" s="1"/>
  <c r="AW196" i="2"/>
  <c r="AV196" i="2"/>
  <c r="AT198" i="2"/>
  <c r="AS198" i="2"/>
  <c r="AT197" i="2"/>
  <c r="AS197" i="2"/>
  <c r="AU182" i="2"/>
  <c r="AW182" i="2"/>
  <c r="AV182" i="2"/>
  <c r="AT365" i="2"/>
  <c r="AS365" i="2"/>
  <c r="AU365" i="2" s="1"/>
  <c r="AT363" i="2"/>
  <c r="AS363" i="2"/>
  <c r="AU363" i="2" s="1"/>
  <c r="AT361" i="2"/>
  <c r="AS361" i="2"/>
  <c r="AU361" i="2" s="1"/>
  <c r="AU229" i="2"/>
  <c r="AW229" i="2"/>
  <c r="AV229" i="2"/>
  <c r="AT199" i="2"/>
  <c r="AS199" i="2"/>
  <c r="AR355" i="2"/>
  <c r="AN322" i="2"/>
  <c r="AO322" i="2" s="1"/>
  <c r="AP251" i="2"/>
  <c r="AN328" i="2"/>
  <c r="AO328" i="2" s="1"/>
  <c r="AR249" i="2"/>
  <c r="AP252" i="2"/>
  <c r="AP248" i="2"/>
  <c r="AP356" i="2"/>
  <c r="AR357" i="2"/>
  <c r="AR365" i="2"/>
  <c r="AR203" i="2"/>
  <c r="AP203" i="2"/>
  <c r="AN335" i="2"/>
  <c r="AO335" i="2" s="1"/>
  <c r="AP358" i="2"/>
  <c r="AN325" i="2"/>
  <c r="AO325" i="2" s="1"/>
  <c r="AN331" i="2"/>
  <c r="AO331" i="2" s="1"/>
  <c r="AP362" i="2"/>
  <c r="AP360" i="2"/>
  <c r="AP368" i="2"/>
  <c r="AR363" i="2"/>
  <c r="AR366" i="2"/>
  <c r="AR361" i="2"/>
  <c r="AR367" i="2"/>
  <c r="AO349" i="2"/>
  <c r="AP349" i="2" s="1"/>
  <c r="AO350" i="2"/>
  <c r="AR350" i="2" s="1"/>
  <c r="AO346" i="2"/>
  <c r="AR346" i="2" s="1"/>
  <c r="AO347" i="2"/>
  <c r="AR347" i="2" s="1"/>
  <c r="AO343" i="2"/>
  <c r="AR343" i="2" s="1"/>
  <c r="AO344" i="2"/>
  <c r="AR344" i="2" s="1"/>
  <c r="AO341" i="2"/>
  <c r="AR341" i="2" s="1"/>
  <c r="AO340" i="2"/>
  <c r="AP340" i="2" s="1"/>
  <c r="AN393" i="2"/>
  <c r="AO393" i="2" s="1"/>
  <c r="AN394" i="2"/>
  <c r="AO394" i="2" s="1"/>
  <c r="AH406" i="2"/>
  <c r="AK406" i="2"/>
  <c r="AH402" i="2"/>
  <c r="AK402" i="2"/>
  <c r="AH405" i="2"/>
  <c r="AK405" i="2"/>
  <c r="AH401" i="2"/>
  <c r="AK401" i="2"/>
  <c r="AH404" i="2"/>
  <c r="AK404" i="2"/>
  <c r="AH400" i="2"/>
  <c r="AK400" i="2"/>
  <c r="AH403" i="2"/>
  <c r="AK403" i="2"/>
  <c r="AH399" i="2"/>
  <c r="AK399" i="2"/>
  <c r="AI103" i="4"/>
  <c r="AJ103" i="4"/>
  <c r="AI102" i="4"/>
  <c r="AJ102" i="4"/>
  <c r="AI101" i="4"/>
  <c r="AJ101" i="4"/>
  <c r="AH449" i="2"/>
  <c r="AH439" i="2"/>
  <c r="AK449" i="2"/>
  <c r="AK439" i="2"/>
  <c r="AH448" i="2"/>
  <c r="AH438" i="2"/>
  <c r="AK448" i="2"/>
  <c r="AK438" i="2"/>
  <c r="AH447" i="2"/>
  <c r="AH437" i="2"/>
  <c r="AK447" i="2"/>
  <c r="AK437" i="2"/>
  <c r="AH446" i="2"/>
  <c r="AH436" i="2"/>
  <c r="AK446" i="2"/>
  <c r="AK436" i="2"/>
  <c r="AH445" i="2"/>
  <c r="AK445" i="2"/>
  <c r="AK435" i="2"/>
  <c r="AN435" i="2" s="1"/>
  <c r="AH444" i="2"/>
  <c r="AH434" i="2"/>
  <c r="AK444" i="2"/>
  <c r="AK434" i="2"/>
  <c r="AM434" i="2"/>
  <c r="AQ434" i="2"/>
  <c r="AM435" i="2"/>
  <c r="AQ435" i="2"/>
  <c r="AM436" i="2"/>
  <c r="AQ436" i="2"/>
  <c r="AM437" i="2"/>
  <c r="AQ437" i="2"/>
  <c r="AM438" i="2"/>
  <c r="AQ438" i="2"/>
  <c r="AM439" i="2"/>
  <c r="AQ439" i="2"/>
  <c r="AQ446" i="2"/>
  <c r="AM446" i="2"/>
  <c r="AQ445" i="2"/>
  <c r="AM445" i="2"/>
  <c r="AQ444" i="2"/>
  <c r="AM444" i="2"/>
  <c r="AQ448" i="2"/>
  <c r="AM448" i="2"/>
  <c r="AQ447" i="2"/>
  <c r="AM447" i="2"/>
  <c r="AQ443" i="2"/>
  <c r="AM443" i="2"/>
  <c r="AK443" i="2"/>
  <c r="AH443" i="2"/>
  <c r="AQ433" i="2"/>
  <c r="AM433" i="2"/>
  <c r="AK433" i="2"/>
  <c r="AH433" i="2"/>
  <c r="AH441" i="2"/>
  <c r="AH442" i="2"/>
  <c r="AH432" i="2"/>
  <c r="AK442" i="2"/>
  <c r="AK432" i="2"/>
  <c r="AH431" i="2"/>
  <c r="AK441" i="2"/>
  <c r="AK431" i="2"/>
  <c r="AT362" i="2" l="1"/>
  <c r="AS362" i="2"/>
  <c r="AW249" i="2"/>
  <c r="AV249" i="2"/>
  <c r="AW363" i="2"/>
  <c r="AV363" i="2"/>
  <c r="AU197" i="2"/>
  <c r="AW197" i="2"/>
  <c r="AV197" i="2"/>
  <c r="AT251" i="2"/>
  <c r="AS251" i="2"/>
  <c r="AT248" i="2"/>
  <c r="AS248" i="2"/>
  <c r="AU198" i="2"/>
  <c r="AV198" i="2"/>
  <c r="AW198" i="2"/>
  <c r="AT349" i="2"/>
  <c r="AS349" i="2"/>
  <c r="AU349" i="2" s="1"/>
  <c r="AT203" i="2"/>
  <c r="AS203" i="2"/>
  <c r="AU203" i="2" s="1"/>
  <c r="AU199" i="2"/>
  <c r="AW199" i="2"/>
  <c r="AV199" i="2"/>
  <c r="AT252" i="2"/>
  <c r="AS252" i="2"/>
  <c r="AV355" i="2"/>
  <c r="AW355" i="2"/>
  <c r="AV367" i="2"/>
  <c r="AW367" i="2"/>
  <c r="AT356" i="2"/>
  <c r="AS356" i="2"/>
  <c r="AT340" i="2"/>
  <c r="AS340" i="2"/>
  <c r="AU340" i="2" s="1"/>
  <c r="AT358" i="2"/>
  <c r="AS358" i="2"/>
  <c r="AW361" i="2"/>
  <c r="AV361" i="2"/>
  <c r="AW365" i="2"/>
  <c r="AV365" i="2"/>
  <c r="AT368" i="2"/>
  <c r="AS368" i="2"/>
  <c r="AT360" i="2"/>
  <c r="AS360" i="2"/>
  <c r="AW366" i="2"/>
  <c r="AV366" i="2"/>
  <c r="AW357" i="2"/>
  <c r="AV357" i="2"/>
  <c r="AN443" i="2"/>
  <c r="AO443" i="2" s="1"/>
  <c r="AN433" i="2"/>
  <c r="AO433" i="2" s="1"/>
  <c r="AP350" i="2"/>
  <c r="AR349" i="2"/>
  <c r="AR340" i="2"/>
  <c r="AP341" i="2"/>
  <c r="AP343" i="2"/>
  <c r="AP344" i="2"/>
  <c r="AP346" i="2"/>
  <c r="AP347" i="2"/>
  <c r="AR335" i="2"/>
  <c r="AP335" i="2"/>
  <c r="AP331" i="2"/>
  <c r="AR331" i="2"/>
  <c r="AP328" i="2"/>
  <c r="AR328" i="2"/>
  <c r="AR325" i="2"/>
  <c r="AP325" i="2"/>
  <c r="AR322" i="2"/>
  <c r="AP322" i="2"/>
  <c r="AP394" i="2"/>
  <c r="AR394" i="2"/>
  <c r="AR393" i="2"/>
  <c r="AP393" i="2"/>
  <c r="AN439" i="2"/>
  <c r="AO439" i="2" s="1"/>
  <c r="AR439" i="2" s="1"/>
  <c r="AN448" i="2"/>
  <c r="AO448" i="2" s="1"/>
  <c r="AN446" i="2"/>
  <c r="AO446" i="2" s="1"/>
  <c r="AR446" i="2" s="1"/>
  <c r="AN444" i="2"/>
  <c r="AO444" i="2" s="1"/>
  <c r="AP444" i="2" s="1"/>
  <c r="AN434" i="2"/>
  <c r="AO434" i="2" s="1"/>
  <c r="AR434" i="2" s="1"/>
  <c r="AN447" i="2"/>
  <c r="AO447" i="2" s="1"/>
  <c r="AN438" i="2"/>
  <c r="AO438" i="2" s="1"/>
  <c r="AR438" i="2" s="1"/>
  <c r="AN445" i="2"/>
  <c r="AO445" i="2" s="1"/>
  <c r="AR445" i="2" s="1"/>
  <c r="AN436" i="2"/>
  <c r="AO436" i="2" s="1"/>
  <c r="AN437" i="2"/>
  <c r="AO437" i="2" s="1"/>
  <c r="AO435" i="2"/>
  <c r="AP435" i="2" s="1"/>
  <c r="AI455" i="2"/>
  <c r="AH455" i="2" s="1"/>
  <c r="AI453" i="2"/>
  <c r="AH453" i="2" s="1"/>
  <c r="AL455" i="2"/>
  <c r="AK455" i="2" s="1"/>
  <c r="AL453" i="2"/>
  <c r="AK453" i="2" s="1"/>
  <c r="AI110" i="4"/>
  <c r="AJ110" i="4"/>
  <c r="AI109" i="4"/>
  <c r="AJ109" i="4"/>
  <c r="AM455" i="2"/>
  <c r="AQ455" i="2"/>
  <c r="AM453" i="2"/>
  <c r="AQ453" i="2"/>
  <c r="AI111" i="4"/>
  <c r="AJ111" i="4"/>
  <c r="AI461" i="2"/>
  <c r="AH461" i="2" s="1"/>
  <c r="AL461" i="2"/>
  <c r="AK461" i="2" s="1"/>
  <c r="AI460" i="2"/>
  <c r="AH460" i="2" s="1"/>
  <c r="AL460" i="2"/>
  <c r="AK460" i="2" s="1"/>
  <c r="AH459" i="2"/>
  <c r="AK459" i="2"/>
  <c r="AH458" i="2"/>
  <c r="AK458" i="2"/>
  <c r="AH457" i="2"/>
  <c r="AK457" i="2"/>
  <c r="AM459" i="2"/>
  <c r="AQ459" i="2"/>
  <c r="AM460" i="2"/>
  <c r="AQ460" i="2"/>
  <c r="AM461" i="2"/>
  <c r="AQ461" i="2"/>
  <c r="AQ458" i="2"/>
  <c r="AM458" i="2"/>
  <c r="AI463" i="2"/>
  <c r="AH463" i="2" s="1"/>
  <c r="AK463" i="2"/>
  <c r="AI112" i="4"/>
  <c r="AJ112" i="4"/>
  <c r="AQ282" i="2"/>
  <c r="AM282" i="2"/>
  <c r="AL282" i="2"/>
  <c r="AK282" i="2" s="1"/>
  <c r="AI282" i="2"/>
  <c r="AH282" i="2" s="1"/>
  <c r="AI281" i="2"/>
  <c r="AH281" i="2" s="1"/>
  <c r="AI280" i="2"/>
  <c r="AH280" i="2" s="1"/>
  <c r="AI279" i="2"/>
  <c r="AH279" i="2" s="1"/>
  <c r="AM280" i="2"/>
  <c r="AQ280" i="2"/>
  <c r="AM281" i="2"/>
  <c r="AQ281" i="2"/>
  <c r="AL281" i="2"/>
  <c r="AK281" i="2" s="1"/>
  <c r="AL280" i="2"/>
  <c r="AK280" i="2" s="1"/>
  <c r="AL279" i="2"/>
  <c r="AK279" i="2" s="1"/>
  <c r="AI70" i="4"/>
  <c r="AJ70" i="4"/>
  <c r="AH295" i="2"/>
  <c r="AH292" i="2"/>
  <c r="AK295" i="2"/>
  <c r="AK292" i="2"/>
  <c r="AH294" i="2"/>
  <c r="AH291" i="2"/>
  <c r="AK294" i="2"/>
  <c r="AK291" i="2"/>
  <c r="AM294" i="2"/>
  <c r="AQ294" i="2"/>
  <c r="AM295" i="2"/>
  <c r="AQ295" i="2"/>
  <c r="AM291" i="2"/>
  <c r="AQ291" i="2"/>
  <c r="AM292" i="2"/>
  <c r="AQ292" i="2"/>
  <c r="AI74" i="4"/>
  <c r="AJ74" i="4"/>
  <c r="AI73" i="4"/>
  <c r="AJ73" i="4"/>
  <c r="AI72" i="4"/>
  <c r="AJ72" i="4"/>
  <c r="AI71" i="4"/>
  <c r="AJ71" i="4"/>
  <c r="AH288" i="2"/>
  <c r="AH285" i="2"/>
  <c r="AK288" i="2"/>
  <c r="AK285" i="2"/>
  <c r="AQ285" i="2"/>
  <c r="AM285" i="2"/>
  <c r="AQ288" i="2"/>
  <c r="AM288" i="2"/>
  <c r="AH287" i="2"/>
  <c r="AH284" i="2"/>
  <c r="AK287" i="2"/>
  <c r="AK284" i="2"/>
  <c r="AW203" i="2" l="1"/>
  <c r="AV203" i="2"/>
  <c r="AT347" i="2"/>
  <c r="AS347" i="2"/>
  <c r="AT394" i="2"/>
  <c r="AS394" i="2"/>
  <c r="AU394" i="2" s="1"/>
  <c r="AT346" i="2"/>
  <c r="AS346" i="2"/>
  <c r="AT435" i="2"/>
  <c r="AS435" i="2"/>
  <c r="AU435" i="2" s="1"/>
  <c r="AU358" i="2"/>
  <c r="AV358" i="2"/>
  <c r="AW358" i="2"/>
  <c r="AT322" i="2"/>
  <c r="AS322" i="2"/>
  <c r="AU322" i="2" s="1"/>
  <c r="AT344" i="2"/>
  <c r="AS344" i="2"/>
  <c r="AU252" i="2"/>
  <c r="AW252" i="2"/>
  <c r="AV252" i="2"/>
  <c r="AU248" i="2"/>
  <c r="AV248" i="2"/>
  <c r="AW248" i="2"/>
  <c r="AW322" i="2"/>
  <c r="AT343" i="2"/>
  <c r="AS343" i="2"/>
  <c r="AT325" i="2"/>
  <c r="AS325" i="2"/>
  <c r="AU325" i="2" s="1"/>
  <c r="AT341" i="2"/>
  <c r="AS341" i="2"/>
  <c r="AU360" i="2"/>
  <c r="AW360" i="2"/>
  <c r="AV360" i="2"/>
  <c r="AU356" i="2"/>
  <c r="AW356" i="2"/>
  <c r="AV356" i="2"/>
  <c r="AU251" i="2"/>
  <c r="AV251" i="2"/>
  <c r="AW251" i="2"/>
  <c r="AU362" i="2"/>
  <c r="AW362" i="2"/>
  <c r="AV362" i="2"/>
  <c r="AU368" i="2"/>
  <c r="AV368" i="2"/>
  <c r="AW368" i="2"/>
  <c r="AT328" i="2"/>
  <c r="AS328" i="2"/>
  <c r="AU328" i="2" s="1"/>
  <c r="AT350" i="2"/>
  <c r="AS350" i="2"/>
  <c r="AW340" i="2"/>
  <c r="AV340" i="2"/>
  <c r="AT444" i="2"/>
  <c r="AS444" i="2"/>
  <c r="AU444" i="2" s="1"/>
  <c r="AV349" i="2"/>
  <c r="AW349" i="2"/>
  <c r="AT331" i="2"/>
  <c r="AS331" i="2"/>
  <c r="AU331" i="2" s="1"/>
  <c r="AT393" i="2"/>
  <c r="AS393" i="2"/>
  <c r="AU393" i="2" s="1"/>
  <c r="AT335" i="2"/>
  <c r="AS335" i="2"/>
  <c r="AU335" i="2" s="1"/>
  <c r="AR435" i="2"/>
  <c r="AP436" i="2"/>
  <c r="AR436" i="2"/>
  <c r="AP446" i="2"/>
  <c r="AP437" i="2"/>
  <c r="AR437" i="2"/>
  <c r="AP438" i="2"/>
  <c r="AP445" i="2"/>
  <c r="AP439" i="2"/>
  <c r="AN453" i="2"/>
  <c r="AO453" i="2" s="1"/>
  <c r="AR453" i="2" s="1"/>
  <c r="AP434" i="2"/>
  <c r="AR444" i="2"/>
  <c r="AP448" i="2"/>
  <c r="AR448" i="2"/>
  <c r="AP447" i="2"/>
  <c r="AR447" i="2"/>
  <c r="AR443" i="2"/>
  <c r="AP443" i="2"/>
  <c r="AR433" i="2"/>
  <c r="AP433" i="2"/>
  <c r="AN460" i="2"/>
  <c r="AO460" i="2" s="1"/>
  <c r="AR460" i="2" s="1"/>
  <c r="AN294" i="2"/>
  <c r="AO294" i="2" s="1"/>
  <c r="AP294" i="2" s="1"/>
  <c r="AN461" i="2"/>
  <c r="AO461" i="2" s="1"/>
  <c r="AR461" i="2" s="1"/>
  <c r="AN458" i="2"/>
  <c r="AO458" i="2" s="1"/>
  <c r="AR458" i="2" s="1"/>
  <c r="AN459" i="2"/>
  <c r="AO459" i="2" s="1"/>
  <c r="AR459" i="2" s="1"/>
  <c r="AN288" i="2"/>
  <c r="AO288" i="2" s="1"/>
  <c r="AN291" i="2"/>
  <c r="AO291" i="2" s="1"/>
  <c r="AP291" i="2" s="1"/>
  <c r="AN455" i="2"/>
  <c r="AO455" i="2" s="1"/>
  <c r="AR455" i="2" s="1"/>
  <c r="AN292" i="2"/>
  <c r="AO292" i="2" s="1"/>
  <c r="AP292" i="2" s="1"/>
  <c r="AN295" i="2"/>
  <c r="AO295" i="2" s="1"/>
  <c r="AN282" i="2"/>
  <c r="AO282" i="2" s="1"/>
  <c r="AN280" i="2"/>
  <c r="AO280" i="2" s="1"/>
  <c r="AP280" i="2" s="1"/>
  <c r="AN281" i="2"/>
  <c r="AO281" i="2" s="1"/>
  <c r="AP281" i="2" s="1"/>
  <c r="AN285" i="2"/>
  <c r="AO285" i="2" s="1"/>
  <c r="AI108" i="4"/>
  <c r="AJ108" i="4"/>
  <c r="AI107" i="4"/>
  <c r="AJ107" i="4"/>
  <c r="AI83" i="4"/>
  <c r="AJ83" i="4"/>
  <c r="AI84" i="4"/>
  <c r="AJ84" i="4"/>
  <c r="AI85" i="4"/>
  <c r="AJ85" i="4"/>
  <c r="AI82" i="4"/>
  <c r="AJ82" i="4"/>
  <c r="AI81" i="4"/>
  <c r="AJ81" i="4"/>
  <c r="AM441" i="2"/>
  <c r="AN441" i="2"/>
  <c r="AQ441" i="2"/>
  <c r="AM442" i="2"/>
  <c r="AN442" i="2"/>
  <c r="AQ442" i="2"/>
  <c r="AM449" i="2"/>
  <c r="AN449" i="2"/>
  <c r="AQ449" i="2"/>
  <c r="AM431" i="2"/>
  <c r="AN431" i="2"/>
  <c r="AQ431" i="2"/>
  <c r="AM432" i="2"/>
  <c r="AN432" i="2"/>
  <c r="AQ432" i="2"/>
  <c r="AQ334" i="2"/>
  <c r="AN334" i="2"/>
  <c r="AM334" i="2"/>
  <c r="AQ330" i="2"/>
  <c r="AN330" i="2"/>
  <c r="AM330" i="2"/>
  <c r="AQ327" i="2"/>
  <c r="AN327" i="2"/>
  <c r="AM327" i="2"/>
  <c r="AQ324" i="2"/>
  <c r="AN324" i="2"/>
  <c r="AM324" i="2"/>
  <c r="AM321" i="2"/>
  <c r="AN321" i="2"/>
  <c r="AQ321" i="2"/>
  <c r="AK320" i="2"/>
  <c r="AH320" i="2"/>
  <c r="AH236" i="2"/>
  <c r="AK236" i="2"/>
  <c r="AQ236" i="2"/>
  <c r="AM236" i="2"/>
  <c r="AI57" i="4"/>
  <c r="AJ57" i="4"/>
  <c r="AH233" i="2"/>
  <c r="AK233" i="2"/>
  <c r="AH235" i="2"/>
  <c r="AK235" i="2"/>
  <c r="AM233" i="2"/>
  <c r="AQ233" i="2"/>
  <c r="AM234" i="2"/>
  <c r="AQ234" i="2"/>
  <c r="AM235" i="2"/>
  <c r="AQ235" i="2"/>
  <c r="AH234" i="2"/>
  <c r="AK234" i="2"/>
  <c r="AI318" i="2"/>
  <c r="AH318" i="2" s="1"/>
  <c r="AI314" i="2"/>
  <c r="AH314" i="2" s="1"/>
  <c r="AI310" i="2"/>
  <c r="AH310" i="2" s="1"/>
  <c r="AI306" i="2"/>
  <c r="AH306" i="2" s="1"/>
  <c r="AI302" i="2"/>
  <c r="AH302" i="2" s="1"/>
  <c r="AI298" i="2"/>
  <c r="AH298" i="2" s="1"/>
  <c r="AL318" i="2"/>
  <c r="AK318" i="2" s="1"/>
  <c r="AL310" i="2"/>
  <c r="AK310" i="2" s="1"/>
  <c r="AL302" i="2"/>
  <c r="AK302" i="2" s="1"/>
  <c r="AL314" i="2"/>
  <c r="AK314" i="2" s="1"/>
  <c r="AL306" i="2"/>
  <c r="AK306" i="2" s="1"/>
  <c r="AM297" i="2"/>
  <c r="AQ297" i="2"/>
  <c r="AM298" i="2"/>
  <c r="AQ298" i="2"/>
  <c r="AL298" i="2"/>
  <c r="AK298" i="2" s="1"/>
  <c r="AI317" i="2"/>
  <c r="AH317" i="2" s="1"/>
  <c r="AI313" i="2"/>
  <c r="AH313" i="2" s="1"/>
  <c r="AI309" i="2"/>
  <c r="AH309" i="2" s="1"/>
  <c r="AM302" i="2"/>
  <c r="AQ302" i="2"/>
  <c r="AM305" i="2"/>
  <c r="AQ305" i="2"/>
  <c r="AM306" i="2"/>
  <c r="AQ306" i="2"/>
  <c r="AI305" i="2"/>
  <c r="AH305" i="2" s="1"/>
  <c r="AM301" i="2"/>
  <c r="AQ301" i="2"/>
  <c r="AI301" i="2"/>
  <c r="AH301" i="2" s="1"/>
  <c r="AI297" i="2"/>
  <c r="AH297" i="2" s="1"/>
  <c r="AL317" i="2"/>
  <c r="AK317" i="2" s="1"/>
  <c r="AL309" i="2"/>
  <c r="AK309" i="2" s="1"/>
  <c r="AL301" i="2"/>
  <c r="AK301" i="2" s="1"/>
  <c r="AL313" i="2"/>
  <c r="AK313" i="2" s="1"/>
  <c r="AL305" i="2"/>
  <c r="AK305" i="2" s="1"/>
  <c r="AL297" i="2"/>
  <c r="AK297" i="2" s="1"/>
  <c r="AQ318" i="2"/>
  <c r="AM318" i="2"/>
  <c r="AQ317" i="2"/>
  <c r="AM317" i="2"/>
  <c r="AQ314" i="2"/>
  <c r="AM314" i="2"/>
  <c r="AQ313" i="2"/>
  <c r="AM313" i="2"/>
  <c r="AQ310" i="2"/>
  <c r="AM310" i="2"/>
  <c r="AQ309" i="2"/>
  <c r="AM309" i="2"/>
  <c r="AJ77" i="4"/>
  <c r="AJ78" i="4"/>
  <c r="AJ79" i="4"/>
  <c r="AJ80" i="4"/>
  <c r="AI77" i="4"/>
  <c r="AI78" i="4"/>
  <c r="AI79" i="4"/>
  <c r="AI80" i="4"/>
  <c r="AI76" i="4"/>
  <c r="AJ76" i="4"/>
  <c r="AI75" i="4"/>
  <c r="AJ75" i="4"/>
  <c r="AI316" i="2"/>
  <c r="AH316" i="2" s="1"/>
  <c r="AI312" i="2"/>
  <c r="AH312" i="2" s="1"/>
  <c r="AI308" i="2"/>
  <c r="AH308" i="2" s="1"/>
  <c r="AI304" i="2"/>
  <c r="AH304" i="2" s="1"/>
  <c r="AI300" i="2"/>
  <c r="AH300" i="2" s="1"/>
  <c r="AI296" i="2"/>
  <c r="AH296" i="2" s="1"/>
  <c r="AL316" i="2"/>
  <c r="AK316" i="2" s="1"/>
  <c r="AL308" i="2"/>
  <c r="AK308" i="2" s="1"/>
  <c r="AL300" i="2"/>
  <c r="AK300" i="2" s="1"/>
  <c r="AL312" i="2"/>
  <c r="AK312" i="2" s="1"/>
  <c r="AL304" i="2"/>
  <c r="AK304" i="2" s="1"/>
  <c r="AL296" i="2"/>
  <c r="AK296" i="2" s="1"/>
  <c r="AQ316" i="2"/>
  <c r="AM316" i="2"/>
  <c r="AQ308" i="2"/>
  <c r="AM308" i="2"/>
  <c r="AQ300" i="2"/>
  <c r="AM300" i="2"/>
  <c r="AQ312" i="2"/>
  <c r="AM312" i="2"/>
  <c r="AQ304" i="2"/>
  <c r="AM304" i="2"/>
  <c r="AW335" i="2" l="1"/>
  <c r="AV331" i="2"/>
  <c r="AW331" i="2"/>
  <c r="AV394" i="2"/>
  <c r="AV322" i="2"/>
  <c r="AT448" i="2"/>
  <c r="AS448" i="2"/>
  <c r="AU448" i="2" s="1"/>
  <c r="AW435" i="2"/>
  <c r="AV435" i="2"/>
  <c r="AV335" i="2"/>
  <c r="AU341" i="2"/>
  <c r="AW341" i="2"/>
  <c r="AV341" i="2"/>
  <c r="AT436" i="2"/>
  <c r="AS436" i="2"/>
  <c r="AU436" i="2" s="1"/>
  <c r="AV444" i="2"/>
  <c r="AW444" i="2"/>
  <c r="AT434" i="2"/>
  <c r="AS434" i="2"/>
  <c r="AW448" i="2"/>
  <c r="AV448" i="2"/>
  <c r="AT294" i="2"/>
  <c r="AS294" i="2"/>
  <c r="AU294" i="2" s="1"/>
  <c r="AT281" i="2"/>
  <c r="AS281" i="2"/>
  <c r="AU281" i="2" s="1"/>
  <c r="AT439" i="2"/>
  <c r="AS439" i="2"/>
  <c r="AV393" i="2"/>
  <c r="AT280" i="2"/>
  <c r="AS280" i="2"/>
  <c r="AU280" i="2" s="1"/>
  <c r="AT433" i="2"/>
  <c r="AS433" i="2"/>
  <c r="AU433" i="2" s="1"/>
  <c r="AT445" i="2"/>
  <c r="AS445" i="2"/>
  <c r="AW393" i="2"/>
  <c r="AU346" i="2"/>
  <c r="AV346" i="2"/>
  <c r="AW346" i="2"/>
  <c r="AU350" i="2"/>
  <c r="AV350" i="2"/>
  <c r="AW350" i="2"/>
  <c r="AT438" i="2"/>
  <c r="AS438" i="2"/>
  <c r="AU343" i="2"/>
  <c r="AW343" i="2"/>
  <c r="AV343" i="2"/>
  <c r="AU344" i="2"/>
  <c r="AW344" i="2"/>
  <c r="AV344" i="2"/>
  <c r="AT443" i="2"/>
  <c r="AS443" i="2"/>
  <c r="AU443" i="2" s="1"/>
  <c r="AV328" i="2"/>
  <c r="AT292" i="2"/>
  <c r="AS292" i="2"/>
  <c r="AU292" i="2" s="1"/>
  <c r="AT437" i="2"/>
  <c r="AS437" i="2"/>
  <c r="AU437" i="2" s="1"/>
  <c r="AT446" i="2"/>
  <c r="AS446" i="2"/>
  <c r="AV325" i="2"/>
  <c r="AW328" i="2"/>
  <c r="AU347" i="2"/>
  <c r="AV347" i="2"/>
  <c r="AW347" i="2"/>
  <c r="AT291" i="2"/>
  <c r="AS291" i="2"/>
  <c r="AU291" i="2" s="1"/>
  <c r="AT447" i="2"/>
  <c r="AS447" i="2"/>
  <c r="AU447" i="2" s="1"/>
  <c r="AW325" i="2"/>
  <c r="AW394" i="2"/>
  <c r="AP461" i="2"/>
  <c r="AR294" i="2"/>
  <c r="AN233" i="2"/>
  <c r="AO233" i="2" s="1"/>
  <c r="AR233" i="2" s="1"/>
  <c r="AP453" i="2"/>
  <c r="AN234" i="2"/>
  <c r="AO234" i="2" s="1"/>
  <c r="AR234" i="2" s="1"/>
  <c r="AR295" i="2"/>
  <c r="AP295" i="2"/>
  <c r="AR292" i="2"/>
  <c r="AP460" i="2"/>
  <c r="AP459" i="2"/>
  <c r="AP455" i="2"/>
  <c r="AP458" i="2"/>
  <c r="AR281" i="2"/>
  <c r="AR280" i="2"/>
  <c r="AR282" i="2"/>
  <c r="AP282" i="2"/>
  <c r="AR291" i="2"/>
  <c r="AR285" i="2"/>
  <c r="AP285" i="2"/>
  <c r="AR288" i="2"/>
  <c r="AP288" i="2"/>
  <c r="AO449" i="2"/>
  <c r="AP449" i="2" s="1"/>
  <c r="AN235" i="2"/>
  <c r="AO235" i="2" s="1"/>
  <c r="AP235" i="2" s="1"/>
  <c r="AN236" i="2"/>
  <c r="AO236" i="2" s="1"/>
  <c r="AO330" i="2"/>
  <c r="AP330" i="2" s="1"/>
  <c r="AN317" i="2"/>
  <c r="AO317" i="2" s="1"/>
  <c r="AO442" i="2"/>
  <c r="AP442" i="2" s="1"/>
  <c r="AO432" i="2"/>
  <c r="AR432" i="2" s="1"/>
  <c r="AO441" i="2"/>
  <c r="AR441" i="2" s="1"/>
  <c r="AO327" i="2"/>
  <c r="AR327" i="2" s="1"/>
  <c r="AO321" i="2"/>
  <c r="AP321" i="2" s="1"/>
  <c r="AO324" i="2"/>
  <c r="AR324" i="2" s="1"/>
  <c r="AO334" i="2"/>
  <c r="AP334" i="2" s="1"/>
  <c r="AO431" i="2"/>
  <c r="AP431" i="2" s="1"/>
  <c r="AN306" i="2"/>
  <c r="AO306" i="2" s="1"/>
  <c r="AR306" i="2" s="1"/>
  <c r="AN310" i="2"/>
  <c r="AO310" i="2" s="1"/>
  <c r="AN301" i="2"/>
  <c r="AO301" i="2" s="1"/>
  <c r="AR301" i="2" s="1"/>
  <c r="AN305" i="2"/>
  <c r="AO305" i="2" s="1"/>
  <c r="AR305" i="2" s="1"/>
  <c r="AN297" i="2"/>
  <c r="AO297" i="2" s="1"/>
  <c r="AP297" i="2" s="1"/>
  <c r="AN302" i="2"/>
  <c r="AO302" i="2" s="1"/>
  <c r="AR302" i="2" s="1"/>
  <c r="AN318" i="2"/>
  <c r="AO318" i="2" s="1"/>
  <c r="AN298" i="2"/>
  <c r="AO298" i="2" s="1"/>
  <c r="AR298" i="2" s="1"/>
  <c r="AN309" i="2"/>
  <c r="AO309" i="2" s="1"/>
  <c r="AN313" i="2"/>
  <c r="AO313" i="2" s="1"/>
  <c r="AN314" i="2"/>
  <c r="AO314" i="2" s="1"/>
  <c r="AN300" i="2"/>
  <c r="AO300" i="2" s="1"/>
  <c r="AP300" i="2" s="1"/>
  <c r="AN312" i="2"/>
  <c r="AO312" i="2" s="1"/>
  <c r="AP312" i="2" s="1"/>
  <c r="AN308" i="2"/>
  <c r="AO308" i="2" s="1"/>
  <c r="AN316" i="2"/>
  <c r="AO316" i="2" s="1"/>
  <c r="AN304" i="2"/>
  <c r="AO304" i="2" s="1"/>
  <c r="AR304" i="2" s="1"/>
  <c r="AI69" i="4"/>
  <c r="AJ69" i="4"/>
  <c r="AI68" i="4"/>
  <c r="AJ68" i="4"/>
  <c r="AQ277" i="2"/>
  <c r="AN277" i="2"/>
  <c r="AM277" i="2"/>
  <c r="AQ276" i="2"/>
  <c r="AN276" i="2"/>
  <c r="AM276" i="2"/>
  <c r="AQ275" i="2"/>
  <c r="AN275" i="2"/>
  <c r="AM275" i="2"/>
  <c r="AQ274" i="2"/>
  <c r="AN274" i="2"/>
  <c r="AM274" i="2"/>
  <c r="AQ272" i="2"/>
  <c r="AN272" i="2"/>
  <c r="AM272" i="2"/>
  <c r="AQ271" i="2"/>
  <c r="AN271" i="2"/>
  <c r="AM271" i="2"/>
  <c r="AQ270" i="2"/>
  <c r="AN270" i="2"/>
  <c r="AM270" i="2"/>
  <c r="AM266" i="2"/>
  <c r="AN266" i="2"/>
  <c r="AQ266" i="2"/>
  <c r="AM267" i="2"/>
  <c r="AN267" i="2"/>
  <c r="AQ267" i="2"/>
  <c r="AI67" i="4"/>
  <c r="AJ67" i="4"/>
  <c r="AJ63" i="4"/>
  <c r="AJ64" i="4"/>
  <c r="AJ65" i="4"/>
  <c r="AJ66" i="4"/>
  <c r="AJ62" i="4"/>
  <c r="AI63" i="4"/>
  <c r="AI64" i="4"/>
  <c r="AI65" i="4"/>
  <c r="AI66" i="4"/>
  <c r="AI60" i="4"/>
  <c r="AI55" i="4"/>
  <c r="AI47" i="4"/>
  <c r="AI62" i="4"/>
  <c r="AI61" i="4"/>
  <c r="AJ61" i="4"/>
  <c r="AH264" i="2"/>
  <c r="AH260" i="2"/>
  <c r="AH256" i="2"/>
  <c r="AK264" i="2"/>
  <c r="AK260" i="2"/>
  <c r="AK256" i="2"/>
  <c r="AH262" i="2"/>
  <c r="AH258" i="2"/>
  <c r="AH254" i="2"/>
  <c r="AK262" i="2"/>
  <c r="AK258" i="2"/>
  <c r="AK254" i="2"/>
  <c r="AQ264" i="2"/>
  <c r="AM264" i="2"/>
  <c r="AQ262" i="2"/>
  <c r="AM262" i="2"/>
  <c r="AQ260" i="2"/>
  <c r="AM260" i="2"/>
  <c r="AQ258" i="2"/>
  <c r="AM258" i="2"/>
  <c r="AQ256" i="2"/>
  <c r="AM256" i="2"/>
  <c r="AJ60" i="4"/>
  <c r="AI59" i="4"/>
  <c r="AJ59" i="4"/>
  <c r="AI58" i="4"/>
  <c r="AJ58" i="4"/>
  <c r="AG242" i="2"/>
  <c r="AG241" i="2"/>
  <c r="AG239" i="2"/>
  <c r="AG238" i="2"/>
  <c r="AJ242" i="2"/>
  <c r="AJ241" i="2"/>
  <c r="AJ239" i="2"/>
  <c r="AJ238" i="2"/>
  <c r="AQ226" i="2"/>
  <c r="AN226" i="2"/>
  <c r="AM226" i="2"/>
  <c r="AI56" i="4"/>
  <c r="AJ56" i="4"/>
  <c r="AJ55" i="4"/>
  <c r="AI54" i="4"/>
  <c r="AJ54" i="4"/>
  <c r="AI53" i="4"/>
  <c r="AJ53" i="4"/>
  <c r="AH223" i="2"/>
  <c r="AH221" i="2"/>
  <c r="AH219" i="2"/>
  <c r="AH217" i="2"/>
  <c r="AK223" i="2"/>
  <c r="AK221" i="2"/>
  <c r="AK219" i="2"/>
  <c r="AK217" i="2"/>
  <c r="AL216" i="2"/>
  <c r="AK216" i="2" s="1"/>
  <c r="AI212" i="2"/>
  <c r="AH212" i="2" s="1"/>
  <c r="AL212" i="2"/>
  <c r="AK212" i="2" s="1"/>
  <c r="AI208" i="2"/>
  <c r="AH208" i="2" s="1"/>
  <c r="AL215" i="2"/>
  <c r="AK215" i="2" s="1"/>
  <c r="AI214" i="2"/>
  <c r="AH214" i="2" s="1"/>
  <c r="AL214" i="2"/>
  <c r="AK214" i="2" s="1"/>
  <c r="AI210" i="2"/>
  <c r="AH210" i="2" s="1"/>
  <c r="AL210" i="2"/>
  <c r="AK210" i="2" s="1"/>
  <c r="AI206" i="2"/>
  <c r="AH206" i="2" s="1"/>
  <c r="AL206" i="2"/>
  <c r="AK206" i="2" s="1"/>
  <c r="AI213" i="2"/>
  <c r="AH213" i="2" s="1"/>
  <c r="AL213" i="2"/>
  <c r="AK213" i="2" s="1"/>
  <c r="AK207" i="2"/>
  <c r="AK208" i="2"/>
  <c r="AK211" i="2"/>
  <c r="AH207" i="2"/>
  <c r="AH211" i="2"/>
  <c r="AH215" i="2"/>
  <c r="AH216" i="2"/>
  <c r="AM202" i="2"/>
  <c r="AN202" i="2"/>
  <c r="AQ202" i="2"/>
  <c r="AM205" i="2"/>
  <c r="AQ205" i="2"/>
  <c r="AM206" i="2"/>
  <c r="AQ206" i="2"/>
  <c r="AM207" i="2"/>
  <c r="AQ207" i="2"/>
  <c r="AM208" i="2"/>
  <c r="AQ208" i="2"/>
  <c r="AM209" i="2"/>
  <c r="AQ209" i="2"/>
  <c r="AM210" i="2"/>
  <c r="AQ210" i="2"/>
  <c r="AM211" i="2"/>
  <c r="AQ211" i="2"/>
  <c r="AM212" i="2"/>
  <c r="AQ212" i="2"/>
  <c r="AM213" i="2"/>
  <c r="AQ213" i="2"/>
  <c r="AM214" i="2"/>
  <c r="AQ214" i="2"/>
  <c r="AM215" i="2"/>
  <c r="AQ215" i="2"/>
  <c r="AM216" i="2"/>
  <c r="AQ216" i="2"/>
  <c r="AI209" i="2"/>
  <c r="AH209" i="2" s="1"/>
  <c r="AL209" i="2"/>
  <c r="AK209" i="2" s="1"/>
  <c r="AI205" i="2"/>
  <c r="AH205" i="2" s="1"/>
  <c r="AL205" i="2"/>
  <c r="AK205" i="2" s="1"/>
  <c r="AJ452" i="2"/>
  <c r="AJ451" i="2"/>
  <c r="AG452" i="2"/>
  <c r="AG451" i="2"/>
  <c r="AG144" i="2"/>
  <c r="AJ144" i="2"/>
  <c r="AJ142" i="2"/>
  <c r="AG142" i="2"/>
  <c r="AG143" i="2"/>
  <c r="AJ143" i="2"/>
  <c r="AJ141" i="2"/>
  <c r="AG141" i="2"/>
  <c r="AV437" i="2" l="1"/>
  <c r="AV433" i="2"/>
  <c r="AW437" i="2"/>
  <c r="AW433" i="2"/>
  <c r="AT334" i="2"/>
  <c r="AS334" i="2"/>
  <c r="AU334" i="2" s="1"/>
  <c r="AT288" i="2"/>
  <c r="AS288" i="2"/>
  <c r="AU288" i="2" s="1"/>
  <c r="AT460" i="2"/>
  <c r="AS460" i="2"/>
  <c r="AW436" i="2"/>
  <c r="AV447" i="2"/>
  <c r="AT431" i="2"/>
  <c r="AS431" i="2"/>
  <c r="AU431" i="2" s="1"/>
  <c r="AW292" i="2"/>
  <c r="AV292" i="2"/>
  <c r="AW447" i="2"/>
  <c r="AT321" i="2"/>
  <c r="AS321" i="2"/>
  <c r="AU321" i="2" s="1"/>
  <c r="AT285" i="2"/>
  <c r="AS285" i="2"/>
  <c r="AU285" i="2" s="1"/>
  <c r="AT295" i="2"/>
  <c r="AS295" i="2"/>
  <c r="AU295" i="2" s="1"/>
  <c r="AT459" i="2"/>
  <c r="AS459" i="2"/>
  <c r="AW291" i="2"/>
  <c r="AV291" i="2"/>
  <c r="AT449" i="2"/>
  <c r="AS449" i="2"/>
  <c r="AU449" i="2" s="1"/>
  <c r="AU434" i="2"/>
  <c r="AV434" i="2"/>
  <c r="AW434" i="2"/>
  <c r="AT282" i="2"/>
  <c r="AS282" i="2"/>
  <c r="AU282" i="2" s="1"/>
  <c r="AT453" i="2"/>
  <c r="AS453" i="2"/>
  <c r="AU439" i="2"/>
  <c r="AW439" i="2"/>
  <c r="AV439" i="2"/>
  <c r="AT297" i="2"/>
  <c r="AS297" i="2"/>
  <c r="AU297" i="2" s="1"/>
  <c r="AT442" i="2"/>
  <c r="AS442" i="2"/>
  <c r="AU442" i="2" s="1"/>
  <c r="AW443" i="2"/>
  <c r="AT300" i="2"/>
  <c r="AS300" i="2"/>
  <c r="AU300" i="2" s="1"/>
  <c r="AW280" i="2"/>
  <c r="AV280" i="2"/>
  <c r="AW294" i="2"/>
  <c r="AV294" i="2"/>
  <c r="AV443" i="2"/>
  <c r="AT330" i="2"/>
  <c r="AS330" i="2"/>
  <c r="AU330" i="2" s="1"/>
  <c r="AW281" i="2"/>
  <c r="AV281" i="2"/>
  <c r="AT461" i="2"/>
  <c r="AS461" i="2"/>
  <c r="AU445" i="2"/>
  <c r="AV445" i="2"/>
  <c r="AW445" i="2"/>
  <c r="AT458" i="2"/>
  <c r="AS458" i="2"/>
  <c r="AU438" i="2"/>
  <c r="AV438" i="2"/>
  <c r="AW438" i="2"/>
  <c r="AV436" i="2"/>
  <c r="AT312" i="2"/>
  <c r="AS312" i="2"/>
  <c r="AU312" i="2" s="1"/>
  <c r="AT235" i="2"/>
  <c r="AS235" i="2"/>
  <c r="AU235" i="2" s="1"/>
  <c r="AT455" i="2"/>
  <c r="AS455" i="2"/>
  <c r="AU446" i="2"/>
  <c r="AW446" i="2"/>
  <c r="AV446" i="2"/>
  <c r="AR330" i="2"/>
  <c r="AR449" i="2"/>
  <c r="AR321" i="2"/>
  <c r="AP234" i="2"/>
  <c r="AP441" i="2"/>
  <c r="AX142" i="2"/>
  <c r="AP432" i="2"/>
  <c r="AR334" i="2"/>
  <c r="AR442" i="2"/>
  <c r="AP327" i="2"/>
  <c r="AR235" i="2"/>
  <c r="AX241" i="2"/>
  <c r="AY241" i="2"/>
  <c r="AX242" i="2"/>
  <c r="AY242" i="2"/>
  <c r="AR431" i="2"/>
  <c r="AY141" i="2"/>
  <c r="AP324" i="2"/>
  <c r="AP233" i="2"/>
  <c r="AX238" i="2"/>
  <c r="AY238" i="2"/>
  <c r="AX239" i="2"/>
  <c r="AY239" i="2"/>
  <c r="AR236" i="2"/>
  <c r="AP236" i="2"/>
  <c r="AP301" i="2"/>
  <c r="AP305" i="2"/>
  <c r="AP298" i="2"/>
  <c r="AR297" i="2"/>
  <c r="AP306" i="2"/>
  <c r="AN260" i="2"/>
  <c r="AO260" i="2" s="1"/>
  <c r="AP260" i="2" s="1"/>
  <c r="AP302" i="2"/>
  <c r="AR318" i="2"/>
  <c r="AP318" i="2"/>
  <c r="AR317" i="2"/>
  <c r="AP317" i="2"/>
  <c r="AR314" i="2"/>
  <c r="AP314" i="2"/>
  <c r="AR313" i="2"/>
  <c r="AP313" i="2"/>
  <c r="AR310" i="2"/>
  <c r="AP310" i="2"/>
  <c r="AR309" i="2"/>
  <c r="AP309" i="2"/>
  <c r="AY144" i="2"/>
  <c r="AN258" i="2"/>
  <c r="AO258" i="2" s="1"/>
  <c r="AR258" i="2" s="1"/>
  <c r="AN262" i="2"/>
  <c r="AO262" i="2" s="1"/>
  <c r="AR262" i="2" s="1"/>
  <c r="AN264" i="2"/>
  <c r="AO264" i="2" s="1"/>
  <c r="AR264" i="2" s="1"/>
  <c r="AN256" i="2"/>
  <c r="AO256" i="2" s="1"/>
  <c r="AR256" i="2" s="1"/>
  <c r="AY143" i="2"/>
  <c r="AP316" i="2"/>
  <c r="AR316" i="2"/>
  <c r="AR300" i="2"/>
  <c r="AP308" i="2"/>
  <c r="AR308" i="2"/>
  <c r="AR312" i="2"/>
  <c r="AP304" i="2"/>
  <c r="AO277" i="2"/>
  <c r="AP277" i="2" s="1"/>
  <c r="AO276" i="2"/>
  <c r="AR276" i="2" s="1"/>
  <c r="AO274" i="2"/>
  <c r="AR274" i="2" s="1"/>
  <c r="AO275" i="2"/>
  <c r="AP275" i="2" s="1"/>
  <c r="AO270" i="2"/>
  <c r="AR270" i="2" s="1"/>
  <c r="AO266" i="2"/>
  <c r="AR266" i="2" s="1"/>
  <c r="AO271" i="2"/>
  <c r="AR271" i="2" s="1"/>
  <c r="AN206" i="2"/>
  <c r="AO206" i="2" s="1"/>
  <c r="AP206" i="2" s="1"/>
  <c r="AO272" i="2"/>
  <c r="AR272" i="2" s="1"/>
  <c r="AO267" i="2"/>
  <c r="AR267" i="2" s="1"/>
  <c r="AY451" i="2"/>
  <c r="AX144" i="2"/>
  <c r="AO226" i="2"/>
  <c r="AP226" i="2" s="1"/>
  <c r="AT226" i="2" s="1"/>
  <c r="AY142" i="2"/>
  <c r="AY452" i="2"/>
  <c r="AX143" i="2"/>
  <c r="AX141" i="2"/>
  <c r="AN211" i="2"/>
  <c r="AO211" i="2" s="1"/>
  <c r="AP211" i="2" s="1"/>
  <c r="AN205" i="2"/>
  <c r="AO205" i="2" s="1"/>
  <c r="AP205" i="2" s="1"/>
  <c r="AN209" i="2"/>
  <c r="AO209" i="2" s="1"/>
  <c r="AP209" i="2" s="1"/>
  <c r="AO202" i="2"/>
  <c r="AP202" i="2" s="1"/>
  <c r="AN216" i="2"/>
  <c r="AO216" i="2" s="1"/>
  <c r="AN212" i="2"/>
  <c r="AO212" i="2" s="1"/>
  <c r="AR212" i="2" s="1"/>
  <c r="AN208" i="2"/>
  <c r="AO208" i="2" s="1"/>
  <c r="AN215" i="2"/>
  <c r="AO215" i="2" s="1"/>
  <c r="AN207" i="2"/>
  <c r="AO207" i="2" s="1"/>
  <c r="AP207" i="2" s="1"/>
  <c r="AN214" i="2"/>
  <c r="AO214" i="2" s="1"/>
  <c r="AP214" i="2" s="1"/>
  <c r="AN210" i="2"/>
  <c r="AO210" i="2" s="1"/>
  <c r="AN213" i="2"/>
  <c r="AO213" i="2" s="1"/>
  <c r="AR213" i="2" s="1"/>
  <c r="AX452" i="2"/>
  <c r="AX451" i="2"/>
  <c r="AG168" i="2"/>
  <c r="AJ168" i="2"/>
  <c r="AJ161" i="2"/>
  <c r="AG161" i="2"/>
  <c r="AJ165" i="2"/>
  <c r="AJ158" i="2"/>
  <c r="AG165" i="2"/>
  <c r="AG158" i="2"/>
  <c r="AI30" i="4"/>
  <c r="AJ30" i="4"/>
  <c r="AI29" i="4"/>
  <c r="AJ29" i="4"/>
  <c r="AI167" i="2"/>
  <c r="AH167" i="2" s="1"/>
  <c r="AL167" i="2"/>
  <c r="AK167" i="2" s="1"/>
  <c r="AL160" i="2"/>
  <c r="AK160" i="2" s="1"/>
  <c r="AI160" i="2"/>
  <c r="AH160" i="2" s="1"/>
  <c r="AI164" i="2"/>
  <c r="AH164" i="2" s="1"/>
  <c r="AL164" i="2"/>
  <c r="AK164" i="2" s="1"/>
  <c r="AL157" i="2"/>
  <c r="AK157" i="2" s="1"/>
  <c r="AI157" i="2"/>
  <c r="AH157" i="2" s="1"/>
  <c r="AI166" i="2"/>
  <c r="AH166" i="2" s="1"/>
  <c r="AL166" i="2"/>
  <c r="AK166" i="2" s="1"/>
  <c r="AL159" i="2"/>
  <c r="AK159" i="2" s="1"/>
  <c r="AI159" i="2"/>
  <c r="AH159" i="2" s="1"/>
  <c r="AI163" i="2"/>
  <c r="AH163" i="2" s="1"/>
  <c r="AQ167" i="2"/>
  <c r="AM167" i="2"/>
  <c r="AQ166" i="2"/>
  <c r="AM166" i="2"/>
  <c r="AQ164" i="2"/>
  <c r="AM164" i="2"/>
  <c r="AQ163" i="2"/>
  <c r="AM163" i="2"/>
  <c r="AL163" i="2"/>
  <c r="AK163" i="2" s="1"/>
  <c r="AL156" i="2"/>
  <c r="AK156" i="2" s="1"/>
  <c r="AM156" i="2"/>
  <c r="AQ156" i="2"/>
  <c r="AI156" i="2"/>
  <c r="AH156" i="2" s="1"/>
  <c r="AQ159" i="2"/>
  <c r="AM159" i="2"/>
  <c r="AQ157" i="2"/>
  <c r="AM157" i="2"/>
  <c r="AQ160" i="2"/>
  <c r="AM160" i="2"/>
  <c r="AH180" i="2"/>
  <c r="AK180" i="2"/>
  <c r="AH179" i="2"/>
  <c r="AK179" i="2"/>
  <c r="AW282" i="2" l="1"/>
  <c r="AV282" i="2"/>
  <c r="AW285" i="2"/>
  <c r="AT205" i="2"/>
  <c r="AS205" i="2"/>
  <c r="AU205" i="2" s="1"/>
  <c r="AT313" i="2"/>
  <c r="AS313" i="2"/>
  <c r="AU313" i="2" s="1"/>
  <c r="AT298" i="2"/>
  <c r="AS298" i="2"/>
  <c r="AV431" i="2"/>
  <c r="AW431" i="2"/>
  <c r="AT234" i="2"/>
  <c r="AS234" i="2"/>
  <c r="AV285" i="2"/>
  <c r="AT206" i="2"/>
  <c r="AS206" i="2"/>
  <c r="AU206" i="2" s="1"/>
  <c r="AW297" i="2"/>
  <c r="AV297" i="2"/>
  <c r="AT211" i="2"/>
  <c r="AS211" i="2"/>
  <c r="AU211" i="2" s="1"/>
  <c r="AW321" i="2"/>
  <c r="AV321" i="2"/>
  <c r="AT301" i="2"/>
  <c r="AS301" i="2"/>
  <c r="AT275" i="2"/>
  <c r="AS275" i="2"/>
  <c r="AU275" i="2" s="1"/>
  <c r="AT236" i="2"/>
  <c r="AS236" i="2"/>
  <c r="AU236" i="2" s="1"/>
  <c r="AW330" i="2"/>
  <c r="AV330" i="2"/>
  <c r="AV295" i="2"/>
  <c r="AU453" i="2"/>
  <c r="AW453" i="2"/>
  <c r="AV453" i="2"/>
  <c r="AT214" i="2"/>
  <c r="AS214" i="2"/>
  <c r="AU214" i="2" s="1"/>
  <c r="AT317" i="2"/>
  <c r="AS317" i="2"/>
  <c r="AU317" i="2" s="1"/>
  <c r="AW295" i="2"/>
  <c r="AU461" i="2"/>
  <c r="AV461" i="2"/>
  <c r="AW461" i="2"/>
  <c r="AT207" i="2"/>
  <c r="AS207" i="2"/>
  <c r="AU207" i="2" s="1"/>
  <c r="AW317" i="2"/>
  <c r="AV235" i="2"/>
  <c r="AW235" i="2"/>
  <c r="AU460" i="2"/>
  <c r="AV460" i="2"/>
  <c r="AW460" i="2"/>
  <c r="AT277" i="2"/>
  <c r="AS277" i="2"/>
  <c r="AU277" i="2" s="1"/>
  <c r="AT318" i="2"/>
  <c r="AS318" i="2"/>
  <c r="AU318" i="2" s="1"/>
  <c r="AT327" i="2"/>
  <c r="AS327" i="2"/>
  <c r="AW300" i="2"/>
  <c r="AV300" i="2"/>
  <c r="AT316" i="2"/>
  <c r="AS316" i="2"/>
  <c r="AU316" i="2" s="1"/>
  <c r="AT304" i="2"/>
  <c r="AS304" i="2"/>
  <c r="AW442" i="2"/>
  <c r="AV442" i="2"/>
  <c r="AU455" i="2"/>
  <c r="AW455" i="2"/>
  <c r="AV455" i="2"/>
  <c r="AT305" i="2"/>
  <c r="AS305" i="2"/>
  <c r="AT314" i="2"/>
  <c r="AS314" i="2"/>
  <c r="AU314" i="2" s="1"/>
  <c r="AW449" i="2"/>
  <c r="AV449" i="2"/>
  <c r="AW312" i="2"/>
  <c r="AV312" i="2"/>
  <c r="AT309" i="2"/>
  <c r="AS309" i="2"/>
  <c r="AU309" i="2" s="1"/>
  <c r="AT302" i="2"/>
  <c r="AS302" i="2"/>
  <c r="AW334" i="2"/>
  <c r="AV334" i="2"/>
  <c r="AT209" i="2"/>
  <c r="AS209" i="2"/>
  <c r="AU209" i="2" s="1"/>
  <c r="AT441" i="2"/>
  <c r="AS441" i="2"/>
  <c r="AT260" i="2"/>
  <c r="AS260" i="2"/>
  <c r="AU260" i="2" s="1"/>
  <c r="AT233" i="2"/>
  <c r="AS233" i="2"/>
  <c r="AT432" i="2"/>
  <c r="AS432" i="2"/>
  <c r="AU458" i="2"/>
  <c r="AW458" i="2"/>
  <c r="AV458" i="2"/>
  <c r="AV288" i="2"/>
  <c r="AT202" i="2"/>
  <c r="AS202" i="2"/>
  <c r="AU202" i="2" s="1"/>
  <c r="AT308" i="2"/>
  <c r="AS308" i="2"/>
  <c r="AU308" i="2" s="1"/>
  <c r="AT310" i="2"/>
  <c r="AS310" i="2"/>
  <c r="AU310" i="2" s="1"/>
  <c r="AT306" i="2"/>
  <c r="AS306" i="2"/>
  <c r="AT324" i="2"/>
  <c r="AS324" i="2"/>
  <c r="AU459" i="2"/>
  <c r="AW459" i="2"/>
  <c r="AV459" i="2"/>
  <c r="AW288" i="2"/>
  <c r="AP272" i="2"/>
  <c r="AP276" i="2"/>
  <c r="AR226" i="2"/>
  <c r="AX161" i="2"/>
  <c r="AY161" i="2"/>
  <c r="AR277" i="2"/>
  <c r="AR275" i="2"/>
  <c r="AP274" i="2"/>
  <c r="AR209" i="2"/>
  <c r="AP271" i="2"/>
  <c r="AP270" i="2"/>
  <c r="AP266" i="2"/>
  <c r="AT266" i="2" s="1"/>
  <c r="AP267" i="2"/>
  <c r="AT267" i="2" s="1"/>
  <c r="AP262" i="2"/>
  <c r="AP256" i="2"/>
  <c r="AR260" i="2"/>
  <c r="AP258" i="2"/>
  <c r="AP264" i="2"/>
  <c r="AX168" i="2"/>
  <c r="AR202" i="2"/>
  <c r="AR205" i="2"/>
  <c r="AR206" i="2"/>
  <c r="AP213" i="2"/>
  <c r="AR211" i="2"/>
  <c r="AN157" i="2"/>
  <c r="AO157" i="2" s="1"/>
  <c r="AP157" i="2" s="1"/>
  <c r="AR208" i="2"/>
  <c r="AP208" i="2"/>
  <c r="AN164" i="2"/>
  <c r="AO164" i="2" s="1"/>
  <c r="AR164" i="2" s="1"/>
  <c r="AN163" i="2"/>
  <c r="AO163" i="2" s="1"/>
  <c r="AP216" i="2"/>
  <c r="AR216" i="2"/>
  <c r="AR215" i="2"/>
  <c r="AP215" i="2"/>
  <c r="AR210" i="2"/>
  <c r="AP210" i="2"/>
  <c r="AP212" i="2"/>
  <c r="AR214" i="2"/>
  <c r="AR207" i="2"/>
  <c r="AX165" i="2"/>
  <c r="AY168" i="2"/>
  <c r="AN156" i="2"/>
  <c r="AO156" i="2" s="1"/>
  <c r="AR156" i="2" s="1"/>
  <c r="AN159" i="2"/>
  <c r="AO159" i="2" s="1"/>
  <c r="AR159" i="2" s="1"/>
  <c r="AN167" i="2"/>
  <c r="AO167" i="2" s="1"/>
  <c r="AP167" i="2" s="1"/>
  <c r="AY165" i="2"/>
  <c r="AN166" i="2"/>
  <c r="AO166" i="2" s="1"/>
  <c r="AP166" i="2" s="1"/>
  <c r="AY158" i="2"/>
  <c r="AN160" i="2"/>
  <c r="AO160" i="2" s="1"/>
  <c r="AR160" i="2" s="1"/>
  <c r="AX158" i="2"/>
  <c r="AH153" i="2"/>
  <c r="AH148" i="2"/>
  <c r="AK153" i="2"/>
  <c r="AK148" i="2"/>
  <c r="AH152" i="2"/>
  <c r="AH147" i="2"/>
  <c r="AK152" i="2"/>
  <c r="AK147" i="2"/>
  <c r="AH151" i="2"/>
  <c r="AH146" i="2"/>
  <c r="AK151" i="2"/>
  <c r="AK146" i="2"/>
  <c r="AH150" i="2"/>
  <c r="AM151" i="2"/>
  <c r="AQ151" i="2"/>
  <c r="AM146" i="2"/>
  <c r="AQ146" i="2"/>
  <c r="AH145" i="2"/>
  <c r="AK150" i="2"/>
  <c r="AK145" i="2"/>
  <c r="AH139" i="2"/>
  <c r="AK139" i="2"/>
  <c r="AH138" i="2"/>
  <c r="AK138" i="2"/>
  <c r="AK137" i="2"/>
  <c r="AH136" i="2"/>
  <c r="AK136" i="2"/>
  <c r="AQ139" i="2"/>
  <c r="AM139" i="2"/>
  <c r="AH134" i="2"/>
  <c r="AK134" i="2"/>
  <c r="AH133" i="2"/>
  <c r="AK133" i="2"/>
  <c r="AH121" i="2"/>
  <c r="AK121" i="2"/>
  <c r="AH120" i="2"/>
  <c r="AK120" i="2"/>
  <c r="AH119" i="2"/>
  <c r="AK119" i="2"/>
  <c r="AH118" i="2"/>
  <c r="AK118" i="2"/>
  <c r="AH131" i="2"/>
  <c r="AH126" i="2"/>
  <c r="AK131" i="2"/>
  <c r="AK126" i="2"/>
  <c r="AH130" i="2"/>
  <c r="AM124" i="2"/>
  <c r="AM112" i="2"/>
  <c r="AM103" i="2"/>
  <c r="AM102" i="2"/>
  <c r="AM130" i="2"/>
  <c r="AQ130" i="2"/>
  <c r="AM125" i="2"/>
  <c r="AQ125" i="2"/>
  <c r="AH125" i="2"/>
  <c r="AK130" i="2"/>
  <c r="AK125" i="2"/>
  <c r="AH129" i="2"/>
  <c r="AH124" i="2"/>
  <c r="AK129" i="2"/>
  <c r="AK124" i="2"/>
  <c r="AH128" i="2"/>
  <c r="AK128" i="2"/>
  <c r="AH123" i="2"/>
  <c r="AK123" i="2"/>
  <c r="W113" i="2"/>
  <c r="V113" i="2"/>
  <c r="W112" i="2"/>
  <c r="V112" i="2"/>
  <c r="W111" i="2"/>
  <c r="V111" i="2"/>
  <c r="AJ113" i="2"/>
  <c r="AG113" i="2"/>
  <c r="AI33" i="4"/>
  <c r="AJ33" i="4"/>
  <c r="AI32" i="4"/>
  <c r="AJ32" i="4"/>
  <c r="AI31" i="4"/>
  <c r="AJ31" i="4"/>
  <c r="AK86" i="2"/>
  <c r="AH86" i="2"/>
  <c r="AK84" i="2"/>
  <c r="AH84" i="2"/>
  <c r="AH69" i="2"/>
  <c r="AM68" i="2"/>
  <c r="AM69" i="2"/>
  <c r="AK69" i="2"/>
  <c r="AH68" i="2"/>
  <c r="AK68" i="2"/>
  <c r="AH7" i="2"/>
  <c r="AH6" i="2"/>
  <c r="AI22" i="4"/>
  <c r="AJ22" i="4"/>
  <c r="AI21" i="4"/>
  <c r="AJ21" i="4"/>
  <c r="AM58" i="2"/>
  <c r="AQ58" i="2"/>
  <c r="AH55" i="2"/>
  <c r="AK55" i="2"/>
  <c r="AK58" i="2"/>
  <c r="AN58" i="2" s="1"/>
  <c r="AQ57" i="2"/>
  <c r="AM57" i="2"/>
  <c r="AK57" i="2"/>
  <c r="AH57" i="2"/>
  <c r="AH54" i="2"/>
  <c r="AK54" i="2"/>
  <c r="AH51" i="2"/>
  <c r="AK51" i="2"/>
  <c r="AK48" i="2"/>
  <c r="AH48" i="2"/>
  <c r="AV317" i="2" l="1"/>
  <c r="AV309" i="2"/>
  <c r="AW308" i="2"/>
  <c r="AV314" i="2"/>
  <c r="AV310" i="2"/>
  <c r="AW314" i="2"/>
  <c r="AW310" i="2"/>
  <c r="AW309" i="2"/>
  <c r="AV308" i="2"/>
  <c r="AW206" i="2"/>
  <c r="AV206" i="2"/>
  <c r="AT271" i="2"/>
  <c r="AS271" i="2"/>
  <c r="AT210" i="2"/>
  <c r="AS210" i="2"/>
  <c r="AU210" i="2" s="1"/>
  <c r="AV205" i="2"/>
  <c r="AW205" i="2"/>
  <c r="AU298" i="2"/>
  <c r="AV298" i="2"/>
  <c r="AW298" i="2"/>
  <c r="AV202" i="2"/>
  <c r="AW202" i="2"/>
  <c r="AT274" i="2"/>
  <c r="AS274" i="2"/>
  <c r="AU324" i="2"/>
  <c r="AV324" i="2"/>
  <c r="AW324" i="2"/>
  <c r="AT167" i="2"/>
  <c r="AS167" i="2"/>
  <c r="AU167" i="2" s="1"/>
  <c r="AW275" i="2"/>
  <c r="AV275" i="2"/>
  <c r="AT166" i="2"/>
  <c r="AS166" i="2"/>
  <c r="AU166" i="2" s="1"/>
  <c r="AT216" i="2"/>
  <c r="AS216" i="2"/>
  <c r="AU216" i="2" s="1"/>
  <c r="AT264" i="2"/>
  <c r="AS264" i="2"/>
  <c r="AW277" i="2"/>
  <c r="AV277" i="2"/>
  <c r="AU306" i="2"/>
  <c r="AW306" i="2"/>
  <c r="AV306" i="2"/>
  <c r="AU441" i="2"/>
  <c r="AW441" i="2"/>
  <c r="AV441" i="2"/>
  <c r="AV313" i="2"/>
  <c r="AT258" i="2"/>
  <c r="AS258" i="2"/>
  <c r="AW318" i="2"/>
  <c r="AU327" i="2"/>
  <c r="AW327" i="2"/>
  <c r="AV327" i="2"/>
  <c r="AW313" i="2"/>
  <c r="AV316" i="2"/>
  <c r="AW260" i="2"/>
  <c r="AV260" i="2"/>
  <c r="AU432" i="2"/>
  <c r="AW432" i="2"/>
  <c r="AV432" i="2"/>
  <c r="AV318" i="2"/>
  <c r="AW236" i="2"/>
  <c r="AW316" i="2"/>
  <c r="AT208" i="2"/>
  <c r="AS208" i="2"/>
  <c r="AU208" i="2" s="1"/>
  <c r="AV236" i="2"/>
  <c r="AT270" i="2"/>
  <c r="AS270" i="2"/>
  <c r="AW209" i="2"/>
  <c r="AV209" i="2"/>
  <c r="AT256" i="2"/>
  <c r="AS256" i="2"/>
  <c r="AW207" i="2"/>
  <c r="AV207" i="2"/>
  <c r="AT262" i="2"/>
  <c r="AS262" i="2"/>
  <c r="AT276" i="2"/>
  <c r="AS276" i="2"/>
  <c r="AU233" i="2"/>
  <c r="AV233" i="2"/>
  <c r="AW233" i="2"/>
  <c r="AU301" i="2"/>
  <c r="AW301" i="2"/>
  <c r="AV301" i="2"/>
  <c r="AT213" i="2"/>
  <c r="AS213" i="2"/>
  <c r="AT215" i="2"/>
  <c r="AS215" i="2"/>
  <c r="AU215" i="2" s="1"/>
  <c r="AU304" i="2"/>
  <c r="AV304" i="2"/>
  <c r="AW304" i="2"/>
  <c r="AW214" i="2"/>
  <c r="AV214" i="2"/>
  <c r="AT157" i="2"/>
  <c r="AS157" i="2"/>
  <c r="AU157" i="2" s="1"/>
  <c r="AT272" i="2"/>
  <c r="AS272" i="2"/>
  <c r="AU234" i="2"/>
  <c r="AW234" i="2"/>
  <c r="AV234" i="2"/>
  <c r="AT212" i="2"/>
  <c r="AS212" i="2"/>
  <c r="AW211" i="2"/>
  <c r="AV211" i="2"/>
  <c r="AU302" i="2"/>
  <c r="AV302" i="2"/>
  <c r="AW302" i="2"/>
  <c r="AU305" i="2"/>
  <c r="AW305" i="2"/>
  <c r="AV305" i="2"/>
  <c r="AN130" i="2"/>
  <c r="AO130" i="2" s="1"/>
  <c r="AY113" i="2"/>
  <c r="AP156" i="2"/>
  <c r="AR157" i="2"/>
  <c r="AN125" i="2"/>
  <c r="AO125" i="2" s="1"/>
  <c r="AR125" i="2" s="1"/>
  <c r="AN139" i="2"/>
  <c r="AO139" i="2" s="1"/>
  <c r="AN57" i="2"/>
  <c r="AO57" i="2" s="1"/>
  <c r="AR167" i="2"/>
  <c r="AP164" i="2"/>
  <c r="AN146" i="2"/>
  <c r="AO146" i="2" s="1"/>
  <c r="AR146" i="2" s="1"/>
  <c r="AN151" i="2"/>
  <c r="AO151" i="2" s="1"/>
  <c r="AP151" i="2" s="1"/>
  <c r="AP159" i="2"/>
  <c r="AR166" i="2"/>
  <c r="AP160" i="2"/>
  <c r="AR163" i="2"/>
  <c r="AP163" i="2"/>
  <c r="AX113" i="2"/>
  <c r="AO58" i="2"/>
  <c r="AP58" i="2" s="1"/>
  <c r="AI12" i="4"/>
  <c r="AJ12" i="4"/>
  <c r="AK33" i="2"/>
  <c r="AK34" i="2"/>
  <c r="AK32" i="2"/>
  <c r="AH33" i="2"/>
  <c r="AH34" i="2"/>
  <c r="AH32" i="2"/>
  <c r="AQ33" i="2"/>
  <c r="AM33" i="2"/>
  <c r="AQ34" i="2"/>
  <c r="AM34" i="2"/>
  <c r="AQ32" i="2"/>
  <c r="AM32" i="2"/>
  <c r="AW157" i="2" l="1"/>
  <c r="AV157" i="2"/>
  <c r="AU270" i="2"/>
  <c r="AV270" i="2"/>
  <c r="AW270" i="2"/>
  <c r="AU274" i="2"/>
  <c r="AW274" i="2"/>
  <c r="AV274" i="2"/>
  <c r="AT160" i="2"/>
  <c r="AS160" i="2"/>
  <c r="AV166" i="2"/>
  <c r="AW166" i="2"/>
  <c r="AT159" i="2"/>
  <c r="AS159" i="2"/>
  <c r="AU213" i="2"/>
  <c r="AV213" i="2"/>
  <c r="AW213" i="2"/>
  <c r="AV208" i="2"/>
  <c r="AU271" i="2"/>
  <c r="AV271" i="2"/>
  <c r="AW271" i="2"/>
  <c r="AT163" i="2"/>
  <c r="AS163" i="2"/>
  <c r="AU163" i="2" s="1"/>
  <c r="AT164" i="2"/>
  <c r="AS164" i="2"/>
  <c r="AU272" i="2"/>
  <c r="AV272" i="2"/>
  <c r="AW272" i="2"/>
  <c r="AW208" i="2"/>
  <c r="AU264" i="2"/>
  <c r="AV264" i="2"/>
  <c r="AW264" i="2"/>
  <c r="AV167" i="2"/>
  <c r="AW167" i="2"/>
  <c r="AT151" i="2"/>
  <c r="AS151" i="2"/>
  <c r="AU151" i="2" s="1"/>
  <c r="AW215" i="2"/>
  <c r="AT156" i="2"/>
  <c r="AS156" i="2"/>
  <c r="AU276" i="2"/>
  <c r="AV276" i="2"/>
  <c r="AW276" i="2"/>
  <c r="AT58" i="2"/>
  <c r="AS58" i="2"/>
  <c r="AU58" i="2" s="1"/>
  <c r="AU256" i="2"/>
  <c r="AW256" i="2"/>
  <c r="AV256" i="2"/>
  <c r="AW216" i="2"/>
  <c r="AV215" i="2"/>
  <c r="AV210" i="2"/>
  <c r="AU212" i="2"/>
  <c r="AW212" i="2"/>
  <c r="AV212" i="2"/>
  <c r="AU262" i="2"/>
  <c r="AW262" i="2"/>
  <c r="AV262" i="2"/>
  <c r="AU258" i="2"/>
  <c r="AW258" i="2"/>
  <c r="AV258" i="2"/>
  <c r="AV216" i="2"/>
  <c r="AW210" i="2"/>
  <c r="AP125" i="2"/>
  <c r="AR130" i="2"/>
  <c r="AP130" i="2"/>
  <c r="AN34" i="2"/>
  <c r="AO34" i="2" s="1"/>
  <c r="AR34" i="2" s="1"/>
  <c r="AN33" i="2"/>
  <c r="AO33" i="2" s="1"/>
  <c r="AR33" i="2" s="1"/>
  <c r="AR139" i="2"/>
  <c r="AP139" i="2"/>
  <c r="AR151" i="2"/>
  <c r="AR58" i="2"/>
  <c r="AP146" i="2"/>
  <c r="AR57" i="2"/>
  <c r="AP57" i="2"/>
  <c r="AN32" i="2"/>
  <c r="AO32" i="2" s="1"/>
  <c r="AR32" i="2" s="1"/>
  <c r="AK191" i="2"/>
  <c r="AK188" i="2"/>
  <c r="AH191" i="2"/>
  <c r="AN191" i="2" s="1"/>
  <c r="AO191" i="2" s="1"/>
  <c r="AH188" i="2"/>
  <c r="AQ195" i="2"/>
  <c r="AN195" i="2"/>
  <c r="AM195" i="2"/>
  <c r="AJ47" i="4"/>
  <c r="AQ200" i="2"/>
  <c r="AN200" i="2"/>
  <c r="AM200" i="2"/>
  <c r="AV163" i="2" l="1"/>
  <c r="AU160" i="2"/>
  <c r="AV160" i="2"/>
  <c r="AW160" i="2"/>
  <c r="AT57" i="2"/>
  <c r="AS57" i="2"/>
  <c r="AU57" i="2" s="1"/>
  <c r="AU156" i="2"/>
  <c r="AV156" i="2"/>
  <c r="AW156" i="2"/>
  <c r="AT125" i="2"/>
  <c r="AS125" i="2"/>
  <c r="AT146" i="2"/>
  <c r="AS146" i="2"/>
  <c r="AT130" i="2"/>
  <c r="AS130" i="2"/>
  <c r="AU130" i="2" s="1"/>
  <c r="AV58" i="2"/>
  <c r="AW58" i="2"/>
  <c r="AU164" i="2"/>
  <c r="AW164" i="2"/>
  <c r="AV164" i="2"/>
  <c r="AW163" i="2"/>
  <c r="AT139" i="2"/>
  <c r="AS139" i="2"/>
  <c r="AU139" i="2" s="1"/>
  <c r="AU159" i="2"/>
  <c r="AW159" i="2"/>
  <c r="AV159" i="2"/>
  <c r="AV151" i="2"/>
  <c r="AW151" i="2"/>
  <c r="AR191" i="2"/>
  <c r="AP191" i="2"/>
  <c r="AP34" i="2"/>
  <c r="AP33" i="2"/>
  <c r="AP32" i="2"/>
  <c r="AO195" i="2"/>
  <c r="AR195" i="2" s="1"/>
  <c r="AO200" i="2"/>
  <c r="AR200" i="2" s="1"/>
  <c r="AI94" i="4"/>
  <c r="AJ94" i="4"/>
  <c r="AI95" i="4"/>
  <c r="AJ95" i="4"/>
  <c r="AQ376" i="2"/>
  <c r="AN376" i="2"/>
  <c r="AM376" i="2"/>
  <c r="AQ375" i="2"/>
  <c r="AN375" i="2"/>
  <c r="AM375" i="2"/>
  <c r="AQ374" i="2"/>
  <c r="AN374" i="2"/>
  <c r="AM374" i="2"/>
  <c r="AQ372" i="2"/>
  <c r="AN372" i="2"/>
  <c r="AM372" i="2"/>
  <c r="AQ371" i="2"/>
  <c r="AN371" i="2"/>
  <c r="AM371" i="2"/>
  <c r="AI43" i="4"/>
  <c r="AJ43" i="4"/>
  <c r="AQ180" i="2"/>
  <c r="AN180" i="2"/>
  <c r="AM180" i="2"/>
  <c r="AU146" i="2" l="1"/>
  <c r="AV146" i="2"/>
  <c r="AW146" i="2"/>
  <c r="AT32" i="2"/>
  <c r="AS32" i="2"/>
  <c r="AU125" i="2"/>
  <c r="AW125" i="2"/>
  <c r="AV125" i="2"/>
  <c r="AW130" i="2"/>
  <c r="AV57" i="2"/>
  <c r="AV130" i="2"/>
  <c r="AT34" i="2"/>
  <c r="AS34" i="2"/>
  <c r="AT191" i="2"/>
  <c r="AS191" i="2"/>
  <c r="AU191" i="2" s="1"/>
  <c r="AW57" i="2"/>
  <c r="AW191" i="2"/>
  <c r="AV191" i="2"/>
  <c r="AV139" i="2"/>
  <c r="AW139" i="2"/>
  <c r="AT33" i="2"/>
  <c r="AS33" i="2"/>
  <c r="AP195" i="2"/>
  <c r="AP200" i="2"/>
  <c r="AT200" i="2" s="1"/>
  <c r="AO372" i="2"/>
  <c r="AP372" i="2" s="1"/>
  <c r="AO371" i="2"/>
  <c r="AR371" i="2" s="1"/>
  <c r="AO376" i="2"/>
  <c r="AR376" i="2" s="1"/>
  <c r="AO375" i="2"/>
  <c r="AP375" i="2" s="1"/>
  <c r="AO374" i="2"/>
  <c r="AR374" i="2" s="1"/>
  <c r="AO180" i="2"/>
  <c r="AR180" i="2" s="1"/>
  <c r="AK171" i="2"/>
  <c r="AN171" i="2" s="1"/>
  <c r="AK172" i="2"/>
  <c r="AK173" i="2"/>
  <c r="AK174" i="2"/>
  <c r="AK175" i="2"/>
  <c r="AK176" i="2"/>
  <c r="AK177" i="2"/>
  <c r="AK178" i="2"/>
  <c r="AK170" i="2"/>
  <c r="AH171" i="2"/>
  <c r="AH172" i="2"/>
  <c r="AH173" i="2"/>
  <c r="AH174" i="2"/>
  <c r="AH175" i="2"/>
  <c r="AH176" i="2"/>
  <c r="AH177" i="2"/>
  <c r="AH178" i="2"/>
  <c r="AH170" i="2"/>
  <c r="AQ178" i="2"/>
  <c r="AM178" i="2"/>
  <c r="AQ177" i="2"/>
  <c r="AM177" i="2"/>
  <c r="AQ175" i="2"/>
  <c r="AM175" i="2"/>
  <c r="AQ174" i="2"/>
  <c r="AM174" i="2"/>
  <c r="AQ172" i="2"/>
  <c r="AM172" i="2"/>
  <c r="AQ171" i="2"/>
  <c r="AM171" i="2"/>
  <c r="AN175" i="2" l="1"/>
  <c r="AO175" i="2" s="1"/>
  <c r="AR175" i="2" s="1"/>
  <c r="AT375" i="2"/>
  <c r="AS375" i="2"/>
  <c r="AU375" i="2" s="1"/>
  <c r="AU32" i="2"/>
  <c r="AV32" i="2"/>
  <c r="AW32" i="2"/>
  <c r="AU34" i="2"/>
  <c r="AW34" i="2"/>
  <c r="AV34" i="2"/>
  <c r="AT195" i="2"/>
  <c r="AS195" i="2"/>
  <c r="AT372" i="2"/>
  <c r="AS372" i="2"/>
  <c r="AU372" i="2" s="1"/>
  <c r="AU33" i="2"/>
  <c r="AW33" i="2"/>
  <c r="AV33" i="2"/>
  <c r="AP376" i="2"/>
  <c r="AP374" i="2"/>
  <c r="AR375" i="2"/>
  <c r="AR372" i="2"/>
  <c r="AP371" i="2"/>
  <c r="AN172" i="2"/>
  <c r="AO172" i="2" s="1"/>
  <c r="AR172" i="2" s="1"/>
  <c r="AN178" i="2"/>
  <c r="AO178" i="2" s="1"/>
  <c r="AP178" i="2" s="1"/>
  <c r="AP180" i="2"/>
  <c r="AN174" i="2"/>
  <c r="AO174" i="2" s="1"/>
  <c r="AR174" i="2" s="1"/>
  <c r="AN177" i="2"/>
  <c r="AO177" i="2" s="1"/>
  <c r="AR177" i="2" s="1"/>
  <c r="AO171" i="2"/>
  <c r="AR171" i="2" s="1"/>
  <c r="AH155" i="2"/>
  <c r="AK155" i="2"/>
  <c r="AI41" i="4"/>
  <c r="AJ41" i="4"/>
  <c r="AI42" i="4"/>
  <c r="AJ42" i="4"/>
  <c r="AQ153" i="2"/>
  <c r="AN153" i="2"/>
  <c r="AM153" i="2"/>
  <c r="AQ152" i="2"/>
  <c r="AN152" i="2"/>
  <c r="AM152" i="2"/>
  <c r="AQ150" i="2"/>
  <c r="AN150" i="2"/>
  <c r="AM150" i="2"/>
  <c r="AQ148" i="2"/>
  <c r="AN148" i="2"/>
  <c r="AM148" i="2"/>
  <c r="AQ147" i="2"/>
  <c r="AN147" i="2"/>
  <c r="AM147" i="2"/>
  <c r="AI40" i="4"/>
  <c r="AJ40" i="4"/>
  <c r="AT178" i="2" l="1"/>
  <c r="AS178" i="2"/>
  <c r="AU178" i="2" s="1"/>
  <c r="AT376" i="2"/>
  <c r="AS376" i="2"/>
  <c r="AW372" i="2"/>
  <c r="AV372" i="2"/>
  <c r="AT180" i="2"/>
  <c r="AS180" i="2"/>
  <c r="AT371" i="2"/>
  <c r="AS371" i="2"/>
  <c r="AW375" i="2"/>
  <c r="AV375" i="2"/>
  <c r="AU195" i="2"/>
  <c r="AW195" i="2"/>
  <c r="AV195" i="2"/>
  <c r="AT374" i="2"/>
  <c r="AS374" i="2"/>
  <c r="AR178" i="2"/>
  <c r="AP177" i="2"/>
  <c r="AP172" i="2"/>
  <c r="AP175" i="2"/>
  <c r="AP174" i="2"/>
  <c r="AP171" i="2"/>
  <c r="AO152" i="2"/>
  <c r="AP152" i="2" s="1"/>
  <c r="AO153" i="2"/>
  <c r="AP153" i="2" s="1"/>
  <c r="AO150" i="2"/>
  <c r="AR150" i="2" s="1"/>
  <c r="AO147" i="2"/>
  <c r="AR147" i="2" s="1"/>
  <c r="AO148" i="2"/>
  <c r="AR148" i="2" s="1"/>
  <c r="AI39" i="4"/>
  <c r="AJ39" i="4"/>
  <c r="AQ134" i="2"/>
  <c r="AN134" i="2"/>
  <c r="AM134" i="2"/>
  <c r="AI36" i="4"/>
  <c r="AJ36" i="4"/>
  <c r="AI37" i="4"/>
  <c r="AJ37" i="4"/>
  <c r="AQ131" i="2"/>
  <c r="AN131" i="2"/>
  <c r="AM131" i="2"/>
  <c r="AQ129" i="2"/>
  <c r="AN129" i="2"/>
  <c r="AM129" i="2"/>
  <c r="AQ128" i="2"/>
  <c r="AN128" i="2"/>
  <c r="AM128" i="2"/>
  <c r="AQ126" i="2"/>
  <c r="AN126" i="2"/>
  <c r="AM126" i="2"/>
  <c r="AQ124" i="2"/>
  <c r="AN124" i="2"/>
  <c r="AI26" i="4"/>
  <c r="AJ26" i="4"/>
  <c r="AI27" i="4"/>
  <c r="AJ27" i="4"/>
  <c r="AI38" i="4"/>
  <c r="AJ38" i="4"/>
  <c r="AM118" i="2"/>
  <c r="AN118" i="2"/>
  <c r="AQ118" i="2"/>
  <c r="AM119" i="2"/>
  <c r="AN119" i="2"/>
  <c r="AQ119" i="2"/>
  <c r="AM120" i="2"/>
  <c r="AN120" i="2"/>
  <c r="AQ120" i="2"/>
  <c r="AM121" i="2"/>
  <c r="AN121" i="2"/>
  <c r="AQ121" i="2"/>
  <c r="AN104" i="2"/>
  <c r="AN105" i="2"/>
  <c r="AN106" i="2"/>
  <c r="AN107" i="2"/>
  <c r="AN111" i="2"/>
  <c r="AN112" i="2"/>
  <c r="AN103" i="2"/>
  <c r="AN100" i="2"/>
  <c r="AN101" i="2"/>
  <c r="AN102" i="2"/>
  <c r="AH115" i="2"/>
  <c r="AM109" i="2"/>
  <c r="AM111" i="2"/>
  <c r="AM114" i="2"/>
  <c r="AM115" i="2"/>
  <c r="AH114" i="2"/>
  <c r="AK115" i="2"/>
  <c r="AK114" i="2"/>
  <c r="AQ115" i="2"/>
  <c r="AT153" i="2" l="1"/>
  <c r="AS153" i="2"/>
  <c r="AU153" i="2" s="1"/>
  <c r="AT175" i="2"/>
  <c r="AS175" i="2"/>
  <c r="AT172" i="2"/>
  <c r="AS172" i="2"/>
  <c r="AT177" i="2"/>
  <c r="AS177" i="2"/>
  <c r="AW178" i="2"/>
  <c r="AV178" i="2"/>
  <c r="AU371" i="2"/>
  <c r="AW371" i="2"/>
  <c r="AV371" i="2"/>
  <c r="AU376" i="2"/>
  <c r="AW376" i="2"/>
  <c r="AV376" i="2"/>
  <c r="AT171" i="2"/>
  <c r="AS171" i="2"/>
  <c r="AU374" i="2"/>
  <c r="AW374" i="2"/>
  <c r="AV374" i="2"/>
  <c r="AT152" i="2"/>
  <c r="AS152" i="2"/>
  <c r="AU152" i="2" s="1"/>
  <c r="AT174" i="2"/>
  <c r="AS174" i="2"/>
  <c r="AU180" i="2"/>
  <c r="AV180" i="2"/>
  <c r="AW180" i="2"/>
  <c r="AR153" i="2"/>
  <c r="AO118" i="2"/>
  <c r="AR118" i="2" s="1"/>
  <c r="AP150" i="2"/>
  <c r="AR152" i="2"/>
  <c r="AP147" i="2"/>
  <c r="AN115" i="2"/>
  <c r="AO115" i="2" s="1"/>
  <c r="AR115" i="2" s="1"/>
  <c r="AP148" i="2"/>
  <c r="AN114" i="2"/>
  <c r="AO121" i="2"/>
  <c r="AP121" i="2" s="1"/>
  <c r="AO131" i="2"/>
  <c r="AR131" i="2" s="1"/>
  <c r="AO128" i="2"/>
  <c r="AP128" i="2" s="1"/>
  <c r="AO134" i="2"/>
  <c r="AR134" i="2" s="1"/>
  <c r="AO124" i="2"/>
  <c r="AR124" i="2" s="1"/>
  <c r="AO129" i="2"/>
  <c r="AR129" i="2" s="1"/>
  <c r="AO126" i="2"/>
  <c r="AR126" i="2" s="1"/>
  <c r="AO120" i="2"/>
  <c r="AR120" i="2" s="1"/>
  <c r="AO119" i="2"/>
  <c r="AR119" i="2" s="1"/>
  <c r="AI108" i="2"/>
  <c r="AH108" i="2" s="1"/>
  <c r="AL109" i="2"/>
  <c r="AK109" i="2" s="1"/>
  <c r="AN109" i="2" s="1"/>
  <c r="AL108" i="2"/>
  <c r="AK108" i="2" s="1"/>
  <c r="AQ108" i="2"/>
  <c r="AM108" i="2"/>
  <c r="AQ107" i="2"/>
  <c r="AM107" i="2"/>
  <c r="AQ106" i="2"/>
  <c r="AM106" i="2"/>
  <c r="AQ105" i="2"/>
  <c r="AM105" i="2"/>
  <c r="AW153" i="2" l="1"/>
  <c r="AV153" i="2"/>
  <c r="AT128" i="2"/>
  <c r="AS128" i="2"/>
  <c r="AU128" i="2" s="1"/>
  <c r="AU175" i="2"/>
  <c r="AW175" i="2"/>
  <c r="AV175" i="2"/>
  <c r="AU171" i="2"/>
  <c r="AV171" i="2"/>
  <c r="AW171" i="2"/>
  <c r="AT121" i="2"/>
  <c r="AS121" i="2"/>
  <c r="AU121" i="2" s="1"/>
  <c r="AT148" i="2"/>
  <c r="AS148" i="2"/>
  <c r="AU177" i="2"/>
  <c r="AV177" i="2"/>
  <c r="AW177" i="2"/>
  <c r="AU172" i="2"/>
  <c r="AW172" i="2"/>
  <c r="AV172" i="2"/>
  <c r="AP118" i="2"/>
  <c r="AU174" i="2"/>
  <c r="AW174" i="2"/>
  <c r="AV174" i="2"/>
  <c r="AT147" i="2"/>
  <c r="AS147" i="2"/>
  <c r="AP129" i="2"/>
  <c r="AW152" i="2"/>
  <c r="AV152" i="2"/>
  <c r="AT150" i="2"/>
  <c r="AS150" i="2"/>
  <c r="AR121" i="2"/>
  <c r="AP131" i="2"/>
  <c r="AP124" i="2"/>
  <c r="AP115" i="2"/>
  <c r="AR128" i="2"/>
  <c r="AN108" i="2"/>
  <c r="AO108" i="2" s="1"/>
  <c r="AP108" i="2" s="1"/>
  <c r="AP119" i="2"/>
  <c r="AP120" i="2"/>
  <c r="AP134" i="2"/>
  <c r="AP126" i="2"/>
  <c r="AO105" i="2"/>
  <c r="AP105" i="2" s="1"/>
  <c r="AT105" i="2" s="1"/>
  <c r="AO106" i="2"/>
  <c r="AR106" i="2" s="1"/>
  <c r="AO107" i="2"/>
  <c r="AR107" i="2" s="1"/>
  <c r="AQ103" i="2"/>
  <c r="AQ101" i="2"/>
  <c r="AM101" i="2"/>
  <c r="AQ102" i="2"/>
  <c r="AH92" i="2"/>
  <c r="AH93" i="2"/>
  <c r="AH94" i="2"/>
  <c r="AH96" i="2"/>
  <c r="AH97" i="2"/>
  <c r="AH98" i="2"/>
  <c r="AK98" i="2"/>
  <c r="AK97" i="2"/>
  <c r="AK96" i="2"/>
  <c r="AK94" i="2"/>
  <c r="AK93" i="2"/>
  <c r="AK92" i="2"/>
  <c r="AH89" i="2"/>
  <c r="AH90" i="2"/>
  <c r="AK89" i="2"/>
  <c r="AK90" i="2"/>
  <c r="AK88" i="2"/>
  <c r="AH88" i="2"/>
  <c r="AQ98" i="2"/>
  <c r="AM98" i="2"/>
  <c r="AQ97" i="2"/>
  <c r="AM97" i="2"/>
  <c r="AQ94" i="2"/>
  <c r="AM94" i="2"/>
  <c r="AQ93" i="2"/>
  <c r="AM93" i="2"/>
  <c r="AQ90" i="2"/>
  <c r="AM90" i="2"/>
  <c r="AQ89" i="2"/>
  <c r="AM89" i="2"/>
  <c r="AQ86" i="2"/>
  <c r="AN86" i="2"/>
  <c r="AM86" i="2"/>
  <c r="AI25" i="4"/>
  <c r="AJ25" i="4"/>
  <c r="AI24" i="4"/>
  <c r="AJ24" i="4"/>
  <c r="AH80" i="2"/>
  <c r="AH81" i="2"/>
  <c r="AH82" i="2"/>
  <c r="AH79" i="2"/>
  <c r="AM76" i="2"/>
  <c r="AM77" i="2"/>
  <c r="AM79" i="2"/>
  <c r="AM80" i="2"/>
  <c r="AM81" i="2"/>
  <c r="AM82" i="2"/>
  <c r="AH75" i="2"/>
  <c r="AH76" i="2"/>
  <c r="AH77" i="2"/>
  <c r="AH74" i="2"/>
  <c r="AK81" i="2"/>
  <c r="AK82" i="2"/>
  <c r="AK80" i="2"/>
  <c r="AK79" i="2"/>
  <c r="AK75" i="2"/>
  <c r="AK76" i="2"/>
  <c r="AK77" i="2"/>
  <c r="AK74" i="2"/>
  <c r="AQ69" i="2"/>
  <c r="AN69" i="2"/>
  <c r="AO69" i="2" s="1"/>
  <c r="AN93" i="2" l="1"/>
  <c r="AO93" i="2" s="1"/>
  <c r="AR93" i="2" s="1"/>
  <c r="AT119" i="2"/>
  <c r="AS119" i="2"/>
  <c r="AT118" i="2"/>
  <c r="AS118" i="2"/>
  <c r="AW128" i="2"/>
  <c r="AV128" i="2"/>
  <c r="AU147" i="2"/>
  <c r="AW147" i="2"/>
  <c r="AV147" i="2"/>
  <c r="AU148" i="2"/>
  <c r="AV148" i="2"/>
  <c r="AW148" i="2"/>
  <c r="AT126" i="2"/>
  <c r="AS126" i="2"/>
  <c r="AT134" i="2"/>
  <c r="AS134" i="2"/>
  <c r="AT120" i="2"/>
  <c r="AS120" i="2"/>
  <c r="AT115" i="2"/>
  <c r="AS115" i="2"/>
  <c r="AT124" i="2"/>
  <c r="AS124" i="2"/>
  <c r="AT129" i="2"/>
  <c r="AS129" i="2"/>
  <c r="AT131" i="2"/>
  <c r="AS131" i="2"/>
  <c r="AT108" i="2"/>
  <c r="AS108" i="2"/>
  <c r="AU108" i="2" s="1"/>
  <c r="AW121" i="2"/>
  <c r="AV121" i="2"/>
  <c r="AU150" i="2"/>
  <c r="AV150" i="2"/>
  <c r="AW150" i="2"/>
  <c r="AN94" i="2"/>
  <c r="AO94" i="2" s="1"/>
  <c r="AR94" i="2" s="1"/>
  <c r="AP107" i="2"/>
  <c r="AT107" i="2" s="1"/>
  <c r="AR105" i="2"/>
  <c r="AN97" i="2"/>
  <c r="AO97" i="2" s="1"/>
  <c r="AR97" i="2" s="1"/>
  <c r="AP106" i="2"/>
  <c r="AT106" i="2" s="1"/>
  <c r="AN98" i="2"/>
  <c r="AO98" i="2" s="1"/>
  <c r="AR98" i="2" s="1"/>
  <c r="AN90" i="2"/>
  <c r="AO90" i="2" s="1"/>
  <c r="AR90" i="2" s="1"/>
  <c r="AN89" i="2"/>
  <c r="AO89" i="2" s="1"/>
  <c r="AR89" i="2" s="1"/>
  <c r="AR108" i="2"/>
  <c r="AO103" i="2"/>
  <c r="AR103" i="2" s="1"/>
  <c r="AO101" i="2"/>
  <c r="AP101" i="2" s="1"/>
  <c r="AO102" i="2"/>
  <c r="AR102" i="2" s="1"/>
  <c r="AO86" i="2"/>
  <c r="AP86" i="2" s="1"/>
  <c r="AR69" i="2"/>
  <c r="AP69" i="2"/>
  <c r="AJ20" i="4"/>
  <c r="AI20" i="4"/>
  <c r="AI19" i="4"/>
  <c r="AJ19" i="4"/>
  <c r="AH66" i="2"/>
  <c r="AH62" i="2"/>
  <c r="AK66" i="2"/>
  <c r="AK62" i="2"/>
  <c r="AH65" i="2"/>
  <c r="AH61" i="2"/>
  <c r="AK65" i="2"/>
  <c r="AK61" i="2"/>
  <c r="AH64" i="2"/>
  <c r="AH60" i="2"/>
  <c r="AK64" i="2"/>
  <c r="AK60" i="2"/>
  <c r="AQ66" i="2"/>
  <c r="AM66" i="2"/>
  <c r="AQ65" i="2"/>
  <c r="AM65" i="2"/>
  <c r="AQ62" i="2"/>
  <c r="AM62" i="2"/>
  <c r="AQ61" i="2"/>
  <c r="AM61" i="2"/>
  <c r="AQ64" i="2"/>
  <c r="AM64" i="2"/>
  <c r="AU124" i="2" l="1"/>
  <c r="AW124" i="2"/>
  <c r="AV124" i="2"/>
  <c r="AU115" i="2"/>
  <c r="AV115" i="2"/>
  <c r="AW115" i="2"/>
  <c r="AU129" i="2"/>
  <c r="AV129" i="2"/>
  <c r="AW129" i="2"/>
  <c r="AT101" i="2"/>
  <c r="AS101" i="2"/>
  <c r="AU101" i="2" s="1"/>
  <c r="AW108" i="2"/>
  <c r="AV108" i="2"/>
  <c r="AU120" i="2"/>
  <c r="AW120" i="2"/>
  <c r="AV120" i="2"/>
  <c r="AT86" i="2"/>
  <c r="AS86" i="2"/>
  <c r="AU86" i="2" s="1"/>
  <c r="AU134" i="2"/>
  <c r="AW134" i="2"/>
  <c r="AV134" i="2"/>
  <c r="AU118" i="2"/>
  <c r="AW118" i="2"/>
  <c r="AV118" i="2"/>
  <c r="AU131" i="2"/>
  <c r="AW131" i="2"/>
  <c r="AV131" i="2"/>
  <c r="AU126" i="2"/>
  <c r="AV126" i="2"/>
  <c r="AW126" i="2"/>
  <c r="AU119" i="2"/>
  <c r="AW119" i="2"/>
  <c r="AV119" i="2"/>
  <c r="AT69" i="2"/>
  <c r="AS69" i="2"/>
  <c r="AU69" i="2" s="1"/>
  <c r="AP103" i="2"/>
  <c r="AR86" i="2"/>
  <c r="AR101" i="2"/>
  <c r="AN64" i="2"/>
  <c r="AO64" i="2" s="1"/>
  <c r="AP64" i="2" s="1"/>
  <c r="AN66" i="2"/>
  <c r="AO66" i="2" s="1"/>
  <c r="AR66" i="2" s="1"/>
  <c r="AN62" i="2"/>
  <c r="AO62" i="2" s="1"/>
  <c r="AR62" i="2" s="1"/>
  <c r="AN65" i="2"/>
  <c r="AO65" i="2" s="1"/>
  <c r="AR65" i="2" s="1"/>
  <c r="AP89" i="2"/>
  <c r="AP94" i="2"/>
  <c r="AP97" i="2"/>
  <c r="AP98" i="2"/>
  <c r="AP102" i="2"/>
  <c r="AP93" i="2"/>
  <c r="AP90" i="2"/>
  <c r="AN61" i="2"/>
  <c r="AO61" i="2" s="1"/>
  <c r="AP61" i="2" s="1"/>
  <c r="AI23" i="4"/>
  <c r="AJ23" i="4"/>
  <c r="AQ72" i="2"/>
  <c r="AN72" i="2"/>
  <c r="AM72" i="2"/>
  <c r="AQ71" i="2"/>
  <c r="AN71" i="2"/>
  <c r="AM71" i="2"/>
  <c r="AI16" i="4"/>
  <c r="AJ16" i="4"/>
  <c r="AI17" i="4"/>
  <c r="AJ17" i="4"/>
  <c r="AI18" i="4"/>
  <c r="AJ18" i="4"/>
  <c r="AI15" i="4"/>
  <c r="AJ15" i="4"/>
  <c r="AG41" i="2"/>
  <c r="AJ47" i="2"/>
  <c r="AJ41" i="2"/>
  <c r="AG47" i="2"/>
  <c r="AG46" i="2"/>
  <c r="AJ46" i="2"/>
  <c r="AG40" i="2"/>
  <c r="AJ40" i="2"/>
  <c r="AJ45" i="2"/>
  <c r="AJ44" i="2"/>
  <c r="AG45" i="2"/>
  <c r="AG44" i="2"/>
  <c r="AJ39" i="2"/>
  <c r="AG39" i="2"/>
  <c r="AX39" i="2" s="1"/>
  <c r="AJ38" i="2"/>
  <c r="AG38" i="2"/>
  <c r="AW69" i="2" l="1"/>
  <c r="AV69" i="2"/>
  <c r="AW101" i="2"/>
  <c r="AV101" i="2"/>
  <c r="AT61" i="2"/>
  <c r="AS61" i="2"/>
  <c r="AU61" i="2" s="1"/>
  <c r="AT93" i="2"/>
  <c r="AS93" i="2"/>
  <c r="AT98" i="2"/>
  <c r="AS98" i="2"/>
  <c r="AT64" i="2"/>
  <c r="AS64" i="2"/>
  <c r="AU64" i="2" s="1"/>
  <c r="AT103" i="2"/>
  <c r="AS103" i="2"/>
  <c r="AT102" i="2"/>
  <c r="AS102" i="2"/>
  <c r="AT97" i="2"/>
  <c r="AS97" i="2"/>
  <c r="AT90" i="2"/>
  <c r="AS90" i="2"/>
  <c r="AT94" i="2"/>
  <c r="AS94" i="2"/>
  <c r="AW86" i="2"/>
  <c r="AV86" i="2"/>
  <c r="AT89" i="2"/>
  <c r="AS89" i="2"/>
  <c r="AX38" i="2"/>
  <c r="AY38" i="2"/>
  <c r="AO71" i="2"/>
  <c r="AP71" i="2" s="1"/>
  <c r="AP65" i="2"/>
  <c r="AP66" i="2"/>
  <c r="AX41" i="2"/>
  <c r="AP62" i="2"/>
  <c r="AR61" i="2"/>
  <c r="AR64" i="2"/>
  <c r="AO72" i="2"/>
  <c r="AR72" i="2" s="1"/>
  <c r="AY44" i="2"/>
  <c r="AY45" i="2"/>
  <c r="AY41" i="2"/>
  <c r="AY40" i="2"/>
  <c r="AY39" i="2"/>
  <c r="AX40" i="2"/>
  <c r="AX45" i="2"/>
  <c r="AX44" i="2"/>
  <c r="AM43" i="2"/>
  <c r="AQ43" i="2"/>
  <c r="AM37" i="2"/>
  <c r="AQ37" i="2"/>
  <c r="AJ14" i="4"/>
  <c r="AI14" i="4"/>
  <c r="AI13" i="4"/>
  <c r="AJ13" i="4"/>
  <c r="AU98" i="2" l="1"/>
  <c r="AW98" i="2"/>
  <c r="AV98" i="2"/>
  <c r="AT65" i="2"/>
  <c r="AS65" i="2"/>
  <c r="AU93" i="2"/>
  <c r="AV93" i="2"/>
  <c r="AW93" i="2"/>
  <c r="AU103" i="2"/>
  <c r="AW103" i="2"/>
  <c r="AV103" i="2"/>
  <c r="AU94" i="2"/>
  <c r="AW94" i="2"/>
  <c r="AV94" i="2"/>
  <c r="AT66" i="2"/>
  <c r="AS66" i="2"/>
  <c r="AU90" i="2"/>
  <c r="AV90" i="2"/>
  <c r="AW90" i="2"/>
  <c r="AU102" i="2"/>
  <c r="AV102" i="2"/>
  <c r="AW102" i="2"/>
  <c r="AW64" i="2"/>
  <c r="AV64" i="2"/>
  <c r="AV61" i="2"/>
  <c r="AW61" i="2"/>
  <c r="AT71" i="2"/>
  <c r="AS71" i="2"/>
  <c r="AU71" i="2" s="1"/>
  <c r="AU97" i="2"/>
  <c r="AV97" i="2"/>
  <c r="AW97" i="2"/>
  <c r="AU89" i="2"/>
  <c r="AW89" i="2"/>
  <c r="AV89" i="2"/>
  <c r="AT62" i="2"/>
  <c r="AS62" i="2"/>
  <c r="AR71" i="2"/>
  <c r="AP72" i="2"/>
  <c r="AN43" i="2"/>
  <c r="AO43" i="2" s="1"/>
  <c r="AN37" i="2"/>
  <c r="AO37" i="2" s="1"/>
  <c r="AP37" i="2" s="1"/>
  <c r="AK17" i="2"/>
  <c r="AK18" i="2"/>
  <c r="AK19" i="2"/>
  <c r="AK15" i="2"/>
  <c r="AK16" i="2"/>
  <c r="AK14" i="2"/>
  <c r="AH14" i="2"/>
  <c r="AH15" i="2"/>
  <c r="AH16" i="2"/>
  <c r="AH18" i="2"/>
  <c r="AH19" i="2"/>
  <c r="AH17" i="2"/>
  <c r="AH5" i="2"/>
  <c r="AI8" i="4"/>
  <c r="AJ8" i="4"/>
  <c r="AI9" i="4"/>
  <c r="AJ9" i="4"/>
  <c r="AI10" i="4"/>
  <c r="AJ10" i="4"/>
  <c r="AI11" i="4"/>
  <c r="AJ11" i="4"/>
  <c r="AI7" i="4"/>
  <c r="AI4" i="4"/>
  <c r="AJ4" i="4"/>
  <c r="AI5" i="4"/>
  <c r="AJ5" i="4"/>
  <c r="AI6" i="4"/>
  <c r="AJ6" i="4"/>
  <c r="AJ7" i="4"/>
  <c r="AI2" i="4"/>
  <c r="AJ2" i="4"/>
  <c r="AI3" i="4"/>
  <c r="AJ3" i="4"/>
  <c r="AJ11" i="2"/>
  <c r="AJ10" i="2"/>
  <c r="AJ9" i="2"/>
  <c r="AJ8" i="2"/>
  <c r="AG11" i="2"/>
  <c r="AG10" i="2"/>
  <c r="AG9" i="2"/>
  <c r="AG8" i="2"/>
  <c r="AK6" i="2"/>
  <c r="AN6" i="2" s="1"/>
  <c r="AK5" i="2"/>
  <c r="AQ7" i="2"/>
  <c r="AM7" i="2"/>
  <c r="AN7" i="2"/>
  <c r="AQ6" i="2"/>
  <c r="AM6" i="2"/>
  <c r="AQ4" i="2"/>
  <c r="AM4" i="2"/>
  <c r="AH4" i="2"/>
  <c r="AN4" i="2" s="1"/>
  <c r="AQ3" i="2"/>
  <c r="AM3" i="2"/>
  <c r="AK3" i="2"/>
  <c r="AH3" i="2"/>
  <c r="AK2" i="2"/>
  <c r="AH2" i="2"/>
  <c r="AQ406" i="2"/>
  <c r="AM406" i="2"/>
  <c r="AQ405" i="2"/>
  <c r="AM405" i="2"/>
  <c r="AQ404" i="2"/>
  <c r="AM404" i="2"/>
  <c r="AQ402" i="2"/>
  <c r="AM402" i="2"/>
  <c r="AQ401" i="2"/>
  <c r="AM401" i="2"/>
  <c r="AQ400" i="2"/>
  <c r="AM400" i="2"/>
  <c r="AQ2" i="2"/>
  <c r="AQ5" i="2"/>
  <c r="AQ14" i="2"/>
  <c r="AQ15" i="2"/>
  <c r="AQ16" i="2"/>
  <c r="AQ17" i="2"/>
  <c r="AQ18" i="2"/>
  <c r="AQ19" i="2"/>
  <c r="AQ28" i="2"/>
  <c r="AQ29" i="2"/>
  <c r="AQ30" i="2"/>
  <c r="AQ31" i="2"/>
  <c r="AQ48" i="2"/>
  <c r="AQ51" i="2"/>
  <c r="AQ54" i="2"/>
  <c r="AQ55" i="2"/>
  <c r="AQ60" i="2"/>
  <c r="AQ68" i="2"/>
  <c r="AQ70" i="2"/>
  <c r="AQ74" i="2"/>
  <c r="AQ75" i="2"/>
  <c r="AQ76" i="2"/>
  <c r="AQ77" i="2"/>
  <c r="AQ79" i="2"/>
  <c r="AQ80" i="2"/>
  <c r="AQ81" i="2"/>
  <c r="AQ82" i="2"/>
  <c r="AQ84" i="2"/>
  <c r="AQ88" i="2"/>
  <c r="AQ92" i="2"/>
  <c r="AQ96" i="2"/>
  <c r="AQ100" i="2"/>
  <c r="AQ104" i="2"/>
  <c r="AQ109" i="2"/>
  <c r="AQ111" i="2"/>
  <c r="AQ112" i="2"/>
  <c r="AQ114" i="2"/>
  <c r="AQ123" i="2"/>
  <c r="AQ133" i="2"/>
  <c r="AQ136" i="2"/>
  <c r="AQ137" i="2"/>
  <c r="AQ138" i="2"/>
  <c r="AQ145" i="2"/>
  <c r="AQ155" i="2"/>
  <c r="AQ170" i="2"/>
  <c r="AQ173" i="2"/>
  <c r="AQ176" i="2"/>
  <c r="AQ179" i="2"/>
  <c r="AQ188" i="2"/>
  <c r="AQ194" i="2"/>
  <c r="AQ217" i="2"/>
  <c r="AQ219" i="2"/>
  <c r="AQ221" i="2"/>
  <c r="AQ223" i="2"/>
  <c r="AQ225" i="2"/>
  <c r="AQ227" i="2"/>
  <c r="AQ254" i="2"/>
  <c r="AQ269" i="2"/>
  <c r="AQ279" i="2"/>
  <c r="AQ284" i="2"/>
  <c r="AQ287" i="2"/>
  <c r="AQ296" i="2"/>
  <c r="AQ320" i="2"/>
  <c r="AQ337" i="2"/>
  <c r="AQ339" i="2"/>
  <c r="AQ342" i="2"/>
  <c r="AQ345" i="2"/>
  <c r="AQ348" i="2"/>
  <c r="AQ370" i="2"/>
  <c r="AQ388" i="2"/>
  <c r="AQ392" i="2"/>
  <c r="AQ399" i="2"/>
  <c r="AQ403" i="2"/>
  <c r="AN28" i="2"/>
  <c r="AN29" i="2"/>
  <c r="AN30" i="2"/>
  <c r="AN31" i="2"/>
  <c r="AN48" i="2"/>
  <c r="AN51" i="2"/>
  <c r="AN54" i="2"/>
  <c r="AN55" i="2"/>
  <c r="AN60" i="2"/>
  <c r="AN68" i="2"/>
  <c r="AO68" i="2" s="1"/>
  <c r="AN70" i="2"/>
  <c r="AN74" i="2"/>
  <c r="AN75" i="2"/>
  <c r="AN76" i="2"/>
  <c r="AN77" i="2"/>
  <c r="AN79" i="2"/>
  <c r="AN80" i="2"/>
  <c r="AN81" i="2"/>
  <c r="AN82" i="2"/>
  <c r="AN84" i="2"/>
  <c r="AN88" i="2"/>
  <c r="AN92" i="2"/>
  <c r="AN96" i="2"/>
  <c r="AN123" i="2"/>
  <c r="AN133" i="2"/>
  <c r="AN136" i="2"/>
  <c r="AN137" i="2"/>
  <c r="AN138" i="2"/>
  <c r="AN145" i="2"/>
  <c r="AN155" i="2"/>
  <c r="AN170" i="2"/>
  <c r="AN173" i="2"/>
  <c r="AN176" i="2"/>
  <c r="AN179" i="2"/>
  <c r="AN188" i="2"/>
  <c r="AN194" i="2"/>
  <c r="AN217" i="2"/>
  <c r="AN219" i="2"/>
  <c r="AN221" i="2"/>
  <c r="AN223" i="2"/>
  <c r="AN225" i="2"/>
  <c r="AN227" i="2"/>
  <c r="AN254" i="2"/>
  <c r="AN269" i="2"/>
  <c r="AN279" i="2"/>
  <c r="AN284" i="2"/>
  <c r="AN287" i="2"/>
  <c r="AN296" i="2"/>
  <c r="AN320" i="2"/>
  <c r="AN337" i="2"/>
  <c r="AN339" i="2"/>
  <c r="AN342" i="2"/>
  <c r="AN345" i="2"/>
  <c r="AN348" i="2"/>
  <c r="AN370" i="2"/>
  <c r="AN388" i="2"/>
  <c r="AN392" i="2"/>
  <c r="AI104" i="4"/>
  <c r="AJ104" i="4"/>
  <c r="AI105" i="4"/>
  <c r="AJ105" i="4"/>
  <c r="AJ106" i="4"/>
  <c r="AI106" i="4"/>
  <c r="AK411" i="2"/>
  <c r="AH411" i="2"/>
  <c r="AK410" i="2"/>
  <c r="AK409" i="2"/>
  <c r="AH410" i="2"/>
  <c r="AQ409" i="2"/>
  <c r="AQ410" i="2"/>
  <c r="AQ411" i="2"/>
  <c r="AH409" i="2"/>
  <c r="AT37" i="2" l="1"/>
  <c r="AS37" i="2"/>
  <c r="AU37" i="2" s="1"/>
  <c r="AU66" i="2"/>
  <c r="AW66" i="2"/>
  <c r="AV66" i="2"/>
  <c r="AU65" i="2"/>
  <c r="AW65" i="2"/>
  <c r="AV65" i="2"/>
  <c r="AT72" i="2"/>
  <c r="AS72" i="2"/>
  <c r="AW71" i="2"/>
  <c r="AV71" i="2"/>
  <c r="AU62" i="2"/>
  <c r="AW62" i="2"/>
  <c r="AV62" i="2"/>
  <c r="AP43" i="2"/>
  <c r="AR43" i="2"/>
  <c r="AR37" i="2"/>
  <c r="AN17" i="2"/>
  <c r="AN19" i="2"/>
  <c r="AN18" i="2"/>
  <c r="AN16" i="2"/>
  <c r="AN15" i="2"/>
  <c r="AN406" i="2"/>
  <c r="AO406" i="2" s="1"/>
  <c r="AR406" i="2" s="1"/>
  <c r="AN14" i="2"/>
  <c r="AX8" i="2"/>
  <c r="AX9" i="2"/>
  <c r="AX10" i="2"/>
  <c r="AX11" i="2"/>
  <c r="AY8" i="2"/>
  <c r="AY11" i="2"/>
  <c r="AY10" i="2"/>
  <c r="AN402" i="2"/>
  <c r="AO402" i="2" s="1"/>
  <c r="AR402" i="2" s="1"/>
  <c r="AN401" i="2"/>
  <c r="AO401" i="2" s="1"/>
  <c r="AR401" i="2" s="1"/>
  <c r="AY9" i="2"/>
  <c r="AN405" i="2"/>
  <c r="AO405" i="2" s="1"/>
  <c r="AN404" i="2"/>
  <c r="AO404" i="2" s="1"/>
  <c r="AN400" i="2"/>
  <c r="AO400" i="2" s="1"/>
  <c r="AN410" i="2"/>
  <c r="AN403" i="2"/>
  <c r="AN399" i="2"/>
  <c r="AN2" i="2"/>
  <c r="AO7" i="2"/>
  <c r="AO6" i="2"/>
  <c r="AN3" i="2"/>
  <c r="AO3" i="2" s="1"/>
  <c r="AO4" i="2"/>
  <c r="AN5" i="2"/>
  <c r="AR68" i="2"/>
  <c r="AP68" i="2"/>
  <c r="AN411" i="2"/>
  <c r="AN409" i="2"/>
  <c r="AM411" i="2"/>
  <c r="AM410" i="2"/>
  <c r="AI430" i="2"/>
  <c r="AH430" i="2" s="1"/>
  <c r="AL430" i="2"/>
  <c r="AK430" i="2" s="1"/>
  <c r="AI427" i="2"/>
  <c r="AH427" i="2" s="1"/>
  <c r="AL427" i="2"/>
  <c r="AK427" i="2" s="1"/>
  <c r="AI424" i="2"/>
  <c r="AH424" i="2" s="1"/>
  <c r="AL424" i="2"/>
  <c r="AK424" i="2" s="1"/>
  <c r="AI421" i="2"/>
  <c r="AH421" i="2" s="1"/>
  <c r="AL421" i="2"/>
  <c r="AK421" i="2" s="1"/>
  <c r="AI418" i="2"/>
  <c r="AH418" i="2" s="1"/>
  <c r="AM418" i="2"/>
  <c r="AL418" i="2"/>
  <c r="AK418" i="2" s="1"/>
  <c r="AI415" i="2"/>
  <c r="AH415" i="2" s="1"/>
  <c r="AQ415" i="2"/>
  <c r="AQ416" i="2"/>
  <c r="AQ417" i="2"/>
  <c r="AQ418" i="2"/>
  <c r="AM415" i="2"/>
  <c r="AL415" i="2"/>
  <c r="AK415" i="2" s="1"/>
  <c r="AI429" i="2"/>
  <c r="AH429" i="2" s="1"/>
  <c r="AL429" i="2"/>
  <c r="AK429" i="2" s="1"/>
  <c r="AI426" i="2"/>
  <c r="AH426" i="2" s="1"/>
  <c r="AM429" i="2"/>
  <c r="AQ429" i="2"/>
  <c r="AM430" i="2"/>
  <c r="AQ430" i="2"/>
  <c r="AM426" i="2"/>
  <c r="AQ426" i="2"/>
  <c r="AM427" i="2"/>
  <c r="AQ427" i="2"/>
  <c r="AM423" i="2"/>
  <c r="AQ423" i="2"/>
  <c r="AM424" i="2"/>
  <c r="AQ424" i="2"/>
  <c r="AM421" i="2"/>
  <c r="AQ421" i="2"/>
  <c r="AM420" i="2"/>
  <c r="AQ420" i="2"/>
  <c r="AL426" i="2"/>
  <c r="AK426" i="2" s="1"/>
  <c r="AI423" i="2"/>
  <c r="AH423" i="2" s="1"/>
  <c r="AL423" i="2"/>
  <c r="AK423" i="2" s="1"/>
  <c r="AI420" i="2"/>
  <c r="AH420" i="2" s="1"/>
  <c r="AL420" i="2"/>
  <c r="AK420" i="2" s="1"/>
  <c r="AM417" i="2"/>
  <c r="AI417" i="2"/>
  <c r="AH417" i="2" s="1"/>
  <c r="AL417" i="2"/>
  <c r="AK417" i="2" s="1"/>
  <c r="AQ414" i="2"/>
  <c r="AM414" i="2"/>
  <c r="AI414" i="2"/>
  <c r="AH414" i="2" s="1"/>
  <c r="AL414" i="2"/>
  <c r="AK414" i="2" s="1"/>
  <c r="AI428" i="2"/>
  <c r="AH428" i="2" s="1"/>
  <c r="AL428" i="2"/>
  <c r="AK428" i="2" s="1"/>
  <c r="AI425" i="2"/>
  <c r="AH425" i="2" s="1"/>
  <c r="AL425" i="2"/>
  <c r="AK425" i="2" s="1"/>
  <c r="AL422" i="2"/>
  <c r="AK422" i="2" s="1"/>
  <c r="AL419" i="2"/>
  <c r="AK419" i="2" s="1"/>
  <c r="AL416" i="2"/>
  <c r="AK416" i="2" s="1"/>
  <c r="AI422" i="2"/>
  <c r="AH422" i="2" s="1"/>
  <c r="AI419" i="2"/>
  <c r="AH419" i="2" s="1"/>
  <c r="AI416" i="2"/>
  <c r="AH416" i="2" s="1"/>
  <c r="AI413" i="2"/>
  <c r="AH413" i="2" s="1"/>
  <c r="AQ413" i="2"/>
  <c r="AQ419" i="2"/>
  <c r="AQ422" i="2"/>
  <c r="AQ425" i="2"/>
  <c r="AQ428" i="2"/>
  <c r="AQ457" i="2"/>
  <c r="AQ463" i="2"/>
  <c r="AN457" i="2"/>
  <c r="AN463" i="2"/>
  <c r="AL413" i="2"/>
  <c r="AK413" i="2" s="1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U72" i="2" l="1"/>
  <c r="AW72" i="2"/>
  <c r="AV72" i="2"/>
  <c r="AW37" i="2"/>
  <c r="AV37" i="2"/>
  <c r="AT43" i="2"/>
  <c r="AS43" i="2"/>
  <c r="AU43" i="2" s="1"/>
  <c r="AT68" i="2"/>
  <c r="AS68" i="2"/>
  <c r="AU68" i="2" s="1"/>
  <c r="AO410" i="2"/>
  <c r="AR410" i="2" s="1"/>
  <c r="AN419" i="2"/>
  <c r="AN422" i="2"/>
  <c r="AN425" i="2"/>
  <c r="AR7" i="2"/>
  <c r="AP7" i="2"/>
  <c r="AR6" i="2"/>
  <c r="AP6" i="2"/>
  <c r="AR4" i="2"/>
  <c r="AP4" i="2"/>
  <c r="AR3" i="2"/>
  <c r="AP3" i="2"/>
  <c r="AP401" i="2"/>
  <c r="AN416" i="2"/>
  <c r="AP402" i="2"/>
  <c r="AO411" i="2"/>
  <c r="AR411" i="2" s="1"/>
  <c r="AP406" i="2"/>
  <c r="AR405" i="2"/>
  <c r="AP405" i="2"/>
  <c r="AR404" i="2"/>
  <c r="AP404" i="2"/>
  <c r="AR400" i="2"/>
  <c r="AP400" i="2"/>
  <c r="AN429" i="2"/>
  <c r="AO429" i="2" s="1"/>
  <c r="AR429" i="2" s="1"/>
  <c r="AN427" i="2"/>
  <c r="AO427" i="2" s="1"/>
  <c r="AR427" i="2" s="1"/>
  <c r="AN428" i="2"/>
  <c r="AN426" i="2"/>
  <c r="AO426" i="2" s="1"/>
  <c r="AR426" i="2" s="1"/>
  <c r="AN423" i="2"/>
  <c r="AO423" i="2" s="1"/>
  <c r="AR423" i="2" s="1"/>
  <c r="AN418" i="2"/>
  <c r="AO418" i="2" s="1"/>
  <c r="AP418" i="2" s="1"/>
  <c r="AN420" i="2"/>
  <c r="AO420" i="2" s="1"/>
  <c r="AP420" i="2" s="1"/>
  <c r="AN415" i="2"/>
  <c r="AO415" i="2" s="1"/>
  <c r="AN430" i="2"/>
  <c r="AO430" i="2" s="1"/>
  <c r="AN421" i="2"/>
  <c r="AO421" i="2" s="1"/>
  <c r="AN414" i="2"/>
  <c r="AO414" i="2" s="1"/>
  <c r="AP414" i="2" s="1"/>
  <c r="AN417" i="2"/>
  <c r="AO417" i="2" s="1"/>
  <c r="AR417" i="2" s="1"/>
  <c r="AN424" i="2"/>
  <c r="AO424" i="2" s="1"/>
  <c r="AR424" i="2" s="1"/>
  <c r="AN413" i="2"/>
  <c r="AI125" i="4"/>
  <c r="AN477" i="2"/>
  <c r="AM477" i="2"/>
  <c r="AW43" i="2" l="1"/>
  <c r="AT402" i="2"/>
  <c r="AS402" i="2"/>
  <c r="AT414" i="2"/>
  <c r="AS414" i="2"/>
  <c r="AU414" i="2" s="1"/>
  <c r="AT4" i="2"/>
  <c r="AS4" i="2"/>
  <c r="AU4" i="2" s="1"/>
  <c r="AT404" i="2"/>
  <c r="AS404" i="2"/>
  <c r="AU404" i="2" s="1"/>
  <c r="AW68" i="2"/>
  <c r="AT401" i="2"/>
  <c r="AS401" i="2"/>
  <c r="AT3" i="2"/>
  <c r="AS3" i="2"/>
  <c r="AU3" i="2" s="1"/>
  <c r="AT6" i="2"/>
  <c r="AS6" i="2"/>
  <c r="AU6" i="2" s="1"/>
  <c r="AT406" i="2"/>
  <c r="AS406" i="2"/>
  <c r="AT405" i="2"/>
  <c r="AS405" i="2"/>
  <c r="AU405" i="2" s="1"/>
  <c r="AT418" i="2"/>
  <c r="AS418" i="2"/>
  <c r="AU418" i="2" s="1"/>
  <c r="AT400" i="2"/>
  <c r="AS400" i="2"/>
  <c r="AU400" i="2" s="1"/>
  <c r="AV68" i="2"/>
  <c r="AT420" i="2"/>
  <c r="AS420" i="2"/>
  <c r="AU420" i="2" s="1"/>
  <c r="AT7" i="2"/>
  <c r="AS7" i="2"/>
  <c r="AU7" i="2" s="1"/>
  <c r="AV43" i="2"/>
  <c r="AP410" i="2"/>
  <c r="AP411" i="2"/>
  <c r="AR418" i="2"/>
  <c r="AP423" i="2"/>
  <c r="AR420" i="2"/>
  <c r="AP426" i="2"/>
  <c r="AR415" i="2"/>
  <c r="AP415" i="2"/>
  <c r="AP427" i="2"/>
  <c r="AP417" i="2"/>
  <c r="AR421" i="2"/>
  <c r="AP421" i="2"/>
  <c r="AR430" i="2"/>
  <c r="AP430" i="2"/>
  <c r="AR414" i="2"/>
  <c r="AP424" i="2"/>
  <c r="AP429" i="2"/>
  <c r="AJ127" i="4"/>
  <c r="AI127" i="4"/>
  <c r="AJ126" i="4"/>
  <c r="AI126" i="4"/>
  <c r="AJ125" i="4"/>
  <c r="AV4" i="2" l="1"/>
  <c r="AW4" i="2"/>
  <c r="AW405" i="2"/>
  <c r="AV405" i="2"/>
  <c r="AW404" i="2"/>
  <c r="AV7" i="2"/>
  <c r="AU406" i="2"/>
  <c r="AV406" i="2"/>
  <c r="AW406" i="2"/>
  <c r="AW6" i="2"/>
  <c r="AV404" i="2"/>
  <c r="AW420" i="2"/>
  <c r="AV420" i="2"/>
  <c r="AU402" i="2"/>
  <c r="AW402" i="2"/>
  <c r="AV402" i="2"/>
  <c r="AT410" i="2"/>
  <c r="AS410" i="2"/>
  <c r="AT417" i="2"/>
  <c r="AS417" i="2"/>
  <c r="AV6" i="2"/>
  <c r="AT429" i="2"/>
  <c r="AS429" i="2"/>
  <c r="AT423" i="2"/>
  <c r="AS423" i="2"/>
  <c r="AV400" i="2"/>
  <c r="AT415" i="2"/>
  <c r="AS415" i="2"/>
  <c r="AU415" i="2" s="1"/>
  <c r="AT426" i="2"/>
  <c r="AS426" i="2"/>
  <c r="AV418" i="2"/>
  <c r="AW418" i="2"/>
  <c r="AW400" i="2"/>
  <c r="AV3" i="2"/>
  <c r="AT421" i="2"/>
  <c r="AS421" i="2"/>
  <c r="AU421" i="2" s="1"/>
  <c r="AW7" i="2"/>
  <c r="AT427" i="2"/>
  <c r="AS427" i="2"/>
  <c r="AT424" i="2"/>
  <c r="AS424" i="2"/>
  <c r="AW414" i="2"/>
  <c r="AV414" i="2"/>
  <c r="AT430" i="2"/>
  <c r="AS430" i="2"/>
  <c r="AU430" i="2" s="1"/>
  <c r="AT411" i="2"/>
  <c r="AS411" i="2"/>
  <c r="AU401" i="2"/>
  <c r="AW401" i="2"/>
  <c r="AV401" i="2"/>
  <c r="AW3" i="2"/>
  <c r="AQ478" i="2"/>
  <c r="AQ479" i="2"/>
  <c r="AQ481" i="2"/>
  <c r="AQ482" i="2"/>
  <c r="AQ483" i="2"/>
  <c r="AQ485" i="2"/>
  <c r="AQ486" i="2"/>
  <c r="AQ487" i="2"/>
  <c r="AQ477" i="2"/>
  <c r="AN478" i="2"/>
  <c r="AN479" i="2"/>
  <c r="AN481" i="2"/>
  <c r="AN482" i="2"/>
  <c r="AN483" i="2"/>
  <c r="AN485" i="2"/>
  <c r="AN486" i="2"/>
  <c r="AN487" i="2"/>
  <c r="AM487" i="2"/>
  <c r="AM486" i="2"/>
  <c r="AM483" i="2"/>
  <c r="AM482" i="2"/>
  <c r="AM479" i="2"/>
  <c r="AM478" i="2"/>
  <c r="AM5" i="2"/>
  <c r="AO5" i="2" s="1"/>
  <c r="AM14" i="2"/>
  <c r="AO14" i="2" s="1"/>
  <c r="AM15" i="2"/>
  <c r="AO15" i="2" s="1"/>
  <c r="AM16" i="2"/>
  <c r="AO16" i="2" s="1"/>
  <c r="AM17" i="2"/>
  <c r="AO17" i="2" s="1"/>
  <c r="AM18" i="2"/>
  <c r="AO18" i="2" s="1"/>
  <c r="AM19" i="2"/>
  <c r="AO19" i="2" s="1"/>
  <c r="AM28" i="2"/>
  <c r="AO28" i="2" s="1"/>
  <c r="AM29" i="2"/>
  <c r="AO29" i="2" s="1"/>
  <c r="AM30" i="2"/>
  <c r="AO30" i="2" s="1"/>
  <c r="AM31" i="2"/>
  <c r="AO31" i="2" s="1"/>
  <c r="AM48" i="2"/>
  <c r="AO48" i="2" s="1"/>
  <c r="AM51" i="2"/>
  <c r="AO51" i="2" s="1"/>
  <c r="AM54" i="2"/>
  <c r="AO54" i="2" s="1"/>
  <c r="AM55" i="2"/>
  <c r="AO55" i="2" s="1"/>
  <c r="AM60" i="2"/>
  <c r="AO60" i="2" s="1"/>
  <c r="AM70" i="2"/>
  <c r="AO70" i="2" s="1"/>
  <c r="AM74" i="2"/>
  <c r="AO74" i="2" s="1"/>
  <c r="AM75" i="2"/>
  <c r="AO75" i="2" s="1"/>
  <c r="AO76" i="2"/>
  <c r="AO77" i="2"/>
  <c r="AO79" i="2"/>
  <c r="AO80" i="2"/>
  <c r="AO81" i="2"/>
  <c r="AO82" i="2"/>
  <c r="AM84" i="2"/>
  <c r="AO84" i="2" s="1"/>
  <c r="AM88" i="2"/>
  <c r="AO88" i="2" s="1"/>
  <c r="AM92" i="2"/>
  <c r="AO92" i="2" s="1"/>
  <c r="AM96" i="2"/>
  <c r="AO96" i="2" s="1"/>
  <c r="AM100" i="2"/>
  <c r="AO100" i="2" s="1"/>
  <c r="AM104" i="2"/>
  <c r="AO104" i="2" s="1"/>
  <c r="AO109" i="2"/>
  <c r="AO111" i="2"/>
  <c r="AO112" i="2"/>
  <c r="AO114" i="2"/>
  <c r="AM123" i="2"/>
  <c r="AO123" i="2" s="1"/>
  <c r="AM133" i="2"/>
  <c r="AO133" i="2" s="1"/>
  <c r="AM136" i="2"/>
  <c r="AO136" i="2" s="1"/>
  <c r="AM137" i="2"/>
  <c r="AO137" i="2" s="1"/>
  <c r="AM138" i="2"/>
  <c r="AO138" i="2" s="1"/>
  <c r="AM145" i="2"/>
  <c r="AO145" i="2" s="1"/>
  <c r="AM155" i="2"/>
  <c r="AO155" i="2" s="1"/>
  <c r="AM170" i="2"/>
  <c r="AO170" i="2" s="1"/>
  <c r="AM173" i="2"/>
  <c r="AO173" i="2" s="1"/>
  <c r="AM176" i="2"/>
  <c r="AO176" i="2" s="1"/>
  <c r="AM179" i="2"/>
  <c r="AO179" i="2" s="1"/>
  <c r="AM188" i="2"/>
  <c r="AO188" i="2" s="1"/>
  <c r="AM194" i="2"/>
  <c r="AO194" i="2" s="1"/>
  <c r="AM217" i="2"/>
  <c r="AO217" i="2" s="1"/>
  <c r="AM219" i="2"/>
  <c r="AO219" i="2" s="1"/>
  <c r="AM221" i="2"/>
  <c r="AO221" i="2" s="1"/>
  <c r="AM223" i="2"/>
  <c r="AO223" i="2" s="1"/>
  <c r="AM225" i="2"/>
  <c r="AO225" i="2" s="1"/>
  <c r="AM227" i="2"/>
  <c r="AO227" i="2" s="1"/>
  <c r="AM254" i="2"/>
  <c r="AO254" i="2" s="1"/>
  <c r="AM269" i="2"/>
  <c r="AO269" i="2" s="1"/>
  <c r="AM279" i="2"/>
  <c r="AO279" i="2" s="1"/>
  <c r="AM284" i="2"/>
  <c r="AO284" i="2" s="1"/>
  <c r="AM287" i="2"/>
  <c r="AO287" i="2" s="1"/>
  <c r="AM296" i="2"/>
  <c r="AO296" i="2" s="1"/>
  <c r="AM320" i="2"/>
  <c r="AO320" i="2" s="1"/>
  <c r="AM337" i="2"/>
  <c r="AO337" i="2" s="1"/>
  <c r="AM339" i="2"/>
  <c r="AO339" i="2" s="1"/>
  <c r="AM342" i="2"/>
  <c r="AO342" i="2" s="1"/>
  <c r="AM345" i="2"/>
  <c r="AO345" i="2" s="1"/>
  <c r="AM348" i="2"/>
  <c r="AO348" i="2" s="1"/>
  <c r="AM370" i="2"/>
  <c r="AO370" i="2" s="1"/>
  <c r="AM388" i="2"/>
  <c r="AO388" i="2" s="1"/>
  <c r="AM392" i="2"/>
  <c r="AO392" i="2" s="1"/>
  <c r="AM399" i="2"/>
  <c r="AO399" i="2" s="1"/>
  <c r="AM403" i="2"/>
  <c r="AO403" i="2" s="1"/>
  <c r="AM409" i="2"/>
  <c r="AO409" i="2" s="1"/>
  <c r="AM413" i="2"/>
  <c r="AO413" i="2" s="1"/>
  <c r="AM416" i="2"/>
  <c r="AO416" i="2" s="1"/>
  <c r="AM419" i="2"/>
  <c r="AO419" i="2" s="1"/>
  <c r="AM422" i="2"/>
  <c r="AO422" i="2" s="1"/>
  <c r="AM425" i="2"/>
  <c r="AO425" i="2" s="1"/>
  <c r="AM428" i="2"/>
  <c r="AO428" i="2" s="1"/>
  <c r="AM457" i="2"/>
  <c r="AO457" i="2" s="1"/>
  <c r="AM463" i="2"/>
  <c r="AO463" i="2" s="1"/>
  <c r="AO477" i="2"/>
  <c r="AM481" i="2"/>
  <c r="AM485" i="2"/>
  <c r="AM2" i="2"/>
  <c r="AO2" i="2" s="1"/>
  <c r="AW430" i="2" l="1"/>
  <c r="AV430" i="2"/>
  <c r="AU423" i="2"/>
  <c r="AW423" i="2"/>
  <c r="AV423" i="2"/>
  <c r="AU429" i="2"/>
  <c r="AV429" i="2"/>
  <c r="AW429" i="2"/>
  <c r="AU424" i="2"/>
  <c r="AV424" i="2"/>
  <c r="AW424" i="2"/>
  <c r="AV421" i="2"/>
  <c r="AU426" i="2"/>
  <c r="AW426" i="2"/>
  <c r="AV426" i="2"/>
  <c r="AU417" i="2"/>
  <c r="AV417" i="2"/>
  <c r="AW417" i="2"/>
  <c r="AW421" i="2"/>
  <c r="AU427" i="2"/>
  <c r="AW427" i="2"/>
  <c r="AV427" i="2"/>
  <c r="AU411" i="2"/>
  <c r="AW411" i="2"/>
  <c r="AV411" i="2"/>
  <c r="AV415" i="2"/>
  <c r="AU410" i="2"/>
  <c r="AW410" i="2"/>
  <c r="AV410" i="2"/>
  <c r="AW415" i="2"/>
  <c r="AR477" i="2"/>
  <c r="AR70" i="2"/>
  <c r="AP70" i="2"/>
  <c r="AR111" i="2"/>
  <c r="AP111" i="2"/>
  <c r="AT111" i="2" s="1"/>
  <c r="AR88" i="2"/>
  <c r="AP88" i="2"/>
  <c r="AR30" i="2"/>
  <c r="AP30" i="2"/>
  <c r="AR403" i="2"/>
  <c r="AP403" i="2"/>
  <c r="AR60" i="2"/>
  <c r="AP60" i="2"/>
  <c r="AR48" i="2"/>
  <c r="AP48" i="2"/>
  <c r="AR29" i="2"/>
  <c r="AP29" i="2"/>
  <c r="AR84" i="2"/>
  <c r="AP84" i="2"/>
  <c r="AR28" i="2"/>
  <c r="AP28" i="2"/>
  <c r="AR31" i="2"/>
  <c r="AP31" i="2"/>
  <c r="AR82" i="2"/>
  <c r="AP82" i="2"/>
  <c r="AR19" i="2"/>
  <c r="AP19" i="2"/>
  <c r="AR219" i="2"/>
  <c r="AP219" i="2"/>
  <c r="AP399" i="2"/>
  <c r="AR399" i="2"/>
  <c r="AR138" i="2"/>
  <c r="AP138" i="2"/>
  <c r="AR81" i="2"/>
  <c r="AP81" i="2"/>
  <c r="AR18" i="2"/>
  <c r="AP18" i="2"/>
  <c r="AR287" i="2"/>
  <c r="AP287" i="2"/>
  <c r="AR339" i="2"/>
  <c r="AP339" i="2"/>
  <c r="AR388" i="2"/>
  <c r="AP388" i="2"/>
  <c r="AR145" i="2"/>
  <c r="AP145" i="2"/>
  <c r="AR137" i="2"/>
  <c r="AP137" i="2"/>
  <c r="AR80" i="2"/>
  <c r="AP80" i="2"/>
  <c r="AP17" i="2"/>
  <c r="AR17" i="2"/>
  <c r="AR284" i="2"/>
  <c r="AP284" i="2"/>
  <c r="AR337" i="2"/>
  <c r="AP337" i="2"/>
  <c r="AR227" i="2"/>
  <c r="AP227" i="2"/>
  <c r="AR179" i="2"/>
  <c r="AP179" i="2"/>
  <c r="AR155" i="2"/>
  <c r="AP155" i="2"/>
  <c r="AR136" i="2"/>
  <c r="AP136" i="2"/>
  <c r="AR109" i="2"/>
  <c r="AP109" i="2"/>
  <c r="AP79" i="2"/>
  <c r="AR79" i="2"/>
  <c r="AP55" i="2"/>
  <c r="AR55" i="2"/>
  <c r="AR92" i="2"/>
  <c r="AP92" i="2"/>
  <c r="AR217" i="2"/>
  <c r="AP217" i="2"/>
  <c r="AR345" i="2"/>
  <c r="AP345" i="2"/>
  <c r="AR320" i="2"/>
  <c r="AP320" i="2"/>
  <c r="AP225" i="2"/>
  <c r="AT225" i="2" s="1"/>
  <c r="AR225" i="2"/>
  <c r="AP176" i="2"/>
  <c r="AR176" i="2"/>
  <c r="AP133" i="2"/>
  <c r="AR133" i="2"/>
  <c r="AP104" i="2"/>
  <c r="AT104" i="2" s="1"/>
  <c r="AR104" i="2"/>
  <c r="AP77" i="2"/>
  <c r="AR77" i="2"/>
  <c r="AR54" i="2"/>
  <c r="AP54" i="2"/>
  <c r="AP5" i="2"/>
  <c r="AR5" i="2"/>
  <c r="AR342" i="2"/>
  <c r="AP342" i="2"/>
  <c r="AR254" i="2"/>
  <c r="AP254" i="2"/>
  <c r="AP194" i="2"/>
  <c r="AR194" i="2"/>
  <c r="AP173" i="2"/>
  <c r="AR173" i="2"/>
  <c r="AP123" i="2"/>
  <c r="AR123" i="2"/>
  <c r="AR76" i="2"/>
  <c r="AP76" i="2"/>
  <c r="AR16" i="2"/>
  <c r="AP16" i="2"/>
  <c r="AR112" i="2"/>
  <c r="AP112" i="2"/>
  <c r="AT112" i="2" s="1"/>
  <c r="AR269" i="2"/>
  <c r="AP269" i="2"/>
  <c r="AR392" i="2"/>
  <c r="AP392" i="2"/>
  <c r="AR296" i="2"/>
  <c r="AP296" i="2"/>
  <c r="AR223" i="2"/>
  <c r="AP223" i="2"/>
  <c r="AR188" i="2"/>
  <c r="AP188" i="2"/>
  <c r="AR170" i="2"/>
  <c r="AP170" i="2"/>
  <c r="AR114" i="2"/>
  <c r="AP114" i="2"/>
  <c r="AR100" i="2"/>
  <c r="AP100" i="2"/>
  <c r="AR75" i="2"/>
  <c r="AP75" i="2"/>
  <c r="AR15" i="2"/>
  <c r="AP15" i="2"/>
  <c r="AR348" i="2"/>
  <c r="AP348" i="2"/>
  <c r="AP2" i="2"/>
  <c r="AS2" i="2" s="1"/>
  <c r="AU2" i="2" s="1"/>
  <c r="AR2" i="2"/>
  <c r="AR370" i="2"/>
  <c r="AP370" i="2"/>
  <c r="AR279" i="2"/>
  <c r="AP279" i="2"/>
  <c r="AR221" i="2"/>
  <c r="AP221" i="2"/>
  <c r="AR96" i="2"/>
  <c r="AP96" i="2"/>
  <c r="AR74" i="2"/>
  <c r="AP74" i="2"/>
  <c r="AR51" i="2"/>
  <c r="AP51" i="2"/>
  <c r="AR14" i="2"/>
  <c r="AP14" i="2"/>
  <c r="AP409" i="2"/>
  <c r="AR409" i="2"/>
  <c r="AP463" i="2"/>
  <c r="AR463" i="2"/>
  <c r="AP416" i="2"/>
  <c r="AR416" i="2"/>
  <c r="AR413" i="2"/>
  <c r="AP413" i="2"/>
  <c r="AR457" i="2"/>
  <c r="AP457" i="2"/>
  <c r="AP428" i="2"/>
  <c r="AR428" i="2"/>
  <c r="AR425" i="2"/>
  <c r="AP425" i="2"/>
  <c r="AP422" i="2"/>
  <c r="AR422" i="2"/>
  <c r="AP419" i="2"/>
  <c r="AR419" i="2"/>
  <c r="AO481" i="2"/>
  <c r="AP481" i="2" s="1"/>
  <c r="AO479" i="2"/>
  <c r="AP479" i="2" s="1"/>
  <c r="AO478" i="2"/>
  <c r="AR478" i="2" s="1"/>
  <c r="AO483" i="2"/>
  <c r="AR483" i="2" s="1"/>
  <c r="AO486" i="2"/>
  <c r="AR486" i="2" s="1"/>
  <c r="AO487" i="2"/>
  <c r="AR487" i="2" s="1"/>
  <c r="AP477" i="2"/>
  <c r="AO485" i="2"/>
  <c r="AR485" i="2" s="1"/>
  <c r="AO482" i="2"/>
  <c r="AR482" i="2" s="1"/>
  <c r="AT320" i="2" l="1"/>
  <c r="AS320" i="2"/>
  <c r="AU320" i="2" s="1"/>
  <c r="AT123" i="2"/>
  <c r="AS123" i="2"/>
  <c r="AU123" i="2" s="1"/>
  <c r="AT75" i="2"/>
  <c r="AS75" i="2"/>
  <c r="AU75" i="2" s="1"/>
  <c r="AT345" i="2"/>
  <c r="AS345" i="2"/>
  <c r="AU345" i="2" s="1"/>
  <c r="AT136" i="2"/>
  <c r="AS136" i="2"/>
  <c r="AU136" i="2" s="1"/>
  <c r="AT287" i="2"/>
  <c r="AS287" i="2"/>
  <c r="AU287" i="2" s="1"/>
  <c r="AT19" i="2"/>
  <c r="AS19" i="2"/>
  <c r="AU19" i="2" s="1"/>
  <c r="AT48" i="2"/>
  <c r="AS48" i="2"/>
  <c r="AU48" i="2" s="1"/>
  <c r="AT70" i="2"/>
  <c r="AS70" i="2"/>
  <c r="AU70" i="2" s="1"/>
  <c r="AT416" i="2"/>
  <c r="AS416" i="2"/>
  <c r="AU416" i="2" s="1"/>
  <c r="AT339" i="2"/>
  <c r="AS339" i="2"/>
  <c r="AU339" i="2" s="1"/>
  <c r="AT463" i="2"/>
  <c r="AS463" i="2"/>
  <c r="AU463" i="2" s="1"/>
  <c r="AT425" i="2"/>
  <c r="AS425" i="2"/>
  <c r="AU425" i="2" s="1"/>
  <c r="AT173" i="2"/>
  <c r="AS173" i="2"/>
  <c r="AU173" i="2" s="1"/>
  <c r="AT77" i="2"/>
  <c r="AS77" i="2"/>
  <c r="AU77" i="2" s="1"/>
  <c r="AT17" i="2"/>
  <c r="AS17" i="2"/>
  <c r="AU17" i="2" s="1"/>
  <c r="AT5" i="2"/>
  <c r="AS5" i="2"/>
  <c r="AU5" i="2" s="1"/>
  <c r="AT221" i="2"/>
  <c r="AS221" i="2"/>
  <c r="AU221" i="2" s="1"/>
  <c r="AT18" i="2"/>
  <c r="AS18" i="2"/>
  <c r="AU18" i="2" s="1"/>
  <c r="AT219" i="2"/>
  <c r="AS219" i="2"/>
  <c r="AU219" i="2" s="1"/>
  <c r="AT422" i="2"/>
  <c r="AS422" i="2"/>
  <c r="AU422" i="2" s="1"/>
  <c r="AT392" i="2"/>
  <c r="AS392" i="2"/>
  <c r="AU392" i="2" s="1"/>
  <c r="AV82" i="2"/>
  <c r="AT419" i="2"/>
  <c r="AS419" i="2"/>
  <c r="AU419" i="2" s="1"/>
  <c r="AT399" i="2"/>
  <c r="AS399" i="2"/>
  <c r="AU399" i="2" s="1"/>
  <c r="AT109" i="2"/>
  <c r="AS109" i="2"/>
  <c r="AU109" i="2" s="1"/>
  <c r="AT370" i="2"/>
  <c r="AS370" i="2"/>
  <c r="AU370" i="2" s="1"/>
  <c r="AT82" i="2"/>
  <c r="AS82" i="2"/>
  <c r="AU82" i="2" s="1"/>
  <c r="AT51" i="2"/>
  <c r="AS51" i="2"/>
  <c r="AU51" i="2" s="1"/>
  <c r="AT137" i="2"/>
  <c r="AS137" i="2"/>
  <c r="AU137" i="2" s="1"/>
  <c r="AT31" i="2"/>
  <c r="AS31" i="2"/>
  <c r="AU31" i="2" s="1"/>
  <c r="AT403" i="2"/>
  <c r="AS403" i="2"/>
  <c r="AU403" i="2" s="1"/>
  <c r="AT296" i="2"/>
  <c r="AS296" i="2"/>
  <c r="AU296" i="2" s="1"/>
  <c r="AT284" i="2"/>
  <c r="AS284" i="2"/>
  <c r="AU284" i="2" s="1"/>
  <c r="AT279" i="2"/>
  <c r="AS279" i="2"/>
  <c r="AU279" i="2" s="1"/>
  <c r="AT114" i="2"/>
  <c r="AS114" i="2"/>
  <c r="AU114" i="2" s="1"/>
  <c r="AT217" i="2"/>
  <c r="AS217" i="2"/>
  <c r="AU217" i="2" s="1"/>
  <c r="AT80" i="2"/>
  <c r="AS80" i="2"/>
  <c r="AU80" i="2" s="1"/>
  <c r="AT428" i="2"/>
  <c r="AS428" i="2"/>
  <c r="AU428" i="2" s="1"/>
  <c r="AT457" i="2"/>
  <c r="AS457" i="2"/>
  <c r="AU457" i="2" s="1"/>
  <c r="AT170" i="2"/>
  <c r="AS170" i="2"/>
  <c r="AU170" i="2" s="1"/>
  <c r="AT254" i="2"/>
  <c r="AS254" i="2"/>
  <c r="AU254" i="2" s="1"/>
  <c r="AT92" i="2"/>
  <c r="AS92" i="2"/>
  <c r="AU92" i="2" s="1"/>
  <c r="AT133" i="2"/>
  <c r="AS133" i="2"/>
  <c r="AU133" i="2" s="1"/>
  <c r="AT79" i="2"/>
  <c r="AS79" i="2"/>
  <c r="AU79" i="2" s="1"/>
  <c r="AT100" i="2"/>
  <c r="AS100" i="2"/>
  <c r="AU100" i="2" s="1"/>
  <c r="AT477" i="2"/>
  <c r="AS477" i="2"/>
  <c r="AU477" i="2" s="1"/>
  <c r="AT269" i="2"/>
  <c r="AS269" i="2"/>
  <c r="AU269" i="2" s="1"/>
  <c r="AT194" i="2"/>
  <c r="AS194" i="2"/>
  <c r="AU194" i="2" s="1"/>
  <c r="AT179" i="2"/>
  <c r="AS179" i="2"/>
  <c r="AU179" i="2" s="1"/>
  <c r="AT413" i="2"/>
  <c r="AS413" i="2"/>
  <c r="AU413" i="2" s="1"/>
  <c r="AT348" i="2"/>
  <c r="AS348" i="2"/>
  <c r="AU348" i="2" s="1"/>
  <c r="AT16" i="2"/>
  <c r="AS16" i="2"/>
  <c r="AU16" i="2" s="1"/>
  <c r="AT227" i="2"/>
  <c r="AS227" i="2"/>
  <c r="AU227" i="2" s="1"/>
  <c r="AT145" i="2"/>
  <c r="AS145" i="2"/>
  <c r="AU145" i="2" s="1"/>
  <c r="AT138" i="2"/>
  <c r="AS138" i="2"/>
  <c r="AU138" i="2" s="1"/>
  <c r="AT28" i="2"/>
  <c r="AS28" i="2"/>
  <c r="AU28" i="2" s="1"/>
  <c r="AT30" i="2"/>
  <c r="AS30" i="2"/>
  <c r="AU30" i="2" s="1"/>
  <c r="AT29" i="2"/>
  <c r="AS29" i="2"/>
  <c r="AU29" i="2" s="1"/>
  <c r="AT409" i="2"/>
  <c r="AS409" i="2"/>
  <c r="AU409" i="2" s="1"/>
  <c r="AT14" i="2"/>
  <c r="AS14" i="2"/>
  <c r="AU14" i="2" s="1"/>
  <c r="AT155" i="2"/>
  <c r="AS155" i="2"/>
  <c r="AU155" i="2" s="1"/>
  <c r="AW2" i="2"/>
  <c r="AV2" i="2"/>
  <c r="AT81" i="2"/>
  <c r="AS81" i="2"/>
  <c r="AU81" i="2" s="1"/>
  <c r="AW457" i="2"/>
  <c r="AV457" i="2"/>
  <c r="AT479" i="2"/>
  <c r="AS479" i="2"/>
  <c r="AU479" i="2" s="1"/>
  <c r="AT74" i="2"/>
  <c r="AS74" i="2"/>
  <c r="AU74" i="2" s="1"/>
  <c r="AT188" i="2"/>
  <c r="AS188" i="2"/>
  <c r="AU188" i="2" s="1"/>
  <c r="AT342" i="2"/>
  <c r="AS342" i="2"/>
  <c r="AU342" i="2" s="1"/>
  <c r="AT481" i="2"/>
  <c r="AS481" i="2"/>
  <c r="AU481" i="2" s="1"/>
  <c r="AV188" i="2"/>
  <c r="AW342" i="2"/>
  <c r="AT176" i="2"/>
  <c r="AS176" i="2"/>
  <c r="AU176" i="2" s="1"/>
  <c r="AT55" i="2"/>
  <c r="AS55" i="2"/>
  <c r="AU55" i="2" s="1"/>
  <c r="AT54" i="2"/>
  <c r="AS54" i="2"/>
  <c r="AU54" i="2" s="1"/>
  <c r="AT60" i="2"/>
  <c r="AS60" i="2"/>
  <c r="AU60" i="2" s="1"/>
  <c r="AT96" i="2"/>
  <c r="AS96" i="2"/>
  <c r="AU96" i="2" s="1"/>
  <c r="AT15" i="2"/>
  <c r="AS15" i="2"/>
  <c r="AU15" i="2" s="1"/>
  <c r="AT223" i="2"/>
  <c r="AS223" i="2"/>
  <c r="AU223" i="2" s="1"/>
  <c r="AT76" i="2"/>
  <c r="AS76" i="2"/>
  <c r="AU76" i="2" s="1"/>
  <c r="AT337" i="2"/>
  <c r="AS337" i="2"/>
  <c r="AU337" i="2" s="1"/>
  <c r="AT388" i="2"/>
  <c r="AS388" i="2"/>
  <c r="AU388" i="2" s="1"/>
  <c r="AW399" i="2"/>
  <c r="AV399" i="2"/>
  <c r="AT84" i="2"/>
  <c r="AS84" i="2"/>
  <c r="AU84" i="2" s="1"/>
  <c r="AT88" i="2"/>
  <c r="AS88" i="2"/>
  <c r="AU88" i="2" s="1"/>
  <c r="AT2" i="2"/>
  <c r="AP478" i="2"/>
  <c r="AP486" i="2"/>
  <c r="AP483" i="2"/>
  <c r="AR479" i="2"/>
  <c r="AR481" i="2"/>
  <c r="AP487" i="2"/>
  <c r="AP485" i="2"/>
  <c r="AP482" i="2"/>
  <c r="AW419" i="2" l="1"/>
  <c r="AV137" i="2"/>
  <c r="AW339" i="2"/>
  <c r="AV339" i="2"/>
  <c r="AV28" i="2"/>
  <c r="AV5" i="2"/>
  <c r="AW28" i="2"/>
  <c r="AV416" i="2"/>
  <c r="AW416" i="2"/>
  <c r="AV342" i="2"/>
  <c r="AV219" i="2"/>
  <c r="AW219" i="2"/>
  <c r="AW55" i="2"/>
  <c r="AW96" i="2"/>
  <c r="AV138" i="2"/>
  <c r="AW138" i="2"/>
  <c r="AW145" i="2"/>
  <c r="AW370" i="2"/>
  <c r="AV227" i="2"/>
  <c r="AW287" i="2"/>
  <c r="AV145" i="2"/>
  <c r="AV370" i="2"/>
  <c r="AW227" i="2"/>
  <c r="AV114" i="2"/>
  <c r="AV16" i="2"/>
  <c r="AW82" i="2"/>
  <c r="AV155" i="2"/>
  <c r="AW155" i="2"/>
  <c r="AV413" i="2"/>
  <c r="AV77" i="2"/>
  <c r="AV173" i="2"/>
  <c r="AW173" i="2"/>
  <c r="AV287" i="2"/>
  <c r="AW413" i="2"/>
  <c r="AW77" i="2"/>
  <c r="AW51" i="2"/>
  <c r="AW75" i="2"/>
  <c r="AV419" i="2"/>
  <c r="AV221" i="2"/>
  <c r="AV403" i="2"/>
  <c r="AV75" i="2"/>
  <c r="AW403" i="2"/>
  <c r="AW30" i="2"/>
  <c r="AW422" i="2"/>
  <c r="AW31" i="2"/>
  <c r="AV296" i="2"/>
  <c r="AV133" i="2"/>
  <c r="AV136" i="2"/>
  <c r="AV74" i="2"/>
  <c r="AV30" i="2"/>
  <c r="AW114" i="2"/>
  <c r="AV96" i="2"/>
  <c r="AV55" i="2"/>
  <c r="AV31" i="2"/>
  <c r="AV269" i="2"/>
  <c r="AW296" i="2"/>
  <c r="AW133" i="2"/>
  <c r="AW136" i="2"/>
  <c r="AW137" i="2"/>
  <c r="AV176" i="2"/>
  <c r="AV179" i="2"/>
  <c r="AV18" i="2"/>
  <c r="AV279" i="2"/>
  <c r="AT482" i="2"/>
  <c r="AS482" i="2"/>
  <c r="AW176" i="2"/>
  <c r="AW179" i="2"/>
  <c r="AW18" i="2"/>
  <c r="AT487" i="2"/>
  <c r="AS487" i="2"/>
  <c r="AW481" i="2"/>
  <c r="AV481" i="2"/>
  <c r="AV409" i="2"/>
  <c r="AW92" i="2"/>
  <c r="AV80" i="2"/>
  <c r="AW284" i="2"/>
  <c r="AW409" i="2"/>
  <c r="AV92" i="2"/>
  <c r="AW80" i="2"/>
  <c r="AV284" i="2"/>
  <c r="AV14" i="2"/>
  <c r="AV70" i="2"/>
  <c r="AV345" i="2"/>
  <c r="AV84" i="2"/>
  <c r="AW109" i="2"/>
  <c r="AV463" i="2"/>
  <c r="AW477" i="2"/>
  <c r="AW14" i="2"/>
  <c r="AW70" i="2"/>
  <c r="AW345" i="2"/>
  <c r="AW84" i="2"/>
  <c r="AV109" i="2"/>
  <c r="AW463" i="2"/>
  <c r="AW428" i="2"/>
  <c r="AT483" i="2"/>
  <c r="AS483" i="2"/>
  <c r="AV254" i="2"/>
  <c r="AV392" i="2"/>
  <c r="AW217" i="2"/>
  <c r="AW337" i="2"/>
  <c r="AV48" i="2"/>
  <c r="AV123" i="2"/>
  <c r="AV17" i="2"/>
  <c r="AV223" i="2"/>
  <c r="AW320" i="2"/>
  <c r="AV88" i="2"/>
  <c r="AW479" i="2"/>
  <c r="AV479" i="2"/>
  <c r="AT486" i="2"/>
  <c r="AS486" i="2"/>
  <c r="AW188" i="2"/>
  <c r="AV79" i="2"/>
  <c r="AW79" i="2"/>
  <c r="AW348" i="2"/>
  <c r="AW254" i="2"/>
  <c r="AW392" i="2"/>
  <c r="AV217" i="2"/>
  <c r="AV337" i="2"/>
  <c r="AW48" i="2"/>
  <c r="AW123" i="2"/>
  <c r="AW17" i="2"/>
  <c r="AW223" i="2"/>
  <c r="AV320" i="2"/>
  <c r="AW88" i="2"/>
  <c r="AW279" i="2"/>
  <c r="AT485" i="2"/>
  <c r="AS485" i="2"/>
  <c r="AV428" i="2"/>
  <c r="AW16" i="2"/>
  <c r="AV477" i="2"/>
  <c r="AW221" i="2"/>
  <c r="AT478" i="2"/>
  <c r="AS478" i="2"/>
  <c r="AV348" i="2"/>
  <c r="AW5" i="2"/>
  <c r="AV388" i="2"/>
  <c r="AW74" i="2"/>
  <c r="AV422" i="2"/>
  <c r="AV51" i="2"/>
  <c r="AV100" i="2"/>
  <c r="AV81" i="2"/>
  <c r="AW170" i="2"/>
  <c r="AW269" i="2"/>
  <c r="AV425" i="2"/>
  <c r="AW60" i="2"/>
  <c r="AV194" i="2"/>
  <c r="AW76" i="2"/>
  <c r="AV19" i="2"/>
  <c r="AV29" i="2"/>
  <c r="AV54" i="2"/>
  <c r="AV15" i="2"/>
  <c r="AW388" i="2"/>
  <c r="AW100" i="2"/>
  <c r="AW81" i="2"/>
  <c r="AV170" i="2"/>
  <c r="AW425" i="2"/>
  <c r="AV60" i="2"/>
  <c r="AW194" i="2"/>
  <c r="AV76" i="2"/>
  <c r="AW19" i="2"/>
  <c r="AW29" i="2"/>
  <c r="AW54" i="2"/>
  <c r="AW15" i="2"/>
  <c r="AU482" i="2" l="1"/>
  <c r="AW482" i="2"/>
  <c r="AV482" i="2"/>
  <c r="AU485" i="2"/>
  <c r="AW485" i="2"/>
  <c r="AV485" i="2"/>
  <c r="AU486" i="2"/>
  <c r="AW486" i="2"/>
  <c r="AV486" i="2"/>
  <c r="AU478" i="2"/>
  <c r="AW478" i="2"/>
  <c r="AV478" i="2"/>
  <c r="AU487" i="2"/>
  <c r="AW487" i="2"/>
  <c r="AV487" i="2"/>
  <c r="AU483" i="2"/>
  <c r="AW483" i="2"/>
  <c r="AV483" i="2"/>
</calcChain>
</file>

<file path=xl/comments1.xml><?xml version="1.0" encoding="utf-8"?>
<comments xmlns="http://schemas.openxmlformats.org/spreadsheetml/2006/main">
  <authors>
    <author>Amara</author>
  </authors>
  <commentList>
    <comment ref="K1" authorId="0" shapeId="0">
      <text>
        <r>
          <rPr>
            <b/>
            <sz val="9"/>
            <color indexed="81"/>
            <rFont val="Tahoma"/>
            <family val="2"/>
          </rPr>
          <t>Amara:</t>
        </r>
        <r>
          <rPr>
            <sz val="9"/>
            <color indexed="81"/>
            <rFont val="Tahoma"/>
            <family val="2"/>
          </rPr>
          <t xml:space="preserve">
Note that forest species are only relevant when samples are taken from root-tips. If samples are from soil, we only want to make sure that it was an ECM forest</t>
        </r>
      </text>
    </comment>
  </commentList>
</comments>
</file>

<file path=xl/comments2.xml><?xml version="1.0" encoding="utf-8"?>
<comments xmlns="http://schemas.openxmlformats.org/spreadsheetml/2006/main">
  <authors>
    <author>Amara</author>
  </authors>
  <commentList>
    <comment ref="K1" authorId="0" shapeId="0">
      <text>
        <r>
          <rPr>
            <b/>
            <sz val="9"/>
            <color indexed="81"/>
            <rFont val="Tahoma"/>
            <family val="2"/>
          </rPr>
          <t>Amara:</t>
        </r>
        <r>
          <rPr>
            <sz val="9"/>
            <color indexed="81"/>
            <rFont val="Tahoma"/>
            <family val="2"/>
          </rPr>
          <t xml:space="preserve">
Note that forest species are only relevant when samples are taken from root-tips. If samples are from soil, we only want to make sure that it was an ECM forest</t>
        </r>
      </text>
    </comment>
  </commentList>
</comments>
</file>

<file path=xl/sharedStrings.xml><?xml version="1.0" encoding="utf-8"?>
<sst xmlns="http://schemas.openxmlformats.org/spreadsheetml/2006/main" count="13411" uniqueCount="388">
  <si>
    <t>NO</t>
  </si>
  <si>
    <t>YES</t>
  </si>
  <si>
    <t>NA</t>
  </si>
  <si>
    <t>Buscardo, Erika; Rodriguez-Echeverria, Susana; Martin, Maria P.; De Angelis, Paolo; Pereira, Joao Santos; Freitas, Helena</t>
  </si>
  <si>
    <t>de Román, M; de Miguel, AM</t>
  </si>
  <si>
    <t>Jonsson, L; Dahlberg, A; Nilsson, MC; Zackrisson, O; Kåren, O</t>
  </si>
  <si>
    <t>Lazaruk, LW; Kernaghan, G; Macdonald, SE; Khasa, D</t>
  </si>
  <si>
    <t>Salo, Kauko; Kouki, Jari</t>
  </si>
  <si>
    <t>Beals, Kendall K.; Scearce, Alex E.; Swystun, Alex T.; Schweitzer, Jennifer A.</t>
  </si>
  <si>
    <t>Packard, Erica E.; Durall, Daniel M.; Jones, Melanie D.</t>
  </si>
  <si>
    <t>Cowan, Ariel D.; Smith, Jane E.; Fitzgerald, Stephen A.</t>
  </si>
  <si>
    <t>Barker, Jason S.; Simard, Suzanne W.; Jones, Melanie D.; Durall, D. M.</t>
  </si>
  <si>
    <t>Olchowik, Jacek; Hilszczanska, Dorota; Studnicki, Marcin; Malewski, Tadeusz; Kariman, Khalil; Borowski, Zbigniew</t>
  </si>
  <si>
    <t>Longo, M. Silvana; Urcelay, Carlos; Nouhra, Eduardo</t>
  </si>
  <si>
    <t>Fowler, Julie A.; Nelson, Amelia R.; Bechtold, Emily K.; Paul, Raegan; Wettengel, Alexandra M.; McNorvell, Michael A.; Stevens-Rumann, Camille S.; Fegel, Timothy S.; Anderson, Erik; Rhoades, Charles C.; Wilkins, Michael J.</t>
  </si>
  <si>
    <t>Orumaa, Argo; Agan, Ahto; Anslan, Sten; Drenkhan, Tiia; Drenkhan, Rein; Kauer, Karin; Koster, Kajar; Tedersoo, Leho; Metslaid, Marek</t>
  </si>
  <si>
    <t>Franco-Manchon, Ivan; Salo, Kauko; Andres Oria-de-Rueda, Juan; Antonio Bonet, Jose; Martin-Pinto, Pablo</t>
  </si>
  <si>
    <t>Motiejunaite, Jurga; Adamonyte, Grazina; Irsenaite, Reda; Juzenas, Sigitas; Kasparavicius, Jonas; Kutorga, Ernestas; Markovskaja, Svetlana</t>
  </si>
  <si>
    <t>Tuininga, AR; Dighton, J</t>
  </si>
  <si>
    <t>Miyamoto, Yumiko; Danilov, Aleksandr V.; Bryanin, Semyon V.</t>
  </si>
  <si>
    <t>Mediavilla, Olaya; Andres Oria-de-Rueda, Juan; Martin-Pinto, Pablo</t>
  </si>
  <si>
    <t>Duran-Manual, Francisco; Espinosa, Juncal; Perez-Pereda, Edelmys; Mediavilla, Olaya; Geada-Lopez, Gretel; Dejene, Tatek; Sanz-Benito, Ignacio; Martin-Pinto, Pablo; Martinez-Becerra, Luis W.</t>
  </si>
  <si>
    <t>Holden, Sandra R.; Gutierrez, Abraham; Treseder, Kathleen K.</t>
  </si>
  <si>
    <t>Smith, Gabriel Reuben; Edy, Lucy C.; Peay, Kabir G.</t>
  </si>
  <si>
    <t>Hart, Benjamin T. N.; Smith, Jane E.; Luoma, Daniel L.; Hatten, Jeff A.</t>
  </si>
  <si>
    <t>Buscardo, Erika; Rodriguez-Echeverria, Susana; Freitas, Helena; De Angelis, Paolo; Pereira, Joao Santos; Muller, Ludo A. H.</t>
  </si>
  <si>
    <t>Bastias, Brigitte A.; Xu, Zhihong; Cairney, John W. G.</t>
  </si>
  <si>
    <t>Beck, Jackson L.; Cale, Jonathan A.; Rodriguez-Ramos, Jean C.; Kanekar, Sanat S.; Karst, Justine; Cahill, James F.; Simard, Suzanne W.; Erbilgin, Nadir</t>
  </si>
  <si>
    <t>Robinson, Richard M.; Mellican, Amanda E.; Smith, Robert H.</t>
  </si>
  <si>
    <t>Vasquez-Gassibe, Pablo; Oria-de-Rueda, Juan-Andres; Santos-del-Blanco, Luis; Martin-Pinto, Pablo</t>
  </si>
  <si>
    <t>Owen, Suzanne M.; Patterson, Adair M.; Gehring, Catherine A.; Sieg, Carolyn H.; Baggett, L. Scott; Fule, Peter Z.</t>
  </si>
  <si>
    <t>Almonacid-Munoz, Leonardo; Herrera, Hector; Fuentes-Ramirez, Andres; Vargas-Gaete, Rodrigo; Toy-Opazo, Octavio; Costa, Paulo Henrique de Oliveira; Valadares, Rafael Borges da Silva</t>
  </si>
  <si>
    <t>Kouki, Jari; Salo, Kauko</t>
  </si>
  <si>
    <t>Rincon, A.; Santamaria, B. P.; Ocana, L.; Verdu, M.</t>
  </si>
  <si>
    <t>Dahlberg, A; Schimmel, J; Taylor, AFS; Johannesson, H</t>
  </si>
  <si>
    <t>Rodriguez-Ramos, Jean C.; Cale, Jonathan A.; Cahill, James F., Jr.; Simard, Suzanne W.; Karst, Justine; Erbilgin, Nadir</t>
  </si>
  <si>
    <t>Sun, Hui; Santalahti, Minna; Pumpanen, Jukka; Koster, Kajar; Berninger, Frank; Raffaello, Tommaso; Jumpponen, Ari; Asiegbu, Fred O.; Heinonsalo, Jussi</t>
  </si>
  <si>
    <t>Pulido-Chavez, M. Fabiola; Alvarado, Ernesto C.; DeLuca, Thomas H.; Edmonds, Robert L.; Glassman, Sydney I.</t>
  </si>
  <si>
    <t>Vasquez Gassibe, Pablo; Fraile Fabero, Raul; Hernandez-Rodriguez, Maria; Andres Oria-de-Rueda, Juan; Martin-Pinto, Pablo</t>
  </si>
  <si>
    <t>WATERS, JR; MCKELVEY, KS; ZABEL, CJ; OLIVER, WW</t>
  </si>
  <si>
    <t>Martín-Pinto, P; Vaquerizo, W; Peñalver, F; Olaizola, J; Oria-de-Rueda, JA</t>
  </si>
  <si>
    <t>Bowman, Elizabeth A.; Hayden, Daniel R.; Arnold, A. Elizabeth</t>
  </si>
  <si>
    <t>Kutorga, Ernestas; Adamonyte, Grazina; Irsenaite, Reda; Juzenas, Sigitas; Kasparavicius, Jonas; Markovskaja, Svetlana; Motiejunaite, Jurga; Treigiene, Ausra</t>
  </si>
  <si>
    <t>Oliver, Alena K.; Callaham, Mac A., Jr.; Jumpponen, Ari</t>
  </si>
  <si>
    <t>Reazin, C.; Morris, S.; Smith, J. E.; Cowan, A. D.; Jumpponen, A.</t>
  </si>
  <si>
    <t>Fox, Sam; Taylor, Melanie K.; Callaham Jr, Mac; Jumpponen, Ari</t>
  </si>
  <si>
    <t>Vazquez-Veloso, Aitor; Dejene, Tatek; Andres Oria-de-Rueda, Juan; Guijarro, Mercedes; Hernando, Carmen; Espinosa, Juncal; Madrigal, Javier; Martin-Pinto, Pablo</t>
  </si>
  <si>
    <t>Bastias, Brigitte A.; Huang, Zhiqun Q.; Blumfield, Tim; Xu, Zhihong; Cairney, John W. G.</t>
  </si>
  <si>
    <t>?</t>
  </si>
  <si>
    <t>Porter, Teresita M.; Smenderovac, Emily; Morris, Dave; Venier, Lisa</t>
  </si>
  <si>
    <t>Yang, Teng; Tedersoo, Leho; Lin, Xingwu; Fitzpatrick, Matthew C.; Jia, Yunsheng; Liu, Xu; Ni, Yingying; Shi, Yu; Lu, Pengpeng; Zhu, Jianguo; Chu, Haiyan</t>
  </si>
  <si>
    <t>Brown, Shawn P.; Callaham, Mac A., Jr.; Oliver, Alena K.; Jumpponen, Ari</t>
  </si>
  <si>
    <t>Akema, Tamio; Nurhiftisni, Ida; Suciatmih; Simbolon, Herwint</t>
  </si>
  <si>
    <t>Hopkins, Jacob R.; Semenova-Nelsen, Tatiana; Sikes, Benjamin A.</t>
  </si>
  <si>
    <t>Hernandez-Rodriguez, Maria; Andres Oria-de-Rueda, Juan; Pando, Valentin; Martin-Pinto, Pablo</t>
  </si>
  <si>
    <t>Anderson, Ian C.; Bastias, Brigitte A.; Genney, David R.; Parkin, Pamela I.; Cairney, John W. G.</t>
  </si>
  <si>
    <t>Whitman, Thea; Whitman, Ellen; Woolet, Jamie; Flannigan, Mike D.; Thompson, Dan K.; Parisien, Marc-Andre</t>
  </si>
  <si>
    <t>Day, Nicola J.; Dunfield, Kari E.; Johnstone, Jill F.; Mack, Michelle C.; Turetsky, Merritt R.; Walker, Xanthe J.; White, Alison L.; Baltzer, Jennifer L.</t>
  </si>
  <si>
    <t>Zhang, Yue-mei; Qu, Zhao-lei; Sietio, Outi-Maaria; Zhou, Xuan; Heinonsalo, Jussi; Koster, Kajar; Berninger, Frank; Pumpanen, Jukka; Sun, Hui</t>
  </si>
  <si>
    <t>Nelson, Amelia R.; Narrowe, Adrienne B.; Rhoades, Charles C.; Fegel, Timothy S.; Daly, Rebecca A.; Roth, Holly K.; Chu, Rosalie K.; Amundson, Kaela K.; Young, Robert B.; Steindorff, Andrei S.; Mondo, Stephen J.; Grigoriev, Igor, V; Salamov, Asaf; Borch, Thomas; Wilkins, Michael J.</t>
  </si>
  <si>
    <t>Martin-Pinto, Pablo; Dejene, Tatek; Benucci, Gian Maria Niccolo; Mediavilla, Olaya; Hernandez-Rodriguez, Maria; Geml, Jozsef; Baldrian, Petr; Sanz-Benito, Ignacio; Olaizola, Jaime; Bonito, Gregory; Oria-de-Rueda, Juan Andres</t>
  </si>
  <si>
    <t>Espinosa, Juncal; Dejene, Tatek; Guijarro, Mercedes; Cerda, Xim; Madrigal, Javier; Martin-Pinto, Pablo</t>
  </si>
  <si>
    <t>Mardji, D.</t>
  </si>
  <si>
    <t>Lou, Hu; Cai, Huiying; Fu, Rao; Guo, Chao; Fan, Baozhen; Hu, Haiqing; Zhang, Jie; Sun, Long</t>
  </si>
  <si>
    <t>Bowd, Elle J.; Banks, Sam C.; Bissett, Andrew; May, Tom W.; Lindenmayer, David B.</t>
  </si>
  <si>
    <t>Cheng, Zhichao; Wu, Song; Pan, Hong; Lu, Xinming; Liu, Yongzhi; Yang, Libin</t>
  </si>
  <si>
    <t>Bowd, Elle J. J.; Egidi, Eleonora; Lindenmayer, David B. B.; Wardle, David A. A.; Kardol, Paul; Foster, Claire</t>
  </si>
  <si>
    <t>Castano, Carles; Hernandez-Rodriguez, Maria; Geml, Jozsef; Eberhart, Joyce; Olaizola, Jaime; Andres Oria-de-Rueda, Juan; Martin-Pinto, Pablo</t>
  </si>
  <si>
    <t>Pulido-Chavez, M. Fabiola; Randolph, James W. J.; Zalman, Cassandra; Larios, Loralee; Homyak, Peter M. M.; Glassman, Sydney I. I.</t>
  </si>
  <si>
    <t>Johnston, Mitchell T.; Miller, Adam D.; Holland, Owen J.; Clark, Zach; Wevill, Tricia</t>
  </si>
  <si>
    <t>Perez-Valera, Eduardo; Verdu, Miguel; Antonio Navarro-Cano, Jose; Goberna, Marta</t>
  </si>
  <si>
    <t>Greenwood, Leanne; Nimmo, Dale G.; Egidi, Eleonora; Price, Jodi N.; McIntosh, Rachel; Frew, Adam</t>
  </si>
  <si>
    <t>Authors</t>
  </si>
  <si>
    <t>Territory</t>
  </si>
  <si>
    <t>Latitude</t>
  </si>
  <si>
    <t>Longitude</t>
  </si>
  <si>
    <t>Fire_type</t>
  </si>
  <si>
    <t>Fire_severity</t>
  </si>
  <si>
    <t>Year_of_fire</t>
  </si>
  <si>
    <t>Time_since_fire_years</t>
  </si>
  <si>
    <t>Size_fire_ha</t>
  </si>
  <si>
    <t>Method_ECM_measurement</t>
  </si>
  <si>
    <t>Sequencing_type</t>
  </si>
  <si>
    <t>Amplicon</t>
  </si>
  <si>
    <t>Research_type</t>
  </si>
  <si>
    <t>Descriptive</t>
  </si>
  <si>
    <t>Wildfire</t>
  </si>
  <si>
    <t>Sample_type</t>
  </si>
  <si>
    <t>Soil_properties_measured</t>
  </si>
  <si>
    <t>Field_experiment</t>
  </si>
  <si>
    <t>Study_ID</t>
  </si>
  <si>
    <t>Bioassay</t>
  </si>
  <si>
    <t>Portugal</t>
  </si>
  <si>
    <t>Unburnt</t>
  </si>
  <si>
    <t>Soil_samples_depth_cm</t>
  </si>
  <si>
    <t>Study_Year</t>
  </si>
  <si>
    <t>Australia</t>
  </si>
  <si>
    <t>Soil</t>
  </si>
  <si>
    <t>DNA</t>
  </si>
  <si>
    <t>Illumina MiSeq</t>
  </si>
  <si>
    <t>ITS</t>
  </si>
  <si>
    <t>Sampling_year</t>
  </si>
  <si>
    <t>ITS2</t>
  </si>
  <si>
    <t>Picea</t>
  </si>
  <si>
    <t>N_control_samples</t>
  </si>
  <si>
    <t>N_burned_samples</t>
  </si>
  <si>
    <t>0-10</t>
  </si>
  <si>
    <t>Root_colonization</t>
  </si>
  <si>
    <t>Biome</t>
  </si>
  <si>
    <t>Mediterranean</t>
  </si>
  <si>
    <t>Illumina</t>
  </si>
  <si>
    <t>ITS1</t>
  </si>
  <si>
    <t>Eucalyptus</t>
  </si>
  <si>
    <t>Sporocarp_survey</t>
  </si>
  <si>
    <t>Sporocarps</t>
  </si>
  <si>
    <t>Prefire</t>
  </si>
  <si>
    <t>Sweden</t>
  </si>
  <si>
    <t>Boreal</t>
  </si>
  <si>
    <t>Control_type</t>
  </si>
  <si>
    <t>Semiarid</t>
  </si>
  <si>
    <t>Spain</t>
  </si>
  <si>
    <t>Prescribed_fire</t>
  </si>
  <si>
    <t>0-20</t>
  </si>
  <si>
    <t>Guild_studied</t>
  </si>
  <si>
    <t>Tropical</t>
  </si>
  <si>
    <t>Indonesia</t>
  </si>
  <si>
    <t>Macrosporocarps</t>
  </si>
  <si>
    <t>1997; 1998</t>
  </si>
  <si>
    <t>All_fungi</t>
  </si>
  <si>
    <t>High_severity</t>
  </si>
  <si>
    <t>0_5</t>
  </si>
  <si>
    <t>18S</t>
  </si>
  <si>
    <t>0_2.5</t>
  </si>
  <si>
    <t>0_10</t>
  </si>
  <si>
    <t>Root_tips</t>
  </si>
  <si>
    <t>Mycorrhizal</t>
  </si>
  <si>
    <t>Lithuania</t>
  </si>
  <si>
    <t>2007; 2009</t>
  </si>
  <si>
    <t>Response_type</t>
  </si>
  <si>
    <t>UB_value</t>
  </si>
  <si>
    <t>Burnt_value</t>
  </si>
  <si>
    <t>2016; 2017</t>
  </si>
  <si>
    <t>Subtropical</t>
  </si>
  <si>
    <t>USA</t>
  </si>
  <si>
    <t>Sequencher 4.2</t>
  </si>
  <si>
    <t>1998; 2001</t>
  </si>
  <si>
    <t>Low_severity</t>
  </si>
  <si>
    <t>0_20</t>
  </si>
  <si>
    <t>Morphotypes</t>
  </si>
  <si>
    <t>Shannon_diversity</t>
  </si>
  <si>
    <t>Mycorrhizal_richness</t>
  </si>
  <si>
    <t>Saprotroph_richness</t>
  </si>
  <si>
    <t>&lt; 1 (2months)</t>
  </si>
  <si>
    <t>Canada</t>
  </si>
  <si>
    <t>Finland</t>
  </si>
  <si>
    <t>0_15</t>
  </si>
  <si>
    <t>2.12M ha</t>
  </si>
  <si>
    <t>&lt; 1</t>
  </si>
  <si>
    <t>&lt; 1 (1 week)</t>
  </si>
  <si>
    <t>Sanger</t>
  </si>
  <si>
    <t>Continental</t>
  </si>
  <si>
    <t>Poland</t>
  </si>
  <si>
    <t>Temperate</t>
  </si>
  <si>
    <t>&lt; 1 (3 months)</t>
  </si>
  <si>
    <t>Rusia</t>
  </si>
  <si>
    <t>Argentina</t>
  </si>
  <si>
    <t>&lt; 1 (8 months)</t>
  </si>
  <si>
    <t>Subartic</t>
  </si>
  <si>
    <t>Estonia</t>
  </si>
  <si>
    <t>Hemiboreal</t>
  </si>
  <si>
    <t>&gt; 200</t>
  </si>
  <si>
    <t>Forest_genus</t>
  </si>
  <si>
    <t>Forest_species</t>
  </si>
  <si>
    <t>Larix</t>
  </si>
  <si>
    <t>gmelinii</t>
  </si>
  <si>
    <t>Pseudotsuga</t>
  </si>
  <si>
    <t>menziesii</t>
  </si>
  <si>
    <t>Pinus</t>
  </si>
  <si>
    <t>pinaster</t>
  </si>
  <si>
    <t>Quercus</t>
  </si>
  <si>
    <t>suber</t>
  </si>
  <si>
    <t>regnans</t>
  </si>
  <si>
    <t>diversicolor</t>
  </si>
  <si>
    <t>sylvestris</t>
  </si>
  <si>
    <t>garryana</t>
  </si>
  <si>
    <t>Cistus</t>
  </si>
  <si>
    <t>ladanifer</t>
  </si>
  <si>
    <t>contorta</t>
  </si>
  <si>
    <t>mariana</t>
  </si>
  <si>
    <t>pilularis</t>
  </si>
  <si>
    <t>palustris</t>
  </si>
  <si>
    <t>banksiana</t>
  </si>
  <si>
    <t>nigra</t>
  </si>
  <si>
    <t>ponderosa</t>
  </si>
  <si>
    <t>mugo</t>
  </si>
  <si>
    <t>ilex</t>
  </si>
  <si>
    <t>glauca</t>
  </si>
  <si>
    <t>Nothofagus</t>
  </si>
  <si>
    <t>pumilio</t>
  </si>
  <si>
    <t>rigida</t>
  </si>
  <si>
    <t>Cuba</t>
  </si>
  <si>
    <t>cubensis</t>
  </si>
  <si>
    <t>Sequencing_device</t>
  </si>
  <si>
    <t>NGS</t>
  </si>
  <si>
    <t>ABI 3730xl DNA Analyzer</t>
  </si>
  <si>
    <t>Root</t>
  </si>
  <si>
    <t> -3.699135</t>
  </si>
  <si>
    <t>Chile</t>
  </si>
  <si>
    <t>Rhizosphere</t>
  </si>
  <si>
    <t>taeda</t>
  </si>
  <si>
    <t> -117.645071</t>
  </si>
  <si>
    <t>Moderate_severity</t>
  </si>
  <si>
    <t xml:space="preserve">Spain </t>
  </si>
  <si>
    <t>Abies</t>
  </si>
  <si>
    <t>concolor</t>
  </si>
  <si>
    <t>China</t>
  </si>
  <si>
    <t>Shorea</t>
  </si>
  <si>
    <t>laevis</t>
  </si>
  <si>
    <t>2010; 2013</t>
  </si>
  <si>
    <t>Arctostaphyllos</t>
  </si>
  <si>
    <t>glandulosa</t>
  </si>
  <si>
    <t>10_20</t>
  </si>
  <si>
    <t>RFLP</t>
  </si>
  <si>
    <t>Richness</t>
  </si>
  <si>
    <t>Sandbag</t>
  </si>
  <si>
    <t>DGGE</t>
  </si>
  <si>
    <t>velutina</t>
  </si>
  <si>
    <t>Temperate_subtropical</t>
  </si>
  <si>
    <t>Ion_torrent</t>
  </si>
  <si>
    <t>454_pyrosequencing</t>
  </si>
  <si>
    <t>5_15</t>
  </si>
  <si>
    <t>Fire_recurrency_fires_year</t>
  </si>
  <si>
    <t>2003; 2006</t>
  </si>
  <si>
    <t>5_10</t>
  </si>
  <si>
    <t>10_30</t>
  </si>
  <si>
    <t>Native_non_native</t>
  </si>
  <si>
    <t>Forest_type</t>
  </si>
  <si>
    <t>Conifer</t>
  </si>
  <si>
    <t>Broad_leaves</t>
  </si>
  <si>
    <t>Native</t>
  </si>
  <si>
    <t>Burrill, Haley M.; Ralston, Ellen B.; Dawson, Heather A.; Roy, Bitty A.</t>
  </si>
  <si>
    <t>Espinosa, Juncal; Carrillo, Cristina; Madrigal, Javier; Guijarro, Mercedes; Hernando, Carmen; Martin-Pinto, Pablo</t>
  </si>
  <si>
    <t>Maurice-Lira, Jorge Victor; Prada-Polo, Claudia; Bertocci, Dante; Sanz-Benito, Ignacio; Martin-Pinto, Pablo</t>
  </si>
  <si>
    <t>Philpott, Timothy J.; Danyagri, Gabriel; Wallace, Brian; Frank, Mae</t>
  </si>
  <si>
    <t>Turiel-Santos, Sara; Calvo, Leonor; Pinto, Pablo Martin; Taboada, Angela</t>
  </si>
  <si>
    <t>Mycorrhizae_dry_weight</t>
  </si>
  <si>
    <t>UB_SE</t>
  </si>
  <si>
    <t>Burnt_SE</t>
  </si>
  <si>
    <t>Ascomycota_per</t>
  </si>
  <si>
    <t>Basidiomycota_per</t>
  </si>
  <si>
    <t>Bulk_soil</t>
  </si>
  <si>
    <t>DCA_ordination</t>
  </si>
  <si>
    <t>Recurrent_burning</t>
  </si>
  <si>
    <t>CAP_ordination</t>
  </si>
  <si>
    <t>Simpson_diversity</t>
  </si>
  <si>
    <t>PCOA_ordination</t>
  </si>
  <si>
    <t>&gt;20 without fire</t>
  </si>
  <si>
    <t>NMDS_ordination</t>
  </si>
  <si>
    <t>pilularis; botryoides</t>
  </si>
  <si>
    <t>CCA_ordination</t>
  </si>
  <si>
    <t>SMD</t>
  </si>
  <si>
    <t>mariana; glauca</t>
  </si>
  <si>
    <t>Chao1</t>
  </si>
  <si>
    <t>Burnt_SD</t>
  </si>
  <si>
    <t>UB_SD</t>
  </si>
  <si>
    <t>Sp</t>
  </si>
  <si>
    <t>d</t>
  </si>
  <si>
    <t>vd</t>
  </si>
  <si>
    <t>j</t>
  </si>
  <si>
    <t>g</t>
  </si>
  <si>
    <t>g_se</t>
  </si>
  <si>
    <t>hedges_g</t>
  </si>
  <si>
    <t>Response_var</t>
  </si>
  <si>
    <t>effect_size</t>
  </si>
  <si>
    <t>Dt</t>
  </si>
  <si>
    <t>Dc</t>
  </si>
  <si>
    <t>Db</t>
  </si>
  <si>
    <t>RRstructure</t>
  </si>
  <si>
    <t>RRbeta</t>
  </si>
  <si>
    <t>&gt;14000</t>
  </si>
  <si>
    <t>Tips_abundance</t>
  </si>
  <si>
    <t>0_1</t>
  </si>
  <si>
    <t>1_3</t>
  </si>
  <si>
    <t>3_5</t>
  </si>
  <si>
    <t>logRR</t>
  </si>
  <si>
    <t>var_logRR</t>
  </si>
  <si>
    <t>RR</t>
  </si>
  <si>
    <t>Basidiomycetes</t>
  </si>
  <si>
    <t>Saprotroph_per</t>
  </si>
  <si>
    <t>20_30</t>
  </si>
  <si>
    <t>Litter_bag</t>
  </si>
  <si>
    <t>CA_ordination</t>
  </si>
  <si>
    <t>Method_fungi_measurement</t>
  </si>
  <si>
    <t>Illumina TruSeq</t>
  </si>
  <si>
    <t>Praire</t>
  </si>
  <si>
    <t>Grass</t>
  </si>
  <si>
    <t>Saprotroph_shannon</t>
  </si>
  <si>
    <t>Pyrophilous_shannon</t>
  </si>
  <si>
    <t>Abundance</t>
  </si>
  <si>
    <t>&lt; 1 (4 months)</t>
  </si>
  <si>
    <t>Mycorrhization_per</t>
  </si>
  <si>
    <t>&lt; 1 (15 days)</t>
  </si>
  <si>
    <t>Mycorrhizal_rel_abun</t>
  </si>
  <si>
    <t>Saprotroph_rel_abun</t>
  </si>
  <si>
    <t>Shrubs</t>
  </si>
  <si>
    <t>Plant_pathogen_richness</t>
  </si>
  <si>
    <t>Wood_saprotroph_richness</t>
  </si>
  <si>
    <t>&lt;1 (1 day)</t>
  </si>
  <si>
    <t>Mycorrhizal_abun</t>
  </si>
  <si>
    <t>Saprotroph_abun</t>
  </si>
  <si>
    <t>Inverse_Simpson_diversity</t>
  </si>
  <si>
    <t>&lt; 1 (3 weeks)</t>
  </si>
  <si>
    <t>N_control</t>
  </si>
  <si>
    <t>N_burned</t>
  </si>
  <si>
    <t>Alien</t>
  </si>
  <si>
    <t>Pathogen_richness</t>
  </si>
  <si>
    <t>Mycorrhizal_per</t>
  </si>
  <si>
    <t>Source</t>
  </si>
  <si>
    <t>Text</t>
  </si>
  <si>
    <t>Fig.3</t>
  </si>
  <si>
    <t>Fig.5</t>
  </si>
  <si>
    <t>Table 1</t>
  </si>
  <si>
    <t>Fig.1</t>
  </si>
  <si>
    <t>Fig.2</t>
  </si>
  <si>
    <t>Fig.3a</t>
  </si>
  <si>
    <t>Fig.3b</t>
  </si>
  <si>
    <t>Fig.2a</t>
  </si>
  <si>
    <t>Fig.2b</t>
  </si>
  <si>
    <t xml:space="preserve">Table 3 </t>
  </si>
  <si>
    <t>Table 3</t>
  </si>
  <si>
    <t>Fig.5b</t>
  </si>
  <si>
    <t>Fig.5a</t>
  </si>
  <si>
    <t>Text 3.1.2</t>
  </si>
  <si>
    <t>Fig.A5</t>
  </si>
  <si>
    <t>Fig.4</t>
  </si>
  <si>
    <t>Table 2</t>
  </si>
  <si>
    <t>Table 4</t>
  </si>
  <si>
    <t>Fig.7</t>
  </si>
  <si>
    <t>Fig. 5</t>
  </si>
  <si>
    <t>Fig. 2</t>
  </si>
  <si>
    <t>Fig.2d</t>
  </si>
  <si>
    <t>Fig.4a</t>
  </si>
  <si>
    <t>Fig.4b</t>
  </si>
  <si>
    <t>Fig.4c</t>
  </si>
  <si>
    <t>Fig.4d</t>
  </si>
  <si>
    <t>annually</t>
  </si>
  <si>
    <t>Fig.1a</t>
  </si>
  <si>
    <t>Fig.2c</t>
  </si>
  <si>
    <t>Saprotroph_abundance</t>
  </si>
  <si>
    <t>Mycorrhizal_shannon</t>
  </si>
  <si>
    <t>Table S1</t>
  </si>
  <si>
    <t>Colonization_per</t>
  </si>
  <si>
    <t>Fig.3c</t>
  </si>
  <si>
    <t>Evenness</t>
  </si>
  <si>
    <t>Fig. 1</t>
  </si>
  <si>
    <t>each 2 y</t>
  </si>
  <si>
    <t>each 6 y</t>
  </si>
  <si>
    <t>RDA_ordination</t>
  </si>
  <si>
    <t>PacBio SMRT</t>
  </si>
  <si>
    <t>PacBio Sequel</t>
  </si>
  <si>
    <t>Fig.S2</t>
  </si>
  <si>
    <t>dbRDA_ordination</t>
  </si>
  <si>
    <t>Table S2</t>
  </si>
  <si>
    <t>PCA_ordination</t>
  </si>
  <si>
    <t>0_23</t>
  </si>
  <si>
    <t>0_13.5</t>
  </si>
  <si>
    <t>Fig.S3</t>
  </si>
  <si>
    <t>Pathogen_shannon</t>
  </si>
  <si>
    <t>Plant_pathogen_abun</t>
  </si>
  <si>
    <t>0_17</t>
  </si>
  <si>
    <t>Table S7</t>
  </si>
  <si>
    <t>Fig.S4</t>
  </si>
  <si>
    <t>&lt;1 (2 weeks)</t>
  </si>
  <si>
    <t>Fig.S6</t>
  </si>
  <si>
    <t>&lt;1 (6 months)</t>
  </si>
  <si>
    <t>Table S10</t>
  </si>
  <si>
    <t>0_26</t>
  </si>
  <si>
    <t>Ion 318TMChip</t>
  </si>
  <si>
    <t>ABI 3730</t>
  </si>
  <si>
    <t>Fig.6b</t>
  </si>
  <si>
    <t>variance_g</t>
  </si>
  <si>
    <t>Total_Weight</t>
  </si>
  <si>
    <t>TWD</t>
  </si>
  <si>
    <t>TWDS</t>
  </si>
  <si>
    <t>Inf</t>
  </si>
  <si>
    <t>*</t>
  </si>
  <si>
    <t>Field_experiments</t>
  </si>
  <si>
    <t>ECM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</si>
</sst>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Aptos Narrow"/>
      <scheme val="minor"/>
    </font>
    <font>
      <sz val="11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scheme val="minor"/>
    </font>
    <font>
      <sz val="1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16" fontId="1" fillId="0" borderId="0" xfId="0" applyNumberFormat="1" applyFont="1"/>
    <xf numFmtId="0" fontId="5" fillId="0" borderId="0" xfId="0" applyFont="1"/>
    <xf numFmtId="0" fontId="1" fillId="9" borderId="0" xfId="0" applyFont="1" applyFill="1"/>
    <xf numFmtId="0" fontId="1" fillId="0" borderId="0" xfId="0" applyFont="1" applyFill="1"/>
    <xf numFmtId="0" fontId="1" fillId="10" borderId="0" xfId="0" applyFont="1" applyFill="1"/>
    <xf numFmtId="0" fontId="1" fillId="11" borderId="0" xfId="0" applyFont="1" applyFill="1"/>
    <xf numFmtId="0" fontId="5" fillId="11" borderId="0" xfId="0" applyFont="1" applyFill="1"/>
    <xf numFmtId="0" fontId="5" fillId="0" borderId="0" xfId="0" applyFont="1" applyFill="1"/>
    <xf numFmtId="0" fontId="5" fillId="2" borderId="0" xfId="0" applyFont="1" applyFill="1"/>
    <xf numFmtId="16" fontId="1" fillId="0" borderId="0" xfId="0" applyNumberFormat="1" applyFont="1" applyFill="1"/>
    <xf numFmtId="0" fontId="1" fillId="0" borderId="0" xfId="0" applyNumberFormat="1" applyFont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BA1288"/>
  <sheetViews>
    <sheetView tabSelected="1" zoomScale="90" zoomScaleNormal="90" workbookViewId="0">
      <pane ySplit="1" topLeftCell="A2" activePane="bottomLeft" state="frozen"/>
      <selection pane="bottomLeft" activeCell="AE44" sqref="AE44:AE46"/>
    </sheetView>
  </sheetViews>
  <sheetFormatPr baseColWidth="10" defaultColWidth="12.625" defaultRowHeight="15" customHeight="1"/>
  <cols>
    <col min="1" max="1" width="6.125" style="2" customWidth="1"/>
    <col min="2" max="2" width="15.75" style="2" customWidth="1"/>
    <col min="3" max="3" width="11.5" style="1" customWidth="1"/>
    <col min="4" max="5" width="8.625" style="1" customWidth="1"/>
    <col min="6" max="6" width="9.625" style="1" customWidth="1"/>
    <col min="7" max="7" width="8.625" style="1" customWidth="1"/>
    <col min="8" max="9" width="11.125" style="1" customWidth="1"/>
    <col min="10" max="10" width="9.25" style="1" customWidth="1"/>
    <col min="11" max="11" width="6.375" style="1" customWidth="1"/>
    <col min="12" max="12" width="10.875" style="1" customWidth="1"/>
    <col min="13" max="13" width="11.25" style="1" customWidth="1"/>
    <col min="14" max="14" width="11.375" style="1" customWidth="1"/>
    <col min="15" max="15" width="10.125" style="1" customWidth="1"/>
    <col min="16" max="16" width="8" style="1" customWidth="1"/>
    <col min="17" max="17" width="10.375" style="1" customWidth="1"/>
    <col min="18" max="18" width="7.5" style="1" customWidth="1"/>
    <col min="19" max="19" width="13.125" style="1" customWidth="1"/>
    <col min="20" max="20" width="8.25" style="1" customWidth="1"/>
    <col min="21" max="21" width="7.625" style="1" customWidth="1"/>
    <col min="22" max="22" width="6.875" style="1" customWidth="1"/>
    <col min="23" max="23" width="8.75" style="1" customWidth="1"/>
    <col min="24" max="24" width="13" style="1" customWidth="1"/>
    <col min="25" max="25" width="14.75" style="1" customWidth="1"/>
    <col min="26" max="26" width="14.25" style="1" customWidth="1"/>
    <col min="27" max="27" width="18.875" style="1" customWidth="1"/>
    <col min="28" max="28" width="12.125" style="1" customWidth="1"/>
    <col min="29" max="29" width="15.75" style="1" customWidth="1"/>
    <col min="30" max="30" width="8.625" style="1" customWidth="1"/>
    <col min="31" max="31" width="13.75" style="1" customWidth="1"/>
    <col min="32" max="32" width="8.5" style="1" customWidth="1"/>
    <col min="33" max="33" width="11.625" style="1" customWidth="1"/>
    <col min="34" max="34" width="11.125" style="1" customWidth="1"/>
    <col min="35" max="35" width="10.75" style="1" customWidth="1"/>
    <col min="36" max="36" width="11.5" style="1" bestFit="1" customWidth="1"/>
    <col min="37" max="37" width="11.5" style="1" customWidth="1"/>
    <col min="38" max="38" width="9" style="1" customWidth="1"/>
    <col min="39" max="62" width="8.625" style="1" customWidth="1"/>
    <col min="63" max="16384" width="12.625" style="1"/>
  </cols>
  <sheetData>
    <row r="1" spans="1:53" ht="14.25" customHeight="1">
      <c r="A1" s="2" t="s">
        <v>90</v>
      </c>
      <c r="B1" s="2" t="s">
        <v>72</v>
      </c>
      <c r="C1" s="3" t="s">
        <v>84</v>
      </c>
      <c r="D1" s="3" t="s">
        <v>95</v>
      </c>
      <c r="E1" s="3" t="s">
        <v>101</v>
      </c>
      <c r="F1" s="3" t="s">
        <v>73</v>
      </c>
      <c r="G1" s="3" t="s">
        <v>108</v>
      </c>
      <c r="H1" s="3" t="s">
        <v>74</v>
      </c>
      <c r="I1" s="3" t="s">
        <v>75</v>
      </c>
      <c r="J1" s="3" t="s">
        <v>123</v>
      </c>
      <c r="K1" s="4" t="s">
        <v>171</v>
      </c>
      <c r="L1" s="4" t="s">
        <v>172</v>
      </c>
      <c r="M1" s="4" t="s">
        <v>236</v>
      </c>
      <c r="N1" s="4" t="s">
        <v>235</v>
      </c>
      <c r="O1" s="5" t="s">
        <v>76</v>
      </c>
      <c r="P1" s="5" t="s">
        <v>77</v>
      </c>
      <c r="Q1" s="6" t="s">
        <v>118</v>
      </c>
      <c r="R1" s="5" t="s">
        <v>78</v>
      </c>
      <c r="S1" s="5" t="s">
        <v>79</v>
      </c>
      <c r="T1" s="5" t="s">
        <v>231</v>
      </c>
      <c r="U1" s="5" t="s">
        <v>80</v>
      </c>
      <c r="V1" s="6" t="s">
        <v>312</v>
      </c>
      <c r="W1" s="6" t="s">
        <v>313</v>
      </c>
      <c r="X1" s="8" t="s">
        <v>87</v>
      </c>
      <c r="Y1" s="8" t="s">
        <v>94</v>
      </c>
      <c r="Z1" s="8" t="s">
        <v>88</v>
      </c>
      <c r="AA1" s="8" t="s">
        <v>292</v>
      </c>
      <c r="AB1" s="8" t="s">
        <v>82</v>
      </c>
      <c r="AC1" s="8" t="s">
        <v>202</v>
      </c>
      <c r="AD1" s="8" t="s">
        <v>83</v>
      </c>
      <c r="AE1" s="7" t="s">
        <v>272</v>
      </c>
      <c r="AF1" s="7" t="s">
        <v>317</v>
      </c>
      <c r="AG1" s="7" t="s">
        <v>140</v>
      </c>
      <c r="AH1" s="7" t="s">
        <v>263</v>
      </c>
      <c r="AI1" s="7" t="s">
        <v>247</v>
      </c>
      <c r="AJ1" s="7" t="s">
        <v>139</v>
      </c>
      <c r="AK1" s="7" t="s">
        <v>264</v>
      </c>
      <c r="AL1" s="7" t="s">
        <v>246</v>
      </c>
      <c r="AM1" s="11" t="s">
        <v>260</v>
      </c>
      <c r="AN1" s="11" t="s">
        <v>265</v>
      </c>
      <c r="AO1" s="11" t="s">
        <v>266</v>
      </c>
      <c r="AP1" s="11" t="s">
        <v>267</v>
      </c>
      <c r="AQ1" s="11" t="s">
        <v>268</v>
      </c>
      <c r="AR1" s="11" t="s">
        <v>269</v>
      </c>
      <c r="AS1" s="11" t="s">
        <v>380</v>
      </c>
      <c r="AT1" s="11" t="s">
        <v>270</v>
      </c>
      <c r="AU1" s="6" t="s">
        <v>381</v>
      </c>
      <c r="AV1" s="6" t="s">
        <v>382</v>
      </c>
      <c r="AW1" s="6" t="s">
        <v>383</v>
      </c>
      <c r="AX1" s="11" t="s">
        <v>284</v>
      </c>
      <c r="AY1" s="11" t="s">
        <v>285</v>
      </c>
      <c r="AZ1" s="11" t="s">
        <v>273</v>
      </c>
      <c r="BA1" s="22" t="s">
        <v>384</v>
      </c>
    </row>
    <row r="2" spans="1:53" ht="14.25" hidden="1" customHeight="1">
      <c r="A2" s="2">
        <v>421</v>
      </c>
      <c r="B2" s="2" t="s">
        <v>52</v>
      </c>
      <c r="C2" s="12" t="s">
        <v>85</v>
      </c>
      <c r="D2" s="12">
        <v>2009</v>
      </c>
      <c r="E2" s="12">
        <v>1999</v>
      </c>
      <c r="F2" s="12" t="s">
        <v>125</v>
      </c>
      <c r="G2" s="12" t="s">
        <v>124</v>
      </c>
      <c r="H2" s="12">
        <v>-1.016667</v>
      </c>
      <c r="I2" s="12">
        <v>116.86666700000001</v>
      </c>
      <c r="J2" s="12" t="s">
        <v>135</v>
      </c>
      <c r="K2" s="12" t="s">
        <v>216</v>
      </c>
      <c r="L2" s="12" t="s">
        <v>217</v>
      </c>
      <c r="M2" s="12" t="s">
        <v>238</v>
      </c>
      <c r="N2" s="12" t="s">
        <v>239</v>
      </c>
      <c r="O2" s="12" t="s">
        <v>86</v>
      </c>
      <c r="P2" s="12" t="s">
        <v>129</v>
      </c>
      <c r="Q2" s="12" t="s">
        <v>93</v>
      </c>
      <c r="R2" s="12">
        <v>1998</v>
      </c>
      <c r="S2" s="12">
        <v>1.5</v>
      </c>
      <c r="T2" s="12"/>
      <c r="U2" s="12" t="s">
        <v>2</v>
      </c>
      <c r="V2" s="12">
        <v>8</v>
      </c>
      <c r="W2" s="12">
        <v>7</v>
      </c>
      <c r="X2" s="12" t="s">
        <v>134</v>
      </c>
      <c r="Y2" s="12" t="s">
        <v>281</v>
      </c>
      <c r="Z2" s="12" t="s">
        <v>0</v>
      </c>
      <c r="AA2" s="12" t="s">
        <v>148</v>
      </c>
      <c r="AB2" s="12" t="s">
        <v>2</v>
      </c>
      <c r="AC2" s="12" t="s">
        <v>2</v>
      </c>
      <c r="AD2" s="12" t="s">
        <v>2</v>
      </c>
      <c r="AE2" s="12" t="s">
        <v>245</v>
      </c>
      <c r="AF2" s="12" t="s">
        <v>321</v>
      </c>
      <c r="AG2" s="12">
        <v>0</v>
      </c>
      <c r="AH2" s="12">
        <f>AI2*(SQRT(W2))</f>
        <v>0</v>
      </c>
      <c r="AI2" s="12">
        <v>0</v>
      </c>
      <c r="AJ2" s="12">
        <v>15.8</v>
      </c>
      <c r="AK2" s="12">
        <f>AL2*(SQRT(V2))</f>
        <v>20.364675298172571</v>
      </c>
      <c r="AL2" s="12">
        <v>7.2</v>
      </c>
      <c r="AM2" s="12">
        <f t="shared" ref="AM2:AM7" si="0">AG2-AJ2</f>
        <v>-15.8</v>
      </c>
      <c r="AN2" s="1">
        <f t="shared" ref="AN2:AN5" si="1">SQRT((((W2-1)*AH2^2)+((V2-1)*AK2^2))/(W2+V2-2))</f>
        <v>14.943586223887801</v>
      </c>
      <c r="AO2" s="1">
        <f t="shared" ref="AO2:AO79" si="2">AM2/AN2</f>
        <v>-1.0573097891818763</v>
      </c>
      <c r="AP2" s="1">
        <f t="shared" ref="AP2:AP7" si="3">1/W2+1/V2+(AO2^2)/(2*(W2+V2))</f>
        <v>0.30512060920047029</v>
      </c>
      <c r="AQ2" s="1">
        <f t="shared" ref="AQ2:AQ7" si="4">1-(3/(4*(W2+V2-2)-1))</f>
        <v>0.94117647058823528</v>
      </c>
      <c r="AR2" s="21">
        <f t="shared" ref="AR2:AR5" si="5">AO2*AQ2</f>
        <v>-0.99511509570058954</v>
      </c>
      <c r="AS2" s="21">
        <f>AP2*(AQ2^2)</f>
        <v>0.27027984759626433</v>
      </c>
      <c r="AT2" s="21">
        <f>SQRT(AP2*AQ2^2)</f>
        <v>0.51988445600562472</v>
      </c>
      <c r="AU2" s="20">
        <f>1/AS2</f>
        <v>3.6998688910531317</v>
      </c>
      <c r="AV2" s="20">
        <f>AR2/AS2</f>
        <v>-3.6817953855999712</v>
      </c>
      <c r="AW2" s="20">
        <f>((AR2)^2)/AS2</f>
        <v>3.6638101674913046</v>
      </c>
      <c r="AX2" s="14"/>
      <c r="AY2" s="14"/>
      <c r="AZ2" s="1" t="s">
        <v>271</v>
      </c>
      <c r="BA2" s="2"/>
    </row>
    <row r="3" spans="1:53" ht="14.25" hidden="1" customHeight="1">
      <c r="A3" s="2">
        <v>421</v>
      </c>
      <c r="B3" s="2" t="s">
        <v>52</v>
      </c>
      <c r="C3" s="12" t="s">
        <v>85</v>
      </c>
      <c r="D3" s="12">
        <v>2009</v>
      </c>
      <c r="E3" s="12">
        <v>1999</v>
      </c>
      <c r="F3" s="12" t="s">
        <v>125</v>
      </c>
      <c r="G3" s="12" t="s">
        <v>124</v>
      </c>
      <c r="H3" s="12">
        <v>-1.016667</v>
      </c>
      <c r="I3" s="12">
        <v>116.86666700000001</v>
      </c>
      <c r="J3" s="12" t="s">
        <v>135</v>
      </c>
      <c r="K3" s="12" t="s">
        <v>216</v>
      </c>
      <c r="L3" s="12" t="s">
        <v>217</v>
      </c>
      <c r="M3" s="12" t="s">
        <v>238</v>
      </c>
      <c r="N3" s="12" t="s">
        <v>239</v>
      </c>
      <c r="O3" s="12" t="s">
        <v>86</v>
      </c>
      <c r="P3" s="12" t="s">
        <v>129</v>
      </c>
      <c r="Q3" s="12" t="s">
        <v>93</v>
      </c>
      <c r="R3" s="12">
        <v>1998</v>
      </c>
      <c r="S3" s="12">
        <v>1.5</v>
      </c>
      <c r="T3" s="12"/>
      <c r="U3" s="12" t="s">
        <v>2</v>
      </c>
      <c r="V3" s="12">
        <v>8</v>
      </c>
      <c r="W3" s="12">
        <v>7</v>
      </c>
      <c r="X3" s="12" t="s">
        <v>134</v>
      </c>
      <c r="Y3" s="12" t="s">
        <v>282</v>
      </c>
      <c r="Z3" s="12" t="s">
        <v>0</v>
      </c>
      <c r="AA3" s="12" t="s">
        <v>148</v>
      </c>
      <c r="AB3" s="12" t="s">
        <v>2</v>
      </c>
      <c r="AC3" s="12" t="s">
        <v>2</v>
      </c>
      <c r="AD3" s="12" t="s">
        <v>2</v>
      </c>
      <c r="AE3" s="12" t="s">
        <v>245</v>
      </c>
      <c r="AF3" s="12" t="s">
        <v>321</v>
      </c>
      <c r="AG3" s="12">
        <v>0</v>
      </c>
      <c r="AH3" s="12">
        <f>AI3*(SQRT(W3))</f>
        <v>0</v>
      </c>
      <c r="AI3" s="12">
        <v>0</v>
      </c>
      <c r="AJ3" s="12">
        <v>5.6</v>
      </c>
      <c r="AK3" s="12">
        <f>AL3*(SQRT(V3))</f>
        <v>9.6166522241370469</v>
      </c>
      <c r="AL3" s="12">
        <v>3.4</v>
      </c>
      <c r="AM3" s="12">
        <f t="shared" si="0"/>
        <v>-5.6</v>
      </c>
      <c r="AN3" s="1">
        <f t="shared" si="1"/>
        <v>7.0566934946136834</v>
      </c>
      <c r="AO3" s="1">
        <f t="shared" ref="AO3" si="6">AM3/AN3</f>
        <v>-0.79357279783717882</v>
      </c>
      <c r="AP3" s="1">
        <f t="shared" si="3"/>
        <v>0.28884906903938046</v>
      </c>
      <c r="AQ3" s="1">
        <f t="shared" si="4"/>
        <v>0.94117647058823528</v>
      </c>
      <c r="AR3" s="21">
        <f t="shared" ref="AR3" si="7">AO3*AQ3</f>
        <v>-0.74689204502322715</v>
      </c>
      <c r="AS3" s="21">
        <f t="shared" ref="AS3:AS7" si="8">AP3*(AQ3^2)</f>
        <v>0.25586630337052385</v>
      </c>
      <c r="AT3" s="21">
        <f t="shared" ref="AT3" si="9">SQRT(AP3*AQ3^2)</f>
        <v>0.50583228778966238</v>
      </c>
      <c r="AU3" s="20">
        <f t="shared" ref="AU3:AU7" si="10">1/AS3</f>
        <v>3.9082911146446859</v>
      </c>
      <c r="AV3" s="20">
        <f t="shared" ref="AV3:AV7" si="11">AR3/AS3</f>
        <v>-2.9190715431630774</v>
      </c>
      <c r="AW3" s="20">
        <f t="shared" ref="AW3:AW7" si="12">((AR3)^2)/AS3</f>
        <v>2.1802313144421781</v>
      </c>
      <c r="AX3" s="14"/>
      <c r="AY3" s="14"/>
      <c r="AZ3" s="1" t="s">
        <v>271</v>
      </c>
      <c r="BA3" s="2"/>
    </row>
    <row r="4" spans="1:53" ht="14.25" hidden="1" customHeight="1">
      <c r="A4" s="2">
        <v>421</v>
      </c>
      <c r="B4" s="2" t="s">
        <v>52</v>
      </c>
      <c r="C4" s="12" t="s">
        <v>85</v>
      </c>
      <c r="D4" s="12">
        <v>2009</v>
      </c>
      <c r="E4" s="12">
        <v>1999</v>
      </c>
      <c r="F4" s="12" t="s">
        <v>125</v>
      </c>
      <c r="G4" s="12" t="s">
        <v>124</v>
      </c>
      <c r="H4" s="12">
        <v>-1.016667</v>
      </c>
      <c r="I4" s="12">
        <v>116.86666700000001</v>
      </c>
      <c r="J4" s="12" t="s">
        <v>135</v>
      </c>
      <c r="K4" s="12" t="s">
        <v>216</v>
      </c>
      <c r="L4" s="12" t="s">
        <v>217</v>
      </c>
      <c r="M4" s="12" t="s">
        <v>238</v>
      </c>
      <c r="N4" s="12" t="s">
        <v>239</v>
      </c>
      <c r="O4" s="12" t="s">
        <v>86</v>
      </c>
      <c r="P4" s="12" t="s">
        <v>129</v>
      </c>
      <c r="Q4" s="12" t="s">
        <v>93</v>
      </c>
      <c r="R4" s="12">
        <v>1998</v>
      </c>
      <c r="S4" s="12">
        <v>1.5</v>
      </c>
      <c r="T4" s="12"/>
      <c r="U4" s="12" t="s">
        <v>2</v>
      </c>
      <c r="V4" s="12">
        <v>8</v>
      </c>
      <c r="W4" s="12">
        <v>7</v>
      </c>
      <c r="X4" s="12" t="s">
        <v>134</v>
      </c>
      <c r="Y4" s="12" t="s">
        <v>283</v>
      </c>
      <c r="Z4" s="12" t="s">
        <v>0</v>
      </c>
      <c r="AA4" s="12" t="s">
        <v>148</v>
      </c>
      <c r="AB4" s="12" t="s">
        <v>2</v>
      </c>
      <c r="AC4" s="12" t="s">
        <v>2</v>
      </c>
      <c r="AD4" s="12" t="s">
        <v>2</v>
      </c>
      <c r="AE4" s="12" t="s">
        <v>245</v>
      </c>
      <c r="AF4" s="12" t="s">
        <v>321</v>
      </c>
      <c r="AG4" s="12">
        <v>0</v>
      </c>
      <c r="AH4" s="12">
        <f>AI4*(SQRT(W4))</f>
        <v>0</v>
      </c>
      <c r="AI4" s="12">
        <v>0</v>
      </c>
      <c r="AJ4" s="12">
        <v>2.7</v>
      </c>
      <c r="AK4" s="12">
        <v>4.0999999999999996</v>
      </c>
      <c r="AL4" s="12">
        <v>8.6999999999999993</v>
      </c>
      <c r="AM4" s="12">
        <f t="shared" si="0"/>
        <v>-2.7</v>
      </c>
      <c r="AN4" s="1">
        <f t="shared" si="1"/>
        <v>3.0085774813919053</v>
      </c>
      <c r="AO4" s="1">
        <f t="shared" ref="AO4" si="13">AM4/AN4</f>
        <v>-0.89743409192534973</v>
      </c>
      <c r="AP4" s="1">
        <f t="shared" si="3"/>
        <v>0.29470340783547211</v>
      </c>
      <c r="AQ4" s="1">
        <f t="shared" si="4"/>
        <v>0.94117647058823528</v>
      </c>
      <c r="AR4" s="21">
        <f t="shared" ref="AR4" si="14">AO4*AQ4</f>
        <v>-0.84464385122385854</v>
      </c>
      <c r="AS4" s="21">
        <f t="shared" si="8"/>
        <v>0.26105215365356699</v>
      </c>
      <c r="AT4" s="21">
        <f t="shared" ref="AT4" si="15">SQRT(AP4*AQ4^2)</f>
        <v>0.51093263122799959</v>
      </c>
      <c r="AU4" s="20">
        <f t="shared" si="10"/>
        <v>3.8306521743048494</v>
      </c>
      <c r="AV4" s="20">
        <f t="shared" si="11"/>
        <v>-3.2355368052038953</v>
      </c>
      <c r="AW4" s="20">
        <f t="shared" si="12"/>
        <v>2.7328762679239573</v>
      </c>
      <c r="AX4" s="14"/>
      <c r="AY4" s="14"/>
      <c r="AZ4" s="1" t="s">
        <v>271</v>
      </c>
      <c r="BA4" s="2"/>
    </row>
    <row r="5" spans="1:53" ht="14.25" hidden="1" customHeight="1">
      <c r="A5" s="2">
        <v>421</v>
      </c>
      <c r="B5" s="2" t="s">
        <v>52</v>
      </c>
      <c r="C5" s="12" t="s">
        <v>85</v>
      </c>
      <c r="D5" s="12">
        <v>2009</v>
      </c>
      <c r="E5" s="12">
        <v>1999</v>
      </c>
      <c r="F5" s="12" t="s">
        <v>125</v>
      </c>
      <c r="G5" s="12" t="s">
        <v>124</v>
      </c>
      <c r="H5" s="12">
        <v>-1.016667</v>
      </c>
      <c r="I5" s="12">
        <v>116.86666700000001</v>
      </c>
      <c r="J5" s="12" t="s">
        <v>135</v>
      </c>
      <c r="K5" s="12" t="s">
        <v>216</v>
      </c>
      <c r="L5" s="12" t="s">
        <v>217</v>
      </c>
      <c r="M5" s="12" t="s">
        <v>238</v>
      </c>
      <c r="N5" s="12" t="s">
        <v>239</v>
      </c>
      <c r="O5" s="12" t="s">
        <v>86</v>
      </c>
      <c r="P5" s="12" t="s">
        <v>211</v>
      </c>
      <c r="Q5" s="12" t="s">
        <v>93</v>
      </c>
      <c r="R5" s="12">
        <v>1998</v>
      </c>
      <c r="S5" s="12">
        <v>1.5</v>
      </c>
      <c r="T5" s="12"/>
      <c r="U5" s="12" t="s">
        <v>2</v>
      </c>
      <c r="V5" s="12">
        <v>8</v>
      </c>
      <c r="W5" s="12">
        <v>7</v>
      </c>
      <c r="X5" s="12" t="s">
        <v>134</v>
      </c>
      <c r="Y5" s="12" t="s">
        <v>281</v>
      </c>
      <c r="Z5" s="12" t="s">
        <v>0</v>
      </c>
      <c r="AA5" s="12" t="s">
        <v>148</v>
      </c>
      <c r="AB5" s="12" t="s">
        <v>2</v>
      </c>
      <c r="AC5" s="12" t="s">
        <v>2</v>
      </c>
      <c r="AD5" s="12" t="s">
        <v>2</v>
      </c>
      <c r="AE5" s="12" t="s">
        <v>245</v>
      </c>
      <c r="AF5" s="12" t="s">
        <v>321</v>
      </c>
      <c r="AG5" s="12">
        <v>4.2</v>
      </c>
      <c r="AH5" s="12">
        <f>AI5*(SQRT(W5))</f>
        <v>13.757906817535872</v>
      </c>
      <c r="AI5" s="12">
        <v>5.2</v>
      </c>
      <c r="AJ5" s="12">
        <v>15.8</v>
      </c>
      <c r="AK5" s="12">
        <f>AL5*(SQRT(V5))</f>
        <v>20.364675298172571</v>
      </c>
      <c r="AL5" s="12">
        <v>7.2</v>
      </c>
      <c r="AM5" s="12">
        <f t="shared" si="0"/>
        <v>-11.600000000000001</v>
      </c>
      <c r="AN5" s="1">
        <f t="shared" si="1"/>
        <v>17.625855134737982</v>
      </c>
      <c r="AO5" s="1">
        <f t="shared" si="2"/>
        <v>-0.65812409731758759</v>
      </c>
      <c r="AP5" s="1">
        <f t="shared" si="3"/>
        <v>0.28229472043947917</v>
      </c>
      <c r="AQ5" s="1">
        <f t="shared" si="4"/>
        <v>0.94117647058823528</v>
      </c>
      <c r="AR5" s="21">
        <f t="shared" si="5"/>
        <v>-0.6194109151224354</v>
      </c>
      <c r="AS5" s="21">
        <f t="shared" si="8"/>
        <v>0.250060375198985</v>
      </c>
      <c r="AT5" s="21">
        <f t="shared" ref="AT5" si="16">SQRT(AP5*AQ5^2)</f>
        <v>0.50006037155426042</v>
      </c>
      <c r="AU5" s="20">
        <f t="shared" si="10"/>
        <v>3.9990342300504516</v>
      </c>
      <c r="AV5" s="20">
        <f t="shared" si="11"/>
        <v>-2.477045452041494</v>
      </c>
      <c r="AW5" s="20">
        <f t="shared" si="12"/>
        <v>1.5343089902488884</v>
      </c>
      <c r="AX5" s="14"/>
      <c r="AY5" s="14"/>
      <c r="AZ5" s="1" t="s">
        <v>271</v>
      </c>
      <c r="BA5" s="2"/>
    </row>
    <row r="6" spans="1:53" ht="14.25" hidden="1" customHeight="1">
      <c r="A6" s="2">
        <v>421</v>
      </c>
      <c r="B6" s="2" t="s">
        <v>52</v>
      </c>
      <c r="C6" s="12" t="s">
        <v>85</v>
      </c>
      <c r="D6" s="12">
        <v>2009</v>
      </c>
      <c r="E6" s="12">
        <v>1999</v>
      </c>
      <c r="F6" s="12" t="s">
        <v>125</v>
      </c>
      <c r="G6" s="12" t="s">
        <v>124</v>
      </c>
      <c r="H6" s="12">
        <v>-1.016667</v>
      </c>
      <c r="I6" s="12">
        <v>116.86666700000001</v>
      </c>
      <c r="J6" s="12" t="s">
        <v>135</v>
      </c>
      <c r="K6" s="12" t="s">
        <v>216</v>
      </c>
      <c r="L6" s="12" t="s">
        <v>217</v>
      </c>
      <c r="M6" s="12" t="s">
        <v>238</v>
      </c>
      <c r="N6" s="12" t="s">
        <v>239</v>
      </c>
      <c r="O6" s="12" t="s">
        <v>86</v>
      </c>
      <c r="P6" s="12" t="s">
        <v>211</v>
      </c>
      <c r="Q6" s="12" t="s">
        <v>93</v>
      </c>
      <c r="R6" s="12">
        <v>1998</v>
      </c>
      <c r="S6" s="12">
        <v>1.5</v>
      </c>
      <c r="T6" s="12"/>
      <c r="U6" s="12" t="s">
        <v>2</v>
      </c>
      <c r="V6" s="12">
        <v>8</v>
      </c>
      <c r="W6" s="12">
        <v>7</v>
      </c>
      <c r="X6" s="12" t="s">
        <v>134</v>
      </c>
      <c r="Y6" s="12" t="s">
        <v>282</v>
      </c>
      <c r="Z6" s="12" t="s">
        <v>0</v>
      </c>
      <c r="AA6" s="12" t="s">
        <v>148</v>
      </c>
      <c r="AB6" s="12" t="s">
        <v>2</v>
      </c>
      <c r="AC6" s="12" t="s">
        <v>2</v>
      </c>
      <c r="AD6" s="12" t="s">
        <v>2</v>
      </c>
      <c r="AE6" s="12" t="s">
        <v>245</v>
      </c>
      <c r="AF6" s="12" t="s">
        <v>321</v>
      </c>
      <c r="AG6" s="12">
        <v>5.3</v>
      </c>
      <c r="AH6" s="1">
        <f>AI6*SQRT(W6)</f>
        <v>6.3498031465550175</v>
      </c>
      <c r="AI6" s="12">
        <v>2.4</v>
      </c>
      <c r="AJ6" s="12">
        <v>5.6</v>
      </c>
      <c r="AK6" s="12">
        <f>AL6*(SQRT(V6))</f>
        <v>9.6166522241370469</v>
      </c>
      <c r="AL6" s="12">
        <v>3.4</v>
      </c>
      <c r="AM6" s="12">
        <f t="shared" si="0"/>
        <v>-0.29999999999999982</v>
      </c>
      <c r="AN6" s="1">
        <f>SQRT((((W6-1)*AI6^2)+((V6-1)*AK6^2))/(W6+V6-2))</f>
        <v>7.2426089646883893</v>
      </c>
      <c r="AO6" s="1">
        <f t="shared" ref="AO6" si="17">AM6/AN6</f>
        <v>-4.1421537661726737E-2</v>
      </c>
      <c r="AP6" s="1">
        <f t="shared" si="3"/>
        <v>0.26791433431655159</v>
      </c>
      <c r="AQ6" s="1">
        <f t="shared" si="4"/>
        <v>0.94117647058823528</v>
      </c>
      <c r="AR6" s="21">
        <f t="shared" ref="AR6" si="18">AO6*AQ6</f>
        <v>-3.8984976622801634E-2</v>
      </c>
      <c r="AS6" s="21">
        <f t="shared" si="8"/>
        <v>0.23732204008663393</v>
      </c>
      <c r="AT6" s="21">
        <f t="shared" ref="AT6" si="19">SQRT(AP6*AQ6^2)</f>
        <v>0.48715710000638801</v>
      </c>
      <c r="AU6" s="20">
        <f t="shared" si="10"/>
        <v>4.2136836495883481</v>
      </c>
      <c r="AV6" s="20">
        <f t="shared" si="11"/>
        <v>-0.16427035857508324</v>
      </c>
      <c r="AW6" s="20">
        <f t="shared" si="12"/>
        <v>6.4040760888688618E-3</v>
      </c>
      <c r="AX6" s="14"/>
      <c r="AY6" s="14"/>
      <c r="AZ6" s="1" t="s">
        <v>271</v>
      </c>
      <c r="BA6" s="2"/>
    </row>
    <row r="7" spans="1:53" ht="14.25" hidden="1" customHeight="1">
      <c r="A7" s="2">
        <v>421</v>
      </c>
      <c r="B7" s="2" t="s">
        <v>52</v>
      </c>
      <c r="C7" s="12" t="s">
        <v>85</v>
      </c>
      <c r="D7" s="12">
        <v>2009</v>
      </c>
      <c r="E7" s="12">
        <v>1999</v>
      </c>
      <c r="F7" s="12" t="s">
        <v>125</v>
      </c>
      <c r="G7" s="12" t="s">
        <v>124</v>
      </c>
      <c r="H7" s="12">
        <v>-1.016667</v>
      </c>
      <c r="I7" s="12">
        <v>116.86666700000001</v>
      </c>
      <c r="J7" s="12" t="s">
        <v>135</v>
      </c>
      <c r="K7" s="12" t="s">
        <v>216</v>
      </c>
      <c r="L7" s="12" t="s">
        <v>217</v>
      </c>
      <c r="M7" s="12" t="s">
        <v>238</v>
      </c>
      <c r="N7" s="12" t="s">
        <v>239</v>
      </c>
      <c r="O7" s="12" t="s">
        <v>86</v>
      </c>
      <c r="P7" s="12" t="s">
        <v>211</v>
      </c>
      <c r="Q7" s="12" t="s">
        <v>93</v>
      </c>
      <c r="R7" s="12">
        <v>1998</v>
      </c>
      <c r="S7" s="12">
        <v>1.5</v>
      </c>
      <c r="T7" s="12"/>
      <c r="U7" s="12" t="s">
        <v>2</v>
      </c>
      <c r="V7" s="12">
        <v>8</v>
      </c>
      <c r="W7" s="12">
        <v>7</v>
      </c>
      <c r="X7" s="12" t="s">
        <v>134</v>
      </c>
      <c r="Y7" s="12" t="s">
        <v>283</v>
      </c>
      <c r="Z7" s="12" t="s">
        <v>0</v>
      </c>
      <c r="AA7" s="12" t="s">
        <v>148</v>
      </c>
      <c r="AB7" s="12" t="s">
        <v>2</v>
      </c>
      <c r="AC7" s="12" t="s">
        <v>2</v>
      </c>
      <c r="AD7" s="12" t="s">
        <v>2</v>
      </c>
      <c r="AE7" s="12" t="s">
        <v>245</v>
      </c>
      <c r="AF7" s="12" t="s">
        <v>321</v>
      </c>
      <c r="AG7" s="12">
        <v>5.7</v>
      </c>
      <c r="AH7" s="1">
        <f>AI7*SQRT(W7)</f>
        <v>11.112155506471282</v>
      </c>
      <c r="AI7" s="12">
        <v>4.2</v>
      </c>
      <c r="AJ7" s="12">
        <v>2.7</v>
      </c>
      <c r="AK7" s="12">
        <v>4.0999999999999996</v>
      </c>
      <c r="AL7" s="12">
        <v>8.6999999999999993</v>
      </c>
      <c r="AM7" s="12">
        <f t="shared" si="0"/>
        <v>3</v>
      </c>
      <c r="AN7" s="1">
        <f>SQRT((((W7-1)*AI7^2)+((V7-1)*AK7^2))/(W7+V7-2))</f>
        <v>4.1464535356225714</v>
      </c>
      <c r="AO7" s="1">
        <f t="shared" ref="AO7" si="20">AM7/AN7</f>
        <v>0.72350985588689676</v>
      </c>
      <c r="AP7" s="1">
        <f t="shared" si="3"/>
        <v>0.28530602657599213</v>
      </c>
      <c r="AQ7" s="1">
        <f t="shared" si="4"/>
        <v>0.94117647058823528</v>
      </c>
      <c r="AR7" s="21">
        <f t="shared" ref="AR7" si="21">AO7*AQ7</f>
        <v>0.68095045259943221</v>
      </c>
      <c r="AS7" s="21">
        <f t="shared" si="8"/>
        <v>0.25272782976973701</v>
      </c>
      <c r="AT7" s="21">
        <f t="shared" ref="AT7" si="22">SQRT(AP7*AQ7^2)</f>
        <v>0.50272042903559933</v>
      </c>
      <c r="AU7" s="20">
        <f t="shared" si="10"/>
        <v>3.9568258110359693</v>
      </c>
      <c r="AV7" s="20">
        <f t="shared" si="11"/>
        <v>2.6944023268820585</v>
      </c>
      <c r="AW7" s="20">
        <f t="shared" si="12"/>
        <v>1.8347544839753012</v>
      </c>
      <c r="AX7" s="14"/>
      <c r="AY7" s="14"/>
      <c r="AZ7" s="1" t="s">
        <v>271</v>
      </c>
      <c r="BA7" s="2"/>
    </row>
    <row r="8" spans="1:53" ht="14.25" hidden="1" customHeight="1">
      <c r="A8" s="2">
        <v>200</v>
      </c>
      <c r="B8" s="2" t="s">
        <v>31</v>
      </c>
      <c r="C8" s="1" t="s">
        <v>85</v>
      </c>
      <c r="D8" s="1">
        <v>2024</v>
      </c>
      <c r="F8" s="1" t="s">
        <v>207</v>
      </c>
      <c r="G8" s="1" t="s">
        <v>162</v>
      </c>
      <c r="H8" s="1">
        <v>-38</v>
      </c>
      <c r="I8" s="1">
        <v>-71</v>
      </c>
      <c r="J8" s="1" t="s">
        <v>128</v>
      </c>
      <c r="K8" s="1" t="s">
        <v>197</v>
      </c>
      <c r="L8" s="1" t="s">
        <v>198</v>
      </c>
      <c r="M8" s="1" t="s">
        <v>238</v>
      </c>
      <c r="N8" s="1" t="s">
        <v>239</v>
      </c>
      <c r="O8" s="1" t="s">
        <v>86</v>
      </c>
      <c r="P8" s="1" t="s">
        <v>211</v>
      </c>
      <c r="Q8" s="1" t="s">
        <v>93</v>
      </c>
      <c r="R8" s="1">
        <v>2015</v>
      </c>
      <c r="S8" s="1">
        <v>8</v>
      </c>
      <c r="U8" s="1">
        <v>3700</v>
      </c>
      <c r="V8" s="1">
        <v>3</v>
      </c>
      <c r="W8" s="1">
        <v>3</v>
      </c>
      <c r="X8" s="1" t="s">
        <v>208</v>
      </c>
      <c r="Y8" s="1" t="s">
        <v>155</v>
      </c>
      <c r="Z8" s="1" t="s">
        <v>0</v>
      </c>
      <c r="AA8" s="1" t="s">
        <v>98</v>
      </c>
      <c r="AB8" s="1" t="s">
        <v>203</v>
      </c>
      <c r="AC8" s="1" t="s">
        <v>99</v>
      </c>
      <c r="AD8" s="1" t="s">
        <v>102</v>
      </c>
      <c r="AE8" s="10" t="s">
        <v>248</v>
      </c>
      <c r="AF8" s="10" t="s">
        <v>318</v>
      </c>
      <c r="AG8">
        <f>26.1/100</f>
        <v>0.26100000000000001</v>
      </c>
      <c r="AH8" s="13"/>
      <c r="AI8" s="13"/>
      <c r="AJ8">
        <f>26.9/100</f>
        <v>0.26899999999999996</v>
      </c>
      <c r="AK8" s="13"/>
      <c r="AL8" s="13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2">
        <f>LOG(AG8/AJ8)</f>
        <v>-1.3111772664126962E-2</v>
      </c>
      <c r="AY8" s="12">
        <f>((1-AG8)/(AG8*W8))+((1-AJ8)/(V8*AJ8))</f>
        <v>1.8496299144933936</v>
      </c>
      <c r="AZ8" s="1" t="s">
        <v>284</v>
      </c>
    </row>
    <row r="9" spans="1:53" ht="14.25" hidden="1" customHeight="1">
      <c r="A9" s="2">
        <v>200</v>
      </c>
      <c r="B9" s="2" t="s">
        <v>31</v>
      </c>
      <c r="C9" s="1" t="s">
        <v>85</v>
      </c>
      <c r="D9" s="1">
        <v>2024</v>
      </c>
      <c r="F9" s="1" t="s">
        <v>207</v>
      </c>
      <c r="G9" s="1" t="s">
        <v>162</v>
      </c>
      <c r="H9" s="1">
        <v>-38</v>
      </c>
      <c r="I9" s="1">
        <v>-71</v>
      </c>
      <c r="J9" s="1" t="s">
        <v>128</v>
      </c>
      <c r="K9" s="1" t="s">
        <v>197</v>
      </c>
      <c r="L9" s="1" t="s">
        <v>198</v>
      </c>
      <c r="M9" s="1" t="s">
        <v>238</v>
      </c>
      <c r="N9" s="1" t="s">
        <v>239</v>
      </c>
      <c r="O9" s="1" t="s">
        <v>86</v>
      </c>
      <c r="P9" s="1" t="s">
        <v>211</v>
      </c>
      <c r="Q9" s="1" t="s">
        <v>93</v>
      </c>
      <c r="R9" s="1">
        <v>2015</v>
      </c>
      <c r="S9" s="1">
        <v>8</v>
      </c>
      <c r="U9" s="1">
        <v>3700</v>
      </c>
      <c r="V9" s="1">
        <v>3</v>
      </c>
      <c r="W9" s="1">
        <v>3</v>
      </c>
      <c r="X9" s="1" t="s">
        <v>208</v>
      </c>
      <c r="Y9" s="1" t="s">
        <v>155</v>
      </c>
      <c r="Z9" s="1" t="s">
        <v>0</v>
      </c>
      <c r="AA9" s="1" t="s">
        <v>98</v>
      </c>
      <c r="AB9" s="1" t="s">
        <v>203</v>
      </c>
      <c r="AC9" s="1" t="s">
        <v>99</v>
      </c>
      <c r="AD9" s="1" t="s">
        <v>102</v>
      </c>
      <c r="AE9" s="10" t="s">
        <v>249</v>
      </c>
      <c r="AF9" s="10" t="s">
        <v>318</v>
      </c>
      <c r="AG9">
        <f>70/100</f>
        <v>0.7</v>
      </c>
      <c r="AH9" s="13"/>
      <c r="AI9" s="13"/>
      <c r="AJ9">
        <f>71.5/100</f>
        <v>0.71499999999999997</v>
      </c>
      <c r="AK9" s="13"/>
      <c r="AL9" s="13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2">
        <f>LOG(AG9/AJ9)</f>
        <v>-9.2080017868238131E-3</v>
      </c>
      <c r="AY9" s="12">
        <f>((1-AG9)/(AG9*W9))+((1-AJ9)/(V9*AJ9))</f>
        <v>0.27572427572427582</v>
      </c>
      <c r="AZ9" s="1" t="s">
        <v>284</v>
      </c>
    </row>
    <row r="10" spans="1:53" ht="14.25" hidden="1" customHeight="1">
      <c r="A10" s="2">
        <v>200</v>
      </c>
      <c r="B10" s="2" t="s">
        <v>31</v>
      </c>
      <c r="C10" s="1" t="s">
        <v>85</v>
      </c>
      <c r="D10" s="1">
        <v>2024</v>
      </c>
      <c r="F10" s="1" t="s">
        <v>207</v>
      </c>
      <c r="G10" s="1" t="s">
        <v>162</v>
      </c>
      <c r="H10" s="1">
        <v>-38</v>
      </c>
      <c r="I10" s="1">
        <v>-71</v>
      </c>
      <c r="J10" s="1" t="s">
        <v>128</v>
      </c>
      <c r="K10" s="1" t="s">
        <v>197</v>
      </c>
      <c r="L10" s="1" t="s">
        <v>198</v>
      </c>
      <c r="M10" s="1" t="s">
        <v>238</v>
      </c>
      <c r="N10" s="1" t="s">
        <v>239</v>
      </c>
      <c r="O10" s="1" t="s">
        <v>86</v>
      </c>
      <c r="P10" s="1" t="s">
        <v>211</v>
      </c>
      <c r="Q10" s="1" t="s">
        <v>93</v>
      </c>
      <c r="R10" s="1">
        <v>2015</v>
      </c>
      <c r="S10" s="1">
        <v>8</v>
      </c>
      <c r="U10" s="1">
        <v>3700</v>
      </c>
      <c r="V10" s="1">
        <v>3</v>
      </c>
      <c r="W10" s="1">
        <v>3</v>
      </c>
      <c r="X10" s="1" t="s">
        <v>250</v>
      </c>
      <c r="Y10" s="1" t="s">
        <v>155</v>
      </c>
      <c r="Z10" s="1" t="s">
        <v>0</v>
      </c>
      <c r="AA10" s="1" t="s">
        <v>98</v>
      </c>
      <c r="AB10" s="1" t="s">
        <v>203</v>
      </c>
      <c r="AC10" s="1" t="s">
        <v>99</v>
      </c>
      <c r="AD10" s="1" t="s">
        <v>102</v>
      </c>
      <c r="AE10" s="10" t="s">
        <v>248</v>
      </c>
      <c r="AF10" s="10" t="s">
        <v>318</v>
      </c>
      <c r="AG10">
        <f>32.7/100</f>
        <v>0.32700000000000001</v>
      </c>
      <c r="AH10" s="13"/>
      <c r="AI10" s="13"/>
      <c r="AJ10">
        <f>42.3/100</f>
        <v>0.42299999999999999</v>
      </c>
      <c r="AK10" s="13"/>
      <c r="AL10" s="13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2">
        <f>LOG(AG10/AJ10)</f>
        <v>-0.11179261471475627</v>
      </c>
      <c r="AY10" s="12">
        <f>((1-AG10)/(AG10*W10))+((1-AJ10)/(V10*AJ10))</f>
        <v>1.1407233897961988</v>
      </c>
      <c r="AZ10" s="1" t="s">
        <v>284</v>
      </c>
    </row>
    <row r="11" spans="1:53" ht="14.25" hidden="1" customHeight="1">
      <c r="A11" s="2">
        <v>200</v>
      </c>
      <c r="B11" s="2" t="s">
        <v>31</v>
      </c>
      <c r="C11" s="1" t="s">
        <v>85</v>
      </c>
      <c r="D11" s="1">
        <v>2024</v>
      </c>
      <c r="F11" s="1" t="s">
        <v>207</v>
      </c>
      <c r="G11" s="1" t="s">
        <v>162</v>
      </c>
      <c r="H11" s="1">
        <v>-38</v>
      </c>
      <c r="I11" s="1">
        <v>-71</v>
      </c>
      <c r="J11" s="1" t="s">
        <v>128</v>
      </c>
      <c r="K11" s="1" t="s">
        <v>197</v>
      </c>
      <c r="L11" s="1" t="s">
        <v>198</v>
      </c>
      <c r="M11" s="1" t="s">
        <v>238</v>
      </c>
      <c r="N11" s="1" t="s">
        <v>239</v>
      </c>
      <c r="O11" s="1" t="s">
        <v>86</v>
      </c>
      <c r="P11" s="1" t="s">
        <v>211</v>
      </c>
      <c r="Q11" s="1" t="s">
        <v>93</v>
      </c>
      <c r="R11" s="1">
        <v>2015</v>
      </c>
      <c r="S11" s="1">
        <v>8</v>
      </c>
      <c r="U11" s="1">
        <v>3700</v>
      </c>
      <c r="V11" s="1">
        <v>3</v>
      </c>
      <c r="W11" s="1">
        <v>3</v>
      </c>
      <c r="X11" s="1" t="s">
        <v>250</v>
      </c>
      <c r="Y11" s="1" t="s">
        <v>155</v>
      </c>
      <c r="Z11" s="1" t="s">
        <v>0</v>
      </c>
      <c r="AA11" s="1" t="s">
        <v>98</v>
      </c>
      <c r="AB11" s="1" t="s">
        <v>203</v>
      </c>
      <c r="AC11" s="1" t="s">
        <v>99</v>
      </c>
      <c r="AD11" s="1" t="s">
        <v>102</v>
      </c>
      <c r="AE11" s="10" t="s">
        <v>249</v>
      </c>
      <c r="AF11" s="10" t="s">
        <v>318</v>
      </c>
      <c r="AG11">
        <f>66.8/100</f>
        <v>0.66799999999999993</v>
      </c>
      <c r="AH11" s="13"/>
      <c r="AI11" s="13"/>
      <c r="AJ11">
        <f>57.4/100</f>
        <v>0.57399999999999995</v>
      </c>
      <c r="AK11" s="13"/>
      <c r="AL11" s="13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2">
        <f>LOG(AG11/AJ11)</f>
        <v>6.586457007757214E-2</v>
      </c>
      <c r="AY11" s="12">
        <f>((1-AG11)/(AG11*W11))+((1-AJ11)/(V11*AJ11))</f>
        <v>0.41305542225653236</v>
      </c>
      <c r="AZ11" s="1" t="s">
        <v>284</v>
      </c>
    </row>
    <row r="12" spans="1:53" ht="14.25" hidden="1" customHeight="1">
      <c r="A12" s="2">
        <v>443</v>
      </c>
      <c r="B12" s="2" t="s">
        <v>55</v>
      </c>
      <c r="C12" s="12" t="s">
        <v>85</v>
      </c>
      <c r="D12" s="12">
        <v>2007</v>
      </c>
      <c r="E12" s="12">
        <v>2003</v>
      </c>
      <c r="F12" s="12" t="s">
        <v>96</v>
      </c>
      <c r="G12" s="12" t="s">
        <v>109</v>
      </c>
      <c r="H12" s="12">
        <v>-26.833333</v>
      </c>
      <c r="I12" s="12">
        <v>152.88333299999999</v>
      </c>
      <c r="J12" s="12" t="s">
        <v>287</v>
      </c>
      <c r="K12" s="12" t="s">
        <v>112</v>
      </c>
      <c r="L12" s="12" t="s">
        <v>189</v>
      </c>
      <c r="M12" s="16" t="s">
        <v>238</v>
      </c>
      <c r="N12" s="12" t="s">
        <v>239</v>
      </c>
      <c r="O12" s="12" t="s">
        <v>121</v>
      </c>
      <c r="P12" s="12"/>
      <c r="Q12" s="12" t="s">
        <v>93</v>
      </c>
      <c r="R12" s="12">
        <v>2003</v>
      </c>
      <c r="S12" s="12" t="s">
        <v>163</v>
      </c>
      <c r="T12" s="12" t="s">
        <v>252</v>
      </c>
      <c r="U12" s="12"/>
      <c r="V12" s="12"/>
      <c r="W12" s="12"/>
      <c r="X12" s="12" t="s">
        <v>97</v>
      </c>
      <c r="Y12" s="12" t="s">
        <v>147</v>
      </c>
      <c r="Z12" s="12" t="s">
        <v>0</v>
      </c>
      <c r="AA12" s="12" t="s">
        <v>98</v>
      </c>
      <c r="AB12" s="12" t="s">
        <v>222</v>
      </c>
      <c r="AC12" s="12" t="s">
        <v>2</v>
      </c>
      <c r="AD12" s="12" t="s">
        <v>100</v>
      </c>
      <c r="AE12" s="12" t="s">
        <v>251</v>
      </c>
      <c r="AF12" s="12" t="s">
        <v>322</v>
      </c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" t="s">
        <v>286</v>
      </c>
    </row>
    <row r="13" spans="1:53" ht="14.25" hidden="1" customHeight="1">
      <c r="A13" s="2">
        <v>443</v>
      </c>
      <c r="B13" s="2" t="s">
        <v>55</v>
      </c>
      <c r="C13" s="12" t="s">
        <v>85</v>
      </c>
      <c r="D13" s="12">
        <v>2007</v>
      </c>
      <c r="E13" s="12">
        <v>2003</v>
      </c>
      <c r="F13" s="12" t="s">
        <v>96</v>
      </c>
      <c r="G13" s="12" t="s">
        <v>109</v>
      </c>
      <c r="H13" s="12">
        <v>-26.833333</v>
      </c>
      <c r="I13" s="12">
        <v>152.88333299999999</v>
      </c>
      <c r="J13" s="12" t="s">
        <v>287</v>
      </c>
      <c r="K13" s="12" t="s">
        <v>112</v>
      </c>
      <c r="L13" s="12" t="s">
        <v>189</v>
      </c>
      <c r="M13" s="16" t="s">
        <v>238</v>
      </c>
      <c r="N13" s="12" t="s">
        <v>239</v>
      </c>
      <c r="O13" s="12" t="s">
        <v>121</v>
      </c>
      <c r="P13" s="12"/>
      <c r="Q13" s="12" t="s">
        <v>93</v>
      </c>
      <c r="R13" s="12">
        <v>2003</v>
      </c>
      <c r="S13" s="12">
        <v>2</v>
      </c>
      <c r="T13" s="12" t="s">
        <v>252</v>
      </c>
      <c r="U13" s="12"/>
      <c r="V13" s="12"/>
      <c r="W13" s="12"/>
      <c r="X13" s="12" t="s">
        <v>97</v>
      </c>
      <c r="Y13" s="12" t="s">
        <v>147</v>
      </c>
      <c r="Z13" s="12" t="s">
        <v>0</v>
      </c>
      <c r="AA13" s="12" t="s">
        <v>98</v>
      </c>
      <c r="AB13" s="12" t="s">
        <v>222</v>
      </c>
      <c r="AC13" s="12" t="s">
        <v>2</v>
      </c>
      <c r="AD13" s="12" t="s">
        <v>100</v>
      </c>
      <c r="AE13" s="12" t="s">
        <v>251</v>
      </c>
      <c r="AF13" s="12" t="s">
        <v>322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" t="s">
        <v>286</v>
      </c>
    </row>
    <row r="14" spans="1:53" ht="14.25" hidden="1" customHeight="1">
      <c r="A14" s="2">
        <v>58</v>
      </c>
      <c r="B14" s="2" t="s">
        <v>11</v>
      </c>
      <c r="C14" s="1" t="s">
        <v>89</v>
      </c>
      <c r="D14" s="1">
        <v>2013</v>
      </c>
      <c r="E14" s="1">
        <v>2004</v>
      </c>
      <c r="F14" s="1" t="s">
        <v>153</v>
      </c>
      <c r="G14" s="1" t="s">
        <v>160</v>
      </c>
      <c r="H14" s="1">
        <v>51</v>
      </c>
      <c r="I14" s="1">
        <v>-120</v>
      </c>
      <c r="J14" s="1" t="s">
        <v>135</v>
      </c>
      <c r="K14" s="1" t="s">
        <v>175</v>
      </c>
      <c r="L14" s="1" t="s">
        <v>176</v>
      </c>
      <c r="M14" s="1" t="s">
        <v>237</v>
      </c>
      <c r="N14" s="1" t="s">
        <v>239</v>
      </c>
      <c r="O14" s="1" t="s">
        <v>86</v>
      </c>
      <c r="P14" s="1" t="s">
        <v>129</v>
      </c>
      <c r="Q14" s="1" t="s">
        <v>93</v>
      </c>
      <c r="R14" s="1">
        <v>2003</v>
      </c>
      <c r="S14" s="7"/>
      <c r="U14" s="1">
        <v>26420</v>
      </c>
      <c r="V14" s="1">
        <v>4</v>
      </c>
      <c r="W14" s="1">
        <v>4</v>
      </c>
      <c r="X14" s="1" t="s">
        <v>134</v>
      </c>
      <c r="Y14" s="1" t="s">
        <v>2</v>
      </c>
      <c r="Z14" s="1" t="s">
        <v>0</v>
      </c>
      <c r="AA14" s="1" t="s">
        <v>98</v>
      </c>
      <c r="AB14" s="1" t="s">
        <v>159</v>
      </c>
      <c r="AC14" s="1" t="s">
        <v>2</v>
      </c>
      <c r="AD14" s="1" t="s">
        <v>100</v>
      </c>
      <c r="AE14" s="1" t="s">
        <v>223</v>
      </c>
      <c r="AF14" s="1" t="s">
        <v>328</v>
      </c>
      <c r="AG14" s="1">
        <v>6.3</v>
      </c>
      <c r="AH14" s="1">
        <f t="shared" ref="AH14:AH16" si="23">AI14*(SQRT(W14))</f>
        <v>5</v>
      </c>
      <c r="AI14" s="1">
        <v>2.5</v>
      </c>
      <c r="AJ14" s="1">
        <v>8</v>
      </c>
      <c r="AK14" s="1">
        <f>AL14*(SQRT(V14))</f>
        <v>5</v>
      </c>
      <c r="AL14" s="1">
        <v>2.5</v>
      </c>
      <c r="AM14" s="12">
        <f t="shared" ref="AM14:AM19" si="24">AG14-AJ14</f>
        <v>-1.7000000000000002</v>
      </c>
      <c r="AN14" s="1">
        <f t="shared" ref="AN14:AN19" si="25">SQRT((((W14-1)*AH14^2)+((V14-1)*AK14^2))/(W14+V14-2))</f>
        <v>5</v>
      </c>
      <c r="AO14" s="1">
        <f t="shared" ref="AO14:AO19" si="26">AM14/AN14</f>
        <v>-0.34</v>
      </c>
      <c r="AP14" s="1">
        <f t="shared" ref="AP14:AP19" si="27">1/W14+1/V14+(AO14^2)/(2*(W14+V14))</f>
        <v>0.50722500000000004</v>
      </c>
      <c r="AQ14" s="1">
        <f t="shared" ref="AQ14:AQ19" si="28">1-(3/(4*(W14+V14-2)-1))</f>
        <v>0.86956521739130432</v>
      </c>
      <c r="AR14" s="21">
        <f t="shared" ref="AR14:AR19" si="29">AO14*AQ14</f>
        <v>-0.29565217391304349</v>
      </c>
      <c r="AS14" s="21">
        <f t="shared" ref="AS14:AS19" si="30">AP14*(AQ14^2)</f>
        <v>0.38353497164461253</v>
      </c>
      <c r="AT14" s="21">
        <f t="shared" ref="AT14:AT19" si="31">SQRT(AP14*AQ14^2)</f>
        <v>0.61930200358517529</v>
      </c>
      <c r="AU14" s="20">
        <f t="shared" ref="AU14:AU19" si="32">1/AS14</f>
        <v>2.6073241658041297</v>
      </c>
      <c r="AV14" s="20">
        <f t="shared" ref="AV14:AV19" si="33">AR14/AS14</f>
        <v>-0.77086105771600366</v>
      </c>
      <c r="AW14" s="20">
        <f t="shared" ref="AW14:AW19" si="34">((AR14)^2)/AS14</f>
        <v>0.22790674749864459</v>
      </c>
      <c r="AX14" s="14"/>
      <c r="AY14" s="14"/>
      <c r="AZ14" s="1" t="s">
        <v>271</v>
      </c>
      <c r="BA14" s="2"/>
    </row>
    <row r="15" spans="1:53" ht="14.25" hidden="1" customHeight="1">
      <c r="A15" s="2">
        <v>58</v>
      </c>
      <c r="B15" s="2" t="s">
        <v>11</v>
      </c>
      <c r="C15" s="1" t="s">
        <v>89</v>
      </c>
      <c r="D15" s="1">
        <v>2013</v>
      </c>
      <c r="E15" s="1">
        <v>2004</v>
      </c>
      <c r="F15" s="1" t="s">
        <v>153</v>
      </c>
      <c r="G15" s="1" t="s">
        <v>160</v>
      </c>
      <c r="H15" s="1">
        <v>51</v>
      </c>
      <c r="I15" s="1">
        <v>-120</v>
      </c>
      <c r="J15" s="1" t="s">
        <v>135</v>
      </c>
      <c r="K15" s="1" t="s">
        <v>175</v>
      </c>
      <c r="L15" s="1" t="s">
        <v>176</v>
      </c>
      <c r="M15" s="1" t="s">
        <v>237</v>
      </c>
      <c r="N15" s="1" t="s">
        <v>239</v>
      </c>
      <c r="O15" s="1" t="s">
        <v>86</v>
      </c>
      <c r="P15" s="1" t="s">
        <v>129</v>
      </c>
      <c r="Q15" s="1" t="s">
        <v>93</v>
      </c>
      <c r="R15" s="1">
        <v>2003</v>
      </c>
      <c r="S15" s="7"/>
      <c r="U15" s="1">
        <v>26420</v>
      </c>
      <c r="V15" s="1">
        <v>4</v>
      </c>
      <c r="W15" s="1">
        <v>4</v>
      </c>
      <c r="X15" s="1" t="s">
        <v>134</v>
      </c>
      <c r="Y15" s="1" t="s">
        <v>2</v>
      </c>
      <c r="Z15" s="1" t="s">
        <v>0</v>
      </c>
      <c r="AA15" s="1" t="s">
        <v>98</v>
      </c>
      <c r="AB15" s="1" t="s">
        <v>159</v>
      </c>
      <c r="AC15" s="1" t="s">
        <v>2</v>
      </c>
      <c r="AD15" s="1" t="s">
        <v>100</v>
      </c>
      <c r="AE15" s="1" t="s">
        <v>353</v>
      </c>
      <c r="AF15" s="1" t="s">
        <v>328</v>
      </c>
      <c r="AG15" s="1">
        <v>0.38</v>
      </c>
      <c r="AH15" s="1">
        <f t="shared" si="23"/>
        <v>0.42</v>
      </c>
      <c r="AI15" s="1">
        <v>0.21</v>
      </c>
      <c r="AJ15" s="1">
        <v>0.85</v>
      </c>
      <c r="AK15" s="1">
        <f t="shared" ref="AK15:AK19" si="35">AL15*(SQRT(V15))</f>
        <v>0.42</v>
      </c>
      <c r="AL15" s="1">
        <v>0.21</v>
      </c>
      <c r="AM15" s="12">
        <f t="shared" si="24"/>
        <v>-0.47</v>
      </c>
      <c r="AN15" s="1">
        <f t="shared" si="25"/>
        <v>0.42</v>
      </c>
      <c r="AO15" s="1">
        <f t="shared" si="26"/>
        <v>-1.1190476190476191</v>
      </c>
      <c r="AP15" s="1">
        <f t="shared" si="27"/>
        <v>0.57826672335600904</v>
      </c>
      <c r="AQ15" s="1">
        <f t="shared" si="28"/>
        <v>0.86956521739130432</v>
      </c>
      <c r="AR15" s="21">
        <f t="shared" si="29"/>
        <v>-0.97308488612836441</v>
      </c>
      <c r="AS15" s="21">
        <f t="shared" si="30"/>
        <v>0.43725272087410894</v>
      </c>
      <c r="AT15" s="21">
        <f t="shared" si="31"/>
        <v>0.66125087589666676</v>
      </c>
      <c r="AU15" s="20">
        <f t="shared" si="32"/>
        <v>2.2870069235953681</v>
      </c>
      <c r="AV15" s="20">
        <f t="shared" si="33"/>
        <v>-2.2254518718215794</v>
      </c>
      <c r="AW15" s="20">
        <f t="shared" si="34"/>
        <v>2.1655535812756574</v>
      </c>
      <c r="AX15" s="14"/>
      <c r="AY15" s="14"/>
      <c r="AZ15" s="1" t="s">
        <v>271</v>
      </c>
      <c r="BA15" s="2"/>
    </row>
    <row r="16" spans="1:53" ht="14.25" hidden="1" customHeight="1">
      <c r="A16" s="2">
        <v>58</v>
      </c>
      <c r="B16" s="2" t="s">
        <v>11</v>
      </c>
      <c r="C16" s="1" t="s">
        <v>89</v>
      </c>
      <c r="D16" s="1">
        <v>2013</v>
      </c>
      <c r="E16" s="1">
        <v>2004</v>
      </c>
      <c r="F16" s="1" t="s">
        <v>153</v>
      </c>
      <c r="G16" s="1" t="s">
        <v>160</v>
      </c>
      <c r="H16" s="1">
        <v>51</v>
      </c>
      <c r="I16" s="1">
        <v>-120</v>
      </c>
      <c r="J16" s="1" t="s">
        <v>135</v>
      </c>
      <c r="K16" s="1" t="s">
        <v>175</v>
      </c>
      <c r="L16" s="1" t="s">
        <v>176</v>
      </c>
      <c r="M16" s="1" t="s">
        <v>237</v>
      </c>
      <c r="N16" s="1" t="s">
        <v>239</v>
      </c>
      <c r="O16" s="1" t="s">
        <v>86</v>
      </c>
      <c r="P16" s="1" t="s">
        <v>129</v>
      </c>
      <c r="Q16" s="1" t="s">
        <v>93</v>
      </c>
      <c r="R16" s="1">
        <v>2003</v>
      </c>
      <c r="S16" s="7"/>
      <c r="U16" s="1">
        <v>26420</v>
      </c>
      <c r="V16" s="1">
        <v>4</v>
      </c>
      <c r="W16" s="1">
        <v>4</v>
      </c>
      <c r="X16" s="1" t="s">
        <v>134</v>
      </c>
      <c r="Y16" s="1" t="s">
        <v>2</v>
      </c>
      <c r="Z16" s="1" t="s">
        <v>0</v>
      </c>
      <c r="AA16" s="1" t="s">
        <v>98</v>
      </c>
      <c r="AB16" s="1" t="s">
        <v>159</v>
      </c>
      <c r="AC16" s="1" t="s">
        <v>2</v>
      </c>
      <c r="AD16" s="1" t="s">
        <v>100</v>
      </c>
      <c r="AE16" s="1" t="s">
        <v>149</v>
      </c>
      <c r="AF16" s="1" t="s">
        <v>328</v>
      </c>
      <c r="AG16" s="1">
        <v>0.32</v>
      </c>
      <c r="AH16" s="1">
        <f t="shared" si="23"/>
        <v>0.44</v>
      </c>
      <c r="AI16" s="1">
        <v>0.22</v>
      </c>
      <c r="AJ16" s="1">
        <v>0.79</v>
      </c>
      <c r="AK16" s="1">
        <f t="shared" si="35"/>
        <v>0.44</v>
      </c>
      <c r="AL16" s="1">
        <v>0.22</v>
      </c>
      <c r="AM16" s="12">
        <f t="shared" si="24"/>
        <v>-0.47000000000000003</v>
      </c>
      <c r="AN16" s="1">
        <f t="shared" si="25"/>
        <v>0.44</v>
      </c>
      <c r="AO16" s="1">
        <f t="shared" si="26"/>
        <v>-1.0681818181818183</v>
      </c>
      <c r="AP16" s="1">
        <f t="shared" si="27"/>
        <v>0.57131327479338845</v>
      </c>
      <c r="AQ16" s="1">
        <f t="shared" si="28"/>
        <v>0.86956521739130432</v>
      </c>
      <c r="AR16" s="21">
        <f t="shared" si="29"/>
        <v>-0.92885375494071154</v>
      </c>
      <c r="AS16" s="21">
        <f t="shared" si="30"/>
        <v>0.43199491477760943</v>
      </c>
      <c r="AT16" s="21">
        <f t="shared" si="31"/>
        <v>0.65726320053507437</v>
      </c>
      <c r="AU16" s="20">
        <f t="shared" si="32"/>
        <v>2.3148420636266032</v>
      </c>
      <c r="AV16" s="20">
        <f t="shared" si="33"/>
        <v>-2.1501497428942757</v>
      </c>
      <c r="AW16" s="20">
        <f t="shared" si="34"/>
        <v>1.9971746623721536</v>
      </c>
      <c r="AX16" s="14"/>
      <c r="AY16" s="14"/>
      <c r="AZ16" s="1" t="s">
        <v>271</v>
      </c>
      <c r="BA16" s="2"/>
    </row>
    <row r="17" spans="1:53" ht="14.25" hidden="1" customHeight="1">
      <c r="A17" s="2">
        <v>58</v>
      </c>
      <c r="B17" s="2" t="s">
        <v>11</v>
      </c>
      <c r="C17" s="1" t="s">
        <v>89</v>
      </c>
      <c r="D17" s="1">
        <v>2013</v>
      </c>
      <c r="E17" s="1">
        <v>2004</v>
      </c>
      <c r="F17" s="1" t="s">
        <v>153</v>
      </c>
      <c r="G17" s="1" t="s">
        <v>160</v>
      </c>
      <c r="H17" s="1">
        <v>51</v>
      </c>
      <c r="I17" s="1">
        <v>-120</v>
      </c>
      <c r="J17" s="1" t="s">
        <v>135</v>
      </c>
      <c r="K17" s="1" t="s">
        <v>175</v>
      </c>
      <c r="L17" s="1" t="s">
        <v>176</v>
      </c>
      <c r="M17" s="1" t="s">
        <v>237</v>
      </c>
      <c r="N17" s="1" t="s">
        <v>239</v>
      </c>
      <c r="O17" s="1" t="s">
        <v>86</v>
      </c>
      <c r="P17" s="1" t="s">
        <v>146</v>
      </c>
      <c r="Q17" s="1" t="s">
        <v>93</v>
      </c>
      <c r="R17" s="1">
        <v>2003</v>
      </c>
      <c r="S17" s="7"/>
      <c r="U17" s="1">
        <v>26420</v>
      </c>
      <c r="V17" s="1">
        <v>4</v>
      </c>
      <c r="W17" s="1">
        <v>4</v>
      </c>
      <c r="X17" s="1" t="s">
        <v>134</v>
      </c>
      <c r="Y17" s="1" t="s">
        <v>2</v>
      </c>
      <c r="Z17" s="1" t="s">
        <v>0</v>
      </c>
      <c r="AA17" s="1" t="s">
        <v>98</v>
      </c>
      <c r="AB17" s="1" t="s">
        <v>159</v>
      </c>
      <c r="AC17" s="1" t="s">
        <v>2</v>
      </c>
      <c r="AD17" s="1" t="s">
        <v>100</v>
      </c>
      <c r="AE17" s="1" t="s">
        <v>223</v>
      </c>
      <c r="AF17" s="1" t="s">
        <v>329</v>
      </c>
      <c r="AG17" s="1">
        <v>4</v>
      </c>
      <c r="AH17" s="1">
        <f>AI17*(SQRT(W17))</f>
        <v>6.2</v>
      </c>
      <c r="AI17" s="1">
        <v>3.1</v>
      </c>
      <c r="AJ17" s="1">
        <v>8</v>
      </c>
      <c r="AK17" s="1">
        <f t="shared" si="35"/>
        <v>5</v>
      </c>
      <c r="AL17" s="1">
        <v>2.5</v>
      </c>
      <c r="AM17" s="12">
        <f t="shared" si="24"/>
        <v>-4</v>
      </c>
      <c r="AN17" s="1">
        <f t="shared" si="25"/>
        <v>5.6320511361314898</v>
      </c>
      <c r="AO17" s="1">
        <f t="shared" si="26"/>
        <v>-0.71022082422843491</v>
      </c>
      <c r="AP17" s="1">
        <f t="shared" si="27"/>
        <v>0.53152585119798235</v>
      </c>
      <c r="AQ17" s="1">
        <f t="shared" si="28"/>
        <v>0.86956521739130432</v>
      </c>
      <c r="AR17" s="21">
        <f t="shared" si="29"/>
        <v>-0.61758332541603034</v>
      </c>
      <c r="AS17" s="21">
        <f t="shared" si="30"/>
        <v>0.40190990638788837</v>
      </c>
      <c r="AT17" s="21">
        <f t="shared" si="31"/>
        <v>0.63396364752869572</v>
      </c>
      <c r="AU17" s="20">
        <f t="shared" si="32"/>
        <v>2.4881198102016606</v>
      </c>
      <c r="AV17" s="20">
        <f t="shared" si="33"/>
        <v>-1.5366213064178438</v>
      </c>
      <c r="AW17" s="20">
        <f t="shared" si="34"/>
        <v>0.9489916963226569</v>
      </c>
      <c r="AX17" s="14"/>
      <c r="AY17" s="14"/>
      <c r="AZ17" s="1" t="s">
        <v>271</v>
      </c>
      <c r="BA17" s="2"/>
    </row>
    <row r="18" spans="1:53" ht="14.25" hidden="1" customHeight="1">
      <c r="A18" s="2">
        <v>58</v>
      </c>
      <c r="B18" s="2" t="s">
        <v>11</v>
      </c>
      <c r="C18" s="1" t="s">
        <v>89</v>
      </c>
      <c r="D18" s="1">
        <v>2013</v>
      </c>
      <c r="E18" s="1">
        <v>2004</v>
      </c>
      <c r="F18" s="1" t="s">
        <v>153</v>
      </c>
      <c r="G18" s="1" t="s">
        <v>160</v>
      </c>
      <c r="H18" s="1">
        <v>51</v>
      </c>
      <c r="I18" s="1">
        <v>-120</v>
      </c>
      <c r="J18" s="1" t="s">
        <v>135</v>
      </c>
      <c r="K18" s="1" t="s">
        <v>175</v>
      </c>
      <c r="L18" s="1" t="s">
        <v>176</v>
      </c>
      <c r="M18" s="1" t="s">
        <v>237</v>
      </c>
      <c r="N18" s="1" t="s">
        <v>239</v>
      </c>
      <c r="O18" s="1" t="s">
        <v>86</v>
      </c>
      <c r="P18" s="1" t="s">
        <v>146</v>
      </c>
      <c r="Q18" s="1" t="s">
        <v>93</v>
      </c>
      <c r="R18" s="1">
        <v>2003</v>
      </c>
      <c r="S18" s="7"/>
      <c r="U18" s="1">
        <v>26420</v>
      </c>
      <c r="V18" s="1">
        <v>4</v>
      </c>
      <c r="W18" s="1">
        <v>4</v>
      </c>
      <c r="X18" s="1" t="s">
        <v>134</v>
      </c>
      <c r="Y18" s="1" t="s">
        <v>2</v>
      </c>
      <c r="Z18" s="1" t="s">
        <v>0</v>
      </c>
      <c r="AA18" s="1" t="s">
        <v>98</v>
      </c>
      <c r="AB18" s="1" t="s">
        <v>159</v>
      </c>
      <c r="AC18" s="1" t="s">
        <v>2</v>
      </c>
      <c r="AD18" s="1" t="s">
        <v>100</v>
      </c>
      <c r="AE18" s="1" t="s">
        <v>353</v>
      </c>
      <c r="AF18" s="1" t="s">
        <v>329</v>
      </c>
      <c r="AG18" s="1">
        <v>0.47</v>
      </c>
      <c r="AH18" s="1">
        <f t="shared" ref="AH18:AH19" si="36">AI18*(SQRT(W18))</f>
        <v>0.52</v>
      </c>
      <c r="AI18" s="1">
        <v>0.26</v>
      </c>
      <c r="AJ18" s="1">
        <v>0.85</v>
      </c>
      <c r="AK18" s="1">
        <f t="shared" si="35"/>
        <v>0.42</v>
      </c>
      <c r="AL18" s="1">
        <v>0.21</v>
      </c>
      <c r="AM18" s="12">
        <f t="shared" si="24"/>
        <v>-0.38</v>
      </c>
      <c r="AN18" s="1">
        <f t="shared" si="25"/>
        <v>0.47265209192385893</v>
      </c>
      <c r="AO18" s="1">
        <f t="shared" si="26"/>
        <v>-0.80397401491077169</v>
      </c>
      <c r="AP18" s="1">
        <f t="shared" si="27"/>
        <v>0.54039838854073408</v>
      </c>
      <c r="AQ18" s="1">
        <f t="shared" si="28"/>
        <v>0.86956521739130432</v>
      </c>
      <c r="AR18" s="21">
        <f t="shared" si="29"/>
        <v>-0.6991078390528449</v>
      </c>
      <c r="AS18" s="21">
        <f t="shared" si="30"/>
        <v>0.40861881931246435</v>
      </c>
      <c r="AT18" s="21">
        <f t="shared" si="31"/>
        <v>0.63923299297866687</v>
      </c>
      <c r="AU18" s="20">
        <f t="shared" si="32"/>
        <v>2.4472685856284944</v>
      </c>
      <c r="AV18" s="20">
        <f t="shared" si="33"/>
        <v>-1.7109046524806488</v>
      </c>
      <c r="AW18" s="20">
        <f t="shared" si="34"/>
        <v>1.196106854421205</v>
      </c>
      <c r="AX18" s="14"/>
      <c r="AY18" s="14"/>
      <c r="AZ18" s="1" t="s">
        <v>271</v>
      </c>
      <c r="BA18" s="2"/>
    </row>
    <row r="19" spans="1:53" ht="14.25" hidden="1" customHeight="1">
      <c r="A19" s="2">
        <v>58</v>
      </c>
      <c r="B19" s="2" t="s">
        <v>11</v>
      </c>
      <c r="C19" s="1" t="s">
        <v>89</v>
      </c>
      <c r="D19" s="1">
        <v>2013</v>
      </c>
      <c r="E19" s="1">
        <v>2004</v>
      </c>
      <c r="F19" s="1" t="s">
        <v>153</v>
      </c>
      <c r="G19" s="1" t="s">
        <v>160</v>
      </c>
      <c r="H19" s="1">
        <v>51</v>
      </c>
      <c r="I19" s="1">
        <v>-120</v>
      </c>
      <c r="J19" s="1" t="s">
        <v>135</v>
      </c>
      <c r="K19" s="1" t="s">
        <v>175</v>
      </c>
      <c r="L19" s="1" t="s">
        <v>176</v>
      </c>
      <c r="M19" s="1" t="s">
        <v>237</v>
      </c>
      <c r="N19" s="1" t="s">
        <v>239</v>
      </c>
      <c r="O19" s="1" t="s">
        <v>86</v>
      </c>
      <c r="P19" s="1" t="s">
        <v>146</v>
      </c>
      <c r="Q19" s="1" t="s">
        <v>93</v>
      </c>
      <c r="R19" s="1">
        <v>2003</v>
      </c>
      <c r="S19" s="7"/>
      <c r="U19" s="1">
        <v>26420</v>
      </c>
      <c r="V19" s="1">
        <v>4</v>
      </c>
      <c r="W19" s="1">
        <v>4</v>
      </c>
      <c r="X19" s="1" t="s">
        <v>134</v>
      </c>
      <c r="Y19" s="1" t="s">
        <v>2</v>
      </c>
      <c r="Z19" s="1" t="s">
        <v>0</v>
      </c>
      <c r="AA19" s="1" t="s">
        <v>98</v>
      </c>
      <c r="AB19" s="1" t="s">
        <v>159</v>
      </c>
      <c r="AC19" s="1" t="s">
        <v>2</v>
      </c>
      <c r="AD19" s="1" t="s">
        <v>100</v>
      </c>
      <c r="AE19" s="1" t="s">
        <v>149</v>
      </c>
      <c r="AF19" s="1" t="s">
        <v>329</v>
      </c>
      <c r="AG19" s="1">
        <v>0.36</v>
      </c>
      <c r="AH19" s="1">
        <f t="shared" si="36"/>
        <v>0.54</v>
      </c>
      <c r="AI19" s="1">
        <v>0.27</v>
      </c>
      <c r="AJ19" s="1">
        <v>0.79</v>
      </c>
      <c r="AK19" s="1">
        <f t="shared" si="35"/>
        <v>0.44</v>
      </c>
      <c r="AL19" s="1">
        <v>0.22</v>
      </c>
      <c r="AM19" s="12">
        <f t="shared" si="24"/>
        <v>-0.43000000000000005</v>
      </c>
      <c r="AN19" s="1">
        <f t="shared" si="25"/>
        <v>0.49254441424099005</v>
      </c>
      <c r="AO19" s="1">
        <f t="shared" si="26"/>
        <v>-0.8730177169151927</v>
      </c>
      <c r="AP19" s="1">
        <f t="shared" si="27"/>
        <v>0.54763499587798847</v>
      </c>
      <c r="AQ19" s="1">
        <f t="shared" si="28"/>
        <v>0.86956521739130432</v>
      </c>
      <c r="AR19" s="21">
        <f t="shared" si="29"/>
        <v>-0.7591458407958197</v>
      </c>
      <c r="AS19" s="21">
        <f t="shared" si="30"/>
        <v>0.41409073412324271</v>
      </c>
      <c r="AT19" s="21">
        <f t="shared" si="31"/>
        <v>0.64349882216150378</v>
      </c>
      <c r="AU19" s="20">
        <f t="shared" si="32"/>
        <v>2.4149296702262784</v>
      </c>
      <c r="AV19" s="20">
        <f t="shared" si="33"/>
        <v>-1.8332838149666997</v>
      </c>
      <c r="AW19" s="20">
        <f t="shared" si="34"/>
        <v>1.3917297831302631</v>
      </c>
      <c r="AX19" s="14"/>
      <c r="AY19" s="14"/>
      <c r="AZ19" s="1" t="s">
        <v>271</v>
      </c>
      <c r="BA19" s="2"/>
    </row>
    <row r="20" spans="1:53" ht="14.25" hidden="1" customHeight="1">
      <c r="A20" s="17">
        <v>331</v>
      </c>
      <c r="B20" s="17" t="s">
        <v>47</v>
      </c>
      <c r="C20" s="12" t="s">
        <v>85</v>
      </c>
      <c r="D20" s="16">
        <v>2006</v>
      </c>
      <c r="E20" s="16">
        <v>2003</v>
      </c>
      <c r="F20" s="16" t="s">
        <v>96</v>
      </c>
      <c r="G20" s="16" t="s">
        <v>109</v>
      </c>
      <c r="H20" s="16">
        <v>-26.25</v>
      </c>
      <c r="I20" s="16">
        <v>152.88333299999999</v>
      </c>
      <c r="J20" s="16" t="s">
        <v>128</v>
      </c>
      <c r="K20" s="16" t="s">
        <v>112</v>
      </c>
      <c r="L20" s="16" t="s">
        <v>189</v>
      </c>
      <c r="M20" s="16" t="s">
        <v>238</v>
      </c>
      <c r="N20" s="12" t="s">
        <v>239</v>
      </c>
      <c r="O20" s="16" t="s">
        <v>121</v>
      </c>
      <c r="P20" s="16"/>
      <c r="Q20" s="16" t="s">
        <v>93</v>
      </c>
      <c r="R20" s="16">
        <v>2003</v>
      </c>
      <c r="S20" s="16" t="s">
        <v>163</v>
      </c>
      <c r="T20" s="12" t="s">
        <v>252</v>
      </c>
      <c r="U20" s="16"/>
      <c r="V20" s="12">
        <v>6</v>
      </c>
      <c r="W20" s="16">
        <v>6</v>
      </c>
      <c r="X20" s="12" t="s">
        <v>97</v>
      </c>
      <c r="Y20" s="16" t="s">
        <v>133</v>
      </c>
      <c r="Z20" s="16" t="s">
        <v>1</v>
      </c>
      <c r="AA20" s="16" t="s">
        <v>98</v>
      </c>
      <c r="AB20" s="16" t="s">
        <v>225</v>
      </c>
      <c r="AC20" s="16" t="s">
        <v>2</v>
      </c>
      <c r="AD20" s="16" t="s">
        <v>100</v>
      </c>
      <c r="AE20" s="16" t="s">
        <v>253</v>
      </c>
      <c r="AF20" s="16" t="s">
        <v>324</v>
      </c>
      <c r="AG20" s="14"/>
      <c r="AH20" s="14"/>
      <c r="AI20" s="14"/>
      <c r="AJ20" s="15"/>
      <c r="AK20" s="15"/>
      <c r="AL20" s="15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" t="s">
        <v>286</v>
      </c>
    </row>
    <row r="21" spans="1:53" ht="14.25" hidden="1" customHeight="1">
      <c r="A21" s="17">
        <v>331</v>
      </c>
      <c r="B21" s="17" t="s">
        <v>47</v>
      </c>
      <c r="C21" s="12" t="s">
        <v>85</v>
      </c>
      <c r="D21" s="16">
        <v>2006</v>
      </c>
      <c r="E21" s="16">
        <v>2003</v>
      </c>
      <c r="F21" s="16" t="s">
        <v>96</v>
      </c>
      <c r="G21" s="16" t="s">
        <v>109</v>
      </c>
      <c r="H21" s="16">
        <v>-26.25</v>
      </c>
      <c r="I21" s="16">
        <v>152.88333299999999</v>
      </c>
      <c r="J21" s="16" t="s">
        <v>128</v>
      </c>
      <c r="K21" s="16" t="s">
        <v>112</v>
      </c>
      <c r="L21" s="16" t="s">
        <v>189</v>
      </c>
      <c r="M21" s="16" t="s">
        <v>238</v>
      </c>
      <c r="N21" s="12" t="s">
        <v>239</v>
      </c>
      <c r="O21" s="16" t="s">
        <v>121</v>
      </c>
      <c r="P21" s="16"/>
      <c r="Q21" s="16" t="s">
        <v>93</v>
      </c>
      <c r="R21" s="16">
        <v>2003</v>
      </c>
      <c r="S21" s="16" t="s">
        <v>163</v>
      </c>
      <c r="T21" s="12" t="s">
        <v>252</v>
      </c>
      <c r="U21" s="16"/>
      <c r="V21" s="12">
        <v>6</v>
      </c>
      <c r="W21" s="16">
        <v>6</v>
      </c>
      <c r="X21" s="12" t="s">
        <v>97</v>
      </c>
      <c r="Y21" s="16" t="s">
        <v>221</v>
      </c>
      <c r="Z21" s="16" t="s">
        <v>1</v>
      </c>
      <c r="AA21" s="16" t="s">
        <v>98</v>
      </c>
      <c r="AB21" s="16" t="s">
        <v>225</v>
      </c>
      <c r="AC21" s="16" t="s">
        <v>2</v>
      </c>
      <c r="AD21" s="16" t="s">
        <v>100</v>
      </c>
      <c r="AE21" s="16" t="s">
        <v>253</v>
      </c>
      <c r="AF21" s="16" t="s">
        <v>325</v>
      </c>
      <c r="AG21" s="14"/>
      <c r="AH21" s="14"/>
      <c r="AI21" s="14"/>
      <c r="AJ21" s="15"/>
      <c r="AK21" s="15"/>
      <c r="AL21" s="15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" t="s">
        <v>286</v>
      </c>
    </row>
    <row r="22" spans="1:53" ht="14.25" hidden="1" customHeight="1">
      <c r="A22" s="17">
        <v>331</v>
      </c>
      <c r="B22" s="17" t="s">
        <v>47</v>
      </c>
      <c r="C22" s="12" t="s">
        <v>85</v>
      </c>
      <c r="D22" s="16">
        <v>2006</v>
      </c>
      <c r="E22" s="16">
        <v>2003</v>
      </c>
      <c r="F22" s="16" t="s">
        <v>96</v>
      </c>
      <c r="G22" s="16" t="s">
        <v>109</v>
      </c>
      <c r="H22" s="16">
        <v>-26.25</v>
      </c>
      <c r="I22" s="16">
        <v>152.88333299999999</v>
      </c>
      <c r="J22" s="16" t="s">
        <v>128</v>
      </c>
      <c r="K22" s="16" t="s">
        <v>112</v>
      </c>
      <c r="L22" s="16" t="s">
        <v>189</v>
      </c>
      <c r="M22" s="16" t="s">
        <v>238</v>
      </c>
      <c r="N22" s="12" t="s">
        <v>239</v>
      </c>
      <c r="O22" s="16" t="s">
        <v>121</v>
      </c>
      <c r="P22" s="16"/>
      <c r="Q22" s="16" t="s">
        <v>93</v>
      </c>
      <c r="R22" s="16">
        <v>2003</v>
      </c>
      <c r="S22" s="16">
        <v>2</v>
      </c>
      <c r="T22" s="12" t="s">
        <v>252</v>
      </c>
      <c r="U22" s="16"/>
      <c r="V22" s="12">
        <v>6</v>
      </c>
      <c r="W22" s="16">
        <v>6</v>
      </c>
      <c r="X22" s="12" t="s">
        <v>97</v>
      </c>
      <c r="Y22" s="16" t="s">
        <v>133</v>
      </c>
      <c r="Z22" s="16" t="s">
        <v>1</v>
      </c>
      <c r="AA22" s="16" t="s">
        <v>98</v>
      </c>
      <c r="AB22" s="16" t="s">
        <v>225</v>
      </c>
      <c r="AC22" s="16" t="s">
        <v>2</v>
      </c>
      <c r="AD22" s="16" t="s">
        <v>100</v>
      </c>
      <c r="AE22" s="16" t="s">
        <v>253</v>
      </c>
      <c r="AF22" s="16" t="s">
        <v>324</v>
      </c>
      <c r="AG22" s="14"/>
      <c r="AH22" s="14"/>
      <c r="AI22" s="14"/>
      <c r="AJ22" s="15"/>
      <c r="AK22" s="15"/>
      <c r="AL22" s="15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" t="s">
        <v>286</v>
      </c>
    </row>
    <row r="23" spans="1:53" ht="14.25" hidden="1" customHeight="1">
      <c r="A23" s="17">
        <v>331</v>
      </c>
      <c r="B23" s="17" t="s">
        <v>47</v>
      </c>
      <c r="C23" s="12" t="s">
        <v>85</v>
      </c>
      <c r="D23" s="16">
        <v>2006</v>
      </c>
      <c r="E23" s="16">
        <v>2003</v>
      </c>
      <c r="F23" s="16" t="s">
        <v>96</v>
      </c>
      <c r="G23" s="16" t="s">
        <v>109</v>
      </c>
      <c r="H23" s="16">
        <v>-26.25</v>
      </c>
      <c r="I23" s="16">
        <v>152.88333299999999</v>
      </c>
      <c r="J23" s="16" t="s">
        <v>128</v>
      </c>
      <c r="K23" s="16" t="s">
        <v>112</v>
      </c>
      <c r="L23" s="16" t="s">
        <v>189</v>
      </c>
      <c r="M23" s="16" t="s">
        <v>238</v>
      </c>
      <c r="N23" s="12" t="s">
        <v>239</v>
      </c>
      <c r="O23" s="16" t="s">
        <v>121</v>
      </c>
      <c r="P23" s="16"/>
      <c r="Q23" s="16" t="s">
        <v>93</v>
      </c>
      <c r="R23" s="16">
        <v>2003</v>
      </c>
      <c r="S23" s="16">
        <v>2</v>
      </c>
      <c r="T23" s="12" t="s">
        <v>252</v>
      </c>
      <c r="U23" s="16"/>
      <c r="V23" s="12">
        <v>6</v>
      </c>
      <c r="W23" s="16">
        <v>6</v>
      </c>
      <c r="X23" s="12" t="s">
        <v>97</v>
      </c>
      <c r="Y23" s="16" t="s">
        <v>221</v>
      </c>
      <c r="Z23" s="16" t="s">
        <v>1</v>
      </c>
      <c r="AA23" s="16" t="s">
        <v>98</v>
      </c>
      <c r="AB23" s="16" t="s">
        <v>225</v>
      </c>
      <c r="AC23" s="16" t="s">
        <v>2</v>
      </c>
      <c r="AD23" s="16" t="s">
        <v>100</v>
      </c>
      <c r="AE23" s="16" t="s">
        <v>253</v>
      </c>
      <c r="AF23" s="16" t="s">
        <v>325</v>
      </c>
      <c r="AG23" s="14"/>
      <c r="AH23" s="14"/>
      <c r="AI23" s="14"/>
      <c r="AJ23" s="15"/>
      <c r="AK23" s="15"/>
      <c r="AL23" s="15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" t="s">
        <v>286</v>
      </c>
    </row>
    <row r="24" spans="1:53" ht="14.25" hidden="1" customHeight="1">
      <c r="A24" s="17">
        <v>183</v>
      </c>
      <c r="B24" s="17" t="s">
        <v>26</v>
      </c>
      <c r="C24" s="16" t="s">
        <v>89</v>
      </c>
      <c r="D24" s="16">
        <v>2006</v>
      </c>
      <c r="E24" s="16">
        <v>2003</v>
      </c>
      <c r="F24" s="16" t="s">
        <v>96</v>
      </c>
      <c r="G24" s="16" t="s">
        <v>109</v>
      </c>
      <c r="H24" s="16">
        <v>-26.25</v>
      </c>
      <c r="I24" s="16">
        <v>152.88333299999999</v>
      </c>
      <c r="J24" s="16" t="s">
        <v>135</v>
      </c>
      <c r="K24" s="16" t="s">
        <v>112</v>
      </c>
      <c r="L24" s="16" t="s">
        <v>189</v>
      </c>
      <c r="M24" s="16" t="s">
        <v>238</v>
      </c>
      <c r="N24" s="12" t="s">
        <v>239</v>
      </c>
      <c r="O24" s="16" t="s">
        <v>121</v>
      </c>
      <c r="P24" s="16"/>
      <c r="Q24" s="16" t="s">
        <v>93</v>
      </c>
      <c r="R24" s="16">
        <v>2003</v>
      </c>
      <c r="S24" s="16" t="s">
        <v>163</v>
      </c>
      <c r="T24" s="12" t="s">
        <v>252</v>
      </c>
      <c r="U24" s="16"/>
      <c r="V24" s="16">
        <v>4</v>
      </c>
      <c r="W24" s="16">
        <v>4</v>
      </c>
      <c r="X24" s="16" t="s">
        <v>224</v>
      </c>
      <c r="Y24" s="16" t="s">
        <v>133</v>
      </c>
      <c r="Z24" s="16" t="s">
        <v>0</v>
      </c>
      <c r="AA24" s="16" t="s">
        <v>98</v>
      </c>
      <c r="AB24" s="16" t="s">
        <v>225</v>
      </c>
      <c r="AC24" s="16" t="s">
        <v>2</v>
      </c>
      <c r="AD24" s="16" t="s">
        <v>100</v>
      </c>
      <c r="AE24" s="16" t="s">
        <v>253</v>
      </c>
      <c r="AF24" s="16" t="s">
        <v>326</v>
      </c>
      <c r="AG24" s="14"/>
      <c r="AH24" s="14"/>
      <c r="AI24" s="14"/>
      <c r="AJ24" s="15"/>
      <c r="AK24" s="15"/>
      <c r="AL24" s="15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" t="s">
        <v>286</v>
      </c>
    </row>
    <row r="25" spans="1:53" ht="14.25" hidden="1" customHeight="1">
      <c r="A25" s="17">
        <v>183</v>
      </c>
      <c r="B25" s="17" t="s">
        <v>26</v>
      </c>
      <c r="C25" s="16" t="s">
        <v>89</v>
      </c>
      <c r="D25" s="16">
        <v>2006</v>
      </c>
      <c r="E25" s="16">
        <v>2003</v>
      </c>
      <c r="F25" s="16" t="s">
        <v>96</v>
      </c>
      <c r="G25" s="16" t="s">
        <v>109</v>
      </c>
      <c r="H25" s="16">
        <v>-26.25</v>
      </c>
      <c r="I25" s="16">
        <v>152.88333299999999</v>
      </c>
      <c r="J25" s="16" t="s">
        <v>135</v>
      </c>
      <c r="K25" s="16" t="s">
        <v>112</v>
      </c>
      <c r="L25" s="16" t="s">
        <v>189</v>
      </c>
      <c r="M25" s="16" t="s">
        <v>238</v>
      </c>
      <c r="N25" s="12" t="s">
        <v>239</v>
      </c>
      <c r="O25" s="16" t="s">
        <v>121</v>
      </c>
      <c r="P25" s="16"/>
      <c r="Q25" s="16" t="s">
        <v>93</v>
      </c>
      <c r="R25" s="16">
        <v>2003</v>
      </c>
      <c r="S25" s="16" t="s">
        <v>163</v>
      </c>
      <c r="T25" s="12" t="s">
        <v>252</v>
      </c>
      <c r="U25" s="16"/>
      <c r="V25" s="12">
        <v>4</v>
      </c>
      <c r="W25" s="12">
        <v>4</v>
      </c>
      <c r="X25" s="16" t="s">
        <v>224</v>
      </c>
      <c r="Y25" s="16" t="s">
        <v>221</v>
      </c>
      <c r="Z25" s="16" t="s">
        <v>0</v>
      </c>
      <c r="AA25" s="16" t="s">
        <v>98</v>
      </c>
      <c r="AB25" s="16" t="s">
        <v>225</v>
      </c>
      <c r="AC25" s="16" t="s">
        <v>2</v>
      </c>
      <c r="AD25" s="16" t="s">
        <v>100</v>
      </c>
      <c r="AE25" s="16" t="s">
        <v>253</v>
      </c>
      <c r="AF25" s="16" t="s">
        <v>327</v>
      </c>
      <c r="AG25" s="14"/>
      <c r="AH25" s="14"/>
      <c r="AI25" s="14"/>
      <c r="AJ25" s="15"/>
      <c r="AK25" s="15"/>
      <c r="AL25" s="15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" t="s">
        <v>286</v>
      </c>
    </row>
    <row r="26" spans="1:53" ht="14.25" hidden="1" customHeight="1">
      <c r="A26" s="17">
        <v>183</v>
      </c>
      <c r="B26" s="17" t="s">
        <v>26</v>
      </c>
      <c r="C26" s="16" t="s">
        <v>89</v>
      </c>
      <c r="D26" s="16">
        <v>2006</v>
      </c>
      <c r="E26" s="16">
        <v>2003</v>
      </c>
      <c r="F26" s="16" t="s">
        <v>96</v>
      </c>
      <c r="G26" s="16" t="s">
        <v>109</v>
      </c>
      <c r="H26" s="16">
        <v>-26.25</v>
      </c>
      <c r="I26" s="16">
        <v>152.88333299999999</v>
      </c>
      <c r="J26" s="16" t="s">
        <v>135</v>
      </c>
      <c r="K26" s="16" t="s">
        <v>112</v>
      </c>
      <c r="L26" s="16" t="s">
        <v>189</v>
      </c>
      <c r="M26" s="16" t="s">
        <v>238</v>
      </c>
      <c r="N26" s="12" t="s">
        <v>239</v>
      </c>
      <c r="O26" s="16" t="s">
        <v>121</v>
      </c>
      <c r="P26" s="16"/>
      <c r="Q26" s="16" t="s">
        <v>93</v>
      </c>
      <c r="R26" s="16">
        <v>2003</v>
      </c>
      <c r="S26" s="16">
        <v>2</v>
      </c>
      <c r="T26" s="12" t="s">
        <v>252</v>
      </c>
      <c r="U26" s="16"/>
      <c r="V26" s="16">
        <v>4</v>
      </c>
      <c r="W26" s="16">
        <v>2</v>
      </c>
      <c r="X26" s="16" t="s">
        <v>224</v>
      </c>
      <c r="Y26" s="16" t="s">
        <v>133</v>
      </c>
      <c r="Z26" s="16" t="s">
        <v>0</v>
      </c>
      <c r="AA26" s="16" t="s">
        <v>98</v>
      </c>
      <c r="AB26" s="16" t="s">
        <v>225</v>
      </c>
      <c r="AC26" s="16" t="s">
        <v>2</v>
      </c>
      <c r="AD26" s="16" t="s">
        <v>100</v>
      </c>
      <c r="AE26" s="16" t="s">
        <v>253</v>
      </c>
      <c r="AF26" s="16" t="s">
        <v>326</v>
      </c>
      <c r="AG26" s="14"/>
      <c r="AH26" s="14"/>
      <c r="AI26" s="14"/>
      <c r="AJ26" s="15"/>
      <c r="AK26" s="15"/>
      <c r="AL26" s="15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" t="s">
        <v>286</v>
      </c>
    </row>
    <row r="27" spans="1:53" ht="14.25" hidden="1" customHeight="1">
      <c r="A27" s="17">
        <v>183</v>
      </c>
      <c r="B27" s="17" t="s">
        <v>26</v>
      </c>
      <c r="C27" s="16" t="s">
        <v>89</v>
      </c>
      <c r="D27" s="16">
        <v>2006</v>
      </c>
      <c r="E27" s="16">
        <v>2003</v>
      </c>
      <c r="F27" s="16" t="s">
        <v>96</v>
      </c>
      <c r="G27" s="16" t="s">
        <v>109</v>
      </c>
      <c r="H27" s="16">
        <v>-26.25</v>
      </c>
      <c r="I27" s="16">
        <v>152.88333299999999</v>
      </c>
      <c r="J27" s="16" t="s">
        <v>135</v>
      </c>
      <c r="K27" s="16" t="s">
        <v>112</v>
      </c>
      <c r="L27" s="16" t="s">
        <v>189</v>
      </c>
      <c r="M27" s="16" t="s">
        <v>238</v>
      </c>
      <c r="N27" s="12" t="s">
        <v>239</v>
      </c>
      <c r="O27" s="16" t="s">
        <v>121</v>
      </c>
      <c r="P27" s="16"/>
      <c r="Q27" s="16" t="s">
        <v>93</v>
      </c>
      <c r="R27" s="16">
        <v>2003</v>
      </c>
      <c r="S27" s="16">
        <v>2</v>
      </c>
      <c r="T27" s="12" t="s">
        <v>252</v>
      </c>
      <c r="U27" s="16"/>
      <c r="V27" s="16">
        <v>4</v>
      </c>
      <c r="W27" s="16">
        <v>2</v>
      </c>
      <c r="X27" s="16" t="s">
        <v>224</v>
      </c>
      <c r="Y27" s="16" t="s">
        <v>221</v>
      </c>
      <c r="Z27" s="16" t="s">
        <v>0</v>
      </c>
      <c r="AA27" s="16" t="s">
        <v>98</v>
      </c>
      <c r="AB27" s="16" t="s">
        <v>225</v>
      </c>
      <c r="AC27" s="16" t="s">
        <v>2</v>
      </c>
      <c r="AD27" s="16" t="s">
        <v>100</v>
      </c>
      <c r="AE27" s="16" t="s">
        <v>253</v>
      </c>
      <c r="AF27" s="16" t="s">
        <v>327</v>
      </c>
      <c r="AG27" s="14"/>
      <c r="AH27" s="14"/>
      <c r="AI27" s="14"/>
      <c r="AJ27" s="15"/>
      <c r="AK27" s="15"/>
      <c r="AL27" s="15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" t="s">
        <v>286</v>
      </c>
    </row>
    <row r="28" spans="1:53" ht="14.25" hidden="1" customHeight="1">
      <c r="A28" s="2">
        <v>41</v>
      </c>
      <c r="B28" s="2" t="s">
        <v>8</v>
      </c>
      <c r="C28" s="1" t="s">
        <v>85</v>
      </c>
      <c r="D28" s="1">
        <v>2022</v>
      </c>
      <c r="E28" s="1">
        <v>2019</v>
      </c>
      <c r="F28" s="1" t="s">
        <v>143</v>
      </c>
      <c r="G28" s="1" t="s">
        <v>142</v>
      </c>
      <c r="H28" s="1">
        <v>35.584622000000003</v>
      </c>
      <c r="I28" s="1">
        <v>-83.530636999999999</v>
      </c>
      <c r="J28" s="1" t="s">
        <v>128</v>
      </c>
      <c r="K28" s="1" t="s">
        <v>179</v>
      </c>
      <c r="L28" s="1" t="s">
        <v>226</v>
      </c>
      <c r="M28" s="1" t="s">
        <v>238</v>
      </c>
      <c r="N28" s="1" t="s">
        <v>239</v>
      </c>
      <c r="O28" s="1" t="s">
        <v>86</v>
      </c>
      <c r="P28" s="1" t="s">
        <v>129</v>
      </c>
      <c r="Q28" s="1" t="s">
        <v>93</v>
      </c>
      <c r="R28" s="1">
        <v>2016</v>
      </c>
      <c r="S28" s="1">
        <v>2.5</v>
      </c>
      <c r="U28" s="1">
        <v>7200</v>
      </c>
      <c r="V28" s="1">
        <v>30</v>
      </c>
      <c r="W28" s="1">
        <v>40</v>
      </c>
      <c r="X28" s="1" t="s">
        <v>97</v>
      </c>
      <c r="Y28" s="1" t="s">
        <v>155</v>
      </c>
      <c r="Z28" s="1" t="s">
        <v>1</v>
      </c>
      <c r="AA28" s="1" t="s">
        <v>98</v>
      </c>
      <c r="AB28" s="1" t="s">
        <v>203</v>
      </c>
      <c r="AC28" s="1" t="s">
        <v>99</v>
      </c>
      <c r="AD28" s="1" t="s">
        <v>102</v>
      </c>
      <c r="AE28" s="1" t="s">
        <v>223</v>
      </c>
      <c r="AF28" s="1" t="s">
        <v>339</v>
      </c>
      <c r="AG28" s="12">
        <v>172.97</v>
      </c>
      <c r="AH28" s="12">
        <f>198.65-147.3</f>
        <v>51.349999999999994</v>
      </c>
      <c r="AI28" s="12"/>
      <c r="AJ28" s="12">
        <v>471.62</v>
      </c>
      <c r="AK28" s="12">
        <f>520.27-425.68</f>
        <v>94.589999999999975</v>
      </c>
      <c r="AL28" s="12"/>
      <c r="AM28" s="12">
        <f t="shared" ref="AM28:AM60" si="37">AG28-AJ28</f>
        <v>-298.64999999999998</v>
      </c>
      <c r="AN28" s="1">
        <f t="shared" ref="AN28:AN31" si="38">SQRT((((W28-1)*AH28^2)+((V28-1)*AK28^2))/(W28+V28-2))</f>
        <v>72.99343769859604</v>
      </c>
      <c r="AO28" s="1">
        <f t="shared" si="2"/>
        <v>-4.0914636906564574</v>
      </c>
      <c r="AP28" s="1">
        <f t="shared" ref="AP28:AP31" si="39">1/W28+1/V28+(AO28^2)/(2*(W28+V28))</f>
        <v>0.17790529856162018</v>
      </c>
      <c r="AQ28" s="1">
        <f t="shared" ref="AQ28:AQ31" si="40">1-(3/(4*(W28+V28-2)-1))</f>
        <v>0.98892988929889303</v>
      </c>
      <c r="AR28" s="21">
        <f t="shared" ref="AR28:AR84" si="41">AO28*AQ28</f>
        <v>-4.0461707346713309</v>
      </c>
      <c r="AS28" s="21">
        <f t="shared" ref="AS28:AS34" si="42">AP28*(AQ28^2)</f>
        <v>0.17398823768589491</v>
      </c>
      <c r="AT28" s="21">
        <f t="shared" ref="AT28:AT96" si="43">SQRT(AP28*AQ28^2)</f>
        <v>0.41711897305912005</v>
      </c>
      <c r="AU28" s="20">
        <f t="shared" ref="AU28:AU34" si="44">1/AS28</f>
        <v>5.7475149659560536</v>
      </c>
      <c r="AV28" s="20">
        <f t="shared" ref="AV28:AV34" si="45">AR28/AS28</f>
        <v>-23.255426852336875</v>
      </c>
      <c r="AW28" s="20">
        <f t="shared" ref="AW28:AW34" si="46">((AR28)^2)/AS28</f>
        <v>94.095427552215284</v>
      </c>
      <c r="AX28" s="14"/>
      <c r="AY28" s="14"/>
      <c r="AZ28" s="1" t="s">
        <v>271</v>
      </c>
      <c r="BA28" s="2" t="s">
        <v>385</v>
      </c>
    </row>
    <row r="29" spans="1:53" ht="14.25" hidden="1" customHeight="1">
      <c r="A29" s="2">
        <v>41</v>
      </c>
      <c r="B29" s="2" t="s">
        <v>8</v>
      </c>
      <c r="C29" s="1" t="s">
        <v>85</v>
      </c>
      <c r="D29" s="1">
        <v>2022</v>
      </c>
      <c r="E29" s="1">
        <v>2019</v>
      </c>
      <c r="F29" s="1" t="s">
        <v>143</v>
      </c>
      <c r="G29" s="1" t="s">
        <v>142</v>
      </c>
      <c r="H29" s="1">
        <v>35.584622000000003</v>
      </c>
      <c r="I29" s="1">
        <v>-83.530636999999999</v>
      </c>
      <c r="J29" s="1" t="s">
        <v>128</v>
      </c>
      <c r="K29" s="1" t="s">
        <v>179</v>
      </c>
      <c r="L29" s="1" t="s">
        <v>226</v>
      </c>
      <c r="M29" s="1" t="s">
        <v>238</v>
      </c>
      <c r="N29" s="1" t="s">
        <v>239</v>
      </c>
      <c r="O29" s="1" t="s">
        <v>86</v>
      </c>
      <c r="P29" s="1" t="s">
        <v>129</v>
      </c>
      <c r="Q29" s="1" t="s">
        <v>93</v>
      </c>
      <c r="R29" s="1">
        <v>2016</v>
      </c>
      <c r="S29" s="1">
        <v>2.5</v>
      </c>
      <c r="U29" s="1">
        <v>7200</v>
      </c>
      <c r="V29" s="1">
        <v>30</v>
      </c>
      <c r="W29" s="1">
        <v>40</v>
      </c>
      <c r="X29" s="1" t="s">
        <v>97</v>
      </c>
      <c r="Y29" s="1" t="s">
        <v>155</v>
      </c>
      <c r="Z29" s="1" t="s">
        <v>1</v>
      </c>
      <c r="AA29" s="1" t="s">
        <v>98</v>
      </c>
      <c r="AB29" s="1" t="s">
        <v>203</v>
      </c>
      <c r="AC29" s="1" t="s">
        <v>99</v>
      </c>
      <c r="AD29" s="1" t="s">
        <v>102</v>
      </c>
      <c r="AE29" s="1" t="s">
        <v>149</v>
      </c>
      <c r="AF29" s="1" t="s">
        <v>339</v>
      </c>
      <c r="AG29" s="12">
        <v>28.38</v>
      </c>
      <c r="AH29" s="12">
        <f>41.89-14.86</f>
        <v>27.03</v>
      </c>
      <c r="AI29" s="12"/>
      <c r="AJ29" s="12">
        <v>128.38</v>
      </c>
      <c r="AK29" s="12">
        <f>159.46-97.3</f>
        <v>62.160000000000011</v>
      </c>
      <c r="AL29" s="12"/>
      <c r="AM29" s="12">
        <f t="shared" si="37"/>
        <v>-100</v>
      </c>
      <c r="AN29" s="1">
        <f t="shared" si="38"/>
        <v>45.462705708020927</v>
      </c>
      <c r="AO29" s="1">
        <f t="shared" si="2"/>
        <v>-2.1996051146238118</v>
      </c>
      <c r="AP29" s="1">
        <f t="shared" si="39"/>
        <v>9.289235233532786E-2</v>
      </c>
      <c r="AQ29" s="1">
        <f t="shared" si="40"/>
        <v>0.98892988929889303</v>
      </c>
      <c r="AR29" s="21">
        <f t="shared" si="41"/>
        <v>-2.1752552425062053</v>
      </c>
      <c r="AS29" s="21">
        <f t="shared" si="42"/>
        <v>9.0847078799752026E-2</v>
      </c>
      <c r="AT29" s="21">
        <f t="shared" si="43"/>
        <v>0.30140849158534339</v>
      </c>
      <c r="AU29" s="20">
        <f t="shared" si="44"/>
        <v>11.007508587086562</v>
      </c>
      <c r="AV29" s="20">
        <f t="shared" si="45"/>
        <v>-23.944140760992116</v>
      </c>
      <c r="AW29" s="20">
        <f t="shared" si="46"/>
        <v>52.084617717654623</v>
      </c>
      <c r="AX29" s="14"/>
      <c r="AY29" s="14"/>
      <c r="AZ29" s="1" t="s">
        <v>271</v>
      </c>
      <c r="BA29" s="2"/>
    </row>
    <row r="30" spans="1:53" ht="14.25" hidden="1" customHeight="1">
      <c r="A30" s="2">
        <v>41</v>
      </c>
      <c r="B30" s="2" t="s">
        <v>8</v>
      </c>
      <c r="C30" s="1" t="s">
        <v>85</v>
      </c>
      <c r="D30" s="1">
        <v>2022</v>
      </c>
      <c r="E30" s="1">
        <v>2019</v>
      </c>
      <c r="F30" s="1" t="s">
        <v>143</v>
      </c>
      <c r="G30" s="1" t="s">
        <v>142</v>
      </c>
      <c r="H30" s="1">
        <v>35.584622000000003</v>
      </c>
      <c r="I30" s="1">
        <v>-83.530636999999999</v>
      </c>
      <c r="J30" s="1" t="s">
        <v>128</v>
      </c>
      <c r="K30" s="1" t="s">
        <v>179</v>
      </c>
      <c r="L30" s="1" t="s">
        <v>226</v>
      </c>
      <c r="M30" s="1" t="s">
        <v>238</v>
      </c>
      <c r="N30" s="1" t="s">
        <v>239</v>
      </c>
      <c r="O30" s="1" t="s">
        <v>86</v>
      </c>
      <c r="P30" s="1" t="s">
        <v>129</v>
      </c>
      <c r="Q30" s="1" t="s">
        <v>93</v>
      </c>
      <c r="R30" s="1">
        <v>2016</v>
      </c>
      <c r="S30" s="1">
        <v>2.5</v>
      </c>
      <c r="U30" s="1">
        <v>7200</v>
      </c>
      <c r="V30" s="1">
        <v>30</v>
      </c>
      <c r="W30" s="1">
        <v>40</v>
      </c>
      <c r="X30" s="1" t="s">
        <v>97</v>
      </c>
      <c r="Y30" s="1" t="s">
        <v>155</v>
      </c>
      <c r="Z30" s="1" t="s">
        <v>1</v>
      </c>
      <c r="AA30" s="1" t="s">
        <v>98</v>
      </c>
      <c r="AB30" s="1" t="s">
        <v>203</v>
      </c>
      <c r="AC30" s="1" t="s">
        <v>99</v>
      </c>
      <c r="AD30" s="1" t="s">
        <v>102</v>
      </c>
      <c r="AE30" s="1" t="s">
        <v>254</v>
      </c>
      <c r="AF30" s="1" t="s">
        <v>339</v>
      </c>
      <c r="AG30" s="12">
        <v>9.4600000000000009</v>
      </c>
      <c r="AH30" s="12">
        <f>27.03-5</f>
        <v>22.03</v>
      </c>
      <c r="AI30" s="12"/>
      <c r="AJ30" s="12">
        <v>40.54</v>
      </c>
      <c r="AK30" s="12">
        <f>55.4-24.32</f>
        <v>31.08</v>
      </c>
      <c r="AL30" s="12"/>
      <c r="AM30" s="12">
        <f t="shared" si="37"/>
        <v>-31.08</v>
      </c>
      <c r="AN30" s="1">
        <f t="shared" si="38"/>
        <v>26.27360023136622</v>
      </c>
      <c r="AO30" s="1">
        <f t="shared" si="2"/>
        <v>-1.1829364733538021</v>
      </c>
      <c r="AP30" s="1">
        <f t="shared" si="39"/>
        <v>6.8328609761838549E-2</v>
      </c>
      <c r="AQ30" s="1">
        <f t="shared" si="40"/>
        <v>0.98892988929889303</v>
      </c>
      <c r="AR30" s="21">
        <f t="shared" si="41"/>
        <v>-1.1698412356413985</v>
      </c>
      <c r="AS30" s="21">
        <f t="shared" si="42"/>
        <v>6.6824172703725329E-2</v>
      </c>
      <c r="AT30" s="21">
        <f t="shared" si="43"/>
        <v>0.2585037189359668</v>
      </c>
      <c r="AU30" s="20">
        <f t="shared" si="44"/>
        <v>14.964644671826244</v>
      </c>
      <c r="AV30" s="20">
        <f t="shared" si="45"/>
        <v>-17.506258413823684</v>
      </c>
      <c r="AW30" s="20">
        <f t="shared" si="46"/>
        <v>20.479542974285128</v>
      </c>
      <c r="AX30" s="14"/>
      <c r="AY30" s="14"/>
      <c r="AZ30" s="1" t="s">
        <v>271</v>
      </c>
      <c r="BA30" s="2"/>
    </row>
    <row r="31" spans="1:53" ht="14.25" hidden="1" customHeight="1">
      <c r="A31" s="2">
        <v>41</v>
      </c>
      <c r="B31" s="2" t="s">
        <v>8</v>
      </c>
      <c r="C31" s="1" t="s">
        <v>85</v>
      </c>
      <c r="D31" s="1">
        <v>2022</v>
      </c>
      <c r="E31" s="1">
        <v>2019</v>
      </c>
      <c r="F31" s="1" t="s">
        <v>143</v>
      </c>
      <c r="G31" s="1" t="s">
        <v>142</v>
      </c>
      <c r="H31" s="1">
        <v>35.584622000000003</v>
      </c>
      <c r="I31" s="1">
        <v>-83.530636999999999</v>
      </c>
      <c r="J31" s="1" t="s">
        <v>128</v>
      </c>
      <c r="K31" s="1" t="s">
        <v>179</v>
      </c>
      <c r="L31" s="1" t="s">
        <v>226</v>
      </c>
      <c r="M31" s="1" t="s">
        <v>238</v>
      </c>
      <c r="N31" s="1" t="s">
        <v>239</v>
      </c>
      <c r="O31" s="1" t="s">
        <v>86</v>
      </c>
      <c r="P31" s="1" t="s">
        <v>129</v>
      </c>
      <c r="Q31" s="1" t="s">
        <v>93</v>
      </c>
      <c r="R31" s="1">
        <v>2016</v>
      </c>
      <c r="S31" s="1">
        <v>2.5</v>
      </c>
      <c r="U31" s="1">
        <v>7200</v>
      </c>
      <c r="V31" s="1">
        <v>30</v>
      </c>
      <c r="W31" s="1">
        <v>40</v>
      </c>
      <c r="X31" s="1" t="s">
        <v>97</v>
      </c>
      <c r="Y31" s="1" t="s">
        <v>155</v>
      </c>
      <c r="Z31" s="1" t="s">
        <v>1</v>
      </c>
      <c r="AA31" s="1" t="s">
        <v>98</v>
      </c>
      <c r="AB31" s="1" t="s">
        <v>203</v>
      </c>
      <c r="AC31" s="1" t="s">
        <v>99</v>
      </c>
      <c r="AD31" s="1" t="s">
        <v>102</v>
      </c>
      <c r="AE31" s="1" t="s">
        <v>315</v>
      </c>
      <c r="AF31" s="1" t="s">
        <v>339</v>
      </c>
      <c r="AG31" s="12">
        <v>5.25</v>
      </c>
      <c r="AH31" s="12">
        <f>6.36-4.04</f>
        <v>2.3200000000000003</v>
      </c>
      <c r="AI31" s="12"/>
      <c r="AJ31" s="12">
        <v>12.62</v>
      </c>
      <c r="AK31" s="12">
        <f>13.52-11.79</f>
        <v>1.7300000000000004</v>
      </c>
      <c r="AL31" s="12"/>
      <c r="AM31" s="12">
        <f t="shared" si="37"/>
        <v>-7.3699999999999992</v>
      </c>
      <c r="AN31" s="1">
        <f t="shared" si="38"/>
        <v>2.0888629752599299</v>
      </c>
      <c r="AO31" s="1">
        <f t="shared" si="2"/>
        <v>-3.5282352587454451</v>
      </c>
      <c r="AP31" s="1">
        <f t="shared" si="39"/>
        <v>0.14725079076943717</v>
      </c>
      <c r="AQ31" s="1">
        <f t="shared" si="40"/>
        <v>0.98892988929889303</v>
      </c>
      <c r="AR31" s="21">
        <f t="shared" si="41"/>
        <v>-3.4891773038515841</v>
      </c>
      <c r="AS31" s="21">
        <f t="shared" si="42"/>
        <v>0.1440086708544826</v>
      </c>
      <c r="AT31" s="21">
        <f t="shared" si="43"/>
        <v>0.37948474390215292</v>
      </c>
      <c r="AU31" s="20">
        <f t="shared" si="44"/>
        <v>6.9440263149881902</v>
      </c>
      <c r="AV31" s="20">
        <f t="shared" si="45"/>
        <v>-24.228939015604944</v>
      </c>
      <c r="AW31" s="20">
        <f t="shared" si="46"/>
        <v>84.539064109652912</v>
      </c>
      <c r="AX31" s="14"/>
      <c r="AY31" s="14"/>
      <c r="AZ31" s="1" t="s">
        <v>271</v>
      </c>
      <c r="BA31" s="2" t="s">
        <v>385</v>
      </c>
    </row>
    <row r="32" spans="1:53" ht="14.25" hidden="1" customHeight="1">
      <c r="A32" s="2">
        <v>186</v>
      </c>
      <c r="B32" s="2" t="s">
        <v>27</v>
      </c>
      <c r="C32" s="1" t="s">
        <v>91</v>
      </c>
      <c r="D32" s="1">
        <v>2020</v>
      </c>
      <c r="E32" s="1">
        <v>2016</v>
      </c>
      <c r="F32" s="1" t="s">
        <v>153</v>
      </c>
      <c r="G32" s="1" t="s">
        <v>117</v>
      </c>
      <c r="H32" s="1">
        <v>54.283183999999999</v>
      </c>
      <c r="I32" s="1">
        <v>-118.216606</v>
      </c>
      <c r="J32" s="1" t="s">
        <v>128</v>
      </c>
      <c r="K32" s="1" t="s">
        <v>177</v>
      </c>
      <c r="L32" s="1" t="s">
        <v>187</v>
      </c>
      <c r="M32" s="1" t="s">
        <v>237</v>
      </c>
      <c r="N32" s="1" t="s">
        <v>239</v>
      </c>
      <c r="O32" s="1" t="s">
        <v>86</v>
      </c>
      <c r="P32" s="1" t="s">
        <v>2</v>
      </c>
      <c r="Q32" s="1" t="s">
        <v>93</v>
      </c>
      <c r="R32" s="1" t="s">
        <v>2</v>
      </c>
      <c r="S32" s="7" t="s">
        <v>48</v>
      </c>
      <c r="V32" s="1">
        <v>16</v>
      </c>
      <c r="W32" s="1">
        <v>16</v>
      </c>
      <c r="X32" s="1" t="s">
        <v>205</v>
      </c>
      <c r="Z32" s="1" t="s">
        <v>0</v>
      </c>
      <c r="AA32" s="1" t="s">
        <v>98</v>
      </c>
      <c r="AB32" s="1" t="s">
        <v>203</v>
      </c>
      <c r="AC32" s="1" t="s">
        <v>99</v>
      </c>
      <c r="AD32" s="1" t="s">
        <v>111</v>
      </c>
      <c r="AE32" s="1" t="s">
        <v>223</v>
      </c>
      <c r="AF32" s="1" t="s">
        <v>321</v>
      </c>
      <c r="AG32" s="12">
        <v>2.4</v>
      </c>
      <c r="AH32" s="12">
        <f>AI32*SQRT(W32)</f>
        <v>3.32</v>
      </c>
      <c r="AI32" s="12">
        <v>0.83</v>
      </c>
      <c r="AJ32" s="12">
        <v>1.5</v>
      </c>
      <c r="AK32" s="12">
        <f>AL32*SQRT(V32)</f>
        <v>1.04</v>
      </c>
      <c r="AL32" s="12">
        <v>0.26</v>
      </c>
      <c r="AM32" s="12">
        <f t="shared" ref="AM32" si="47">AG32-AJ32</f>
        <v>0.89999999999999991</v>
      </c>
      <c r="AN32" s="1">
        <f t="shared" ref="AN32" si="48">SQRT((((W32-1)*AH32^2)+((V32-1)*AK32^2))/(W32+V32-2))</f>
        <v>2.4600812994695924</v>
      </c>
      <c r="AO32" s="1">
        <f t="shared" ref="AO32" si="49">AM32/AN32</f>
        <v>0.36584156799779138</v>
      </c>
      <c r="AP32" s="1">
        <f t="shared" ref="AP32" si="50">1/W32+1/V32+(AO32^2)/(2*(W32+V32))</f>
        <v>0.12709125082617317</v>
      </c>
      <c r="AQ32" s="1">
        <f t="shared" ref="AQ32" si="51">1-(3/(4*(W32+V32-2)-1))</f>
        <v>0.97478991596638653</v>
      </c>
      <c r="AR32" s="21">
        <f t="shared" ref="AR32" si="52">AO32*AQ32</f>
        <v>0.35661867132557817</v>
      </c>
      <c r="AS32" s="21">
        <f t="shared" si="42"/>
        <v>0.12076406123275095</v>
      </c>
      <c r="AT32" s="21">
        <f t="shared" ref="AT32" si="53">SQRT(AP32*AQ32^2)</f>
        <v>0.34751123900206587</v>
      </c>
      <c r="AU32" s="20">
        <f t="shared" si="44"/>
        <v>8.2806092292033835</v>
      </c>
      <c r="AV32" s="20">
        <f t="shared" si="45"/>
        <v>2.9530198610848304</v>
      </c>
      <c r="AW32" s="20">
        <f t="shared" si="46"/>
        <v>1.0531020192581158</v>
      </c>
      <c r="AX32" s="14"/>
      <c r="AY32" s="14"/>
      <c r="AZ32" s="1" t="s">
        <v>271</v>
      </c>
      <c r="BA32" s="2"/>
    </row>
    <row r="33" spans="1:53" ht="14.25" hidden="1" customHeight="1">
      <c r="A33" s="2">
        <v>186</v>
      </c>
      <c r="B33" s="2" t="s">
        <v>27</v>
      </c>
      <c r="C33" s="1" t="s">
        <v>91</v>
      </c>
      <c r="D33" s="1">
        <v>2020</v>
      </c>
      <c r="E33" s="1">
        <v>2016</v>
      </c>
      <c r="F33" s="1" t="s">
        <v>153</v>
      </c>
      <c r="G33" s="1" t="s">
        <v>117</v>
      </c>
      <c r="H33" s="1">
        <v>54.283183999999999</v>
      </c>
      <c r="I33" s="1">
        <v>-118.216606</v>
      </c>
      <c r="J33" s="1" t="s">
        <v>128</v>
      </c>
      <c r="K33" s="1" t="s">
        <v>177</v>
      </c>
      <c r="L33" s="1" t="s">
        <v>187</v>
      </c>
      <c r="M33" s="1" t="s">
        <v>237</v>
      </c>
      <c r="N33" s="1" t="s">
        <v>239</v>
      </c>
      <c r="O33" s="1" t="s">
        <v>86</v>
      </c>
      <c r="P33" s="1" t="s">
        <v>2</v>
      </c>
      <c r="Q33" s="1" t="s">
        <v>93</v>
      </c>
      <c r="R33" s="1" t="s">
        <v>2</v>
      </c>
      <c r="S33" s="7" t="s">
        <v>48</v>
      </c>
      <c r="V33" s="1">
        <v>16</v>
      </c>
      <c r="W33" s="1">
        <v>16</v>
      </c>
      <c r="X33" s="1" t="s">
        <v>205</v>
      </c>
      <c r="Z33" s="1" t="s">
        <v>0</v>
      </c>
      <c r="AA33" s="1" t="s">
        <v>98</v>
      </c>
      <c r="AB33" s="1" t="s">
        <v>203</v>
      </c>
      <c r="AC33" s="1" t="s">
        <v>99</v>
      </c>
      <c r="AD33" s="1" t="s">
        <v>111</v>
      </c>
      <c r="AE33" s="1" t="s">
        <v>149</v>
      </c>
      <c r="AF33" s="1" t="s">
        <v>375</v>
      </c>
      <c r="AG33" s="12">
        <v>0.14000000000000001</v>
      </c>
      <c r="AH33" s="12">
        <f t="shared" ref="AH33:AH34" si="54">AI33*SQRT(W33)</f>
        <v>0.44</v>
      </c>
      <c r="AI33" s="12">
        <v>0.11</v>
      </c>
      <c r="AJ33" s="12">
        <v>0.03</v>
      </c>
      <c r="AK33" s="12">
        <f t="shared" ref="AK33:AK34" si="55">AL33*SQRT(V33)</f>
        <v>0.08</v>
      </c>
      <c r="AL33" s="12">
        <v>0.02</v>
      </c>
      <c r="AM33" s="12">
        <f t="shared" ref="AM33" si="56">AG33-AJ33</f>
        <v>0.11000000000000001</v>
      </c>
      <c r="AN33" s="1">
        <f t="shared" ref="AN33" si="57">SQRT((((W33-1)*AH33^2)+((V33-1)*AK33^2))/(W33+V33-2))</f>
        <v>0.31622776601683794</v>
      </c>
      <c r="AO33" s="1">
        <f t="shared" ref="AO33" si="58">AM33/AN33</f>
        <v>0.34785054261852177</v>
      </c>
      <c r="AP33" s="1">
        <f t="shared" ref="AP33" si="59">1/W33+1/V33+(AO33^2)/(2*(W33+V33))</f>
        <v>0.12689062500000001</v>
      </c>
      <c r="AQ33" s="1">
        <f t="shared" ref="AQ33" si="60">1-(3/(4*(W33+V33-2)-1))</f>
        <v>0.97478991596638653</v>
      </c>
      <c r="AR33" s="21">
        <f t="shared" ref="AR33" si="61">AO33*AQ33</f>
        <v>0.33908120120797081</v>
      </c>
      <c r="AS33" s="21">
        <f t="shared" si="42"/>
        <v>0.12057342348704188</v>
      </c>
      <c r="AT33" s="21">
        <f t="shared" ref="AT33" si="62">SQRT(AP33*AQ33^2)</f>
        <v>0.34723684062472676</v>
      </c>
      <c r="AU33" s="20">
        <f t="shared" si="44"/>
        <v>8.2937016390471054</v>
      </c>
      <c r="AV33" s="20">
        <f t="shared" si="45"/>
        <v>2.8122383142286087</v>
      </c>
      <c r="AW33" s="20">
        <f t="shared" si="46"/>
        <v>0.95357714567171548</v>
      </c>
      <c r="AX33" s="14"/>
      <c r="AY33" s="14"/>
      <c r="AZ33" s="1" t="s">
        <v>271</v>
      </c>
      <c r="BA33" s="2"/>
    </row>
    <row r="34" spans="1:53" ht="14.25" hidden="1" customHeight="1">
      <c r="A34" s="2">
        <v>186</v>
      </c>
      <c r="B34" s="2" t="s">
        <v>27</v>
      </c>
      <c r="C34" s="1" t="s">
        <v>91</v>
      </c>
      <c r="D34" s="1">
        <v>2020</v>
      </c>
      <c r="E34" s="1">
        <v>2016</v>
      </c>
      <c r="F34" s="1" t="s">
        <v>153</v>
      </c>
      <c r="G34" s="1" t="s">
        <v>117</v>
      </c>
      <c r="H34" s="1">
        <v>54.283183999999999</v>
      </c>
      <c r="I34" s="1">
        <v>-118.216606</v>
      </c>
      <c r="J34" s="1" t="s">
        <v>128</v>
      </c>
      <c r="K34" s="1" t="s">
        <v>177</v>
      </c>
      <c r="L34" s="1" t="s">
        <v>187</v>
      </c>
      <c r="M34" s="1" t="s">
        <v>237</v>
      </c>
      <c r="N34" s="1" t="s">
        <v>239</v>
      </c>
      <c r="O34" s="1" t="s">
        <v>86</v>
      </c>
      <c r="P34" s="1" t="s">
        <v>2</v>
      </c>
      <c r="Q34" s="1" t="s">
        <v>93</v>
      </c>
      <c r="R34" s="1" t="s">
        <v>2</v>
      </c>
      <c r="S34" s="7" t="s">
        <v>48</v>
      </c>
      <c r="V34" s="1">
        <v>16</v>
      </c>
      <c r="W34" s="1">
        <v>16</v>
      </c>
      <c r="X34" s="1" t="s">
        <v>205</v>
      </c>
      <c r="Z34" s="1" t="s">
        <v>0</v>
      </c>
      <c r="AA34" s="1" t="s">
        <v>98</v>
      </c>
      <c r="AB34" s="1" t="s">
        <v>203</v>
      </c>
      <c r="AC34" s="1" t="s">
        <v>99</v>
      </c>
      <c r="AD34" s="1" t="s">
        <v>111</v>
      </c>
      <c r="AE34" s="1" t="s">
        <v>254</v>
      </c>
      <c r="AF34" s="1" t="s">
        <v>375</v>
      </c>
      <c r="AG34" s="12">
        <v>0.06</v>
      </c>
      <c r="AH34" s="12">
        <f t="shared" si="54"/>
        <v>0.2</v>
      </c>
      <c r="AI34" s="12">
        <v>0.05</v>
      </c>
      <c r="AJ34" s="12">
        <v>0.01</v>
      </c>
      <c r="AK34" s="12">
        <f t="shared" si="55"/>
        <v>0.04</v>
      </c>
      <c r="AL34" s="12">
        <v>0.01</v>
      </c>
      <c r="AM34" s="12">
        <f t="shared" ref="AM34" si="63">AG34-AJ34</f>
        <v>4.9999999999999996E-2</v>
      </c>
      <c r="AN34" s="1">
        <f t="shared" ref="AN34" si="64">SQRT((((W34-1)*AH34^2)+((V34-1)*AK34^2))/(W34+V34-2))</f>
        <v>0.14422205101855959</v>
      </c>
      <c r="AO34" s="1">
        <f t="shared" ref="AO34" si="65">AM34/AN34</f>
        <v>0.34668762264076813</v>
      </c>
      <c r="AP34" s="1">
        <f t="shared" ref="AP34" si="66">1/W34+1/V34+(AO34^2)/(2*(W34+V34))</f>
        <v>0.12687800480769232</v>
      </c>
      <c r="AQ34" s="1">
        <f t="shared" ref="AQ34" si="67">1-(3/(4*(W34+V34-2)-1))</f>
        <v>0.97478991596638653</v>
      </c>
      <c r="AR34" s="21">
        <f t="shared" ref="AR34" si="68">AO34*AQ34</f>
        <v>0.33794759854058071</v>
      </c>
      <c r="AS34" s="21">
        <f t="shared" si="42"/>
        <v>0.12056143158620915</v>
      </c>
      <c r="AT34" s="21">
        <f t="shared" ref="AT34" si="69">SQRT(AP34*AQ34^2)</f>
        <v>0.34721957258514263</v>
      </c>
      <c r="AU34" s="20">
        <f t="shared" si="44"/>
        <v>8.2945265898318059</v>
      </c>
      <c r="AV34" s="20">
        <f t="shared" si="45"/>
        <v>2.8031153420646513</v>
      </c>
      <c r="AW34" s="20">
        <f t="shared" si="46"/>
        <v>0.94730609828300727</v>
      </c>
      <c r="AX34" s="14"/>
      <c r="AY34" s="14"/>
      <c r="AZ34" s="1" t="s">
        <v>271</v>
      </c>
      <c r="BA34" s="2"/>
    </row>
    <row r="35" spans="1:53" ht="14.25" hidden="1" customHeight="1">
      <c r="A35" s="2">
        <v>186</v>
      </c>
      <c r="B35" s="2" t="s">
        <v>27</v>
      </c>
      <c r="C35" s="1" t="s">
        <v>91</v>
      </c>
      <c r="D35" s="1">
        <v>2020</v>
      </c>
      <c r="E35" s="1">
        <v>2016</v>
      </c>
      <c r="F35" s="1" t="s">
        <v>153</v>
      </c>
      <c r="G35" s="1" t="s">
        <v>117</v>
      </c>
      <c r="H35" s="1">
        <v>54.283183999999999</v>
      </c>
      <c r="I35" s="1">
        <v>-118.216606</v>
      </c>
      <c r="J35" s="1" t="s">
        <v>128</v>
      </c>
      <c r="K35" s="1" t="s">
        <v>177</v>
      </c>
      <c r="L35" s="1" t="s">
        <v>187</v>
      </c>
      <c r="M35" s="1" t="s">
        <v>237</v>
      </c>
      <c r="N35" s="1" t="s">
        <v>239</v>
      </c>
      <c r="O35" s="1" t="s">
        <v>86</v>
      </c>
      <c r="P35" s="1" t="s">
        <v>2</v>
      </c>
      <c r="Q35" s="1" t="s">
        <v>93</v>
      </c>
      <c r="R35" s="1" t="s">
        <v>2</v>
      </c>
      <c r="S35" s="7" t="s">
        <v>48</v>
      </c>
      <c r="V35" s="1">
        <v>16</v>
      </c>
      <c r="W35" s="1">
        <v>16</v>
      </c>
      <c r="X35" s="1" t="s">
        <v>205</v>
      </c>
      <c r="Z35" s="1" t="s">
        <v>0</v>
      </c>
      <c r="AA35" s="1" t="s">
        <v>98</v>
      </c>
      <c r="AB35" s="1" t="s">
        <v>203</v>
      </c>
      <c r="AC35" s="1" t="s">
        <v>99</v>
      </c>
      <c r="AD35" s="1" t="s">
        <v>111</v>
      </c>
      <c r="AE35" s="1" t="s">
        <v>255</v>
      </c>
      <c r="AF35" s="1" t="s">
        <v>323</v>
      </c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" t="s">
        <v>286</v>
      </c>
    </row>
    <row r="36" spans="1:53" ht="14.25" hidden="1" customHeight="1">
      <c r="A36" s="2">
        <v>497</v>
      </c>
      <c r="B36" s="2" t="s">
        <v>66</v>
      </c>
      <c r="C36" s="1" t="s">
        <v>85</v>
      </c>
      <c r="D36" s="1">
        <v>2023</v>
      </c>
      <c r="E36" s="1">
        <v>2020</v>
      </c>
      <c r="F36" s="1" t="s">
        <v>96</v>
      </c>
      <c r="G36" s="1" t="s">
        <v>109</v>
      </c>
      <c r="H36" s="1">
        <v>-35.136108</v>
      </c>
      <c r="I36" s="1">
        <v>150.68715700000001</v>
      </c>
      <c r="J36" s="1" t="s">
        <v>128</v>
      </c>
      <c r="K36" s="1" t="s">
        <v>112</v>
      </c>
      <c r="L36" s="1" t="s">
        <v>258</v>
      </c>
      <c r="M36" s="1" t="s">
        <v>238</v>
      </c>
      <c r="N36" s="1" t="s">
        <v>239</v>
      </c>
      <c r="O36" s="1" t="s">
        <v>86</v>
      </c>
      <c r="P36" s="1" t="s">
        <v>2</v>
      </c>
      <c r="Q36" s="1" t="s">
        <v>256</v>
      </c>
      <c r="R36" s="1">
        <v>2017</v>
      </c>
      <c r="S36" s="1">
        <v>3</v>
      </c>
      <c r="U36" s="1" t="s">
        <v>2</v>
      </c>
      <c r="V36" s="1">
        <v>6</v>
      </c>
      <c r="W36" s="1">
        <v>18</v>
      </c>
      <c r="X36" s="1" t="s">
        <v>97</v>
      </c>
      <c r="Y36" s="1" t="s">
        <v>133</v>
      </c>
      <c r="Z36" s="1" t="s">
        <v>1</v>
      </c>
      <c r="AA36" s="1" t="s">
        <v>98</v>
      </c>
      <c r="AB36" s="1" t="s">
        <v>203</v>
      </c>
      <c r="AC36" s="1" t="s">
        <v>99</v>
      </c>
      <c r="AD36" s="1" t="s">
        <v>102</v>
      </c>
      <c r="AE36" s="1" t="s">
        <v>257</v>
      </c>
      <c r="AF36" s="1" t="s">
        <v>323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" t="s">
        <v>286</v>
      </c>
    </row>
    <row r="37" spans="1:53" ht="14.25" hidden="1" customHeight="1">
      <c r="A37" s="2">
        <v>497</v>
      </c>
      <c r="B37" s="2" t="s">
        <v>66</v>
      </c>
      <c r="C37" s="1" t="s">
        <v>85</v>
      </c>
      <c r="D37" s="1">
        <v>2023</v>
      </c>
      <c r="E37" s="1">
        <v>2020</v>
      </c>
      <c r="F37" s="1" t="s">
        <v>96</v>
      </c>
      <c r="G37" s="1" t="s">
        <v>109</v>
      </c>
      <c r="H37" s="1">
        <v>-35.136108</v>
      </c>
      <c r="I37" s="1">
        <v>150.68715700000001</v>
      </c>
      <c r="J37" s="1" t="s">
        <v>128</v>
      </c>
      <c r="K37" s="1" t="s">
        <v>112</v>
      </c>
      <c r="L37" s="1" t="s">
        <v>258</v>
      </c>
      <c r="M37" s="1" t="s">
        <v>238</v>
      </c>
      <c r="N37" s="1" t="s">
        <v>239</v>
      </c>
      <c r="O37" s="1" t="s">
        <v>86</v>
      </c>
      <c r="P37" s="1" t="s">
        <v>2</v>
      </c>
      <c r="Q37" s="1" t="s">
        <v>256</v>
      </c>
      <c r="R37" s="1">
        <v>2017</v>
      </c>
      <c r="S37" s="1">
        <v>3</v>
      </c>
      <c r="U37" s="1" t="s">
        <v>2</v>
      </c>
      <c r="V37" s="1">
        <v>6</v>
      </c>
      <c r="W37" s="1">
        <v>18</v>
      </c>
      <c r="X37" s="1" t="s">
        <v>97</v>
      </c>
      <c r="Y37" s="1" t="s">
        <v>133</v>
      </c>
      <c r="Z37" s="1" t="s">
        <v>1</v>
      </c>
      <c r="AA37" s="1" t="s">
        <v>98</v>
      </c>
      <c r="AB37" s="1" t="s">
        <v>203</v>
      </c>
      <c r="AC37" s="1" t="s">
        <v>99</v>
      </c>
      <c r="AD37" s="1" t="s">
        <v>102</v>
      </c>
      <c r="AE37" s="1" t="s">
        <v>223</v>
      </c>
      <c r="AF37" s="1" t="s">
        <v>330</v>
      </c>
      <c r="AG37" s="12">
        <v>261.49</v>
      </c>
      <c r="AH37" s="12">
        <v>92.17</v>
      </c>
      <c r="AI37" s="12"/>
      <c r="AJ37" s="12">
        <v>392.83</v>
      </c>
      <c r="AK37" s="12">
        <v>131.32</v>
      </c>
      <c r="AL37" s="12"/>
      <c r="AM37" s="12">
        <f t="shared" ref="AM37" si="70">AG37-AJ37</f>
        <v>-131.33999999999997</v>
      </c>
      <c r="AN37" s="1">
        <f t="shared" ref="AN37" si="71">SQRT((((W37-1)*AH37^2)+((V37-1)*AK37^2))/(W37+V37-2))</f>
        <v>102.39073184708575</v>
      </c>
      <c r="AO37" s="1">
        <f t="shared" ref="AO37" si="72">AM37/AN37</f>
        <v>-1.2827332867993186</v>
      </c>
      <c r="AP37" s="1">
        <f t="shared" ref="AP37" si="73">1/W37+1/V37+(AO37^2)/(2*(W37+V37))</f>
        <v>0.25650148649436771</v>
      </c>
      <c r="AQ37" s="1">
        <f t="shared" ref="AQ37" si="74">1-(3/(4*(W37+V37-2)-1))</f>
        <v>0.96551724137931039</v>
      </c>
      <c r="AR37" s="21">
        <f t="shared" ref="AR37" si="75">AO37*AQ37</f>
        <v>-1.238501104495894</v>
      </c>
      <c r="AS37" s="21">
        <f>AP37*(AQ37^2)</f>
        <v>0.23911672462732975</v>
      </c>
      <c r="AT37" s="21">
        <f t="shared" ref="AT37" si="76">SQRT(AP37*AQ37^2)</f>
        <v>0.48899562843376193</v>
      </c>
      <c r="AU37" s="20">
        <f>1/AS37</f>
        <v>4.1820579533218707</v>
      </c>
      <c r="AV37" s="20">
        <f>AR37/AS37</f>
        <v>-5.1794833942549747</v>
      </c>
      <c r="AW37" s="20">
        <f>((AR37)^2)/AS37</f>
        <v>6.4147959045029284</v>
      </c>
      <c r="AX37" s="14"/>
      <c r="AY37" s="14"/>
      <c r="AZ37" s="1" t="s">
        <v>271</v>
      </c>
      <c r="BA37" s="2"/>
    </row>
    <row r="38" spans="1:53" ht="14.25" hidden="1" customHeight="1">
      <c r="A38" s="2">
        <v>497</v>
      </c>
      <c r="B38" s="2" t="s">
        <v>66</v>
      </c>
      <c r="C38" s="1" t="s">
        <v>85</v>
      </c>
      <c r="D38" s="1">
        <v>2023</v>
      </c>
      <c r="E38" s="1">
        <v>2020</v>
      </c>
      <c r="F38" s="1" t="s">
        <v>96</v>
      </c>
      <c r="G38" s="1" t="s">
        <v>109</v>
      </c>
      <c r="H38" s="1">
        <v>-35.136108</v>
      </c>
      <c r="I38" s="1">
        <v>150.68715700000001</v>
      </c>
      <c r="J38" s="1" t="s">
        <v>128</v>
      </c>
      <c r="K38" s="1" t="s">
        <v>112</v>
      </c>
      <c r="L38" s="1" t="s">
        <v>258</v>
      </c>
      <c r="M38" s="1" t="s">
        <v>238</v>
      </c>
      <c r="N38" s="1" t="s">
        <v>239</v>
      </c>
      <c r="O38" s="1" t="s">
        <v>86</v>
      </c>
      <c r="P38" s="1" t="s">
        <v>2</v>
      </c>
      <c r="Q38" s="1" t="s">
        <v>256</v>
      </c>
      <c r="R38" s="1">
        <v>2017</v>
      </c>
      <c r="S38" s="1">
        <v>3</v>
      </c>
      <c r="U38" s="1" t="s">
        <v>2</v>
      </c>
      <c r="V38" s="1">
        <v>6</v>
      </c>
      <c r="W38" s="1">
        <v>18</v>
      </c>
      <c r="X38" s="1" t="s">
        <v>97</v>
      </c>
      <c r="Y38" s="1" t="s">
        <v>133</v>
      </c>
      <c r="Z38" s="1" t="s">
        <v>1</v>
      </c>
      <c r="AA38" s="1" t="s">
        <v>98</v>
      </c>
      <c r="AB38" s="1" t="s">
        <v>203</v>
      </c>
      <c r="AC38" s="1" t="s">
        <v>99</v>
      </c>
      <c r="AD38" s="1" t="s">
        <v>102</v>
      </c>
      <c r="AE38" s="1" t="s">
        <v>248</v>
      </c>
      <c r="AF38" s="1" t="s">
        <v>332</v>
      </c>
      <c r="AG38" s="1">
        <f>49.04/100</f>
        <v>0.4904</v>
      </c>
      <c r="AH38" s="14"/>
      <c r="AI38" s="14"/>
      <c r="AJ38" s="1">
        <f>65.1/100</f>
        <v>0.65099999999999991</v>
      </c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">
        <f>LOG(AG38/AJ38)</f>
        <v>-0.12303052705783325</v>
      </c>
      <c r="AY38" s="12">
        <f>((1-AG38)/(AG38*W38))+((1-AJ38)/(V38*AJ38))</f>
        <v>0.14708036909794531</v>
      </c>
      <c r="AZ38" s="1" t="s">
        <v>284</v>
      </c>
    </row>
    <row r="39" spans="1:53" ht="14.25" hidden="1" customHeight="1">
      <c r="A39" s="2">
        <v>497</v>
      </c>
      <c r="B39" s="2" t="s">
        <v>66</v>
      </c>
      <c r="C39" s="1" t="s">
        <v>85</v>
      </c>
      <c r="D39" s="1">
        <v>2023</v>
      </c>
      <c r="E39" s="1">
        <v>2020</v>
      </c>
      <c r="F39" s="1" t="s">
        <v>96</v>
      </c>
      <c r="G39" s="1" t="s">
        <v>109</v>
      </c>
      <c r="H39" s="1">
        <v>-35.136108</v>
      </c>
      <c r="I39" s="1">
        <v>150.68715700000001</v>
      </c>
      <c r="J39" s="1" t="s">
        <v>128</v>
      </c>
      <c r="K39" s="1" t="s">
        <v>112</v>
      </c>
      <c r="L39" s="1" t="s">
        <v>258</v>
      </c>
      <c r="M39" s="1" t="s">
        <v>238</v>
      </c>
      <c r="N39" s="1" t="s">
        <v>239</v>
      </c>
      <c r="O39" s="1" t="s">
        <v>86</v>
      </c>
      <c r="P39" s="1" t="s">
        <v>2</v>
      </c>
      <c r="Q39" s="1" t="s">
        <v>256</v>
      </c>
      <c r="R39" s="1">
        <v>2017</v>
      </c>
      <c r="S39" s="1">
        <v>3</v>
      </c>
      <c r="U39" s="1" t="s">
        <v>2</v>
      </c>
      <c r="V39" s="1">
        <v>6</v>
      </c>
      <c r="W39" s="1">
        <v>18</v>
      </c>
      <c r="X39" s="1" t="s">
        <v>97</v>
      </c>
      <c r="Y39" s="1" t="s">
        <v>133</v>
      </c>
      <c r="Z39" s="1" t="s">
        <v>1</v>
      </c>
      <c r="AA39" s="1" t="s">
        <v>98</v>
      </c>
      <c r="AB39" s="1" t="s">
        <v>203</v>
      </c>
      <c r="AC39" s="1" t="s">
        <v>99</v>
      </c>
      <c r="AD39" s="1" t="s">
        <v>102</v>
      </c>
      <c r="AE39" s="1" t="s">
        <v>249</v>
      </c>
      <c r="AF39" s="1" t="s">
        <v>332</v>
      </c>
      <c r="AG39" s="1">
        <f>49.63/100</f>
        <v>0.49630000000000002</v>
      </c>
      <c r="AH39" s="14"/>
      <c r="AI39" s="14"/>
      <c r="AJ39" s="1">
        <f>34.54/100</f>
        <v>0.34539999999999998</v>
      </c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">
        <f>LOG(AG39/AJ39)</f>
        <v>0.15742194196588347</v>
      </c>
      <c r="AY39" s="12">
        <f t="shared" ref="AY39:AY45" si="77">((1-AG39)/(AG39*W39))+((1-AJ39)/(V39*AJ39))</f>
        <v>0.37224957058220021</v>
      </c>
      <c r="AZ39" s="1" t="s">
        <v>284</v>
      </c>
    </row>
    <row r="40" spans="1:53" ht="14.25" customHeight="1">
      <c r="A40" s="2">
        <v>497</v>
      </c>
      <c r="B40" s="2" t="s">
        <v>66</v>
      </c>
      <c r="C40" s="1" t="s">
        <v>85</v>
      </c>
      <c r="D40" s="1">
        <v>2023</v>
      </c>
      <c r="E40" s="1">
        <v>2020</v>
      </c>
      <c r="F40" s="1" t="s">
        <v>96</v>
      </c>
      <c r="G40" s="1" t="s">
        <v>109</v>
      </c>
      <c r="H40" s="1">
        <v>-35.136108</v>
      </c>
      <c r="I40" s="1">
        <v>150.68715700000001</v>
      </c>
      <c r="J40" s="1" t="s">
        <v>128</v>
      </c>
      <c r="K40" s="1" t="s">
        <v>112</v>
      </c>
      <c r="L40" s="1" t="s">
        <v>258</v>
      </c>
      <c r="M40" s="1" t="s">
        <v>238</v>
      </c>
      <c r="N40" s="1" t="s">
        <v>239</v>
      </c>
      <c r="O40" s="1" t="s">
        <v>86</v>
      </c>
      <c r="P40" s="1" t="s">
        <v>2</v>
      </c>
      <c r="Q40" s="1" t="s">
        <v>256</v>
      </c>
      <c r="R40" s="1">
        <v>2017</v>
      </c>
      <c r="S40" s="1">
        <v>3</v>
      </c>
      <c r="U40" s="1" t="s">
        <v>2</v>
      </c>
      <c r="V40" s="1">
        <v>6</v>
      </c>
      <c r="W40" s="1">
        <v>18</v>
      </c>
      <c r="X40" s="1" t="s">
        <v>97</v>
      </c>
      <c r="Y40" s="1" t="s">
        <v>133</v>
      </c>
      <c r="Z40" s="1" t="s">
        <v>1</v>
      </c>
      <c r="AA40" s="1" t="s">
        <v>98</v>
      </c>
      <c r="AB40" s="1" t="s">
        <v>203</v>
      </c>
      <c r="AC40" s="1" t="s">
        <v>99</v>
      </c>
      <c r="AD40" s="1" t="s">
        <v>102</v>
      </c>
      <c r="AE40" s="1" t="s">
        <v>288</v>
      </c>
      <c r="AF40" s="1" t="s">
        <v>332</v>
      </c>
      <c r="AG40" s="1">
        <f>28.9/100</f>
        <v>0.28899999999999998</v>
      </c>
      <c r="AH40" s="14"/>
      <c r="AI40" s="14"/>
      <c r="AJ40" s="1">
        <f>43.9/100</f>
        <v>0.439</v>
      </c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">
        <f t="shared" ref="AX40:AX41" si="78">LOG(AG40/AJ40)</f>
        <v>-0.18156667748557359</v>
      </c>
      <c r="AY40" s="12">
        <f t="shared" ref="AY40:AY41" si="79">((1-AG40)/(AG40*W40))+((1-AJ40)/(V40*AJ40))</f>
        <v>0.34966225536174539</v>
      </c>
      <c r="AZ40" s="1" t="s">
        <v>284</v>
      </c>
    </row>
    <row r="41" spans="1:53" ht="14.25" hidden="1" customHeight="1">
      <c r="A41" s="2">
        <v>497</v>
      </c>
      <c r="B41" s="2" t="s">
        <v>66</v>
      </c>
      <c r="C41" s="1" t="s">
        <v>85</v>
      </c>
      <c r="D41" s="1">
        <v>2023</v>
      </c>
      <c r="E41" s="1">
        <v>2020</v>
      </c>
      <c r="F41" s="1" t="s">
        <v>96</v>
      </c>
      <c r="G41" s="1" t="s">
        <v>109</v>
      </c>
      <c r="H41" s="1">
        <v>-35.136108</v>
      </c>
      <c r="I41" s="1">
        <v>150.68715700000001</v>
      </c>
      <c r="J41" s="1" t="s">
        <v>128</v>
      </c>
      <c r="K41" s="1" t="s">
        <v>112</v>
      </c>
      <c r="L41" s="1" t="s">
        <v>258</v>
      </c>
      <c r="M41" s="1" t="s">
        <v>238</v>
      </c>
      <c r="N41" s="1" t="s">
        <v>239</v>
      </c>
      <c r="O41" s="1" t="s">
        <v>86</v>
      </c>
      <c r="P41" s="1" t="s">
        <v>2</v>
      </c>
      <c r="Q41" s="1" t="s">
        <v>256</v>
      </c>
      <c r="R41" s="1">
        <v>2017</v>
      </c>
      <c r="S41" s="1">
        <v>3</v>
      </c>
      <c r="U41" s="1" t="s">
        <v>2</v>
      </c>
      <c r="V41" s="1">
        <v>6</v>
      </c>
      <c r="W41" s="1">
        <v>18</v>
      </c>
      <c r="X41" s="1" t="s">
        <v>97</v>
      </c>
      <c r="Y41" s="1" t="s">
        <v>133</v>
      </c>
      <c r="Z41" s="1" t="s">
        <v>1</v>
      </c>
      <c r="AA41" s="1" t="s">
        <v>98</v>
      </c>
      <c r="AB41" s="1" t="s">
        <v>203</v>
      </c>
      <c r="AC41" s="1" t="s">
        <v>99</v>
      </c>
      <c r="AD41" s="1" t="s">
        <v>102</v>
      </c>
      <c r="AE41" s="1" t="s">
        <v>316</v>
      </c>
      <c r="AF41" s="1" t="s">
        <v>331</v>
      </c>
      <c r="AG41" s="1">
        <f>20.4/100</f>
        <v>0.20399999999999999</v>
      </c>
      <c r="AH41" s="14"/>
      <c r="AI41" s="14"/>
      <c r="AJ41" s="1">
        <f>28.4/100</f>
        <v>0.28399999999999997</v>
      </c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">
        <f t="shared" si="78"/>
        <v>-0.14368817262113889</v>
      </c>
      <c r="AY41" s="12">
        <f t="shared" si="79"/>
        <v>0.6369633925557705</v>
      </c>
      <c r="AZ41" s="1" t="s">
        <v>284</v>
      </c>
    </row>
    <row r="42" spans="1:53" ht="14.25" hidden="1" customHeight="1">
      <c r="A42" s="2">
        <v>497</v>
      </c>
      <c r="B42" s="2" t="s">
        <v>66</v>
      </c>
      <c r="C42" s="1" t="s">
        <v>85</v>
      </c>
      <c r="D42" s="1">
        <v>2023</v>
      </c>
      <c r="E42" s="1">
        <v>2020</v>
      </c>
      <c r="F42" s="1" t="s">
        <v>96</v>
      </c>
      <c r="G42" s="1" t="s">
        <v>109</v>
      </c>
      <c r="H42" s="1">
        <v>-35.136108</v>
      </c>
      <c r="I42" s="1">
        <v>150.68715700000001</v>
      </c>
      <c r="J42" s="1" t="s">
        <v>128</v>
      </c>
      <c r="K42" s="1" t="s">
        <v>112</v>
      </c>
      <c r="L42" s="1" t="s">
        <v>258</v>
      </c>
      <c r="M42" s="1" t="s">
        <v>238</v>
      </c>
      <c r="N42" s="1" t="s">
        <v>239</v>
      </c>
      <c r="O42" s="1" t="s">
        <v>86</v>
      </c>
      <c r="P42" s="1" t="s">
        <v>2</v>
      </c>
      <c r="Q42" s="1" t="s">
        <v>256</v>
      </c>
      <c r="R42" s="1">
        <v>2001</v>
      </c>
      <c r="S42" s="1">
        <v>19</v>
      </c>
      <c r="U42" s="1" t="s">
        <v>2</v>
      </c>
      <c r="V42" s="1">
        <v>6</v>
      </c>
      <c r="W42" s="1">
        <v>18</v>
      </c>
      <c r="X42" s="1" t="s">
        <v>97</v>
      </c>
      <c r="Y42" s="1" t="s">
        <v>133</v>
      </c>
      <c r="Z42" s="1" t="s">
        <v>1</v>
      </c>
      <c r="AA42" s="1" t="s">
        <v>98</v>
      </c>
      <c r="AB42" s="1" t="s">
        <v>203</v>
      </c>
      <c r="AC42" s="1" t="s">
        <v>99</v>
      </c>
      <c r="AD42" s="1" t="s">
        <v>102</v>
      </c>
      <c r="AE42" s="1" t="s">
        <v>257</v>
      </c>
      <c r="AF42" s="1" t="s">
        <v>323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" t="s">
        <v>286</v>
      </c>
    </row>
    <row r="43" spans="1:53" ht="14.25" hidden="1" customHeight="1">
      <c r="A43" s="2">
        <v>497</v>
      </c>
      <c r="B43" s="2" t="s">
        <v>66</v>
      </c>
      <c r="C43" s="1" t="s">
        <v>85</v>
      </c>
      <c r="D43" s="1">
        <v>2023</v>
      </c>
      <c r="E43" s="1">
        <v>2020</v>
      </c>
      <c r="F43" s="1" t="s">
        <v>96</v>
      </c>
      <c r="G43" s="1" t="s">
        <v>109</v>
      </c>
      <c r="H43" s="1">
        <v>-35.136108</v>
      </c>
      <c r="I43" s="1">
        <v>150.68715700000001</v>
      </c>
      <c r="J43" s="1" t="s">
        <v>128</v>
      </c>
      <c r="K43" s="1" t="s">
        <v>112</v>
      </c>
      <c r="L43" s="1" t="s">
        <v>258</v>
      </c>
      <c r="M43" s="1" t="s">
        <v>238</v>
      </c>
      <c r="N43" s="1" t="s">
        <v>239</v>
      </c>
      <c r="O43" s="1" t="s">
        <v>86</v>
      </c>
      <c r="P43" s="1" t="s">
        <v>2</v>
      </c>
      <c r="Q43" s="1" t="s">
        <v>256</v>
      </c>
      <c r="R43" s="1">
        <v>2001</v>
      </c>
      <c r="S43" s="1">
        <v>19</v>
      </c>
      <c r="U43" s="1" t="s">
        <v>2</v>
      </c>
      <c r="V43" s="1">
        <v>6</v>
      </c>
      <c r="W43" s="1">
        <v>18</v>
      </c>
      <c r="X43" s="1" t="s">
        <v>97</v>
      </c>
      <c r="Y43" s="1" t="s">
        <v>133</v>
      </c>
      <c r="Z43" s="1" t="s">
        <v>1</v>
      </c>
      <c r="AA43" s="1" t="s">
        <v>98</v>
      </c>
      <c r="AB43" s="1" t="s">
        <v>203</v>
      </c>
      <c r="AC43" s="1" t="s">
        <v>99</v>
      </c>
      <c r="AD43" s="1" t="s">
        <v>102</v>
      </c>
      <c r="AE43" s="1" t="s">
        <v>223</v>
      </c>
      <c r="AF43" s="1" t="s">
        <v>330</v>
      </c>
      <c r="AG43" s="12">
        <v>370.15</v>
      </c>
      <c r="AH43" s="12">
        <v>71.69</v>
      </c>
      <c r="AI43" s="12"/>
      <c r="AJ43" s="12">
        <v>392.83</v>
      </c>
      <c r="AK43" s="12">
        <v>131.32</v>
      </c>
      <c r="AL43" s="12"/>
      <c r="AM43" s="12">
        <f t="shared" ref="AM43" si="80">AG43-AJ43</f>
        <v>-22.680000000000007</v>
      </c>
      <c r="AN43" s="1">
        <f t="shared" ref="AN43" si="81">SQRT((((W43-1)*AH43^2)+((V43-1)*AK43^2))/(W43+V43-2))</f>
        <v>88.829628989226535</v>
      </c>
      <c r="AO43" s="1">
        <f t="shared" ref="AO43" si="82">AM43/AN43</f>
        <v>-0.25532021531634103</v>
      </c>
      <c r="AP43" s="1">
        <f t="shared" ref="AP43" si="83">1/W43+1/V43+(AO43^2)/(2*(W43+V43))</f>
        <v>0.22358031414616353</v>
      </c>
      <c r="AQ43" s="1">
        <f t="shared" ref="AQ43" si="84">1-(3/(4*(W43+V43-2)-1))</f>
        <v>0.96551724137931039</v>
      </c>
      <c r="AR43" s="21">
        <f t="shared" ref="AR43" si="85">AO43*AQ43</f>
        <v>-0.24651606996060513</v>
      </c>
      <c r="AS43" s="21">
        <f>AP43*(AQ43^2)</f>
        <v>0.20842683268798126</v>
      </c>
      <c r="AT43" s="21">
        <f t="shared" ref="AT43" si="86">SQRT(AP43*AQ43^2)</f>
        <v>0.45653787650969474</v>
      </c>
      <c r="AU43" s="20">
        <f>1/AS43</f>
        <v>4.7978467412447712</v>
      </c>
      <c r="AV43" s="20">
        <f>AR43/AS43</f>
        <v>-1.1827463229249573</v>
      </c>
      <c r="AW43" s="20">
        <f>((AR43)^2)/AS43</f>
        <v>0.29156597528781725</v>
      </c>
      <c r="AX43" s="14"/>
      <c r="AY43" s="14"/>
      <c r="AZ43" s="1" t="s">
        <v>271</v>
      </c>
      <c r="BA43" s="2"/>
    </row>
    <row r="44" spans="1:53" ht="14.25" hidden="1" customHeight="1">
      <c r="A44" s="2">
        <v>497</v>
      </c>
      <c r="B44" s="2" t="s">
        <v>66</v>
      </c>
      <c r="C44" s="1" t="s">
        <v>85</v>
      </c>
      <c r="D44" s="1">
        <v>2023</v>
      </c>
      <c r="E44" s="1">
        <v>2020</v>
      </c>
      <c r="F44" s="1" t="s">
        <v>96</v>
      </c>
      <c r="G44" s="1" t="s">
        <v>109</v>
      </c>
      <c r="H44" s="1">
        <v>-35.136108</v>
      </c>
      <c r="I44" s="1">
        <v>150.68715700000001</v>
      </c>
      <c r="J44" s="1" t="s">
        <v>128</v>
      </c>
      <c r="K44" s="1" t="s">
        <v>112</v>
      </c>
      <c r="L44" s="1" t="s">
        <v>258</v>
      </c>
      <c r="M44" s="1" t="s">
        <v>238</v>
      </c>
      <c r="N44" s="1" t="s">
        <v>239</v>
      </c>
      <c r="O44" s="1" t="s">
        <v>86</v>
      </c>
      <c r="P44" s="1" t="s">
        <v>2</v>
      </c>
      <c r="Q44" s="1" t="s">
        <v>256</v>
      </c>
      <c r="R44" s="1">
        <v>2001</v>
      </c>
      <c r="S44" s="1">
        <v>19</v>
      </c>
      <c r="U44" s="1" t="s">
        <v>2</v>
      </c>
      <c r="V44" s="1">
        <v>6</v>
      </c>
      <c r="W44" s="1">
        <v>18</v>
      </c>
      <c r="X44" s="1" t="s">
        <v>97</v>
      </c>
      <c r="Y44" s="1" t="s">
        <v>133</v>
      </c>
      <c r="Z44" s="1" t="s">
        <v>1</v>
      </c>
      <c r="AA44" s="1" t="s">
        <v>98</v>
      </c>
      <c r="AB44" s="1" t="s">
        <v>203</v>
      </c>
      <c r="AC44" s="1" t="s">
        <v>99</v>
      </c>
      <c r="AD44" s="1" t="s">
        <v>102</v>
      </c>
      <c r="AE44" s="1" t="s">
        <v>248</v>
      </c>
      <c r="AF44" s="1" t="s">
        <v>332</v>
      </c>
      <c r="AG44" s="1">
        <f>60.7/100</f>
        <v>0.60699999999999998</v>
      </c>
      <c r="AH44" s="14"/>
      <c r="AI44" s="14"/>
      <c r="AJ44" s="1">
        <f>65.1/100</f>
        <v>0.65099999999999991</v>
      </c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">
        <f t="shared" ref="AX44:AX45" si="87">LOG(AG44/AJ44)</f>
        <v>-3.0392297492934317E-2</v>
      </c>
      <c r="AY44" s="12">
        <f t="shared" si="77"/>
        <v>0.125318966048094</v>
      </c>
      <c r="AZ44" s="1" t="s">
        <v>284</v>
      </c>
    </row>
    <row r="45" spans="1:53" ht="14.25" hidden="1" customHeight="1">
      <c r="A45" s="2">
        <v>497</v>
      </c>
      <c r="B45" s="2" t="s">
        <v>66</v>
      </c>
      <c r="C45" s="1" t="s">
        <v>85</v>
      </c>
      <c r="D45" s="1">
        <v>2023</v>
      </c>
      <c r="E45" s="1">
        <v>2020</v>
      </c>
      <c r="F45" s="1" t="s">
        <v>96</v>
      </c>
      <c r="G45" s="1" t="s">
        <v>109</v>
      </c>
      <c r="H45" s="1">
        <v>-35.136108</v>
      </c>
      <c r="I45" s="1">
        <v>150.68715700000001</v>
      </c>
      <c r="J45" s="1" t="s">
        <v>128</v>
      </c>
      <c r="K45" s="1" t="s">
        <v>112</v>
      </c>
      <c r="L45" s="1" t="s">
        <v>258</v>
      </c>
      <c r="M45" s="1" t="s">
        <v>238</v>
      </c>
      <c r="N45" s="1" t="s">
        <v>239</v>
      </c>
      <c r="O45" s="1" t="s">
        <v>86</v>
      </c>
      <c r="P45" s="1" t="s">
        <v>2</v>
      </c>
      <c r="Q45" s="1" t="s">
        <v>256</v>
      </c>
      <c r="R45" s="1">
        <v>2001</v>
      </c>
      <c r="S45" s="1">
        <v>19</v>
      </c>
      <c r="U45" s="1" t="s">
        <v>2</v>
      </c>
      <c r="V45" s="1">
        <v>6</v>
      </c>
      <c r="W45" s="1">
        <v>18</v>
      </c>
      <c r="X45" s="1" t="s">
        <v>97</v>
      </c>
      <c r="Y45" s="1" t="s">
        <v>133</v>
      </c>
      <c r="Z45" s="1" t="s">
        <v>1</v>
      </c>
      <c r="AA45" s="1" t="s">
        <v>98</v>
      </c>
      <c r="AB45" s="1" t="s">
        <v>203</v>
      </c>
      <c r="AC45" s="1" t="s">
        <v>99</v>
      </c>
      <c r="AD45" s="1" t="s">
        <v>102</v>
      </c>
      <c r="AE45" s="1" t="s">
        <v>249</v>
      </c>
      <c r="AF45" s="1" t="s">
        <v>332</v>
      </c>
      <c r="AG45" s="1">
        <f>38.3/100</f>
        <v>0.38299999999999995</v>
      </c>
      <c r="AH45" s="14"/>
      <c r="AI45" s="14"/>
      <c r="AJ45" s="1">
        <f>34.54/100</f>
        <v>0.34539999999999998</v>
      </c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">
        <f t="shared" si="87"/>
        <v>4.4876440737182749E-2</v>
      </c>
      <c r="AY45" s="12">
        <f t="shared" si="77"/>
        <v>0.40536377730171286</v>
      </c>
      <c r="AZ45" s="1" t="s">
        <v>284</v>
      </c>
    </row>
    <row r="46" spans="1:53" ht="14.25" customHeight="1">
      <c r="A46" s="2">
        <v>497</v>
      </c>
      <c r="B46" s="2" t="s">
        <v>66</v>
      </c>
      <c r="C46" s="1" t="s">
        <v>85</v>
      </c>
      <c r="D46" s="1">
        <v>2023</v>
      </c>
      <c r="E46" s="1">
        <v>2020</v>
      </c>
      <c r="F46" s="1" t="s">
        <v>96</v>
      </c>
      <c r="G46" s="1" t="s">
        <v>109</v>
      </c>
      <c r="H46" s="1">
        <v>-35.136108</v>
      </c>
      <c r="I46" s="1">
        <v>150.68715700000001</v>
      </c>
      <c r="J46" s="1" t="s">
        <v>128</v>
      </c>
      <c r="K46" s="1" t="s">
        <v>112</v>
      </c>
      <c r="L46" s="1" t="s">
        <v>258</v>
      </c>
      <c r="M46" s="1" t="s">
        <v>238</v>
      </c>
      <c r="N46" s="1" t="s">
        <v>239</v>
      </c>
      <c r="O46" s="1" t="s">
        <v>86</v>
      </c>
      <c r="P46" s="1" t="s">
        <v>2</v>
      </c>
      <c r="Q46" s="1" t="s">
        <v>256</v>
      </c>
      <c r="R46" s="1">
        <v>2001</v>
      </c>
      <c r="S46" s="1">
        <v>19</v>
      </c>
      <c r="U46" s="1" t="s">
        <v>2</v>
      </c>
      <c r="V46" s="1">
        <v>6</v>
      </c>
      <c r="W46" s="1">
        <v>18</v>
      </c>
      <c r="X46" s="1" t="s">
        <v>97</v>
      </c>
      <c r="Y46" s="1" t="s">
        <v>133</v>
      </c>
      <c r="Z46" s="1" t="s">
        <v>1</v>
      </c>
      <c r="AA46" s="1" t="s">
        <v>98</v>
      </c>
      <c r="AB46" s="1" t="s">
        <v>203</v>
      </c>
      <c r="AC46" s="1" t="s">
        <v>99</v>
      </c>
      <c r="AD46" s="1" t="s">
        <v>102</v>
      </c>
      <c r="AE46" s="1" t="s">
        <v>288</v>
      </c>
      <c r="AF46" s="1" t="s">
        <v>332</v>
      </c>
      <c r="AG46" s="1">
        <f>38.6/100</f>
        <v>0.38600000000000001</v>
      </c>
      <c r="AH46" s="14"/>
      <c r="AI46" s="14"/>
      <c r="AJ46" s="1">
        <f>43.9/100</f>
        <v>0.439</v>
      </c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" t="s">
        <v>271</v>
      </c>
      <c r="BA46" s="2"/>
    </row>
    <row r="47" spans="1:53" ht="14.25" hidden="1" customHeight="1">
      <c r="A47" s="2">
        <v>497</v>
      </c>
      <c r="B47" s="2" t="s">
        <v>66</v>
      </c>
      <c r="C47" s="1" t="s">
        <v>85</v>
      </c>
      <c r="D47" s="1">
        <v>2023</v>
      </c>
      <c r="E47" s="1">
        <v>2020</v>
      </c>
      <c r="F47" s="1" t="s">
        <v>96</v>
      </c>
      <c r="G47" s="1" t="s">
        <v>109</v>
      </c>
      <c r="H47" s="1">
        <v>-35.136108</v>
      </c>
      <c r="I47" s="1">
        <v>150.68715700000001</v>
      </c>
      <c r="J47" s="1" t="s">
        <v>128</v>
      </c>
      <c r="K47" s="1" t="s">
        <v>112</v>
      </c>
      <c r="L47" s="1" t="s">
        <v>258</v>
      </c>
      <c r="M47" s="1" t="s">
        <v>238</v>
      </c>
      <c r="N47" s="1" t="s">
        <v>239</v>
      </c>
      <c r="O47" s="1" t="s">
        <v>86</v>
      </c>
      <c r="P47" s="1" t="s">
        <v>2</v>
      </c>
      <c r="Q47" s="1" t="s">
        <v>256</v>
      </c>
      <c r="R47" s="1">
        <v>2001</v>
      </c>
      <c r="S47" s="1">
        <v>19</v>
      </c>
      <c r="U47" s="1" t="s">
        <v>2</v>
      </c>
      <c r="V47" s="1">
        <v>6</v>
      </c>
      <c r="W47" s="1">
        <v>18</v>
      </c>
      <c r="X47" s="1" t="s">
        <v>97</v>
      </c>
      <c r="Y47" s="1" t="s">
        <v>133</v>
      </c>
      <c r="Z47" s="1" t="s">
        <v>1</v>
      </c>
      <c r="AA47" s="1" t="s">
        <v>98</v>
      </c>
      <c r="AB47" s="1" t="s">
        <v>203</v>
      </c>
      <c r="AC47" s="1" t="s">
        <v>99</v>
      </c>
      <c r="AD47" s="1" t="s">
        <v>102</v>
      </c>
      <c r="AE47" s="1" t="s">
        <v>316</v>
      </c>
      <c r="AF47" s="1" t="s">
        <v>331</v>
      </c>
      <c r="AG47" s="1">
        <f>27.9/100</f>
        <v>0.27899999999999997</v>
      </c>
      <c r="AH47" s="14"/>
      <c r="AI47" s="14"/>
      <c r="AJ47" s="1">
        <f>28.4/100</f>
        <v>0.28399999999999997</v>
      </c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" t="s">
        <v>271</v>
      </c>
      <c r="BA47" s="2"/>
    </row>
    <row r="48" spans="1:53" ht="14.25" hidden="1" customHeight="1">
      <c r="A48" s="2">
        <v>481</v>
      </c>
      <c r="B48" s="2" t="s">
        <v>64</v>
      </c>
      <c r="C48" s="1" t="s">
        <v>85</v>
      </c>
      <c r="D48" s="1">
        <v>2022</v>
      </c>
      <c r="E48" s="1" t="s">
        <v>141</v>
      </c>
      <c r="F48" s="1" t="s">
        <v>96</v>
      </c>
      <c r="G48" s="1" t="s">
        <v>162</v>
      </c>
      <c r="H48" s="1">
        <v>-37.911065999999998</v>
      </c>
      <c r="I48" s="1">
        <v>143.81197700000001</v>
      </c>
      <c r="J48" s="1" t="s">
        <v>128</v>
      </c>
      <c r="K48" s="1" t="s">
        <v>112</v>
      </c>
      <c r="L48" s="1" t="s">
        <v>181</v>
      </c>
      <c r="M48" s="1" t="s">
        <v>238</v>
      </c>
      <c r="N48" s="1" t="s">
        <v>239</v>
      </c>
      <c r="O48" s="1" t="s">
        <v>86</v>
      </c>
      <c r="P48" s="1" t="s">
        <v>129</v>
      </c>
      <c r="Q48" s="1" t="s">
        <v>93</v>
      </c>
      <c r="R48" s="1">
        <v>2009</v>
      </c>
      <c r="S48" s="1">
        <v>8</v>
      </c>
      <c r="U48" s="1" t="s">
        <v>2</v>
      </c>
      <c r="V48" s="1">
        <v>4</v>
      </c>
      <c r="W48" s="1">
        <v>6</v>
      </c>
      <c r="X48" s="1" t="s">
        <v>97</v>
      </c>
      <c r="Y48" s="1" t="s">
        <v>133</v>
      </c>
      <c r="Z48" s="1" t="s">
        <v>1</v>
      </c>
      <c r="AA48" s="1" t="s">
        <v>98</v>
      </c>
      <c r="AB48" s="1" t="s">
        <v>203</v>
      </c>
      <c r="AC48" s="1" t="s">
        <v>99</v>
      </c>
      <c r="AD48" s="1" t="s">
        <v>100</v>
      </c>
      <c r="AE48" s="12" t="s">
        <v>149</v>
      </c>
      <c r="AF48" s="12" t="s">
        <v>322</v>
      </c>
      <c r="AG48" s="12">
        <v>4.09</v>
      </c>
      <c r="AH48" s="12">
        <f>4.49-3.92</f>
        <v>0.57000000000000028</v>
      </c>
      <c r="AI48" s="12"/>
      <c r="AJ48" s="12">
        <v>4.45</v>
      </c>
      <c r="AK48" s="12">
        <f>4.53-4.37</f>
        <v>0.16000000000000014</v>
      </c>
      <c r="AL48" s="12"/>
      <c r="AM48" s="12">
        <f t="shared" si="37"/>
        <v>-0.36000000000000032</v>
      </c>
      <c r="AN48" s="1">
        <f>SQRT((((W48-1)*AH48^2)+((V48-1)*AK48^2))/(W48+V48-2))</f>
        <v>0.46115344517850043</v>
      </c>
      <c r="AO48" s="1">
        <f t="shared" si="2"/>
        <v>-0.78065122089818439</v>
      </c>
      <c r="AP48" s="1">
        <f>1/W48+1/V48+(AO48^2)/(2*(W48+V48))</f>
        <v>0.44713748310115792</v>
      </c>
      <c r="AQ48" s="1">
        <f>1-(3/(4*(W48+V48-2)-1))</f>
        <v>0.90322580645161288</v>
      </c>
      <c r="AR48" s="21">
        <f t="shared" si="41"/>
        <v>-0.70510432855319882</v>
      </c>
      <c r="AS48" s="21">
        <f>AP48*(AQ48^2)</f>
        <v>0.36478229630729214</v>
      </c>
      <c r="AT48" s="21">
        <f t="shared" si="43"/>
        <v>0.60397209894770154</v>
      </c>
      <c r="AU48" s="20">
        <f>1/AS48</f>
        <v>2.741361108044567</v>
      </c>
      <c r="AV48" s="20">
        <f>AR48/AS48</f>
        <v>-1.9329455834096176</v>
      </c>
      <c r="AW48" s="20">
        <f>((AR48)^2)/AS48</f>
        <v>1.3629282977199095</v>
      </c>
      <c r="AX48" s="14"/>
      <c r="AY48" s="14"/>
      <c r="AZ48" s="1" t="s">
        <v>271</v>
      </c>
      <c r="BA48" s="2"/>
    </row>
    <row r="49" spans="1:53" ht="14.25" hidden="1" customHeight="1">
      <c r="A49" s="2">
        <v>481</v>
      </c>
      <c r="B49" s="2" t="s">
        <v>64</v>
      </c>
      <c r="C49" s="1" t="s">
        <v>85</v>
      </c>
      <c r="D49" s="1">
        <v>2022</v>
      </c>
      <c r="E49" s="1" t="s">
        <v>141</v>
      </c>
      <c r="F49" s="1" t="s">
        <v>96</v>
      </c>
      <c r="G49" s="1" t="s">
        <v>162</v>
      </c>
      <c r="H49" s="1">
        <v>-37.911065999999998</v>
      </c>
      <c r="I49" s="1">
        <v>143.81197700000001</v>
      </c>
      <c r="J49" s="1" t="s">
        <v>128</v>
      </c>
      <c r="K49" s="1" t="s">
        <v>112</v>
      </c>
      <c r="L49" s="1" t="s">
        <v>181</v>
      </c>
      <c r="M49" s="1" t="s">
        <v>238</v>
      </c>
      <c r="N49" s="1" t="s">
        <v>239</v>
      </c>
      <c r="O49" s="1" t="s">
        <v>86</v>
      </c>
      <c r="P49" s="1" t="s">
        <v>129</v>
      </c>
      <c r="Q49" s="1" t="s">
        <v>93</v>
      </c>
      <c r="R49" s="1">
        <v>2009</v>
      </c>
      <c r="S49" s="1">
        <v>8</v>
      </c>
      <c r="U49" s="1" t="s">
        <v>2</v>
      </c>
      <c r="V49" s="1">
        <v>4</v>
      </c>
      <c r="W49" s="1">
        <v>6</v>
      </c>
      <c r="X49" s="1" t="s">
        <v>97</v>
      </c>
      <c r="Y49" s="1" t="s">
        <v>133</v>
      </c>
      <c r="Z49" s="1" t="s">
        <v>1</v>
      </c>
      <c r="AA49" s="1" t="s">
        <v>98</v>
      </c>
      <c r="AB49" s="1" t="s">
        <v>203</v>
      </c>
      <c r="AC49" s="1" t="s">
        <v>99</v>
      </c>
      <c r="AD49" s="1" t="s">
        <v>100</v>
      </c>
      <c r="AE49" s="1" t="s">
        <v>259</v>
      </c>
      <c r="AF49" s="1" t="s">
        <v>320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" t="s">
        <v>286</v>
      </c>
    </row>
    <row r="50" spans="1:53" ht="14.25" hidden="1" customHeight="1">
      <c r="A50" s="2">
        <v>481</v>
      </c>
      <c r="B50" s="2" t="s">
        <v>64</v>
      </c>
      <c r="C50" s="1" t="s">
        <v>85</v>
      </c>
      <c r="D50" s="1">
        <v>2022</v>
      </c>
      <c r="E50" s="1" t="s">
        <v>141</v>
      </c>
      <c r="F50" s="1" t="s">
        <v>96</v>
      </c>
      <c r="G50" s="1" t="s">
        <v>162</v>
      </c>
      <c r="H50" s="1">
        <v>-37.911065999999998</v>
      </c>
      <c r="I50" s="1">
        <v>143.81197700000001</v>
      </c>
      <c r="J50" s="1" t="s">
        <v>128</v>
      </c>
      <c r="K50" s="1" t="s">
        <v>112</v>
      </c>
      <c r="L50" s="1" t="s">
        <v>181</v>
      </c>
      <c r="M50" s="1" t="s">
        <v>238</v>
      </c>
      <c r="N50" s="1" t="s">
        <v>239</v>
      </c>
      <c r="O50" s="1" t="s">
        <v>86</v>
      </c>
      <c r="P50" s="1" t="s">
        <v>129</v>
      </c>
      <c r="Q50" s="1" t="s">
        <v>93</v>
      </c>
      <c r="R50" s="1">
        <v>2009</v>
      </c>
      <c r="S50" s="1">
        <v>8</v>
      </c>
      <c r="U50" s="1" t="s">
        <v>2</v>
      </c>
      <c r="V50" s="1">
        <v>4</v>
      </c>
      <c r="W50" s="1">
        <v>6</v>
      </c>
      <c r="X50" s="1" t="s">
        <v>97</v>
      </c>
      <c r="Y50" s="1" t="s">
        <v>133</v>
      </c>
      <c r="Z50" s="1" t="s">
        <v>1</v>
      </c>
      <c r="AA50" s="1" t="s">
        <v>98</v>
      </c>
      <c r="AB50" s="1" t="s">
        <v>203</v>
      </c>
      <c r="AC50" s="1" t="s">
        <v>99</v>
      </c>
      <c r="AD50" s="1" t="s">
        <v>100</v>
      </c>
      <c r="AE50" s="1" t="s">
        <v>255</v>
      </c>
      <c r="AF50" s="1" t="s">
        <v>333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" t="s">
        <v>286</v>
      </c>
    </row>
    <row r="51" spans="1:53" ht="14.25" hidden="1" customHeight="1">
      <c r="A51" s="2">
        <v>481</v>
      </c>
      <c r="B51" s="2" t="s">
        <v>64</v>
      </c>
      <c r="C51" s="1" t="s">
        <v>85</v>
      </c>
      <c r="D51" s="1">
        <v>2022</v>
      </c>
      <c r="E51" s="1" t="s">
        <v>141</v>
      </c>
      <c r="F51" s="1" t="s">
        <v>96</v>
      </c>
      <c r="G51" s="1" t="s">
        <v>162</v>
      </c>
      <c r="H51" s="1">
        <v>-37.911065999999998</v>
      </c>
      <c r="I51" s="1">
        <v>143.81197700000001</v>
      </c>
      <c r="J51" s="1" t="s">
        <v>128</v>
      </c>
      <c r="K51" s="1" t="s">
        <v>112</v>
      </c>
      <c r="L51" s="1" t="s">
        <v>181</v>
      </c>
      <c r="M51" s="1" t="s">
        <v>238</v>
      </c>
      <c r="N51" s="1" t="s">
        <v>239</v>
      </c>
      <c r="O51" s="1" t="s">
        <v>86</v>
      </c>
      <c r="P51" s="1" t="s">
        <v>129</v>
      </c>
      <c r="Q51" s="1" t="s">
        <v>93</v>
      </c>
      <c r="R51" s="1">
        <v>2009</v>
      </c>
      <c r="S51" s="1">
        <v>8</v>
      </c>
      <c r="U51" s="1" t="s">
        <v>2</v>
      </c>
      <c r="V51" s="1">
        <v>4</v>
      </c>
      <c r="W51" s="1">
        <v>6</v>
      </c>
      <c r="X51" s="1" t="s">
        <v>97</v>
      </c>
      <c r="Y51" s="1" t="s">
        <v>289</v>
      </c>
      <c r="Z51" s="1" t="s">
        <v>1</v>
      </c>
      <c r="AA51" s="1" t="s">
        <v>98</v>
      </c>
      <c r="AB51" s="1" t="s">
        <v>203</v>
      </c>
      <c r="AC51" s="1" t="s">
        <v>99</v>
      </c>
      <c r="AD51" s="1" t="s">
        <v>100</v>
      </c>
      <c r="AE51" s="12" t="s">
        <v>149</v>
      </c>
      <c r="AF51" s="12" t="s">
        <v>322</v>
      </c>
      <c r="AG51" s="12">
        <v>3.8</v>
      </c>
      <c r="AH51" s="12">
        <f>3.91-3.72</f>
        <v>0.18999999999999995</v>
      </c>
      <c r="AI51" s="12"/>
      <c r="AJ51" s="12">
        <v>3.81</v>
      </c>
      <c r="AK51" s="12">
        <f>4.02-3.61</f>
        <v>0.4099999999999997</v>
      </c>
      <c r="AL51" s="12"/>
      <c r="AM51" s="12">
        <f t="shared" si="37"/>
        <v>-1.0000000000000231E-2</v>
      </c>
      <c r="AN51" s="1">
        <f>SQRT((((W51-1)*AH51^2)+((V51-1)*AK51^2))/(W51+V51-2))</f>
        <v>0.29257477676655569</v>
      </c>
      <c r="AO51" s="1">
        <f t="shared" si="2"/>
        <v>-3.417929635123397E-2</v>
      </c>
      <c r="AP51" s="1">
        <f>1/W51+1/V51+(AO51^2)/(2*(W51+V51))</f>
        <v>0.41672507788161989</v>
      </c>
      <c r="AQ51" s="1">
        <f>1-(3/(4*(W51+V51-2)-1))</f>
        <v>0.90322580645161288</v>
      </c>
      <c r="AR51" s="21">
        <f t="shared" si="41"/>
        <v>-3.0871622510791973E-2</v>
      </c>
      <c r="AS51" s="21">
        <f>AP51*(AQ51^2)</f>
        <v>0.33997134345389174</v>
      </c>
      <c r="AT51" s="21">
        <f t="shared" si="43"/>
        <v>0.58307061618117217</v>
      </c>
      <c r="AU51" s="20">
        <f>1/AS51</f>
        <v>2.9414243854809601</v>
      </c>
      <c r="AV51" s="20">
        <f>AR51/AS51</f>
        <v>-9.0806543272606455E-2</v>
      </c>
      <c r="AW51" s="20">
        <f>((AR51)^2)/AS51</f>
        <v>2.8033453254218028E-3</v>
      </c>
      <c r="AX51" s="14"/>
      <c r="AY51" s="14"/>
      <c r="AZ51" s="1" t="s">
        <v>271</v>
      </c>
      <c r="BA51" s="2"/>
    </row>
    <row r="52" spans="1:53" ht="14.25" hidden="1" customHeight="1">
      <c r="A52" s="2">
        <v>481</v>
      </c>
      <c r="B52" s="2" t="s">
        <v>64</v>
      </c>
      <c r="C52" s="1" t="s">
        <v>85</v>
      </c>
      <c r="D52" s="1">
        <v>2022</v>
      </c>
      <c r="E52" s="1" t="s">
        <v>141</v>
      </c>
      <c r="F52" s="1" t="s">
        <v>96</v>
      </c>
      <c r="G52" s="1" t="s">
        <v>162</v>
      </c>
      <c r="H52" s="1">
        <v>-37.911065999999998</v>
      </c>
      <c r="I52" s="1">
        <v>143.81197700000001</v>
      </c>
      <c r="J52" s="1" t="s">
        <v>128</v>
      </c>
      <c r="K52" s="1" t="s">
        <v>112</v>
      </c>
      <c r="L52" s="1" t="s">
        <v>181</v>
      </c>
      <c r="M52" s="1" t="s">
        <v>238</v>
      </c>
      <c r="N52" s="1" t="s">
        <v>239</v>
      </c>
      <c r="O52" s="1" t="s">
        <v>86</v>
      </c>
      <c r="P52" s="1" t="s">
        <v>129</v>
      </c>
      <c r="Q52" s="1" t="s">
        <v>93</v>
      </c>
      <c r="R52" s="1">
        <v>2009</v>
      </c>
      <c r="S52" s="1">
        <v>8</v>
      </c>
      <c r="U52" s="1" t="s">
        <v>2</v>
      </c>
      <c r="V52" s="1">
        <v>4</v>
      </c>
      <c r="W52" s="1">
        <v>6</v>
      </c>
      <c r="X52" s="1" t="s">
        <v>97</v>
      </c>
      <c r="Y52" s="1" t="s">
        <v>289</v>
      </c>
      <c r="Z52" s="1" t="s">
        <v>1</v>
      </c>
      <c r="AA52" s="1" t="s">
        <v>98</v>
      </c>
      <c r="AB52" s="1" t="s">
        <v>203</v>
      </c>
      <c r="AC52" s="1" t="s">
        <v>99</v>
      </c>
      <c r="AD52" s="1" t="s">
        <v>100</v>
      </c>
      <c r="AE52" s="1" t="s">
        <v>259</v>
      </c>
      <c r="AF52" s="1" t="s">
        <v>320</v>
      </c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" t="s">
        <v>286</v>
      </c>
    </row>
    <row r="53" spans="1:53" ht="14.25" hidden="1" customHeight="1">
      <c r="A53" s="2">
        <v>481</v>
      </c>
      <c r="B53" s="2" t="s">
        <v>64</v>
      </c>
      <c r="C53" s="1" t="s">
        <v>85</v>
      </c>
      <c r="D53" s="1">
        <v>2022</v>
      </c>
      <c r="E53" s="1" t="s">
        <v>141</v>
      </c>
      <c r="F53" s="1" t="s">
        <v>96</v>
      </c>
      <c r="G53" s="1" t="s">
        <v>162</v>
      </c>
      <c r="H53" s="1">
        <v>-37.911065999999998</v>
      </c>
      <c r="I53" s="1">
        <v>143.81197700000001</v>
      </c>
      <c r="J53" s="1" t="s">
        <v>128</v>
      </c>
      <c r="K53" s="1" t="s">
        <v>112</v>
      </c>
      <c r="L53" s="1" t="s">
        <v>181</v>
      </c>
      <c r="M53" s="1" t="s">
        <v>238</v>
      </c>
      <c r="N53" s="1" t="s">
        <v>239</v>
      </c>
      <c r="O53" s="1" t="s">
        <v>86</v>
      </c>
      <c r="P53" s="1" t="s">
        <v>129</v>
      </c>
      <c r="Q53" s="1" t="s">
        <v>93</v>
      </c>
      <c r="R53" s="1">
        <v>2009</v>
      </c>
      <c r="S53" s="1">
        <v>8</v>
      </c>
      <c r="U53" s="1" t="s">
        <v>2</v>
      </c>
      <c r="V53" s="1">
        <v>4</v>
      </c>
      <c r="W53" s="1">
        <v>6</v>
      </c>
      <c r="X53" s="1" t="s">
        <v>97</v>
      </c>
      <c r="Y53" s="1" t="s">
        <v>289</v>
      </c>
      <c r="Z53" s="1" t="s">
        <v>1</v>
      </c>
      <c r="AA53" s="1" t="s">
        <v>98</v>
      </c>
      <c r="AB53" s="1" t="s">
        <v>203</v>
      </c>
      <c r="AC53" s="1" t="s">
        <v>99</v>
      </c>
      <c r="AD53" s="1" t="s">
        <v>100</v>
      </c>
      <c r="AE53" s="1" t="s">
        <v>255</v>
      </c>
      <c r="AF53" s="1" t="s">
        <v>333</v>
      </c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" t="s">
        <v>286</v>
      </c>
    </row>
    <row r="54" spans="1:53" ht="14.25" hidden="1" customHeight="1">
      <c r="A54" s="2">
        <v>260</v>
      </c>
      <c r="B54" s="2" t="s">
        <v>41</v>
      </c>
      <c r="C54" s="1" t="s">
        <v>85</v>
      </c>
      <c r="D54" s="1">
        <v>2021</v>
      </c>
      <c r="E54" s="1">
        <v>2014</v>
      </c>
      <c r="F54" s="1" t="s">
        <v>143</v>
      </c>
      <c r="G54" s="1" t="s">
        <v>227</v>
      </c>
      <c r="H54" s="1">
        <v>32.396189999999997</v>
      </c>
      <c r="I54" s="1">
        <v>-110.6938</v>
      </c>
      <c r="J54" s="1" t="s">
        <v>135</v>
      </c>
      <c r="K54" s="1" t="s">
        <v>177</v>
      </c>
      <c r="L54" s="1" t="s">
        <v>193</v>
      </c>
      <c r="M54" s="1" t="s">
        <v>237</v>
      </c>
      <c r="N54" s="1" t="s">
        <v>239</v>
      </c>
      <c r="O54" s="1" t="s">
        <v>86</v>
      </c>
      <c r="P54" s="1" t="s">
        <v>211</v>
      </c>
      <c r="Q54" s="1" t="s">
        <v>93</v>
      </c>
      <c r="R54" s="1">
        <v>2003</v>
      </c>
      <c r="S54" s="1">
        <v>11</v>
      </c>
      <c r="U54" s="1">
        <v>32250</v>
      </c>
      <c r="V54" s="1">
        <v>33</v>
      </c>
      <c r="W54" s="1">
        <v>33</v>
      </c>
      <c r="X54" s="1" t="s">
        <v>134</v>
      </c>
      <c r="Y54" s="1" t="s">
        <v>2</v>
      </c>
      <c r="Z54" s="1" t="s">
        <v>1</v>
      </c>
      <c r="AA54" s="1" t="s">
        <v>98</v>
      </c>
      <c r="AB54" s="1" t="s">
        <v>159</v>
      </c>
      <c r="AC54" s="1" t="s">
        <v>2</v>
      </c>
      <c r="AD54" s="1" t="s">
        <v>100</v>
      </c>
      <c r="AE54" s="12" t="s">
        <v>149</v>
      </c>
      <c r="AF54" s="12" t="s">
        <v>319</v>
      </c>
      <c r="AG54" s="12">
        <v>1.6</v>
      </c>
      <c r="AH54" s="12">
        <f>1.78-1.52</f>
        <v>0.26</v>
      </c>
      <c r="AI54" s="12"/>
      <c r="AJ54" s="12">
        <v>1.29</v>
      </c>
      <c r="AK54" s="12">
        <f>1.67-1.02</f>
        <v>0.64999999999999991</v>
      </c>
      <c r="AL54" s="12"/>
      <c r="AM54" s="12">
        <f t="shared" si="37"/>
        <v>0.31000000000000005</v>
      </c>
      <c r="AN54" s="1">
        <f>SQRT((((W54-1)*AH54^2)+((V54-1)*AK54^2))/(W54+V54-2))</f>
        <v>0.49502525188115398</v>
      </c>
      <c r="AO54" s="1">
        <f t="shared" si="2"/>
        <v>0.62623067979252311</v>
      </c>
      <c r="AP54" s="1">
        <f>1/W54+1/V54+(AO54^2)/(2*(W54+V54))</f>
        <v>6.3577006547828829E-2</v>
      </c>
      <c r="AQ54" s="1">
        <f>1-(3/(4*(W54+V54-2)-1))</f>
        <v>0.9882352941176471</v>
      </c>
      <c r="AR54" s="21">
        <f t="shared" si="41"/>
        <v>0.61886326003025816</v>
      </c>
      <c r="AS54" s="21">
        <f t="shared" ref="AS54:AS55" si="88">AP54*(AQ54^2)</f>
        <v>6.2089876567678927E-2</v>
      </c>
      <c r="AT54" s="21">
        <f t="shared" si="43"/>
        <v>0.24917840309240069</v>
      </c>
      <c r="AU54" s="20">
        <f t="shared" ref="AU54:AU55" si="89">1/AS54</f>
        <v>16.105685101660406</v>
      </c>
      <c r="AV54" s="20">
        <f t="shared" ref="AV54:AV55" si="90">AR54/AS54</f>
        <v>9.9672167870343173</v>
      </c>
      <c r="AW54" s="20">
        <f t="shared" ref="AW54:AW55" si="91">((AR54)^2)/AS54</f>
        <v>6.1683442742523731</v>
      </c>
      <c r="AX54" s="14"/>
      <c r="AY54" s="14"/>
      <c r="AZ54" s="1" t="s">
        <v>271</v>
      </c>
      <c r="BA54" s="2"/>
    </row>
    <row r="55" spans="1:53" ht="14.25" hidden="1" customHeight="1">
      <c r="A55" s="2">
        <v>260</v>
      </c>
      <c r="B55" s="2" t="s">
        <v>41</v>
      </c>
      <c r="C55" s="1" t="s">
        <v>85</v>
      </c>
      <c r="D55" s="1">
        <v>2021</v>
      </c>
      <c r="E55" s="1">
        <v>2014</v>
      </c>
      <c r="F55" s="1" t="s">
        <v>143</v>
      </c>
      <c r="G55" s="1" t="s">
        <v>227</v>
      </c>
      <c r="H55" s="1">
        <v>32.396189999999997</v>
      </c>
      <c r="I55" s="1">
        <v>-110.6938</v>
      </c>
      <c r="J55" s="1" t="s">
        <v>135</v>
      </c>
      <c r="K55" s="1" t="s">
        <v>177</v>
      </c>
      <c r="L55" s="1" t="s">
        <v>193</v>
      </c>
      <c r="M55" s="1" t="s">
        <v>237</v>
      </c>
      <c r="N55" s="1" t="s">
        <v>239</v>
      </c>
      <c r="O55" s="1" t="s">
        <v>86</v>
      </c>
      <c r="P55" s="1" t="s">
        <v>211</v>
      </c>
      <c r="Q55" s="1" t="s">
        <v>93</v>
      </c>
      <c r="R55" s="1">
        <v>2003</v>
      </c>
      <c r="S55" s="1">
        <v>11</v>
      </c>
      <c r="U55" s="1">
        <v>32250</v>
      </c>
      <c r="V55" s="1">
        <v>33</v>
      </c>
      <c r="W55" s="1">
        <v>33</v>
      </c>
      <c r="X55" s="1" t="s">
        <v>134</v>
      </c>
      <c r="Y55" s="1" t="s">
        <v>2</v>
      </c>
      <c r="Z55" s="1" t="s">
        <v>1</v>
      </c>
      <c r="AA55" s="1" t="s">
        <v>98</v>
      </c>
      <c r="AB55" s="1" t="s">
        <v>159</v>
      </c>
      <c r="AC55" s="1" t="s">
        <v>2</v>
      </c>
      <c r="AD55" s="1" t="s">
        <v>100</v>
      </c>
      <c r="AE55" s="12" t="s">
        <v>223</v>
      </c>
      <c r="AF55" s="12" t="s">
        <v>318</v>
      </c>
      <c r="AG55" s="12">
        <v>7.5</v>
      </c>
      <c r="AH55" s="12">
        <f>8.9-6.1</f>
        <v>2.8000000000000007</v>
      </c>
      <c r="AI55" s="12"/>
      <c r="AJ55" s="12">
        <v>6</v>
      </c>
      <c r="AK55" s="12">
        <f>7.3-4.7</f>
        <v>2.5999999999999996</v>
      </c>
      <c r="AL55" s="12"/>
      <c r="AM55" s="12">
        <f t="shared" si="37"/>
        <v>1.5</v>
      </c>
      <c r="AN55" s="1">
        <f>SQRT((((W55-1)*AH55^2)+((V55-1)*AK55^2))/(W55+V55-2))</f>
        <v>2.7018512172212592</v>
      </c>
      <c r="AO55" s="1">
        <f t="shared" si="2"/>
        <v>0.55517490764820399</v>
      </c>
      <c r="AP55" s="1">
        <f>1/W55+1/V55+(AO55^2)/(2*(W55+V55))</f>
        <v>6.2941054379410541E-2</v>
      </c>
      <c r="AQ55" s="1">
        <f>1-(3/(4*(W55+V55-2)-1))</f>
        <v>0.9882352941176471</v>
      </c>
      <c r="AR55" s="21">
        <f t="shared" si="41"/>
        <v>0.54864343814646044</v>
      </c>
      <c r="AS55" s="21">
        <f t="shared" si="88"/>
        <v>6.1468799958632643E-2</v>
      </c>
      <c r="AT55" s="21">
        <f t="shared" si="43"/>
        <v>0.2479290220176586</v>
      </c>
      <c r="AU55" s="20">
        <f t="shared" si="89"/>
        <v>16.268415857686847</v>
      </c>
      <c r="AV55" s="20">
        <f t="shared" si="90"/>
        <v>8.9255596093577108</v>
      </c>
      <c r="AW55" s="20">
        <f t="shared" si="91"/>
        <v>4.8969497114591922</v>
      </c>
      <c r="AX55" s="14"/>
      <c r="AY55" s="14"/>
      <c r="AZ55" s="1" t="s">
        <v>271</v>
      </c>
      <c r="BA55" s="2"/>
    </row>
    <row r="56" spans="1:53" ht="14.25" hidden="1" customHeight="1">
      <c r="A56" s="2">
        <v>260</v>
      </c>
      <c r="B56" s="2" t="s">
        <v>41</v>
      </c>
      <c r="C56" s="1" t="s">
        <v>85</v>
      </c>
      <c r="D56" s="1">
        <v>2021</v>
      </c>
      <c r="E56" s="1">
        <v>2014</v>
      </c>
      <c r="F56" s="1" t="s">
        <v>143</v>
      </c>
      <c r="G56" s="1" t="s">
        <v>227</v>
      </c>
      <c r="H56" s="1">
        <v>32.396189999999997</v>
      </c>
      <c r="I56" s="1">
        <v>-110.6938</v>
      </c>
      <c r="J56" s="1" t="s">
        <v>135</v>
      </c>
      <c r="K56" s="1" t="s">
        <v>177</v>
      </c>
      <c r="L56" s="1" t="s">
        <v>193</v>
      </c>
      <c r="M56" s="1" t="s">
        <v>237</v>
      </c>
      <c r="N56" s="1" t="s">
        <v>239</v>
      </c>
      <c r="O56" s="1" t="s">
        <v>86</v>
      </c>
      <c r="P56" s="1" t="s">
        <v>211</v>
      </c>
      <c r="Q56" s="1" t="s">
        <v>93</v>
      </c>
      <c r="R56" s="1">
        <v>2003</v>
      </c>
      <c r="S56" s="1">
        <v>11</v>
      </c>
      <c r="U56" s="1">
        <v>32250</v>
      </c>
      <c r="V56" s="1">
        <v>33</v>
      </c>
      <c r="W56" s="1">
        <v>33</v>
      </c>
      <c r="X56" s="1" t="s">
        <v>134</v>
      </c>
      <c r="Y56" s="1" t="s">
        <v>2</v>
      </c>
      <c r="Z56" s="1" t="s">
        <v>1</v>
      </c>
      <c r="AA56" s="1" t="s">
        <v>98</v>
      </c>
      <c r="AB56" s="1" t="s">
        <v>159</v>
      </c>
      <c r="AC56" s="1" t="s">
        <v>2</v>
      </c>
      <c r="AD56" s="1" t="s">
        <v>100</v>
      </c>
      <c r="AE56" s="12" t="s">
        <v>257</v>
      </c>
      <c r="AF56" s="12" t="s">
        <v>320</v>
      </c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" t="s">
        <v>286</v>
      </c>
    </row>
    <row r="57" spans="1:53" ht="14.25" hidden="1" customHeight="1">
      <c r="A57" s="2">
        <v>260</v>
      </c>
      <c r="B57" s="2" t="s">
        <v>41</v>
      </c>
      <c r="C57" s="1" t="s">
        <v>85</v>
      </c>
      <c r="D57" s="1">
        <v>2021</v>
      </c>
      <c r="E57" s="1">
        <v>2014</v>
      </c>
      <c r="F57" s="1" t="s">
        <v>143</v>
      </c>
      <c r="G57" s="1" t="s">
        <v>227</v>
      </c>
      <c r="H57" s="1">
        <v>32.650438000000001</v>
      </c>
      <c r="I57" s="1">
        <v>-109.84411299999999</v>
      </c>
      <c r="J57" s="1" t="s">
        <v>135</v>
      </c>
      <c r="K57" s="1" t="s">
        <v>177</v>
      </c>
      <c r="L57" s="1" t="s">
        <v>193</v>
      </c>
      <c r="M57" s="1" t="s">
        <v>237</v>
      </c>
      <c r="N57" s="1" t="s">
        <v>239</v>
      </c>
      <c r="O57" s="1" t="s">
        <v>86</v>
      </c>
      <c r="P57" s="1" t="s">
        <v>211</v>
      </c>
      <c r="Q57" s="1" t="s">
        <v>93</v>
      </c>
      <c r="R57" s="1">
        <v>2004</v>
      </c>
      <c r="S57" s="1">
        <v>10</v>
      </c>
      <c r="U57" s="1">
        <v>19892</v>
      </c>
      <c r="V57" s="1">
        <v>30</v>
      </c>
      <c r="W57" s="1">
        <v>30</v>
      </c>
      <c r="X57" s="1" t="s">
        <v>134</v>
      </c>
      <c r="Y57" s="1" t="s">
        <v>2</v>
      </c>
      <c r="Z57" s="1" t="s">
        <v>1</v>
      </c>
      <c r="AA57" s="1" t="s">
        <v>98</v>
      </c>
      <c r="AB57" s="1" t="s">
        <v>159</v>
      </c>
      <c r="AC57" s="1" t="s">
        <v>2</v>
      </c>
      <c r="AD57" s="1" t="s">
        <v>100</v>
      </c>
      <c r="AE57" s="12" t="s">
        <v>149</v>
      </c>
      <c r="AF57" s="12" t="s">
        <v>319</v>
      </c>
      <c r="AG57" s="12">
        <v>1.6</v>
      </c>
      <c r="AH57" s="12">
        <f>1.78-1.52</f>
        <v>0.26</v>
      </c>
      <c r="AI57" s="12"/>
      <c r="AJ57" s="12">
        <v>1.29</v>
      </c>
      <c r="AK57" s="12">
        <f>1.67-1.02</f>
        <v>0.64999999999999991</v>
      </c>
      <c r="AL57" s="12"/>
      <c r="AM57" s="12">
        <f t="shared" ref="AM57" si="92">AG57-AJ57</f>
        <v>0.31000000000000005</v>
      </c>
      <c r="AN57" s="1">
        <f t="shared" ref="AN57" si="93">SQRT((((W57-1)*AH57^2)+((V57-1)*AK57^2))/(W57+V57-2))</f>
        <v>0.49502525188115398</v>
      </c>
      <c r="AO57" s="1">
        <f t="shared" ref="AO57" si="94">AM57/AN57</f>
        <v>0.62623067979252311</v>
      </c>
      <c r="AP57" s="1">
        <f t="shared" ref="AP57" si="95">1/W57+1/V57+(AO57^2)/(2*(W57+V57))</f>
        <v>6.9934707202611718E-2</v>
      </c>
      <c r="AQ57" s="1">
        <f t="shared" ref="AQ57" si="96">1-(3/(4*(W57+V57-2)-1))</f>
        <v>0.98701298701298701</v>
      </c>
      <c r="AR57" s="21">
        <f t="shared" ref="AR57" si="97">AO57*AQ57</f>
        <v>0.61809781382119167</v>
      </c>
      <c r="AS57" s="21">
        <f t="shared" ref="AS57:AS58" si="98">AP57*(AQ57^2)</f>
        <v>6.8130016664241067E-2</v>
      </c>
      <c r="AT57" s="21">
        <f t="shared" ref="AT57" si="99">SQRT(AP57*AQ57^2)</f>
        <v>0.26101727273159736</v>
      </c>
      <c r="AU57" s="20">
        <f t="shared" ref="AU57:AU58" si="100">1/AS57</f>
        <v>14.677818221125772</v>
      </c>
      <c r="AV57" s="20">
        <f t="shared" ref="AV57:AV58" si="101">AR57/AS57</f>
        <v>9.0723273541426916</v>
      </c>
      <c r="AW57" s="20">
        <f t="shared" ref="AW57:AW58" si="102">((AR57)^2)/AS57</f>
        <v>5.6075857038657944</v>
      </c>
      <c r="AX57" s="14"/>
      <c r="AY57" s="14"/>
      <c r="AZ57" s="1" t="s">
        <v>271</v>
      </c>
      <c r="BA57" s="2"/>
    </row>
    <row r="58" spans="1:53" ht="14.25" hidden="1" customHeight="1">
      <c r="A58" s="2">
        <v>260</v>
      </c>
      <c r="B58" s="2" t="s">
        <v>41</v>
      </c>
      <c r="C58" s="1" t="s">
        <v>85</v>
      </c>
      <c r="D58" s="1">
        <v>2021</v>
      </c>
      <c r="E58" s="1">
        <v>2014</v>
      </c>
      <c r="F58" s="1" t="s">
        <v>143</v>
      </c>
      <c r="G58" s="1" t="s">
        <v>227</v>
      </c>
      <c r="H58" s="1">
        <v>32.650438000000001</v>
      </c>
      <c r="I58" s="1">
        <v>-109.84411299999999</v>
      </c>
      <c r="J58" s="1" t="s">
        <v>135</v>
      </c>
      <c r="K58" s="1" t="s">
        <v>177</v>
      </c>
      <c r="L58" s="1" t="s">
        <v>193</v>
      </c>
      <c r="M58" s="1" t="s">
        <v>237</v>
      </c>
      <c r="N58" s="1" t="s">
        <v>239</v>
      </c>
      <c r="O58" s="1" t="s">
        <v>86</v>
      </c>
      <c r="P58" s="1" t="s">
        <v>211</v>
      </c>
      <c r="Q58" s="1" t="s">
        <v>93</v>
      </c>
      <c r="R58" s="1">
        <v>2004</v>
      </c>
      <c r="S58" s="1">
        <v>10</v>
      </c>
      <c r="U58" s="1">
        <v>19892</v>
      </c>
      <c r="V58" s="1">
        <v>30</v>
      </c>
      <c r="W58" s="1">
        <v>30</v>
      </c>
      <c r="X58" s="1" t="s">
        <v>134</v>
      </c>
      <c r="Y58" s="1" t="s">
        <v>2</v>
      </c>
      <c r="Z58" s="1" t="s">
        <v>1</v>
      </c>
      <c r="AA58" s="1" t="s">
        <v>98</v>
      </c>
      <c r="AB58" s="1" t="s">
        <v>159</v>
      </c>
      <c r="AC58" s="1" t="s">
        <v>2</v>
      </c>
      <c r="AD58" s="1" t="s">
        <v>100</v>
      </c>
      <c r="AE58" s="12" t="s">
        <v>223</v>
      </c>
      <c r="AF58" s="12" t="s">
        <v>318</v>
      </c>
      <c r="AG58" s="12">
        <v>7.5</v>
      </c>
      <c r="AH58" s="12">
        <v>2.8</v>
      </c>
      <c r="AI58" s="12"/>
      <c r="AJ58" s="12">
        <v>5.4</v>
      </c>
      <c r="AK58" s="12">
        <f>6.8-4</f>
        <v>2.8</v>
      </c>
      <c r="AL58" s="12"/>
      <c r="AM58" s="12">
        <f t="shared" ref="AM58" si="103">AG58-AJ58</f>
        <v>2.0999999999999996</v>
      </c>
      <c r="AN58" s="1">
        <f t="shared" ref="AN58" si="104">SQRT((((W58-1)*AH58^2)+((V58-1)*AK58^2))/(W58+V58-2))</f>
        <v>2.8</v>
      </c>
      <c r="AO58" s="1">
        <f t="shared" ref="AO58" si="105">AM58/AN58</f>
        <v>0.74999999999999989</v>
      </c>
      <c r="AP58" s="1">
        <f t="shared" ref="AP58" si="106">1/W58+1/V58+(AO58^2)/(2*(W58+V58))</f>
        <v>7.1354166666666663E-2</v>
      </c>
      <c r="AQ58" s="1">
        <f t="shared" ref="AQ58" si="107">1-(3/(4*(W58+V58-2)-1))</f>
        <v>0.98701298701298701</v>
      </c>
      <c r="AR58" s="21">
        <f t="shared" ref="AR58" si="108">AO58*AQ58</f>
        <v>0.74025974025974017</v>
      </c>
      <c r="AS58" s="21">
        <f t="shared" si="98"/>
        <v>6.9512846460898406E-2</v>
      </c>
      <c r="AT58" s="21">
        <f t="shared" ref="AT58" si="109">SQRT(AP58*AQ58^2)</f>
        <v>0.26365289010533982</v>
      </c>
      <c r="AU58" s="20">
        <f t="shared" si="100"/>
        <v>14.385830115049437</v>
      </c>
      <c r="AV58" s="20">
        <f t="shared" si="101"/>
        <v>10.649250864387245</v>
      </c>
      <c r="AW58" s="20">
        <f t="shared" si="102"/>
        <v>7.8832116788321143</v>
      </c>
      <c r="AX58" s="14"/>
      <c r="AY58" s="14"/>
      <c r="AZ58" s="1" t="s">
        <v>271</v>
      </c>
      <c r="BA58" s="2"/>
    </row>
    <row r="59" spans="1:53" ht="14.25" hidden="1" customHeight="1">
      <c r="A59" s="2">
        <v>260</v>
      </c>
      <c r="B59" s="2" t="s">
        <v>41</v>
      </c>
      <c r="C59" s="1" t="s">
        <v>85</v>
      </c>
      <c r="D59" s="1">
        <v>2021</v>
      </c>
      <c r="E59" s="1">
        <v>2014</v>
      </c>
      <c r="F59" s="1" t="s">
        <v>143</v>
      </c>
      <c r="G59" s="1" t="s">
        <v>227</v>
      </c>
      <c r="H59" s="1">
        <v>32.650438000000001</v>
      </c>
      <c r="I59" s="1">
        <v>-109.84411299999999</v>
      </c>
      <c r="J59" s="1" t="s">
        <v>135</v>
      </c>
      <c r="K59" s="1" t="s">
        <v>177</v>
      </c>
      <c r="L59" s="1" t="s">
        <v>193</v>
      </c>
      <c r="M59" s="1" t="s">
        <v>237</v>
      </c>
      <c r="N59" s="1" t="s">
        <v>239</v>
      </c>
      <c r="O59" s="1" t="s">
        <v>86</v>
      </c>
      <c r="P59" s="1" t="s">
        <v>211</v>
      </c>
      <c r="Q59" s="1" t="s">
        <v>93</v>
      </c>
      <c r="R59" s="1">
        <v>2004</v>
      </c>
      <c r="S59" s="1">
        <v>10</v>
      </c>
      <c r="U59" s="1">
        <v>19892</v>
      </c>
      <c r="V59" s="1">
        <v>30</v>
      </c>
      <c r="W59" s="1">
        <v>30</v>
      </c>
      <c r="X59" s="1" t="s">
        <v>134</v>
      </c>
      <c r="Y59" s="1" t="s">
        <v>2</v>
      </c>
      <c r="Z59" s="1" t="s">
        <v>1</v>
      </c>
      <c r="AA59" s="1" t="s">
        <v>98</v>
      </c>
      <c r="AB59" s="1" t="s">
        <v>159</v>
      </c>
      <c r="AC59" s="1" t="s">
        <v>2</v>
      </c>
      <c r="AD59" s="1" t="s">
        <v>100</v>
      </c>
      <c r="AE59" s="12" t="s">
        <v>257</v>
      </c>
      <c r="AF59" s="12" t="s">
        <v>320</v>
      </c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" t="s">
        <v>286</v>
      </c>
    </row>
    <row r="60" spans="1:53" ht="14.25" hidden="1" customHeight="1">
      <c r="A60" s="2">
        <v>410</v>
      </c>
      <c r="B60" s="2" t="s">
        <v>51</v>
      </c>
      <c r="C60" s="1" t="s">
        <v>85</v>
      </c>
      <c r="D60" s="1">
        <v>2013</v>
      </c>
      <c r="E60" s="1">
        <v>2011</v>
      </c>
      <c r="F60" s="1" t="s">
        <v>143</v>
      </c>
      <c r="G60" s="1" t="s">
        <v>142</v>
      </c>
      <c r="H60" s="1">
        <v>33.053629000000001</v>
      </c>
      <c r="I60" s="1">
        <v>-83.677790000000002</v>
      </c>
      <c r="J60" s="1" t="s">
        <v>128</v>
      </c>
      <c r="K60" s="1" t="s">
        <v>177</v>
      </c>
      <c r="L60" s="1" t="s">
        <v>209</v>
      </c>
      <c r="M60" s="1" t="s">
        <v>237</v>
      </c>
      <c r="N60" s="1" t="s">
        <v>239</v>
      </c>
      <c r="O60" s="1" t="s">
        <v>121</v>
      </c>
      <c r="Q60" s="1" t="s">
        <v>93</v>
      </c>
      <c r="S60" s="1">
        <v>3</v>
      </c>
      <c r="U60" s="1">
        <v>0.8</v>
      </c>
      <c r="V60" s="1">
        <v>4</v>
      </c>
      <c r="W60" s="1">
        <v>4</v>
      </c>
      <c r="X60" s="1" t="s">
        <v>97</v>
      </c>
      <c r="Y60" s="1" t="s">
        <v>133</v>
      </c>
      <c r="Z60" s="1" t="s">
        <v>0</v>
      </c>
      <c r="AA60" s="1" t="s">
        <v>98</v>
      </c>
      <c r="AB60" s="1" t="s">
        <v>203</v>
      </c>
      <c r="AC60" s="1" t="s">
        <v>228</v>
      </c>
      <c r="AD60" s="1" t="s">
        <v>100</v>
      </c>
      <c r="AE60" s="1" t="s">
        <v>223</v>
      </c>
      <c r="AF60" s="1" t="s">
        <v>323</v>
      </c>
      <c r="AG60" s="1">
        <v>576.79</v>
      </c>
      <c r="AH60" s="1">
        <f>626.94-AG60</f>
        <v>50.150000000000091</v>
      </c>
      <c r="AJ60" s="1">
        <v>578.69000000000005</v>
      </c>
      <c r="AK60" s="1">
        <f>623.67-AJ60</f>
        <v>44.979999999999905</v>
      </c>
      <c r="AM60" s="12">
        <f t="shared" si="37"/>
        <v>-1.9000000000000909</v>
      </c>
      <c r="AN60" s="1">
        <f>SQRT((((W60-1)*AH60^2)+((V60-1)*AK60^2))/(W60+V60-2))</f>
        <v>47.635191298030918</v>
      </c>
      <c r="AO60" s="1">
        <f t="shared" si="2"/>
        <v>-3.9886477795642458E-2</v>
      </c>
      <c r="AP60" s="1">
        <f>1/W60+1/V60+(AO60^2)/(2*(W60+V60))</f>
        <v>0.50009943319443384</v>
      </c>
      <c r="AQ60" s="1">
        <f>1-(3/(4*(W60+V60-2)-1))</f>
        <v>0.86956521739130432</v>
      </c>
      <c r="AR60" s="21">
        <f t="shared" si="41"/>
        <v>-3.4683893735341267E-2</v>
      </c>
      <c r="AS60" s="21">
        <f t="shared" ref="AS60:AS62" si="110">AP60*(AQ60^2)</f>
        <v>0.37814701942868345</v>
      </c>
      <c r="AT60" s="21">
        <f t="shared" si="43"/>
        <v>0.61493659789337918</v>
      </c>
      <c r="AU60" s="20">
        <f t="shared" ref="AU60:AU62" si="111">1/AS60</f>
        <v>2.644474102984685</v>
      </c>
      <c r="AV60" s="20">
        <f t="shared" ref="AV60:AV62" si="112">AR60/AS60</f>
        <v>-9.1720658773782743E-2</v>
      </c>
      <c r="AW60" s="20">
        <f t="shared" ref="AW60:AW62" si="113">((AR60)^2)/AS60</f>
        <v>3.1812295822453776E-3</v>
      </c>
      <c r="AX60" s="14"/>
      <c r="AY60" s="14"/>
      <c r="AZ60" s="1" t="s">
        <v>271</v>
      </c>
      <c r="BA60" s="2"/>
    </row>
    <row r="61" spans="1:53" ht="14.25" hidden="1" customHeight="1">
      <c r="A61" s="2">
        <v>410</v>
      </c>
      <c r="B61" s="2" t="s">
        <v>51</v>
      </c>
      <c r="C61" s="1" t="s">
        <v>85</v>
      </c>
      <c r="D61" s="1">
        <v>2013</v>
      </c>
      <c r="E61" s="1">
        <v>2011</v>
      </c>
      <c r="F61" s="1" t="s">
        <v>143</v>
      </c>
      <c r="G61" s="1" t="s">
        <v>142</v>
      </c>
      <c r="H61" s="1">
        <v>33.053629000000001</v>
      </c>
      <c r="I61" s="1">
        <v>-83.677790000000002</v>
      </c>
      <c r="J61" s="1" t="s">
        <v>128</v>
      </c>
      <c r="K61" s="1" t="s">
        <v>177</v>
      </c>
      <c r="L61" s="1" t="s">
        <v>209</v>
      </c>
      <c r="M61" s="1" t="s">
        <v>237</v>
      </c>
      <c r="N61" s="1" t="s">
        <v>239</v>
      </c>
      <c r="O61" s="1" t="s">
        <v>121</v>
      </c>
      <c r="Q61" s="1" t="s">
        <v>93</v>
      </c>
      <c r="S61" s="1">
        <v>3</v>
      </c>
      <c r="U61" s="1">
        <v>0.8</v>
      </c>
      <c r="V61" s="1">
        <v>4</v>
      </c>
      <c r="W61" s="1">
        <v>4</v>
      </c>
      <c r="X61" s="1" t="s">
        <v>97</v>
      </c>
      <c r="Y61" s="1" t="s">
        <v>133</v>
      </c>
      <c r="Z61" s="1" t="s">
        <v>0</v>
      </c>
      <c r="AA61" s="1" t="s">
        <v>98</v>
      </c>
      <c r="AB61" s="1" t="s">
        <v>203</v>
      </c>
      <c r="AC61" s="1" t="s">
        <v>228</v>
      </c>
      <c r="AD61" s="1" t="s">
        <v>100</v>
      </c>
      <c r="AE61" s="1" t="s">
        <v>254</v>
      </c>
      <c r="AF61" s="1" t="s">
        <v>323</v>
      </c>
      <c r="AG61" s="1">
        <v>0.94</v>
      </c>
      <c r="AH61" s="1">
        <f>0.96-AG61</f>
        <v>2.0000000000000018E-2</v>
      </c>
      <c r="AJ61" s="1">
        <v>0.96</v>
      </c>
      <c r="AK61" s="1">
        <f>0.97-AJ61</f>
        <v>1.0000000000000009E-2</v>
      </c>
      <c r="AM61" s="12">
        <f t="shared" ref="AM61" si="114">AG61-AJ61</f>
        <v>-2.0000000000000018E-2</v>
      </c>
      <c r="AN61" s="1">
        <f t="shared" ref="AN61" si="115">SQRT((((W61-1)*AH61^2)+((V61-1)*AK61^2))/(W61+V61-2))</f>
        <v>1.5811388300841913E-2</v>
      </c>
      <c r="AO61" s="1">
        <f t="shared" ref="AO61" si="116">AM61/AN61</f>
        <v>-1.2649110640673515</v>
      </c>
      <c r="AP61" s="1">
        <f t="shared" ref="AP61" si="117">1/W61+1/V61+(AO61^2)/(2*(W61+V61))</f>
        <v>0.6</v>
      </c>
      <c r="AQ61" s="1">
        <f t="shared" ref="AQ61" si="118">1-(3/(4*(W61+V61-2)-1))</f>
        <v>0.86956521739130432</v>
      </c>
      <c r="AR61" s="21">
        <f t="shared" ref="AR61" si="119">AO61*AQ61</f>
        <v>-1.0999226644063926</v>
      </c>
      <c r="AS61" s="21">
        <f t="shared" si="110"/>
        <v>0.45368620037807184</v>
      </c>
      <c r="AT61" s="21">
        <f t="shared" ref="AT61" si="120">SQRT(AP61*AQ61^2)</f>
        <v>0.67356232107955072</v>
      </c>
      <c r="AU61" s="20">
        <f t="shared" si="111"/>
        <v>2.2041666666666666</v>
      </c>
      <c r="AV61" s="20">
        <f t="shared" si="112"/>
        <v>-2.4244128727957572</v>
      </c>
      <c r="AW61" s="20">
        <f t="shared" si="113"/>
        <v>2.6666666666666656</v>
      </c>
      <c r="AX61" s="14"/>
      <c r="AY61" s="14"/>
      <c r="AZ61" s="1" t="s">
        <v>271</v>
      </c>
      <c r="BA61" s="2"/>
    </row>
    <row r="62" spans="1:53" ht="14.25" hidden="1" customHeight="1">
      <c r="A62" s="2">
        <v>410</v>
      </c>
      <c r="B62" s="2" t="s">
        <v>51</v>
      </c>
      <c r="C62" s="1" t="s">
        <v>85</v>
      </c>
      <c r="D62" s="1">
        <v>2013</v>
      </c>
      <c r="E62" s="1">
        <v>2011</v>
      </c>
      <c r="F62" s="1" t="s">
        <v>143</v>
      </c>
      <c r="G62" s="1" t="s">
        <v>142</v>
      </c>
      <c r="H62" s="1">
        <v>33.053629000000001</v>
      </c>
      <c r="I62" s="1">
        <v>-83.677790000000002</v>
      </c>
      <c r="J62" s="1" t="s">
        <v>128</v>
      </c>
      <c r="K62" s="1" t="s">
        <v>177</v>
      </c>
      <c r="L62" s="1" t="s">
        <v>209</v>
      </c>
      <c r="M62" s="1" t="s">
        <v>237</v>
      </c>
      <c r="N62" s="1" t="s">
        <v>239</v>
      </c>
      <c r="O62" s="1" t="s">
        <v>121</v>
      </c>
      <c r="Q62" s="1" t="s">
        <v>93</v>
      </c>
      <c r="S62" s="1">
        <v>3</v>
      </c>
      <c r="U62" s="1">
        <v>0.8</v>
      </c>
      <c r="V62" s="1">
        <v>4</v>
      </c>
      <c r="W62" s="1">
        <v>4</v>
      </c>
      <c r="X62" s="1" t="s">
        <v>97</v>
      </c>
      <c r="Y62" s="1" t="s">
        <v>133</v>
      </c>
      <c r="Z62" s="1" t="s">
        <v>0</v>
      </c>
      <c r="AA62" s="1" t="s">
        <v>98</v>
      </c>
      <c r="AB62" s="1" t="s">
        <v>203</v>
      </c>
      <c r="AC62" s="1" t="s">
        <v>228</v>
      </c>
      <c r="AD62" s="1" t="s">
        <v>100</v>
      </c>
      <c r="AE62" s="1" t="s">
        <v>353</v>
      </c>
      <c r="AF62" s="1" t="s">
        <v>323</v>
      </c>
      <c r="AG62" s="1">
        <v>2.9000000000000001E-2</v>
      </c>
      <c r="AH62" s="1">
        <f>0.037-AG62</f>
        <v>7.9999999999999967E-3</v>
      </c>
      <c r="AJ62" s="1">
        <v>4.5999999999999999E-2</v>
      </c>
      <c r="AK62" s="1">
        <f>0.051-AJ62</f>
        <v>4.9999999999999975E-3</v>
      </c>
      <c r="AM62" s="12">
        <f t="shared" ref="AM62" si="121">AG62-AJ62</f>
        <v>-1.6999999999999998E-2</v>
      </c>
      <c r="AN62" s="1">
        <f t="shared" ref="AN62" si="122">SQRT((((W62-1)*AH62^2)+((V62-1)*AK62^2))/(W62+V62-2))</f>
        <v>6.6708320320631644E-3</v>
      </c>
      <c r="AO62" s="1">
        <f t="shared" ref="AO62" si="123">AM62/AN62</f>
        <v>-2.5484077425859293</v>
      </c>
      <c r="AP62" s="1">
        <f t="shared" ref="AP62" si="124">1/W62+1/V62+(AO62^2)/(2*(W62+V62))</f>
        <v>0.90589887640449451</v>
      </c>
      <c r="AQ62" s="1">
        <f t="shared" ref="AQ62" si="125">1-(3/(4*(W62+V62-2)-1))</f>
        <v>0.86956521739130432</v>
      </c>
      <c r="AR62" s="21">
        <f t="shared" ref="AR62" si="126">AO62*AQ62</f>
        <v>-2.2160067326834167</v>
      </c>
      <c r="AS62" s="21">
        <f t="shared" si="110"/>
        <v>0.68498969860453274</v>
      </c>
      <c r="AT62" s="21">
        <f t="shared" ref="AT62" si="127">SQRT(AP62*AQ62^2)</f>
        <v>0.82764104453835097</v>
      </c>
      <c r="AU62" s="20">
        <f t="shared" si="111"/>
        <v>1.4598759689922478</v>
      </c>
      <c r="AV62" s="20">
        <f t="shared" si="112"/>
        <v>-3.235094976169548</v>
      </c>
      <c r="AW62" s="20">
        <f t="shared" si="113"/>
        <v>7.1689922480620156</v>
      </c>
      <c r="AX62" s="14"/>
      <c r="AY62" s="14"/>
      <c r="AZ62" s="1" t="s">
        <v>271</v>
      </c>
      <c r="BA62" s="2"/>
    </row>
    <row r="63" spans="1:53" ht="14.25" hidden="1" customHeight="1">
      <c r="A63" s="2">
        <v>410</v>
      </c>
      <c r="B63" s="2" t="s">
        <v>51</v>
      </c>
      <c r="C63" s="1" t="s">
        <v>85</v>
      </c>
      <c r="D63" s="1">
        <v>2013</v>
      </c>
      <c r="E63" s="1">
        <v>2011</v>
      </c>
      <c r="F63" s="1" t="s">
        <v>143</v>
      </c>
      <c r="G63" s="1" t="s">
        <v>142</v>
      </c>
      <c r="H63" s="1">
        <v>33.053629000000001</v>
      </c>
      <c r="I63" s="1">
        <v>-83.677790000000002</v>
      </c>
      <c r="J63" s="1" t="s">
        <v>128</v>
      </c>
      <c r="K63" s="1" t="s">
        <v>177</v>
      </c>
      <c r="L63" s="1" t="s">
        <v>209</v>
      </c>
      <c r="M63" s="1" t="s">
        <v>237</v>
      </c>
      <c r="N63" s="1" t="s">
        <v>239</v>
      </c>
      <c r="O63" s="1" t="s">
        <v>121</v>
      </c>
      <c r="Q63" s="1" t="s">
        <v>93</v>
      </c>
      <c r="S63" s="1">
        <v>3</v>
      </c>
      <c r="U63" s="1">
        <v>0.8</v>
      </c>
      <c r="V63" s="1">
        <v>4</v>
      </c>
      <c r="W63" s="1">
        <v>4</v>
      </c>
      <c r="X63" s="1" t="s">
        <v>97</v>
      </c>
      <c r="Y63" s="1" t="s">
        <v>133</v>
      </c>
      <c r="Z63" s="1" t="s">
        <v>0</v>
      </c>
      <c r="AA63" s="1" t="s">
        <v>98</v>
      </c>
      <c r="AB63" s="1" t="s">
        <v>203</v>
      </c>
      <c r="AC63" s="1" t="s">
        <v>228</v>
      </c>
      <c r="AD63" s="1" t="s">
        <v>100</v>
      </c>
      <c r="AE63" s="1" t="s">
        <v>257</v>
      </c>
      <c r="AF63" s="1" t="s">
        <v>319</v>
      </c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" t="s">
        <v>286</v>
      </c>
    </row>
    <row r="64" spans="1:53" ht="14.25" hidden="1" customHeight="1">
      <c r="A64" s="2">
        <v>410</v>
      </c>
      <c r="B64" s="2" t="s">
        <v>51</v>
      </c>
      <c r="C64" s="1" t="s">
        <v>85</v>
      </c>
      <c r="D64" s="1">
        <v>2013</v>
      </c>
      <c r="E64" s="1">
        <v>2011</v>
      </c>
      <c r="F64" s="1" t="s">
        <v>143</v>
      </c>
      <c r="G64" s="1" t="s">
        <v>142</v>
      </c>
      <c r="H64" s="1">
        <v>33.053629000000001</v>
      </c>
      <c r="I64" s="1">
        <v>-83.677790000000002</v>
      </c>
      <c r="J64" s="1" t="s">
        <v>128</v>
      </c>
      <c r="K64" s="1" t="s">
        <v>177</v>
      </c>
      <c r="L64" s="1" t="s">
        <v>209</v>
      </c>
      <c r="M64" s="1" t="s">
        <v>237</v>
      </c>
      <c r="N64" s="1" t="s">
        <v>239</v>
      </c>
      <c r="O64" s="1" t="s">
        <v>121</v>
      </c>
      <c r="Q64" s="1" t="s">
        <v>93</v>
      </c>
      <c r="S64" s="1">
        <v>6</v>
      </c>
      <c r="U64" s="1">
        <v>0.8</v>
      </c>
      <c r="V64" s="1">
        <v>4</v>
      </c>
      <c r="W64" s="1">
        <v>4</v>
      </c>
      <c r="X64" s="1" t="s">
        <v>97</v>
      </c>
      <c r="Y64" s="1" t="s">
        <v>133</v>
      </c>
      <c r="Z64" s="1" t="s">
        <v>0</v>
      </c>
      <c r="AA64" s="1" t="s">
        <v>98</v>
      </c>
      <c r="AB64" s="1" t="s">
        <v>203</v>
      </c>
      <c r="AC64" s="1" t="s">
        <v>228</v>
      </c>
      <c r="AD64" s="1" t="s">
        <v>100</v>
      </c>
      <c r="AE64" s="1" t="s">
        <v>223</v>
      </c>
      <c r="AF64" s="1" t="s">
        <v>323</v>
      </c>
      <c r="AG64" s="1">
        <v>614.95000000000005</v>
      </c>
      <c r="AH64" s="1">
        <f>686.92-AG64</f>
        <v>71.969999999999914</v>
      </c>
      <c r="AJ64" s="1">
        <v>578.69000000000005</v>
      </c>
      <c r="AK64" s="1">
        <f>623.67-AJ64</f>
        <v>44.979999999999905</v>
      </c>
      <c r="AM64" s="12">
        <f t="shared" ref="AM64" si="128">AG64-AJ64</f>
        <v>36.259999999999991</v>
      </c>
      <c r="AN64" s="1">
        <f t="shared" ref="AN64" si="129">SQRT((((W64-1)*AH64^2)+((V64-1)*AK64^2))/(W64+V64-2))</f>
        <v>60.012004215823268</v>
      </c>
      <c r="AO64" s="1">
        <f t="shared" ref="AO64" si="130">AM64/AN64</f>
        <v>0.60421244838944033</v>
      </c>
      <c r="AP64" s="1">
        <f t="shared" ref="AP64" si="131">1/W64+1/V64+(AO64^2)/(2*(W64+V64))</f>
        <v>0.52281704267429763</v>
      </c>
      <c r="AQ64" s="1">
        <f t="shared" ref="AQ64" si="132">1-(3/(4*(W64+V64-2)-1))</f>
        <v>0.86956521739130432</v>
      </c>
      <c r="AR64" s="21">
        <f t="shared" ref="AR64" si="133">AO64*AQ64</f>
        <v>0.52540212903429595</v>
      </c>
      <c r="AS64" s="21">
        <f t="shared" ref="AS64:AS66" si="134">AP64*(AQ64^2)</f>
        <v>0.39532479597300391</v>
      </c>
      <c r="AT64" s="21">
        <f t="shared" ref="AT64" si="135">SQRT(AP64*AQ64^2)</f>
        <v>0.62874859520559079</v>
      </c>
      <c r="AU64" s="20">
        <f t="shared" ref="AU64:AU66" si="136">1/AS64</f>
        <v>2.5295655880596177</v>
      </c>
      <c r="AV64" s="20">
        <f t="shared" ref="AV64:AV66" si="137">AR64/AS64</f>
        <v>1.3290391454984141</v>
      </c>
      <c r="AW64" s="20">
        <f t="shared" ref="AW64:AW66" si="138">((AR64)^2)/AS64</f>
        <v>0.69827999661478812</v>
      </c>
      <c r="AX64" s="14"/>
      <c r="AY64" s="14"/>
      <c r="AZ64" s="1" t="s">
        <v>271</v>
      </c>
      <c r="BA64" s="2"/>
    </row>
    <row r="65" spans="1:53" ht="14.25" hidden="1" customHeight="1">
      <c r="A65" s="2">
        <v>410</v>
      </c>
      <c r="B65" s="2" t="s">
        <v>51</v>
      </c>
      <c r="C65" s="1" t="s">
        <v>85</v>
      </c>
      <c r="D65" s="1">
        <v>2013</v>
      </c>
      <c r="E65" s="1">
        <v>2011</v>
      </c>
      <c r="F65" s="1" t="s">
        <v>143</v>
      </c>
      <c r="G65" s="1" t="s">
        <v>142</v>
      </c>
      <c r="H65" s="1">
        <v>33.053629000000001</v>
      </c>
      <c r="I65" s="1">
        <v>-83.677790000000002</v>
      </c>
      <c r="J65" s="1" t="s">
        <v>128</v>
      </c>
      <c r="K65" s="1" t="s">
        <v>177</v>
      </c>
      <c r="L65" s="1" t="s">
        <v>209</v>
      </c>
      <c r="M65" s="1" t="s">
        <v>237</v>
      </c>
      <c r="N65" s="1" t="s">
        <v>239</v>
      </c>
      <c r="O65" s="1" t="s">
        <v>121</v>
      </c>
      <c r="Q65" s="1" t="s">
        <v>93</v>
      </c>
      <c r="S65" s="1">
        <v>6</v>
      </c>
      <c r="U65" s="1">
        <v>0.8</v>
      </c>
      <c r="V65" s="1">
        <v>4</v>
      </c>
      <c r="W65" s="1">
        <v>4</v>
      </c>
      <c r="X65" s="1" t="s">
        <v>97</v>
      </c>
      <c r="Y65" s="1" t="s">
        <v>133</v>
      </c>
      <c r="Z65" s="1" t="s">
        <v>0</v>
      </c>
      <c r="AA65" s="1" t="s">
        <v>98</v>
      </c>
      <c r="AB65" s="1" t="s">
        <v>203</v>
      </c>
      <c r="AC65" s="1" t="s">
        <v>228</v>
      </c>
      <c r="AD65" s="1" t="s">
        <v>100</v>
      </c>
      <c r="AE65" s="1" t="s">
        <v>254</v>
      </c>
      <c r="AF65" s="1" t="s">
        <v>323</v>
      </c>
      <c r="AG65" s="1">
        <v>0.96</v>
      </c>
      <c r="AH65" s="1">
        <f>0.97-AG65</f>
        <v>1.0000000000000009E-2</v>
      </c>
      <c r="AJ65" s="1">
        <v>0.96</v>
      </c>
      <c r="AK65" s="1">
        <f>0.97-AJ65</f>
        <v>1.0000000000000009E-2</v>
      </c>
      <c r="AM65" s="12">
        <f t="shared" ref="AM65" si="139">AG65-AJ65</f>
        <v>0</v>
      </c>
      <c r="AN65" s="1">
        <f t="shared" ref="AN65" si="140">SQRT((((W65-1)*AH65^2)+((V65-1)*AK65^2))/(W65+V65-2))</f>
        <v>1.0000000000000009E-2</v>
      </c>
      <c r="AO65" s="1">
        <f t="shared" ref="AO65" si="141">AM65/AN65</f>
        <v>0</v>
      </c>
      <c r="AP65" s="1">
        <f t="shared" ref="AP65" si="142">1/W65+1/V65+(AO65^2)/(2*(W65+V65))</f>
        <v>0.5</v>
      </c>
      <c r="AQ65" s="1">
        <f t="shared" ref="AQ65" si="143">1-(3/(4*(W65+V65-2)-1))</f>
        <v>0.86956521739130432</v>
      </c>
      <c r="AR65" s="21">
        <f t="shared" ref="AR65" si="144">AO65*AQ65</f>
        <v>0</v>
      </c>
      <c r="AS65" s="21">
        <f t="shared" si="134"/>
        <v>0.3780718336483932</v>
      </c>
      <c r="AT65" s="21">
        <f t="shared" ref="AT65" si="145">SQRT(AP65*AQ65^2)</f>
        <v>0.61487546190134568</v>
      </c>
      <c r="AU65" s="20">
        <f t="shared" si="136"/>
        <v>2.645</v>
      </c>
      <c r="AV65" s="20">
        <f t="shared" si="137"/>
        <v>0</v>
      </c>
      <c r="AW65" s="20">
        <f t="shared" si="138"/>
        <v>0</v>
      </c>
      <c r="AX65" s="14"/>
      <c r="AY65" s="14"/>
      <c r="AZ65" s="1" t="s">
        <v>271</v>
      </c>
      <c r="BA65" s="2"/>
    </row>
    <row r="66" spans="1:53" ht="14.25" hidden="1" customHeight="1">
      <c r="A66" s="2">
        <v>410</v>
      </c>
      <c r="B66" s="2" t="s">
        <v>51</v>
      </c>
      <c r="C66" s="1" t="s">
        <v>85</v>
      </c>
      <c r="D66" s="1">
        <v>2013</v>
      </c>
      <c r="E66" s="1">
        <v>2011</v>
      </c>
      <c r="F66" s="1" t="s">
        <v>143</v>
      </c>
      <c r="G66" s="1" t="s">
        <v>142</v>
      </c>
      <c r="H66" s="1">
        <v>33.053629000000001</v>
      </c>
      <c r="I66" s="1">
        <v>-83.677790000000002</v>
      </c>
      <c r="J66" s="1" t="s">
        <v>128</v>
      </c>
      <c r="K66" s="1" t="s">
        <v>177</v>
      </c>
      <c r="L66" s="1" t="s">
        <v>209</v>
      </c>
      <c r="M66" s="1" t="s">
        <v>237</v>
      </c>
      <c r="N66" s="1" t="s">
        <v>239</v>
      </c>
      <c r="O66" s="1" t="s">
        <v>121</v>
      </c>
      <c r="Q66" s="1" t="s">
        <v>93</v>
      </c>
      <c r="S66" s="1">
        <v>6</v>
      </c>
      <c r="U66" s="1">
        <v>0.8</v>
      </c>
      <c r="V66" s="1">
        <v>4</v>
      </c>
      <c r="W66" s="1">
        <v>4</v>
      </c>
      <c r="X66" s="1" t="s">
        <v>97</v>
      </c>
      <c r="Y66" s="1" t="s">
        <v>133</v>
      </c>
      <c r="Z66" s="1" t="s">
        <v>0</v>
      </c>
      <c r="AA66" s="1" t="s">
        <v>98</v>
      </c>
      <c r="AB66" s="1" t="s">
        <v>203</v>
      </c>
      <c r="AC66" s="1" t="s">
        <v>228</v>
      </c>
      <c r="AD66" s="1" t="s">
        <v>100</v>
      </c>
      <c r="AE66" s="1" t="s">
        <v>353</v>
      </c>
      <c r="AF66" s="1" t="s">
        <v>323</v>
      </c>
      <c r="AG66" s="1">
        <v>4.4999999999999998E-2</v>
      </c>
      <c r="AH66" s="1">
        <f>0.049-AG66</f>
        <v>4.0000000000000036E-3</v>
      </c>
      <c r="AJ66" s="1">
        <v>4.5999999999999999E-2</v>
      </c>
      <c r="AK66" s="1">
        <f>0.051-AJ66</f>
        <v>4.9999999999999975E-3</v>
      </c>
      <c r="AM66" s="12">
        <f t="shared" ref="AM66" si="146">AG66-AJ66</f>
        <v>-1.0000000000000009E-3</v>
      </c>
      <c r="AN66" s="1">
        <f t="shared" ref="AN66" si="147">SQRT((((W66-1)*AH66^2)+((V66-1)*AK66^2))/(W66+V66-2))</f>
        <v>4.5276925690687087E-3</v>
      </c>
      <c r="AO66" s="1">
        <f t="shared" ref="AO66" si="148">AM66/AN66</f>
        <v>-0.22086305214969326</v>
      </c>
      <c r="AP66" s="1">
        <f t="shared" ref="AP66" si="149">1/W66+1/V66+(AO66^2)/(2*(W66+V66))</f>
        <v>0.50304878048780488</v>
      </c>
      <c r="AQ66" s="1">
        <f t="shared" ref="AQ66" si="150">1-(3/(4*(W66+V66-2)-1))</f>
        <v>0.86956521739130432</v>
      </c>
      <c r="AR66" s="21">
        <f t="shared" ref="AR66" si="151">AO66*AQ66</f>
        <v>-0.192054827956255</v>
      </c>
      <c r="AS66" s="21">
        <f t="shared" si="134"/>
        <v>0.38037714970722486</v>
      </c>
      <c r="AT66" s="21">
        <f t="shared" ref="AT66" si="152">SQRT(AP66*AQ66^2)</f>
        <v>0.61674723323840286</v>
      </c>
      <c r="AU66" s="20">
        <f t="shared" si="136"/>
        <v>2.6289696969696972</v>
      </c>
      <c r="AV66" s="20">
        <f t="shared" si="137"/>
        <v>-0.50490632285372306</v>
      </c>
      <c r="AW66" s="20">
        <f t="shared" si="138"/>
        <v>9.6969696969697108E-2</v>
      </c>
      <c r="AX66" s="14"/>
      <c r="AY66" s="14"/>
      <c r="AZ66" s="1" t="s">
        <v>271</v>
      </c>
      <c r="BA66" s="2"/>
    </row>
    <row r="67" spans="1:53" ht="14.25" hidden="1" customHeight="1">
      <c r="A67" s="2">
        <v>410</v>
      </c>
      <c r="B67" s="2" t="s">
        <v>51</v>
      </c>
      <c r="C67" s="1" t="s">
        <v>85</v>
      </c>
      <c r="D67" s="1">
        <v>2013</v>
      </c>
      <c r="E67" s="1">
        <v>2011</v>
      </c>
      <c r="F67" s="1" t="s">
        <v>143</v>
      </c>
      <c r="G67" s="1" t="s">
        <v>142</v>
      </c>
      <c r="H67" s="1">
        <v>33.053629000000001</v>
      </c>
      <c r="I67" s="1">
        <v>-83.677790000000002</v>
      </c>
      <c r="J67" s="1" t="s">
        <v>128</v>
      </c>
      <c r="K67" s="1" t="s">
        <v>177</v>
      </c>
      <c r="L67" s="1" t="s">
        <v>209</v>
      </c>
      <c r="M67" s="1" t="s">
        <v>237</v>
      </c>
      <c r="N67" s="1" t="s">
        <v>239</v>
      </c>
      <c r="O67" s="1" t="s">
        <v>121</v>
      </c>
      <c r="Q67" s="1" t="s">
        <v>93</v>
      </c>
      <c r="S67" s="1">
        <v>6</v>
      </c>
      <c r="U67" s="1">
        <v>0.8</v>
      </c>
      <c r="V67" s="1">
        <v>4</v>
      </c>
      <c r="W67" s="1">
        <v>4</v>
      </c>
      <c r="X67" s="1" t="s">
        <v>97</v>
      </c>
      <c r="Y67" s="1" t="s">
        <v>133</v>
      </c>
      <c r="Z67" s="1" t="s">
        <v>0</v>
      </c>
      <c r="AA67" s="1" t="s">
        <v>98</v>
      </c>
      <c r="AB67" s="1" t="s">
        <v>203</v>
      </c>
      <c r="AC67" s="1" t="s">
        <v>228</v>
      </c>
      <c r="AD67" s="1" t="s">
        <v>100</v>
      </c>
      <c r="AE67" s="1" t="s">
        <v>257</v>
      </c>
      <c r="AF67" s="1" t="s">
        <v>319</v>
      </c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" t="s">
        <v>286</v>
      </c>
    </row>
    <row r="68" spans="1:53" s="10" customFormat="1" ht="14.25" hidden="1">
      <c r="A68" s="17">
        <v>500</v>
      </c>
      <c r="B68" s="17" t="s">
        <v>240</v>
      </c>
      <c r="C68" s="16" t="s">
        <v>89</v>
      </c>
      <c r="D68" s="16">
        <v>2025</v>
      </c>
      <c r="E68" s="16">
        <v>2023</v>
      </c>
      <c r="F68" s="16" t="s">
        <v>143</v>
      </c>
      <c r="G68" s="16" t="s">
        <v>294</v>
      </c>
      <c r="H68" s="16">
        <v>44.014380000000003</v>
      </c>
      <c r="I68" s="16">
        <v>-123.12545</v>
      </c>
      <c r="J68" s="16" t="s">
        <v>128</v>
      </c>
      <c r="K68" s="16" t="s">
        <v>295</v>
      </c>
      <c r="L68" s="16"/>
      <c r="M68" s="16"/>
      <c r="N68" s="16" t="s">
        <v>239</v>
      </c>
      <c r="O68" s="16" t="s">
        <v>121</v>
      </c>
      <c r="P68" s="16"/>
      <c r="Q68" s="16" t="s">
        <v>93</v>
      </c>
      <c r="R68" s="16">
        <v>2024</v>
      </c>
      <c r="S68" s="16" t="s">
        <v>157</v>
      </c>
      <c r="T68" s="16"/>
      <c r="U68" s="16"/>
      <c r="V68" s="16">
        <v>3</v>
      </c>
      <c r="W68" s="16">
        <v>3</v>
      </c>
      <c r="X68" s="16" t="s">
        <v>290</v>
      </c>
      <c r="Y68" s="16" t="s">
        <v>2</v>
      </c>
      <c r="Z68" s="16" t="s">
        <v>0</v>
      </c>
      <c r="AA68" s="16" t="s">
        <v>98</v>
      </c>
      <c r="AB68" s="16" t="s">
        <v>203</v>
      </c>
      <c r="AC68" s="16" t="s">
        <v>293</v>
      </c>
      <c r="AD68" s="16" t="s">
        <v>111</v>
      </c>
      <c r="AE68" s="16" t="s">
        <v>296</v>
      </c>
      <c r="AF68" s="16" t="s">
        <v>319</v>
      </c>
      <c r="AG68" s="16">
        <v>0.25</v>
      </c>
      <c r="AH68" s="12">
        <f>0.3-0.2</f>
        <v>9.9999999999999978E-2</v>
      </c>
      <c r="AI68" s="16"/>
      <c r="AJ68" s="16">
        <v>0.215</v>
      </c>
      <c r="AK68" s="16">
        <f>0.3-0.13</f>
        <v>0.16999999999999998</v>
      </c>
      <c r="AL68" s="16"/>
      <c r="AM68" s="12">
        <f t="shared" ref="AM68:AM155" si="153">AG68-AJ68</f>
        <v>3.5000000000000003E-2</v>
      </c>
      <c r="AN68" s="1">
        <f>SQRT((((W68-1)*AH68^2)+((V68-1)*AK68^2))/(W68+V68-2))</f>
        <v>0.1394632568098135</v>
      </c>
      <c r="AO68" s="1">
        <f t="shared" si="2"/>
        <v>0.25096215878372624</v>
      </c>
      <c r="AP68" s="1">
        <f>1/W68+1/V68+(AO68^2)/(2*(W68+V68))</f>
        <v>0.67191516709511567</v>
      </c>
      <c r="AQ68" s="1">
        <f>1-(3/(4*(W68+V68-2)-1))</f>
        <v>0.8</v>
      </c>
      <c r="AR68" s="21">
        <f t="shared" si="41"/>
        <v>0.20076972702698101</v>
      </c>
      <c r="AS68" s="21">
        <f t="shared" ref="AS68:AS72" si="154">AP68*(AQ68^2)</f>
        <v>0.43002570694087411</v>
      </c>
      <c r="AT68" s="21">
        <f t="shared" si="43"/>
        <v>0.65576345349590359</v>
      </c>
      <c r="AU68" s="20">
        <f t="shared" ref="AU68:AU72" si="155">1/AS68</f>
        <v>2.3254423720707793</v>
      </c>
      <c r="AV68" s="20">
        <f t="shared" ref="AV68:AV72" si="156">AR68/AS68</f>
        <v>0.46687843025762554</v>
      </c>
      <c r="AW68" s="20">
        <f t="shared" ref="AW68:AW72" si="157">((AR68)^2)/AS68</f>
        <v>9.3735054997608869E-2</v>
      </c>
      <c r="AX68" s="14"/>
      <c r="AY68" s="14"/>
      <c r="AZ68" s="1" t="s">
        <v>271</v>
      </c>
      <c r="BA68" s="17"/>
    </row>
    <row r="69" spans="1:53" s="10" customFormat="1" ht="14.25" hidden="1">
      <c r="A69" s="17">
        <v>500</v>
      </c>
      <c r="B69" s="17" t="s">
        <v>240</v>
      </c>
      <c r="C69" s="16" t="s">
        <v>89</v>
      </c>
      <c r="D69" s="16">
        <v>2025</v>
      </c>
      <c r="E69" s="16">
        <v>2023</v>
      </c>
      <c r="F69" s="16" t="s">
        <v>143</v>
      </c>
      <c r="G69" s="16" t="s">
        <v>294</v>
      </c>
      <c r="H69" s="16">
        <v>44.014380000000003</v>
      </c>
      <c r="I69" s="16">
        <v>-123.12545</v>
      </c>
      <c r="J69" s="16" t="s">
        <v>128</v>
      </c>
      <c r="K69" s="16" t="s">
        <v>295</v>
      </c>
      <c r="L69" s="16"/>
      <c r="M69" s="16"/>
      <c r="N69" s="16" t="s">
        <v>239</v>
      </c>
      <c r="O69" s="16" t="s">
        <v>121</v>
      </c>
      <c r="P69" s="16"/>
      <c r="Q69" s="16" t="s">
        <v>93</v>
      </c>
      <c r="R69" s="16">
        <v>2024</v>
      </c>
      <c r="S69" s="16" t="s">
        <v>157</v>
      </c>
      <c r="T69" s="16"/>
      <c r="U69" s="16"/>
      <c r="V69" s="16">
        <v>3</v>
      </c>
      <c r="W69" s="16">
        <v>3</v>
      </c>
      <c r="X69" s="16" t="s">
        <v>290</v>
      </c>
      <c r="Y69" s="16" t="s">
        <v>2</v>
      </c>
      <c r="Z69" s="16" t="s">
        <v>0</v>
      </c>
      <c r="AA69" s="16" t="s">
        <v>98</v>
      </c>
      <c r="AB69" s="16" t="s">
        <v>203</v>
      </c>
      <c r="AC69" s="16" t="s">
        <v>293</v>
      </c>
      <c r="AD69" s="16" t="s">
        <v>111</v>
      </c>
      <c r="AE69" s="16" t="s">
        <v>297</v>
      </c>
      <c r="AF69" s="16" t="s">
        <v>319</v>
      </c>
      <c r="AG69" s="16">
        <v>0.02</v>
      </c>
      <c r="AH69" s="12">
        <f>0.044-0.001</f>
        <v>4.2999999999999997E-2</v>
      </c>
      <c r="AI69" s="16"/>
      <c r="AJ69" s="16">
        <v>0.1</v>
      </c>
      <c r="AK69" s="16">
        <f>0.14-0.05</f>
        <v>9.0000000000000011E-2</v>
      </c>
      <c r="AL69" s="16"/>
      <c r="AM69" s="12">
        <f t="shared" si="153"/>
        <v>-0.08</v>
      </c>
      <c r="AN69" s="1">
        <f t="shared" ref="AN69" si="158">SQRT((((W69-1)*AH69^2)+((V69-1)*AK69^2))/(W69+V69-2))</f>
        <v>7.0530135403244487E-2</v>
      </c>
      <c r="AO69" s="1">
        <f t="shared" ref="AO69" si="159">AM69/AN69</f>
        <v>-1.1342669277836079</v>
      </c>
      <c r="AP69" s="1">
        <f t="shared" ref="AP69" si="160">1/W69+1/V69+(AO69^2)/(2*(W69+V69))</f>
        <v>0.77388012195530531</v>
      </c>
      <c r="AQ69" s="1">
        <f t="shared" ref="AQ69" si="161">1-(3/(4*(W69+V69-2)-1))</f>
        <v>0.8</v>
      </c>
      <c r="AR69" s="21">
        <f t="shared" ref="AR69" si="162">AO69*AQ69</f>
        <v>-0.90741354222688642</v>
      </c>
      <c r="AS69" s="21">
        <f t="shared" si="154"/>
        <v>0.49528327805139549</v>
      </c>
      <c r="AT69" s="21">
        <f t="shared" ref="AT69" si="163">SQRT(AP69*AQ69^2)</f>
        <v>0.70376365212434455</v>
      </c>
      <c r="AU69" s="20">
        <f t="shared" si="155"/>
        <v>2.019046562472941</v>
      </c>
      <c r="AV69" s="20">
        <f t="shared" si="156"/>
        <v>-1.83211019317459</v>
      </c>
      <c r="AW69" s="20">
        <f t="shared" si="157"/>
        <v>1.6624816001385399</v>
      </c>
      <c r="AX69" s="14"/>
      <c r="AY69" s="14"/>
      <c r="AZ69" s="1" t="s">
        <v>271</v>
      </c>
      <c r="BA69" s="17"/>
    </row>
    <row r="70" spans="1:53" s="12" customFormat="1" ht="14.25" hidden="1" customHeight="1">
      <c r="A70" s="2">
        <v>180</v>
      </c>
      <c r="B70" s="2" t="s">
        <v>25</v>
      </c>
      <c r="C70" s="12" t="s">
        <v>85</v>
      </c>
      <c r="D70" s="12">
        <v>2015</v>
      </c>
      <c r="E70" s="12">
        <v>2009</v>
      </c>
      <c r="F70" s="12" t="s">
        <v>92</v>
      </c>
      <c r="G70" s="12" t="s">
        <v>109</v>
      </c>
      <c r="H70" s="12">
        <v>39.831530000000001</v>
      </c>
      <c r="I70" s="12">
        <v>-7.8358790000000003</v>
      </c>
      <c r="J70" s="12" t="s">
        <v>128</v>
      </c>
      <c r="K70" s="12" t="s">
        <v>177</v>
      </c>
      <c r="L70" s="12" t="s">
        <v>178</v>
      </c>
      <c r="M70" s="12" t="s">
        <v>237</v>
      </c>
      <c r="N70" s="12" t="s">
        <v>239</v>
      </c>
      <c r="O70" s="12" t="s">
        <v>86</v>
      </c>
      <c r="Q70" s="12" t="s">
        <v>93</v>
      </c>
      <c r="R70" s="12">
        <v>2003</v>
      </c>
      <c r="S70" s="12">
        <v>6</v>
      </c>
      <c r="V70" s="12">
        <v>3</v>
      </c>
      <c r="W70" s="12">
        <v>3</v>
      </c>
      <c r="X70" s="12" t="s">
        <v>97</v>
      </c>
      <c r="Y70" s="12" t="s">
        <v>147</v>
      </c>
      <c r="Z70" s="12" t="s">
        <v>0</v>
      </c>
      <c r="AA70" s="12" t="s">
        <v>98</v>
      </c>
      <c r="AB70" s="12" t="s">
        <v>203</v>
      </c>
      <c r="AC70" s="12" t="s">
        <v>229</v>
      </c>
      <c r="AD70" s="12" t="s">
        <v>111</v>
      </c>
      <c r="AE70" s="12" t="s">
        <v>223</v>
      </c>
      <c r="AF70" s="12" t="s">
        <v>321</v>
      </c>
      <c r="AG70" s="12">
        <v>242</v>
      </c>
      <c r="AH70" s="12">
        <v>40</v>
      </c>
      <c r="AJ70" s="12">
        <v>288</v>
      </c>
      <c r="AK70" s="12">
        <v>59</v>
      </c>
      <c r="AM70" s="12">
        <f t="shared" si="153"/>
        <v>-46</v>
      </c>
      <c r="AN70" s="12">
        <f>SQRT((((W70-1)*AH70^2)+((V70-1)*AK70^2))/(W70+V70-2))</f>
        <v>50.40337290301116</v>
      </c>
      <c r="AO70" s="12">
        <f t="shared" si="2"/>
        <v>-0.91263733656308355</v>
      </c>
      <c r="AP70" s="12">
        <f>1/W70+1/V70+(AO70^2)/(2*(W70+V70))</f>
        <v>0.73607557567407988</v>
      </c>
      <c r="AQ70" s="12">
        <f>1-(3/(4*(W70+V70-2)-1))</f>
        <v>0.8</v>
      </c>
      <c r="AR70" s="21">
        <f t="shared" si="41"/>
        <v>-0.73010986925046684</v>
      </c>
      <c r="AS70" s="21">
        <f t="shared" si="154"/>
        <v>0.47108836843141122</v>
      </c>
      <c r="AT70" s="21">
        <f t="shared" si="43"/>
        <v>0.6863587753000695</v>
      </c>
      <c r="AU70" s="20">
        <f t="shared" si="155"/>
        <v>2.1227439839572191</v>
      </c>
      <c r="AV70" s="20">
        <f t="shared" si="156"/>
        <v>-1.5498363325792202</v>
      </c>
      <c r="AW70" s="20">
        <f t="shared" si="157"/>
        <v>1.1315508021390375</v>
      </c>
      <c r="AX70" s="14"/>
      <c r="AY70" s="14"/>
      <c r="AZ70" s="12" t="s">
        <v>271</v>
      </c>
      <c r="BA70" s="2"/>
    </row>
    <row r="71" spans="1:53" s="12" customFormat="1" ht="14.25" hidden="1" customHeight="1">
      <c r="A71" s="2">
        <v>180</v>
      </c>
      <c r="B71" s="2" t="s">
        <v>25</v>
      </c>
      <c r="C71" s="12" t="s">
        <v>85</v>
      </c>
      <c r="D71" s="12">
        <v>2015</v>
      </c>
      <c r="E71" s="12">
        <v>2009</v>
      </c>
      <c r="F71" s="12" t="s">
        <v>92</v>
      </c>
      <c r="G71" s="12" t="s">
        <v>109</v>
      </c>
      <c r="H71" s="12">
        <v>39.831530000000001</v>
      </c>
      <c r="I71" s="12">
        <v>-7.8358790000000003</v>
      </c>
      <c r="J71" s="12" t="s">
        <v>128</v>
      </c>
      <c r="K71" s="12" t="s">
        <v>177</v>
      </c>
      <c r="L71" s="12" t="s">
        <v>178</v>
      </c>
      <c r="M71" s="12" t="s">
        <v>237</v>
      </c>
      <c r="N71" s="12" t="s">
        <v>239</v>
      </c>
      <c r="O71" s="12" t="s">
        <v>86</v>
      </c>
      <c r="Q71" s="12" t="s">
        <v>93</v>
      </c>
      <c r="R71" s="12">
        <v>2003</v>
      </c>
      <c r="S71" s="12">
        <v>6</v>
      </c>
      <c r="V71" s="12">
        <v>3</v>
      </c>
      <c r="W71" s="12">
        <v>3</v>
      </c>
      <c r="X71" s="12" t="s">
        <v>97</v>
      </c>
      <c r="Y71" s="12" t="s">
        <v>147</v>
      </c>
      <c r="Z71" s="12" t="s">
        <v>0</v>
      </c>
      <c r="AA71" s="12" t="s">
        <v>98</v>
      </c>
      <c r="AB71" s="12" t="s">
        <v>203</v>
      </c>
      <c r="AC71" s="12" t="s">
        <v>229</v>
      </c>
      <c r="AD71" s="12" t="s">
        <v>111</v>
      </c>
      <c r="AE71" s="12" t="s">
        <v>262</v>
      </c>
      <c r="AF71" s="12" t="s">
        <v>321</v>
      </c>
      <c r="AG71" s="12">
        <v>320</v>
      </c>
      <c r="AH71" s="12">
        <v>61</v>
      </c>
      <c r="AJ71" s="12">
        <v>372</v>
      </c>
      <c r="AK71" s="12">
        <v>91</v>
      </c>
      <c r="AM71" s="12">
        <f t="shared" ref="AM71" si="164">AG71-AJ71</f>
        <v>-52</v>
      </c>
      <c r="AN71" s="12">
        <f t="shared" ref="AN71" si="165">SQRT((((W71-1)*AH71^2)+((V71-1)*AK71^2))/(W71+V71-2))</f>
        <v>77.466121627457255</v>
      </c>
      <c r="AO71" s="12">
        <f t="shared" ref="AO71" si="166">AM71/AN71</f>
        <v>-0.67126117724175582</v>
      </c>
      <c r="AP71" s="12">
        <f t="shared" ref="AP71" si="167">1/W71+1/V71+(AO71^2)/(2*(W71+V71))</f>
        <v>0.70421596400599895</v>
      </c>
      <c r="AQ71" s="12">
        <f t="shared" ref="AQ71" si="168">1-(3/(4*(W71+V71-2)-1))</f>
        <v>0.8</v>
      </c>
      <c r="AR71" s="21">
        <f t="shared" ref="AR71" si="169">AO71*AQ71</f>
        <v>-0.53700894179340464</v>
      </c>
      <c r="AS71" s="21">
        <f t="shared" si="154"/>
        <v>0.45069821696383944</v>
      </c>
      <c r="AT71" s="21">
        <f t="shared" ref="AT71" si="170">SQRT(AP71*AQ71^2)</f>
        <v>0.67134061173434123</v>
      </c>
      <c r="AU71" s="20">
        <f t="shared" si="155"/>
        <v>2.2187795787979172</v>
      </c>
      <c r="AV71" s="20">
        <f t="shared" si="156"/>
        <v>-1.1915044736830855</v>
      </c>
      <c r="AW71" s="20">
        <f t="shared" si="157"/>
        <v>0.63984855655466133</v>
      </c>
      <c r="AX71" s="14"/>
      <c r="AY71" s="14"/>
      <c r="AZ71" s="12" t="s">
        <v>271</v>
      </c>
      <c r="BA71" s="2"/>
    </row>
    <row r="72" spans="1:53" s="12" customFormat="1" ht="14.25" hidden="1" customHeight="1">
      <c r="A72" s="2">
        <v>180</v>
      </c>
      <c r="B72" s="2" t="s">
        <v>25</v>
      </c>
      <c r="C72" s="12" t="s">
        <v>85</v>
      </c>
      <c r="D72" s="12">
        <v>2015</v>
      </c>
      <c r="E72" s="12">
        <v>2009</v>
      </c>
      <c r="F72" s="12" t="s">
        <v>92</v>
      </c>
      <c r="G72" s="12" t="s">
        <v>109</v>
      </c>
      <c r="H72" s="12">
        <v>39.831530000000001</v>
      </c>
      <c r="I72" s="12">
        <v>-7.8358790000000003</v>
      </c>
      <c r="J72" s="12" t="s">
        <v>128</v>
      </c>
      <c r="K72" s="12" t="s">
        <v>177</v>
      </c>
      <c r="L72" s="12" t="s">
        <v>178</v>
      </c>
      <c r="M72" s="12" t="s">
        <v>237</v>
      </c>
      <c r="N72" s="12" t="s">
        <v>239</v>
      </c>
      <c r="O72" s="12" t="s">
        <v>86</v>
      </c>
      <c r="Q72" s="12" t="s">
        <v>93</v>
      </c>
      <c r="R72" s="12">
        <v>2003</v>
      </c>
      <c r="S72" s="12">
        <v>6</v>
      </c>
      <c r="V72" s="12">
        <v>3</v>
      </c>
      <c r="W72" s="12">
        <v>3</v>
      </c>
      <c r="X72" s="12" t="s">
        <v>97</v>
      </c>
      <c r="Y72" s="12" t="s">
        <v>147</v>
      </c>
      <c r="Z72" s="12" t="s">
        <v>0</v>
      </c>
      <c r="AA72" s="12" t="s">
        <v>98</v>
      </c>
      <c r="AB72" s="12" t="s">
        <v>203</v>
      </c>
      <c r="AC72" s="12" t="s">
        <v>229</v>
      </c>
      <c r="AD72" s="12" t="s">
        <v>111</v>
      </c>
      <c r="AE72" s="12" t="s">
        <v>149</v>
      </c>
      <c r="AF72" s="12" t="s">
        <v>321</v>
      </c>
      <c r="AG72" s="12">
        <v>3.17</v>
      </c>
      <c r="AH72" s="12">
        <v>0.44</v>
      </c>
      <c r="AJ72" s="12">
        <v>4.16</v>
      </c>
      <c r="AK72" s="12">
        <v>0.25</v>
      </c>
      <c r="AM72" s="12">
        <f t="shared" ref="AM72" si="171">AG72-AJ72</f>
        <v>-0.99000000000000021</v>
      </c>
      <c r="AN72" s="12">
        <f t="shared" ref="AN72" si="172">SQRT((((W72-1)*AH72^2)+((V72-1)*AK72^2))/(W72+V72-2))</f>
        <v>0.35784074670165777</v>
      </c>
      <c r="AO72" s="12">
        <f t="shared" ref="AO72" si="173">AM72/AN72</f>
        <v>-2.7665938245579169</v>
      </c>
      <c r="AP72" s="12">
        <f t="shared" ref="AP72" si="174">1/W72+1/V72+(AO72^2)/(2*(W72+V72))</f>
        <v>1.3045034491735001</v>
      </c>
      <c r="AQ72" s="12">
        <f t="shared" ref="AQ72" si="175">1-(3/(4*(W72+V72-2)-1))</f>
        <v>0.8</v>
      </c>
      <c r="AR72" s="21">
        <f t="shared" ref="AR72" si="176">AO72*AQ72</f>
        <v>-2.2132750596463335</v>
      </c>
      <c r="AS72" s="21">
        <f t="shared" si="154"/>
        <v>0.83488220747104025</v>
      </c>
      <c r="AT72" s="21">
        <f t="shared" ref="AT72" si="177">SQRT(AP72*AQ72^2)</f>
        <v>0.91371888864740025</v>
      </c>
      <c r="AU72" s="20">
        <f t="shared" si="155"/>
        <v>1.1977737590421547</v>
      </c>
      <c r="AV72" s="20">
        <f t="shared" si="156"/>
        <v>-2.6510027879868381</v>
      </c>
      <c r="AW72" s="20">
        <f t="shared" si="157"/>
        <v>5.8673983537041652</v>
      </c>
      <c r="AX72" s="14"/>
      <c r="AY72" s="14"/>
      <c r="AZ72" s="12" t="s">
        <v>271</v>
      </c>
      <c r="BA72" s="2"/>
    </row>
    <row r="73" spans="1:53" s="12" customFormat="1" ht="14.25" hidden="1" customHeight="1">
      <c r="A73" s="2">
        <v>180</v>
      </c>
      <c r="B73" s="2" t="s">
        <v>25</v>
      </c>
      <c r="C73" s="12" t="s">
        <v>85</v>
      </c>
      <c r="D73" s="12">
        <v>2015</v>
      </c>
      <c r="E73" s="12">
        <v>2009</v>
      </c>
      <c r="F73" s="12" t="s">
        <v>92</v>
      </c>
      <c r="G73" s="12" t="s">
        <v>109</v>
      </c>
      <c r="H73" s="12">
        <v>39.831530000000001</v>
      </c>
      <c r="I73" s="12">
        <v>-7.8358790000000003</v>
      </c>
      <c r="J73" s="12" t="s">
        <v>128</v>
      </c>
      <c r="K73" s="12" t="s">
        <v>177</v>
      </c>
      <c r="L73" s="12" t="s">
        <v>178</v>
      </c>
      <c r="M73" s="12" t="s">
        <v>237</v>
      </c>
      <c r="N73" s="12" t="s">
        <v>239</v>
      </c>
      <c r="O73" s="12" t="s">
        <v>86</v>
      </c>
      <c r="Q73" s="12" t="s">
        <v>93</v>
      </c>
      <c r="R73" s="12">
        <v>2003</v>
      </c>
      <c r="S73" s="12">
        <v>6</v>
      </c>
      <c r="V73" s="12">
        <v>3</v>
      </c>
      <c r="W73" s="12">
        <v>3</v>
      </c>
      <c r="X73" s="12" t="s">
        <v>97</v>
      </c>
      <c r="Y73" s="12" t="s">
        <v>147</v>
      </c>
      <c r="Z73" s="12" t="s">
        <v>0</v>
      </c>
      <c r="AA73" s="12" t="s">
        <v>98</v>
      </c>
      <c r="AB73" s="12" t="s">
        <v>203</v>
      </c>
      <c r="AC73" s="12" t="s">
        <v>229</v>
      </c>
      <c r="AD73" s="12" t="s">
        <v>111</v>
      </c>
      <c r="AE73" s="12" t="s">
        <v>291</v>
      </c>
      <c r="AF73" s="12" t="s">
        <v>334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2" t="s">
        <v>286</v>
      </c>
    </row>
    <row r="74" spans="1:53" ht="14.25" hidden="1" customHeight="1">
      <c r="A74" s="2">
        <v>11</v>
      </c>
      <c r="B74" s="2" t="s">
        <v>3</v>
      </c>
      <c r="C74" s="1" t="s">
        <v>91</v>
      </c>
      <c r="D74" s="1">
        <v>2010</v>
      </c>
      <c r="E74" s="1">
        <v>2007</v>
      </c>
      <c r="F74" s="1" t="s">
        <v>92</v>
      </c>
      <c r="G74" s="1" t="s">
        <v>109</v>
      </c>
      <c r="H74" s="1">
        <v>39.831530000000001</v>
      </c>
      <c r="I74" s="1">
        <v>-7.8358790000000003</v>
      </c>
      <c r="J74" s="1" t="s">
        <v>135</v>
      </c>
      <c r="K74" s="1" t="s">
        <v>177</v>
      </c>
      <c r="L74" s="1" t="s">
        <v>178</v>
      </c>
      <c r="M74" s="1" t="s">
        <v>237</v>
      </c>
      <c r="N74" s="12" t="s">
        <v>239</v>
      </c>
      <c r="O74" s="1" t="s">
        <v>86</v>
      </c>
      <c r="P74" s="1" t="s">
        <v>2</v>
      </c>
      <c r="Q74" s="1" t="s">
        <v>93</v>
      </c>
      <c r="R74" s="1">
        <v>2003</v>
      </c>
      <c r="S74" s="1">
        <v>4</v>
      </c>
      <c r="U74" s="1" t="s">
        <v>2</v>
      </c>
      <c r="V74" s="1">
        <v>12</v>
      </c>
      <c r="W74" s="1">
        <v>12</v>
      </c>
      <c r="X74" s="1" t="s">
        <v>134</v>
      </c>
      <c r="Y74" s="1" t="s">
        <v>147</v>
      </c>
      <c r="Z74" s="1" t="s">
        <v>0</v>
      </c>
      <c r="AA74" s="1" t="s">
        <v>98</v>
      </c>
      <c r="AB74" s="1" t="s">
        <v>159</v>
      </c>
      <c r="AC74" s="1" t="s">
        <v>144</v>
      </c>
      <c r="AD74" s="1" t="s">
        <v>100</v>
      </c>
      <c r="AE74" s="1" t="s">
        <v>107</v>
      </c>
      <c r="AF74" s="1" t="s">
        <v>335</v>
      </c>
      <c r="AG74" s="1">
        <v>60</v>
      </c>
      <c r="AH74" s="1">
        <f>AI74*SQRT(W74)</f>
        <v>32.943606359960043</v>
      </c>
      <c r="AI74" s="1">
        <v>9.51</v>
      </c>
      <c r="AJ74" s="1">
        <v>55</v>
      </c>
      <c r="AK74" s="1">
        <f>AL74*SQRT(V74)</f>
        <v>25.426505855111117</v>
      </c>
      <c r="AL74" s="1">
        <v>7.34</v>
      </c>
      <c r="AM74" s="12">
        <f t="shared" si="153"/>
        <v>5</v>
      </c>
      <c r="AN74" s="1">
        <f>SQRT((((W74-1)*AH74^2)+((V74-1)*AK74^2))/(W74+V74-2))</f>
        <v>29.426080269040252</v>
      </c>
      <c r="AO74" s="1">
        <f t="shared" si="2"/>
        <v>0.16991729629924909</v>
      </c>
      <c r="AP74" s="1">
        <f>1/W74+1/V74+(AO74^2)/(2*(W74+V74))</f>
        <v>0.16726816432461764</v>
      </c>
      <c r="AQ74" s="1">
        <f>1-(3/(4*(W74+V74-2)-1))</f>
        <v>0.96551724137931039</v>
      </c>
      <c r="AR74" s="21">
        <f t="shared" si="41"/>
        <v>0.1640580791854819</v>
      </c>
      <c r="AS74" s="21">
        <f t="shared" ref="AS74:AS77" si="178">AP74*(AQ74^2)</f>
        <v>0.15593132084482789</v>
      </c>
      <c r="AT74" s="21">
        <f t="shared" si="43"/>
        <v>0.39488140098620483</v>
      </c>
      <c r="AU74" s="20">
        <f t="shared" ref="AU74:AU77" si="179">1/AS74</f>
        <v>6.4130797750064028</v>
      </c>
      <c r="AV74" s="20">
        <f t="shared" ref="AV74:AV77" si="180">AR74/AS74</f>
        <v>1.0521175495508128</v>
      </c>
      <c r="AW74" s="20">
        <f t="shared" ref="AW74:AW77" si="181">((AR74)^2)/AS74</f>
        <v>0.17260838425664243</v>
      </c>
      <c r="AX74" s="14"/>
      <c r="AY74" s="14"/>
      <c r="AZ74" s="1" t="s">
        <v>271</v>
      </c>
      <c r="BA74" s="2"/>
    </row>
    <row r="75" spans="1:53" ht="14.25" hidden="1" customHeight="1">
      <c r="A75" s="2">
        <v>11</v>
      </c>
      <c r="B75" s="2" t="s">
        <v>3</v>
      </c>
      <c r="C75" s="1" t="s">
        <v>91</v>
      </c>
      <c r="D75" s="1">
        <v>2010</v>
      </c>
      <c r="E75" s="1">
        <v>2007</v>
      </c>
      <c r="F75" s="1" t="s">
        <v>92</v>
      </c>
      <c r="G75" s="1" t="s">
        <v>109</v>
      </c>
      <c r="H75" s="1">
        <v>39.831530000000001</v>
      </c>
      <c r="I75" s="1">
        <v>-7.8358790000000003</v>
      </c>
      <c r="J75" s="1" t="s">
        <v>135</v>
      </c>
      <c r="K75" s="1" t="s">
        <v>177</v>
      </c>
      <c r="L75" s="1" t="s">
        <v>178</v>
      </c>
      <c r="M75" s="1" t="s">
        <v>237</v>
      </c>
      <c r="N75" s="12" t="s">
        <v>239</v>
      </c>
      <c r="O75" s="1" t="s">
        <v>86</v>
      </c>
      <c r="P75" s="1" t="s">
        <v>2</v>
      </c>
      <c r="Q75" s="1" t="s">
        <v>93</v>
      </c>
      <c r="R75" s="1">
        <v>2003</v>
      </c>
      <c r="S75" s="1">
        <v>4</v>
      </c>
      <c r="U75" s="1" t="s">
        <v>2</v>
      </c>
      <c r="V75" s="1">
        <v>12</v>
      </c>
      <c r="W75" s="1">
        <v>12</v>
      </c>
      <c r="X75" s="1" t="s">
        <v>134</v>
      </c>
      <c r="Y75" s="1" t="s">
        <v>147</v>
      </c>
      <c r="Z75" s="1" t="s">
        <v>0</v>
      </c>
      <c r="AA75" s="1" t="s">
        <v>98</v>
      </c>
      <c r="AB75" s="1" t="s">
        <v>159</v>
      </c>
      <c r="AC75" s="1" t="s">
        <v>144</v>
      </c>
      <c r="AD75" s="1" t="s">
        <v>100</v>
      </c>
      <c r="AE75" s="1" t="s">
        <v>149</v>
      </c>
      <c r="AF75" s="1" t="s">
        <v>335</v>
      </c>
      <c r="AG75" s="1">
        <v>0.4</v>
      </c>
      <c r="AH75" s="1">
        <f t="shared" ref="AH75:AH82" si="182">AI75*SQRT(W75)</f>
        <v>0.3013768405169846</v>
      </c>
      <c r="AI75" s="1">
        <v>8.6999999999999994E-2</v>
      </c>
      <c r="AJ75" s="1">
        <v>0.45</v>
      </c>
      <c r="AK75" s="1">
        <f t="shared" ref="AK75:AK82" si="183">AL75*SQRT(V75)</f>
        <v>0.38797938089542849</v>
      </c>
      <c r="AL75" s="1">
        <v>0.112</v>
      </c>
      <c r="AM75" s="12">
        <f t="shared" si="153"/>
        <v>-4.9999999999999989E-2</v>
      </c>
      <c r="AN75" s="1">
        <f>SQRT((((W75-1)*AH75^2)+((V75-1)*AK75^2))/(W75+V75-2))</f>
        <v>0.34738739182647371</v>
      </c>
      <c r="AO75" s="1">
        <f t="shared" si="2"/>
        <v>-0.14393153343048182</v>
      </c>
      <c r="AP75" s="1">
        <f>1/W75+1/V75+(AO75^2)/(2*(W75+V75))</f>
        <v>0.16709825596490938</v>
      </c>
      <c r="AQ75" s="1">
        <f>1-(3/(4*(W75+V75-2)-1))</f>
        <v>0.96551724137931039</v>
      </c>
      <c r="AR75" s="21">
        <f t="shared" si="41"/>
        <v>-0.13896837710529281</v>
      </c>
      <c r="AS75" s="21">
        <f t="shared" si="178"/>
        <v>0.15577292827168723</v>
      </c>
      <c r="AT75" s="21">
        <f t="shared" si="43"/>
        <v>0.39468079288418284</v>
      </c>
      <c r="AU75" s="20">
        <f t="shared" si="179"/>
        <v>6.4196007040188423</v>
      </c>
      <c r="AV75" s="20">
        <f t="shared" si="180"/>
        <v>-0.89212149150149367</v>
      </c>
      <c r="AW75" s="20">
        <f t="shared" si="181"/>
        <v>0.12397667585471585</v>
      </c>
      <c r="AX75" s="14"/>
      <c r="AY75" s="14"/>
      <c r="AZ75" s="1" t="s">
        <v>271</v>
      </c>
      <c r="BA75" s="2"/>
    </row>
    <row r="76" spans="1:53" ht="14.1" hidden="1" customHeight="1">
      <c r="A76" s="2">
        <v>11</v>
      </c>
      <c r="B76" s="2" t="s">
        <v>3</v>
      </c>
      <c r="C76" s="1" t="s">
        <v>91</v>
      </c>
      <c r="D76" s="1">
        <v>2010</v>
      </c>
      <c r="E76" s="1">
        <v>2007</v>
      </c>
      <c r="F76" s="1" t="s">
        <v>92</v>
      </c>
      <c r="G76" s="1" t="s">
        <v>109</v>
      </c>
      <c r="H76" s="1">
        <v>39.831530000000001</v>
      </c>
      <c r="I76" s="1">
        <v>-7.8358790000000003</v>
      </c>
      <c r="J76" s="1" t="s">
        <v>135</v>
      </c>
      <c r="K76" s="1" t="s">
        <v>177</v>
      </c>
      <c r="L76" s="1" t="s">
        <v>178</v>
      </c>
      <c r="M76" s="1" t="s">
        <v>237</v>
      </c>
      <c r="N76" s="12" t="s">
        <v>239</v>
      </c>
      <c r="O76" s="1" t="s">
        <v>86</v>
      </c>
      <c r="P76" s="1" t="s">
        <v>2</v>
      </c>
      <c r="Q76" s="1" t="s">
        <v>93</v>
      </c>
      <c r="R76" s="1">
        <v>2003</v>
      </c>
      <c r="S76" s="1">
        <v>4</v>
      </c>
      <c r="U76" s="1" t="s">
        <v>2</v>
      </c>
      <c r="V76" s="1">
        <v>12</v>
      </c>
      <c r="W76" s="1">
        <v>12</v>
      </c>
      <c r="X76" s="1" t="s">
        <v>134</v>
      </c>
      <c r="Y76" s="1" t="s">
        <v>147</v>
      </c>
      <c r="Z76" s="1" t="s">
        <v>0</v>
      </c>
      <c r="AA76" s="1" t="s">
        <v>98</v>
      </c>
      <c r="AB76" s="1" t="s">
        <v>159</v>
      </c>
      <c r="AC76" s="1" t="s">
        <v>144</v>
      </c>
      <c r="AD76" s="1" t="s">
        <v>100</v>
      </c>
      <c r="AE76" s="1" t="s">
        <v>223</v>
      </c>
      <c r="AF76" s="1" t="s">
        <v>335</v>
      </c>
      <c r="AG76" s="1">
        <v>2.57</v>
      </c>
      <c r="AH76" s="1">
        <f t="shared" si="182"/>
        <v>1.2782534959858314</v>
      </c>
      <c r="AI76" s="1">
        <v>0.36899999999999999</v>
      </c>
      <c r="AJ76" s="1">
        <v>2.5</v>
      </c>
      <c r="AK76" s="1">
        <f t="shared" si="183"/>
        <v>0.57850496972800503</v>
      </c>
      <c r="AL76" s="1">
        <v>0.16700000000000001</v>
      </c>
      <c r="AM76" s="12">
        <f t="shared" si="153"/>
        <v>6.999999999999984E-2</v>
      </c>
      <c r="AN76" s="1">
        <f>SQRT((((W76-1)*AH76^2)+((V76-1)*AK76^2))/(W76+V76-2))</f>
        <v>0.99211894448196081</v>
      </c>
      <c r="AO76" s="1">
        <f t="shared" si="2"/>
        <v>7.055605619601453E-2</v>
      </c>
      <c r="AP76" s="1">
        <f>1/W76+1/V76+(AO76^2)/(2*(W76+V76))</f>
        <v>0.16677037827220698</v>
      </c>
      <c r="AQ76" s="1">
        <f>1-(3/(4*(W76+V76-2)-1))</f>
        <v>0.96551724137931039</v>
      </c>
      <c r="AR76" s="21">
        <f t="shared" si="41"/>
        <v>6.8123088740979554E-2</v>
      </c>
      <c r="AS76" s="21">
        <f t="shared" si="178"/>
        <v>0.15546727296719415</v>
      </c>
      <c r="AT76" s="21">
        <f t="shared" si="43"/>
        <v>0.39429338438172423</v>
      </c>
      <c r="AU76" s="20">
        <f t="shared" si="179"/>
        <v>6.4322219134249208</v>
      </c>
      <c r="AV76" s="20">
        <f t="shared" si="180"/>
        <v>0.43818282420991916</v>
      </c>
      <c r="AW76" s="20">
        <f t="shared" si="181"/>
        <v>2.9850367418425366E-2</v>
      </c>
      <c r="AX76" s="14"/>
      <c r="AY76" s="14"/>
      <c r="AZ76" s="1" t="s">
        <v>271</v>
      </c>
      <c r="BA76" s="2"/>
    </row>
    <row r="77" spans="1:53" ht="14.25" hidden="1" customHeight="1">
      <c r="A77" s="2">
        <v>11</v>
      </c>
      <c r="B77" s="2" t="s">
        <v>3</v>
      </c>
      <c r="C77" s="1" t="s">
        <v>91</v>
      </c>
      <c r="D77" s="1">
        <v>2010</v>
      </c>
      <c r="E77" s="1">
        <v>2007</v>
      </c>
      <c r="F77" s="1" t="s">
        <v>92</v>
      </c>
      <c r="G77" s="1" t="s">
        <v>109</v>
      </c>
      <c r="H77" s="1">
        <v>39.831530000000001</v>
      </c>
      <c r="I77" s="1">
        <v>-7.8358790000000003</v>
      </c>
      <c r="J77" s="1" t="s">
        <v>135</v>
      </c>
      <c r="K77" s="1" t="s">
        <v>177</v>
      </c>
      <c r="L77" s="1" t="s">
        <v>178</v>
      </c>
      <c r="M77" s="1" t="s">
        <v>237</v>
      </c>
      <c r="N77" s="12" t="s">
        <v>239</v>
      </c>
      <c r="O77" s="1" t="s">
        <v>86</v>
      </c>
      <c r="P77" s="1" t="s">
        <v>2</v>
      </c>
      <c r="Q77" s="1" t="s">
        <v>93</v>
      </c>
      <c r="R77" s="1">
        <v>2003</v>
      </c>
      <c r="S77" s="1">
        <v>4</v>
      </c>
      <c r="U77" s="1" t="s">
        <v>2</v>
      </c>
      <c r="V77" s="1">
        <v>12</v>
      </c>
      <c r="W77" s="1">
        <v>12</v>
      </c>
      <c r="X77" s="1" t="s">
        <v>134</v>
      </c>
      <c r="Y77" s="1" t="s">
        <v>147</v>
      </c>
      <c r="Z77" s="1" t="s">
        <v>0</v>
      </c>
      <c r="AA77" s="1" t="s">
        <v>98</v>
      </c>
      <c r="AB77" s="1" t="s">
        <v>159</v>
      </c>
      <c r="AC77" s="1" t="s">
        <v>144</v>
      </c>
      <c r="AD77" s="1" t="s">
        <v>100</v>
      </c>
      <c r="AE77" s="1" t="s">
        <v>353</v>
      </c>
      <c r="AF77" s="1" t="s">
        <v>335</v>
      </c>
      <c r="AG77" s="1">
        <v>0.39</v>
      </c>
      <c r="AH77" s="1">
        <f t="shared" si="182"/>
        <v>0.24941531628991831</v>
      </c>
      <c r="AI77" s="1">
        <v>7.1999999999999995E-2</v>
      </c>
      <c r="AJ77" s="1">
        <v>0.45</v>
      </c>
      <c r="AK77" s="1">
        <f t="shared" si="183"/>
        <v>0.33255375505322443</v>
      </c>
      <c r="AL77" s="1">
        <v>9.6000000000000002E-2</v>
      </c>
      <c r="AM77" s="12">
        <f t="shared" si="153"/>
        <v>-0.06</v>
      </c>
      <c r="AN77" s="1">
        <f>SQRT((((W77-1)*AG77^2)+((V77-1)*AK77^2))/(W77+V77-2))</f>
        <v>0.36241688702376995</v>
      </c>
      <c r="AO77" s="1">
        <f t="shared" si="2"/>
        <v>-0.16555519940787075</v>
      </c>
      <c r="AP77" s="1">
        <f>1/W77+1/V77+(AO77^2)/(2*(W77+V77))</f>
        <v>0.16723767758439539</v>
      </c>
      <c r="AQ77" s="1">
        <f>1-(3/(4*(W77+V77-2)-1))</f>
        <v>0.96551724137931039</v>
      </c>
      <c r="AR77" s="21">
        <f t="shared" si="41"/>
        <v>-0.15984639942828902</v>
      </c>
      <c r="AS77" s="21">
        <f t="shared" si="178"/>
        <v>0.15590290038783117</v>
      </c>
      <c r="AT77" s="21">
        <f t="shared" si="43"/>
        <v>0.39484541327946454</v>
      </c>
      <c r="AU77" s="20">
        <f t="shared" si="179"/>
        <v>6.4142488530511903</v>
      </c>
      <c r="AV77" s="20">
        <f t="shared" si="180"/>
        <v>-1.0252945841972652</v>
      </c>
      <c r="AW77" s="20">
        <f t="shared" si="181"/>
        <v>0.16388964763725755</v>
      </c>
      <c r="AX77" s="14"/>
      <c r="AY77" s="14"/>
      <c r="AZ77" s="1" t="s">
        <v>271</v>
      </c>
      <c r="BA77" s="2"/>
    </row>
    <row r="78" spans="1:53" ht="14.25" hidden="1" customHeight="1">
      <c r="A78" s="2">
        <v>11</v>
      </c>
      <c r="B78" s="2" t="s">
        <v>3</v>
      </c>
      <c r="C78" s="1" t="s">
        <v>91</v>
      </c>
      <c r="D78" s="1">
        <v>2010</v>
      </c>
      <c r="E78" s="1">
        <v>2007</v>
      </c>
      <c r="F78" s="1" t="s">
        <v>92</v>
      </c>
      <c r="G78" s="1" t="s">
        <v>109</v>
      </c>
      <c r="H78" s="1">
        <v>39.831530000000001</v>
      </c>
      <c r="I78" s="1">
        <v>-7.8358790000000003</v>
      </c>
      <c r="J78" s="1" t="s">
        <v>135</v>
      </c>
      <c r="K78" s="1" t="s">
        <v>177</v>
      </c>
      <c r="L78" s="1" t="s">
        <v>178</v>
      </c>
      <c r="M78" s="1" t="s">
        <v>237</v>
      </c>
      <c r="N78" s="12" t="s">
        <v>239</v>
      </c>
      <c r="O78" s="1" t="s">
        <v>86</v>
      </c>
      <c r="P78" s="1" t="s">
        <v>2</v>
      </c>
      <c r="Q78" s="1" t="s">
        <v>93</v>
      </c>
      <c r="R78" s="1">
        <v>2003</v>
      </c>
      <c r="S78" s="1">
        <v>4</v>
      </c>
      <c r="U78" s="1" t="s">
        <v>2</v>
      </c>
      <c r="V78" s="1">
        <v>12</v>
      </c>
      <c r="W78" s="1">
        <v>12</v>
      </c>
      <c r="X78" s="1" t="s">
        <v>134</v>
      </c>
      <c r="Y78" s="1" t="s">
        <v>147</v>
      </c>
      <c r="Z78" s="1" t="s">
        <v>0</v>
      </c>
      <c r="AA78" s="1" t="s">
        <v>98</v>
      </c>
      <c r="AB78" s="1" t="s">
        <v>159</v>
      </c>
      <c r="AC78" s="1" t="s">
        <v>144</v>
      </c>
      <c r="AD78" s="1" t="s">
        <v>100</v>
      </c>
      <c r="AE78" s="1" t="s">
        <v>291</v>
      </c>
      <c r="AF78" s="1" t="s">
        <v>322</v>
      </c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" t="s">
        <v>286</v>
      </c>
    </row>
    <row r="79" spans="1:53" ht="14.25" hidden="1" customHeight="1">
      <c r="A79" s="2">
        <v>11</v>
      </c>
      <c r="B79" s="2" t="s">
        <v>3</v>
      </c>
      <c r="C79" s="1" t="s">
        <v>91</v>
      </c>
      <c r="D79" s="1">
        <v>2010</v>
      </c>
      <c r="E79" s="1">
        <v>2007</v>
      </c>
      <c r="F79" s="1" t="s">
        <v>92</v>
      </c>
      <c r="G79" s="1" t="s">
        <v>109</v>
      </c>
      <c r="H79" s="1">
        <v>39.831530000000001</v>
      </c>
      <c r="I79" s="1">
        <v>-7.8358790000000003</v>
      </c>
      <c r="J79" s="1" t="s">
        <v>135</v>
      </c>
      <c r="K79" s="1" t="s">
        <v>179</v>
      </c>
      <c r="L79" s="1" t="s">
        <v>180</v>
      </c>
      <c r="M79" s="1" t="s">
        <v>238</v>
      </c>
      <c r="N79" s="12" t="s">
        <v>239</v>
      </c>
      <c r="O79" s="1" t="s">
        <v>86</v>
      </c>
      <c r="P79" s="1" t="s">
        <v>2</v>
      </c>
      <c r="Q79" s="1" t="s">
        <v>93</v>
      </c>
      <c r="R79" s="1">
        <v>2003</v>
      </c>
      <c r="S79" s="1">
        <v>4</v>
      </c>
      <c r="U79" s="1" t="s">
        <v>2</v>
      </c>
      <c r="V79" s="1">
        <v>11</v>
      </c>
      <c r="W79" s="1">
        <v>11</v>
      </c>
      <c r="X79" s="1" t="s">
        <v>134</v>
      </c>
      <c r="Y79" s="1" t="s">
        <v>147</v>
      </c>
      <c r="Z79" s="1" t="s">
        <v>0</v>
      </c>
      <c r="AA79" s="1" t="s">
        <v>98</v>
      </c>
      <c r="AB79" s="1" t="s">
        <v>159</v>
      </c>
      <c r="AC79" s="1" t="s">
        <v>144</v>
      </c>
      <c r="AD79" s="1" t="s">
        <v>100</v>
      </c>
      <c r="AE79" s="1" t="s">
        <v>107</v>
      </c>
      <c r="AF79" s="1" t="s">
        <v>335</v>
      </c>
      <c r="AG79" s="1">
        <v>59.1</v>
      </c>
      <c r="AH79" s="1">
        <f t="shared" si="182"/>
        <v>22.553048574416717</v>
      </c>
      <c r="AI79" s="1">
        <v>6.8</v>
      </c>
      <c r="AJ79" s="1">
        <v>42.5</v>
      </c>
      <c r="AK79" s="1">
        <f t="shared" si="183"/>
        <v>22.884711053452261</v>
      </c>
      <c r="AL79" s="1">
        <v>6.9</v>
      </c>
      <c r="AM79" s="12">
        <f t="shared" si="153"/>
        <v>16.600000000000001</v>
      </c>
      <c r="AN79" s="1">
        <f>SQRT((((W79-1)*AH79^2)+((V79-1)*AK79^2))/(W79+V79-2))</f>
        <v>22.719485029375114</v>
      </c>
      <c r="AO79" s="1">
        <f t="shared" si="2"/>
        <v>0.7306503637092594</v>
      </c>
      <c r="AP79" s="1">
        <f>1/W79+1/V79+(AO79^2)/(2*(W79+V79))</f>
        <v>0.19395113531791985</v>
      </c>
      <c r="AQ79" s="1">
        <f>1-(3/(4*(W79+V79-2)-1))</f>
        <v>0.96202531645569622</v>
      </c>
      <c r="AR79" s="21">
        <f t="shared" si="41"/>
        <v>0.70290414736586981</v>
      </c>
      <c r="AS79" s="21">
        <f t="shared" ref="AS79:AS82" si="184">AP79*(AQ79^2)</f>
        <v>0.17950036173630912</v>
      </c>
      <c r="AT79" s="21">
        <f t="shared" si="43"/>
        <v>0.42367483018974483</v>
      </c>
      <c r="AU79" s="20">
        <f t="shared" ref="AU79:AU82" si="185">1/AS79</f>
        <v>5.5710194137047315</v>
      </c>
      <c r="AV79" s="20">
        <f t="shared" ref="AV79:AV82" si="186">AR79/AS79</f>
        <v>3.9158926509488321</v>
      </c>
      <c r="AW79" s="20">
        <f t="shared" ref="AW79:AW82" si="187">((AR79)^2)/AS79</f>
        <v>2.7524971849914643</v>
      </c>
      <c r="AX79" s="14"/>
      <c r="AY79" s="14"/>
      <c r="AZ79" s="1" t="s">
        <v>271</v>
      </c>
      <c r="BA79" s="2"/>
    </row>
    <row r="80" spans="1:53" ht="14.25" hidden="1" customHeight="1">
      <c r="A80" s="2">
        <v>11</v>
      </c>
      <c r="B80" s="2" t="s">
        <v>3</v>
      </c>
      <c r="C80" s="1" t="s">
        <v>91</v>
      </c>
      <c r="D80" s="1">
        <v>2010</v>
      </c>
      <c r="E80" s="1">
        <v>2007</v>
      </c>
      <c r="F80" s="1" t="s">
        <v>92</v>
      </c>
      <c r="G80" s="1" t="s">
        <v>109</v>
      </c>
      <c r="H80" s="1">
        <v>39.831530000000001</v>
      </c>
      <c r="I80" s="1">
        <v>-7.8358790000000003</v>
      </c>
      <c r="J80" s="1" t="s">
        <v>135</v>
      </c>
      <c r="K80" s="1" t="s">
        <v>179</v>
      </c>
      <c r="L80" s="1" t="s">
        <v>180</v>
      </c>
      <c r="M80" s="1" t="s">
        <v>238</v>
      </c>
      <c r="N80" s="12" t="s">
        <v>239</v>
      </c>
      <c r="O80" s="1" t="s">
        <v>86</v>
      </c>
      <c r="P80" s="1" t="s">
        <v>2</v>
      </c>
      <c r="Q80" s="1" t="s">
        <v>93</v>
      </c>
      <c r="R80" s="1">
        <v>2003</v>
      </c>
      <c r="S80" s="1">
        <v>4</v>
      </c>
      <c r="U80" s="1" t="s">
        <v>2</v>
      </c>
      <c r="V80" s="1">
        <v>11</v>
      </c>
      <c r="W80" s="1">
        <v>11</v>
      </c>
      <c r="X80" s="1" t="s">
        <v>134</v>
      </c>
      <c r="Y80" s="1" t="s">
        <v>147</v>
      </c>
      <c r="Z80" s="1" t="s">
        <v>0</v>
      </c>
      <c r="AA80" s="1" t="s">
        <v>98</v>
      </c>
      <c r="AB80" s="1" t="s">
        <v>159</v>
      </c>
      <c r="AC80" s="1" t="s">
        <v>144</v>
      </c>
      <c r="AD80" s="1" t="s">
        <v>100</v>
      </c>
      <c r="AE80" s="1" t="s">
        <v>149</v>
      </c>
      <c r="AF80" s="1" t="s">
        <v>335</v>
      </c>
      <c r="AG80" s="1">
        <v>0.24</v>
      </c>
      <c r="AH80" s="1">
        <f>AI80*SQRT(W80)</f>
        <v>0.19236423784061321</v>
      </c>
      <c r="AI80" s="1">
        <v>5.8000000000000003E-2</v>
      </c>
      <c r="AJ80" s="1">
        <v>0.52</v>
      </c>
      <c r="AK80" s="1">
        <f t="shared" si="183"/>
        <v>0.39467835005229257</v>
      </c>
      <c r="AL80" s="1">
        <v>0.11899999999999999</v>
      </c>
      <c r="AM80" s="12">
        <f t="shared" si="153"/>
        <v>-0.28000000000000003</v>
      </c>
      <c r="AN80" s="1">
        <f>SQRT((((W80-1)*AH80^2)+((V80-1)*AK80^2))/(W80+V80-2))</f>
        <v>0.3104633633780321</v>
      </c>
      <c r="AO80" s="1">
        <f t="shared" ref="AO80:AO179" si="188">AM80/AN80</f>
        <v>-0.9018777512213616</v>
      </c>
      <c r="AP80" s="1">
        <f>1/W80+1/V80+(AO80^2)/(2*(W80+V80))</f>
        <v>0.20030416995791137</v>
      </c>
      <c r="AQ80" s="1">
        <f>1-(3/(4*(W80+V80-2)-1))</f>
        <v>0.96202531645569622</v>
      </c>
      <c r="AR80" s="21">
        <f t="shared" si="41"/>
        <v>-0.86762922902308204</v>
      </c>
      <c r="AS80" s="21">
        <f t="shared" si="184"/>
        <v>0.1853800489788329</v>
      </c>
      <c r="AT80" s="21">
        <f t="shared" si="43"/>
        <v>0.43055783465039038</v>
      </c>
      <c r="AU80" s="20">
        <f t="shared" si="185"/>
        <v>5.3943237446990979</v>
      </c>
      <c r="AV80" s="20">
        <f t="shared" si="186"/>
        <v>-4.6802729517141826</v>
      </c>
      <c r="AW80" s="20">
        <f t="shared" si="187"/>
        <v>4.0607416127133611</v>
      </c>
      <c r="AX80" s="14"/>
      <c r="AY80" s="14"/>
      <c r="AZ80" s="1" t="s">
        <v>271</v>
      </c>
      <c r="BA80" s="2"/>
    </row>
    <row r="81" spans="1:53" ht="14.25" hidden="1" customHeight="1">
      <c r="A81" s="2">
        <v>11</v>
      </c>
      <c r="B81" s="2" t="s">
        <v>3</v>
      </c>
      <c r="C81" s="1" t="s">
        <v>91</v>
      </c>
      <c r="D81" s="1">
        <v>2010</v>
      </c>
      <c r="E81" s="1">
        <v>2007</v>
      </c>
      <c r="F81" s="1" t="s">
        <v>92</v>
      </c>
      <c r="G81" s="1" t="s">
        <v>109</v>
      </c>
      <c r="H81" s="1">
        <v>39.831530000000001</v>
      </c>
      <c r="I81" s="1">
        <v>-7.8358790000000003</v>
      </c>
      <c r="J81" s="1" t="s">
        <v>135</v>
      </c>
      <c r="K81" s="1" t="s">
        <v>179</v>
      </c>
      <c r="L81" s="1" t="s">
        <v>180</v>
      </c>
      <c r="M81" s="1" t="s">
        <v>238</v>
      </c>
      <c r="N81" s="12" t="s">
        <v>239</v>
      </c>
      <c r="O81" s="1" t="s">
        <v>86</v>
      </c>
      <c r="P81" s="1" t="s">
        <v>2</v>
      </c>
      <c r="Q81" s="1" t="s">
        <v>93</v>
      </c>
      <c r="R81" s="1">
        <v>2003</v>
      </c>
      <c r="S81" s="1">
        <v>4</v>
      </c>
      <c r="U81" s="1" t="s">
        <v>2</v>
      </c>
      <c r="V81" s="1">
        <v>11</v>
      </c>
      <c r="W81" s="1">
        <v>11</v>
      </c>
      <c r="X81" s="1" t="s">
        <v>134</v>
      </c>
      <c r="Y81" s="1" t="s">
        <v>147</v>
      </c>
      <c r="Z81" s="1" t="s">
        <v>0</v>
      </c>
      <c r="AA81" s="1" t="s">
        <v>98</v>
      </c>
      <c r="AB81" s="1" t="s">
        <v>159</v>
      </c>
      <c r="AC81" s="1" t="s">
        <v>144</v>
      </c>
      <c r="AD81" s="1" t="s">
        <v>100</v>
      </c>
      <c r="AE81" s="1" t="s">
        <v>223</v>
      </c>
      <c r="AF81" s="1" t="s">
        <v>335</v>
      </c>
      <c r="AG81" s="1">
        <v>2</v>
      </c>
      <c r="AH81" s="1">
        <f t="shared" si="182"/>
        <v>0</v>
      </c>
      <c r="AI81" s="1">
        <v>0</v>
      </c>
      <c r="AJ81" s="1">
        <v>2.6</v>
      </c>
      <c r="AK81" s="1">
        <f>AL81*SQRT(V81)</f>
        <v>0.88553881902489184</v>
      </c>
      <c r="AL81" s="1">
        <v>0.26700000000000002</v>
      </c>
      <c r="AM81" s="12">
        <f t="shared" si="153"/>
        <v>-0.60000000000000009</v>
      </c>
      <c r="AN81" s="1">
        <f>SQRT((((W81-1)*AH81^2)+((V81-1)*AL81^2))/(W81+V81-2))</f>
        <v>0.18879751057680819</v>
      </c>
      <c r="AO81" s="1">
        <f t="shared" si="188"/>
        <v>-3.1780080053327984</v>
      </c>
      <c r="AP81" s="1">
        <f>1/W81+1/V81+(AO81^2)/(2*(W81+V81))</f>
        <v>0.41135761095362167</v>
      </c>
      <c r="AQ81" s="1">
        <f>1-(3/(4*(W81+V81-2)-1))</f>
        <v>0.96202531645569622</v>
      </c>
      <c r="AR81" s="21">
        <f t="shared" si="41"/>
        <v>-3.0573241570290213</v>
      </c>
      <c r="AS81" s="21">
        <f t="shared" si="184"/>
        <v>0.38070846993560631</v>
      </c>
      <c r="AT81" s="21">
        <f t="shared" si="43"/>
        <v>0.61701577770394678</v>
      </c>
      <c r="AU81" s="20">
        <f t="shared" si="185"/>
        <v>2.6266817761347463</v>
      </c>
      <c r="AV81" s="20">
        <f t="shared" si="186"/>
        <v>-8.0306176470046555</v>
      </c>
      <c r="AW81" s="20">
        <f t="shared" si="187"/>
        <v>24.552201328050888</v>
      </c>
      <c r="AX81" s="14"/>
      <c r="AY81" s="14"/>
      <c r="AZ81" s="1" t="s">
        <v>271</v>
      </c>
      <c r="BA81" s="2"/>
    </row>
    <row r="82" spans="1:53" ht="14.25" hidden="1" customHeight="1">
      <c r="A82" s="2">
        <v>11</v>
      </c>
      <c r="B82" s="2" t="s">
        <v>3</v>
      </c>
      <c r="C82" s="1" t="s">
        <v>91</v>
      </c>
      <c r="D82" s="1">
        <v>2010</v>
      </c>
      <c r="E82" s="1">
        <v>2007</v>
      </c>
      <c r="F82" s="1" t="s">
        <v>92</v>
      </c>
      <c r="G82" s="1" t="s">
        <v>109</v>
      </c>
      <c r="H82" s="1">
        <v>39.831530000000001</v>
      </c>
      <c r="I82" s="1">
        <v>-7.8358790000000003</v>
      </c>
      <c r="J82" s="1" t="s">
        <v>135</v>
      </c>
      <c r="K82" s="1" t="s">
        <v>179</v>
      </c>
      <c r="L82" s="1" t="s">
        <v>180</v>
      </c>
      <c r="M82" s="1" t="s">
        <v>238</v>
      </c>
      <c r="N82" s="12" t="s">
        <v>239</v>
      </c>
      <c r="O82" s="1" t="s">
        <v>86</v>
      </c>
      <c r="P82" s="1" t="s">
        <v>2</v>
      </c>
      <c r="Q82" s="1" t="s">
        <v>93</v>
      </c>
      <c r="R82" s="1">
        <v>2003</v>
      </c>
      <c r="S82" s="1">
        <v>4</v>
      </c>
      <c r="U82" s="1" t="s">
        <v>2</v>
      </c>
      <c r="V82" s="1">
        <v>11</v>
      </c>
      <c r="W82" s="1">
        <v>11</v>
      </c>
      <c r="X82" s="1" t="s">
        <v>134</v>
      </c>
      <c r="Y82" s="1" t="s">
        <v>147</v>
      </c>
      <c r="Z82" s="1" t="s">
        <v>0</v>
      </c>
      <c r="AA82" s="1" t="s">
        <v>98</v>
      </c>
      <c r="AB82" s="1" t="s">
        <v>159</v>
      </c>
      <c r="AC82" s="1" t="s">
        <v>144</v>
      </c>
      <c r="AD82" s="1" t="s">
        <v>100</v>
      </c>
      <c r="AE82" s="1" t="s">
        <v>353</v>
      </c>
      <c r="AF82" s="1" t="s">
        <v>335</v>
      </c>
      <c r="AG82" s="1">
        <v>0.35</v>
      </c>
      <c r="AH82" s="1">
        <f t="shared" si="182"/>
        <v>0.27859648238985363</v>
      </c>
      <c r="AI82" s="1">
        <v>8.4000000000000005E-2</v>
      </c>
      <c r="AJ82" s="1">
        <v>0.44</v>
      </c>
      <c r="AK82" s="1">
        <f t="shared" si="183"/>
        <v>0.3780952261005156</v>
      </c>
      <c r="AL82" s="1">
        <v>0.114</v>
      </c>
      <c r="AM82" s="12">
        <f t="shared" si="153"/>
        <v>-9.0000000000000024E-2</v>
      </c>
      <c r="AN82" s="1">
        <f>SQRT((((W82-1)*AH82^2)+((V82-1)*AL82^2))/(W82+V82-2))</f>
        <v>0.21285206130080114</v>
      </c>
      <c r="AO82" s="1">
        <f t="shared" si="188"/>
        <v>-0.42282888617560821</v>
      </c>
      <c r="AP82" s="1">
        <f>1/W82+1/V82+(AO82^2)/(2*(W82+V82))</f>
        <v>0.18588146061328423</v>
      </c>
      <c r="AQ82" s="1">
        <f>1-(3/(4*(W82+V82-2)-1))</f>
        <v>0.96202531645569622</v>
      </c>
      <c r="AR82" s="21">
        <f t="shared" si="41"/>
        <v>-0.40677209302969902</v>
      </c>
      <c r="AS82" s="21">
        <f t="shared" si="184"/>
        <v>0.1720319366291187</v>
      </c>
      <c r="AT82" s="21">
        <f t="shared" si="43"/>
        <v>0.41476732830482044</v>
      </c>
      <c r="AU82" s="20">
        <f t="shared" si="185"/>
        <v>5.8128741650795126</v>
      </c>
      <c r="AV82" s="20">
        <f t="shared" si="186"/>
        <v>-2.3645149906476575</v>
      </c>
      <c r="AW82" s="20">
        <f t="shared" si="187"/>
        <v>0.96181871174584688</v>
      </c>
      <c r="AX82" s="14"/>
      <c r="AY82" s="14"/>
      <c r="AZ82" s="1" t="s">
        <v>271</v>
      </c>
      <c r="BA82" s="2"/>
    </row>
    <row r="83" spans="1:53" ht="14.25" hidden="1" customHeight="1">
      <c r="A83" s="2">
        <v>11</v>
      </c>
      <c r="B83" s="2" t="s">
        <v>3</v>
      </c>
      <c r="C83" s="1" t="s">
        <v>91</v>
      </c>
      <c r="D83" s="1">
        <v>2010</v>
      </c>
      <c r="E83" s="1">
        <v>2007</v>
      </c>
      <c r="F83" s="1" t="s">
        <v>92</v>
      </c>
      <c r="G83" s="1" t="s">
        <v>109</v>
      </c>
      <c r="H83" s="1">
        <v>39.831530000000001</v>
      </c>
      <c r="I83" s="1">
        <v>-7.8358790000000003</v>
      </c>
      <c r="J83" s="1" t="s">
        <v>135</v>
      </c>
      <c r="K83" s="1" t="s">
        <v>179</v>
      </c>
      <c r="L83" s="1" t="s">
        <v>180</v>
      </c>
      <c r="M83" s="1" t="s">
        <v>238</v>
      </c>
      <c r="N83" s="12" t="s">
        <v>239</v>
      </c>
      <c r="O83" s="1" t="s">
        <v>86</v>
      </c>
      <c r="P83" s="1" t="s">
        <v>2</v>
      </c>
      <c r="Q83" s="1" t="s">
        <v>93</v>
      </c>
      <c r="R83" s="1">
        <v>2003</v>
      </c>
      <c r="S83" s="1">
        <v>4</v>
      </c>
      <c r="U83" s="1" t="s">
        <v>2</v>
      </c>
      <c r="V83" s="1">
        <v>11</v>
      </c>
      <c r="W83" s="1">
        <v>11</v>
      </c>
      <c r="X83" s="1" t="s">
        <v>134</v>
      </c>
      <c r="Y83" s="1" t="s">
        <v>147</v>
      </c>
      <c r="Z83" s="1" t="s">
        <v>0</v>
      </c>
      <c r="AA83" s="1" t="s">
        <v>98</v>
      </c>
      <c r="AB83" s="1" t="s">
        <v>159</v>
      </c>
      <c r="AC83" s="1" t="s">
        <v>144</v>
      </c>
      <c r="AD83" s="1" t="s">
        <v>100</v>
      </c>
      <c r="AE83" s="12" t="s">
        <v>291</v>
      </c>
      <c r="AF83" s="12" t="s">
        <v>322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" t="s">
        <v>286</v>
      </c>
    </row>
    <row r="84" spans="1:53" s="12" customFormat="1" ht="14.25" hidden="1" customHeight="1">
      <c r="A84" s="2">
        <v>521</v>
      </c>
      <c r="B84" s="2" t="s">
        <v>67</v>
      </c>
      <c r="C84" s="12" t="s">
        <v>85</v>
      </c>
      <c r="D84" s="12">
        <v>2020</v>
      </c>
      <c r="E84" s="12">
        <v>2014</v>
      </c>
      <c r="F84" s="12" t="s">
        <v>120</v>
      </c>
      <c r="G84" s="12" t="s">
        <v>109</v>
      </c>
      <c r="H84" s="12">
        <v>41.696944000000002</v>
      </c>
      <c r="I84" s="12">
        <v>-6.2241109999999997</v>
      </c>
      <c r="J84" s="12" t="s">
        <v>128</v>
      </c>
      <c r="K84" s="12" t="s">
        <v>185</v>
      </c>
      <c r="L84" s="12" t="s">
        <v>186</v>
      </c>
      <c r="M84" s="12" t="s">
        <v>238</v>
      </c>
      <c r="N84" s="12" t="s">
        <v>239</v>
      </c>
      <c r="O84" s="12" t="s">
        <v>86</v>
      </c>
      <c r="Q84" s="12" t="s">
        <v>93</v>
      </c>
      <c r="R84" s="12">
        <v>2002</v>
      </c>
      <c r="S84" s="12">
        <v>8</v>
      </c>
      <c r="V84" s="12">
        <v>15</v>
      </c>
      <c r="W84" s="12">
        <v>15</v>
      </c>
      <c r="X84" s="12" t="s">
        <v>97</v>
      </c>
      <c r="Y84" s="1" t="s">
        <v>147</v>
      </c>
      <c r="Z84" s="12" t="s">
        <v>0</v>
      </c>
      <c r="AA84" s="12" t="s">
        <v>98</v>
      </c>
      <c r="AB84" s="12" t="s">
        <v>203</v>
      </c>
      <c r="AC84" s="12" t="s">
        <v>99</v>
      </c>
      <c r="AD84" s="12" t="s">
        <v>111</v>
      </c>
      <c r="AE84" s="12" t="s">
        <v>223</v>
      </c>
      <c r="AF84" s="12" t="s">
        <v>334</v>
      </c>
      <c r="AG84" s="12">
        <v>57.53</v>
      </c>
      <c r="AH84" s="12">
        <f>60.57-55.06</f>
        <v>5.509999999999998</v>
      </c>
      <c r="AJ84" s="12">
        <v>67.599999999999994</v>
      </c>
      <c r="AK84" s="12">
        <f>84.55-65.25</f>
        <v>19.299999999999997</v>
      </c>
      <c r="AM84" s="12">
        <f t="shared" si="153"/>
        <v>-10.069999999999993</v>
      </c>
      <c r="AN84" s="12">
        <f>SQRT((((W84-1)*AH84^2)+((V84-1)*AK84^2))/(W84+V84-2))</f>
        <v>14.192429319887415</v>
      </c>
      <c r="AO84" s="12">
        <f t="shared" si="188"/>
        <v>-0.70953321471816044</v>
      </c>
      <c r="AP84" s="12">
        <f>1/W84+1/V84+(AO84^2)/(2*(W84+V84))</f>
        <v>0.14172395637980478</v>
      </c>
      <c r="AQ84" s="12">
        <f>1-(3/(4*(W84+V84-2)-1))</f>
        <v>0.97297297297297303</v>
      </c>
      <c r="AR84" s="21">
        <f t="shared" si="41"/>
        <v>-0.69035664134739938</v>
      </c>
      <c r="AS84" s="21">
        <f>AP84*(AQ84^2)</f>
        <v>0.1341667256889898</v>
      </c>
      <c r="AT84" s="21">
        <f t="shared" si="43"/>
        <v>0.36628776349885045</v>
      </c>
      <c r="AU84" s="20">
        <f>1/AS84</f>
        <v>7.4534128701783144</v>
      </c>
      <c r="AV84" s="20">
        <f>AR84/AS84</f>
        <v>-5.1455130756317811</v>
      </c>
      <c r="AW84" s="20">
        <f>((AR84)^2)/AS84</f>
        <v>3.5522391249022833</v>
      </c>
      <c r="AX84" s="14"/>
      <c r="AY84" s="14"/>
      <c r="AZ84" s="12" t="s">
        <v>271</v>
      </c>
      <c r="BA84" s="2"/>
    </row>
    <row r="85" spans="1:53" s="12" customFormat="1" ht="14.25" hidden="1" customHeight="1">
      <c r="A85" s="2">
        <v>521</v>
      </c>
      <c r="B85" s="2" t="s">
        <v>67</v>
      </c>
      <c r="C85" s="12" t="s">
        <v>85</v>
      </c>
      <c r="D85" s="12">
        <v>2020</v>
      </c>
      <c r="E85" s="12">
        <v>2014</v>
      </c>
      <c r="F85" s="12" t="s">
        <v>120</v>
      </c>
      <c r="G85" s="12" t="s">
        <v>109</v>
      </c>
      <c r="H85" s="12">
        <v>41.696944000000002</v>
      </c>
      <c r="I85" s="12">
        <v>-6.2241109999999997</v>
      </c>
      <c r="J85" s="12" t="s">
        <v>128</v>
      </c>
      <c r="K85" s="12" t="s">
        <v>185</v>
      </c>
      <c r="L85" s="12" t="s">
        <v>186</v>
      </c>
      <c r="M85" s="12" t="s">
        <v>238</v>
      </c>
      <c r="N85" s="12" t="s">
        <v>239</v>
      </c>
      <c r="O85" s="12" t="s">
        <v>86</v>
      </c>
      <c r="Q85" s="12" t="s">
        <v>93</v>
      </c>
      <c r="R85" s="12">
        <v>2002</v>
      </c>
      <c r="S85" s="12">
        <v>8</v>
      </c>
      <c r="V85" s="12">
        <v>15</v>
      </c>
      <c r="W85" s="12">
        <v>15</v>
      </c>
      <c r="X85" s="12" t="s">
        <v>97</v>
      </c>
      <c r="Y85" s="1" t="s">
        <v>147</v>
      </c>
      <c r="Z85" s="12" t="s">
        <v>0</v>
      </c>
      <c r="AA85" s="12" t="s">
        <v>98</v>
      </c>
      <c r="AB85" s="12" t="s">
        <v>203</v>
      </c>
      <c r="AC85" s="12" t="s">
        <v>99</v>
      </c>
      <c r="AD85" s="12" t="s">
        <v>111</v>
      </c>
      <c r="AE85" s="12" t="s">
        <v>257</v>
      </c>
      <c r="AF85" s="12" t="s">
        <v>323</v>
      </c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2" t="s">
        <v>286</v>
      </c>
    </row>
    <row r="86" spans="1:53" s="12" customFormat="1" ht="14.25" hidden="1" customHeight="1">
      <c r="A86" s="2">
        <v>521</v>
      </c>
      <c r="B86" s="2" t="s">
        <v>67</v>
      </c>
      <c r="C86" s="12" t="s">
        <v>85</v>
      </c>
      <c r="D86" s="12">
        <v>2020</v>
      </c>
      <c r="E86" s="12">
        <v>2014</v>
      </c>
      <c r="F86" s="12" t="s">
        <v>120</v>
      </c>
      <c r="G86" s="12" t="s">
        <v>109</v>
      </c>
      <c r="H86" s="12">
        <v>41.696944000000002</v>
      </c>
      <c r="I86" s="12">
        <v>-6.2241109999999997</v>
      </c>
      <c r="J86" s="12" t="s">
        <v>128</v>
      </c>
      <c r="K86" s="12" t="s">
        <v>185</v>
      </c>
      <c r="L86" s="12" t="s">
        <v>186</v>
      </c>
      <c r="M86" s="12" t="s">
        <v>238</v>
      </c>
      <c r="N86" s="12" t="s">
        <v>239</v>
      </c>
      <c r="O86" s="12" t="s">
        <v>121</v>
      </c>
      <c r="Q86" s="12" t="s">
        <v>93</v>
      </c>
      <c r="R86" s="12">
        <v>2010</v>
      </c>
      <c r="S86" s="12">
        <v>4</v>
      </c>
      <c r="V86" s="12">
        <v>15</v>
      </c>
      <c r="W86" s="12">
        <v>15</v>
      </c>
      <c r="X86" s="12" t="s">
        <v>97</v>
      </c>
      <c r="Y86" s="1" t="s">
        <v>147</v>
      </c>
      <c r="Z86" s="12" t="s">
        <v>0</v>
      </c>
      <c r="AA86" s="12" t="s">
        <v>98</v>
      </c>
      <c r="AB86" s="12" t="s">
        <v>203</v>
      </c>
      <c r="AC86" s="12" t="s">
        <v>99</v>
      </c>
      <c r="AD86" s="12" t="s">
        <v>111</v>
      </c>
      <c r="AE86" s="12" t="s">
        <v>223</v>
      </c>
      <c r="AF86" s="12" t="s">
        <v>334</v>
      </c>
      <c r="AG86" s="12">
        <v>71.19</v>
      </c>
      <c r="AH86" s="12">
        <f>79.28-69.26</f>
        <v>10.019999999999996</v>
      </c>
      <c r="AJ86" s="12">
        <v>69</v>
      </c>
      <c r="AK86" s="12">
        <f>73.89-60.9</f>
        <v>12.990000000000002</v>
      </c>
      <c r="AM86" s="12">
        <f t="shared" ref="AM86" si="189">AG86-AJ86</f>
        <v>2.1899999999999977</v>
      </c>
      <c r="AN86" s="12">
        <f t="shared" ref="AN86" si="190">SQRT((((W86-1)*AH86^2)+((V86-1)*AK86^2))/(W86+V86-2))</f>
        <v>11.60044180193151</v>
      </c>
      <c r="AO86" s="12">
        <f t="shared" ref="AO86" si="191">AM86/AN86</f>
        <v>0.18878591327748878</v>
      </c>
      <c r="AP86" s="12">
        <f t="shared" ref="AP86" si="192">1/W86+1/V86+(AO86^2)/(2*(W86+V86))</f>
        <v>0.13392733535086693</v>
      </c>
      <c r="AQ86" s="12">
        <f t="shared" ref="AQ86" si="193">1-(3/(4*(W86+V86-2)-1))</f>
        <v>0.97297297297297303</v>
      </c>
      <c r="AR86" s="21">
        <f t="shared" ref="AR86" si="194">AO86*AQ86</f>
        <v>0.18368359129701611</v>
      </c>
      <c r="AS86" s="21">
        <f>AP86*(AQ86^2)</f>
        <v>0.12678584851331157</v>
      </c>
      <c r="AT86" s="21">
        <f t="shared" ref="AT86" si="195">SQRT(AP86*AQ86^2)</f>
        <v>0.35607000507387809</v>
      </c>
      <c r="AU86" s="20">
        <f>1/AS86</f>
        <v>7.8873155933882284</v>
      </c>
      <c r="AV86" s="20">
        <f>AR86/AS86</f>
        <v>1.4487704538865054</v>
      </c>
      <c r="AW86" s="20">
        <f>((AR86)^2)/AS86</f>
        <v>0.26611535993488139</v>
      </c>
      <c r="AX86" s="14"/>
      <c r="AY86" s="14"/>
      <c r="AZ86" s="12" t="s">
        <v>271</v>
      </c>
      <c r="BA86" s="2"/>
    </row>
    <row r="87" spans="1:53" s="12" customFormat="1" ht="14.25" hidden="1" customHeight="1">
      <c r="A87" s="2">
        <v>521</v>
      </c>
      <c r="B87" s="2" t="s">
        <v>67</v>
      </c>
      <c r="C87" s="12" t="s">
        <v>85</v>
      </c>
      <c r="D87" s="12">
        <v>2020</v>
      </c>
      <c r="E87" s="12">
        <v>2014</v>
      </c>
      <c r="F87" s="12" t="s">
        <v>120</v>
      </c>
      <c r="G87" s="12" t="s">
        <v>109</v>
      </c>
      <c r="H87" s="12">
        <v>41.696944000000002</v>
      </c>
      <c r="I87" s="12">
        <v>-6.2241109999999997</v>
      </c>
      <c r="J87" s="12" t="s">
        <v>128</v>
      </c>
      <c r="K87" s="12" t="s">
        <v>185</v>
      </c>
      <c r="L87" s="12" t="s">
        <v>186</v>
      </c>
      <c r="M87" s="12" t="s">
        <v>238</v>
      </c>
      <c r="N87" s="12" t="s">
        <v>239</v>
      </c>
      <c r="O87" s="12" t="s">
        <v>121</v>
      </c>
      <c r="Q87" s="12" t="s">
        <v>93</v>
      </c>
      <c r="R87" s="12">
        <v>2010</v>
      </c>
      <c r="S87" s="12">
        <v>4</v>
      </c>
      <c r="V87" s="12">
        <v>15</v>
      </c>
      <c r="W87" s="12">
        <v>15</v>
      </c>
      <c r="X87" s="12" t="s">
        <v>97</v>
      </c>
      <c r="Y87" s="1" t="s">
        <v>147</v>
      </c>
      <c r="Z87" s="12" t="s">
        <v>0</v>
      </c>
      <c r="AA87" s="12" t="s">
        <v>98</v>
      </c>
      <c r="AB87" s="12" t="s">
        <v>203</v>
      </c>
      <c r="AC87" s="12" t="s">
        <v>99</v>
      </c>
      <c r="AD87" s="12" t="s">
        <v>111</v>
      </c>
      <c r="AE87" s="12" t="s">
        <v>257</v>
      </c>
      <c r="AF87" s="12" t="s">
        <v>323</v>
      </c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2" t="s">
        <v>286</v>
      </c>
    </row>
    <row r="88" spans="1:53" ht="14.25" hidden="1" customHeight="1">
      <c r="A88" s="2">
        <v>493</v>
      </c>
      <c r="B88" s="2" t="s">
        <v>65</v>
      </c>
      <c r="C88" s="1" t="s">
        <v>85</v>
      </c>
      <c r="D88" s="1">
        <v>2023</v>
      </c>
      <c r="E88" s="1">
        <v>2020</v>
      </c>
      <c r="F88" s="1" t="s">
        <v>215</v>
      </c>
      <c r="G88" s="1" t="s">
        <v>160</v>
      </c>
      <c r="H88" s="1">
        <v>53.468417000000002</v>
      </c>
      <c r="I88" s="1">
        <v>122.35216699999999</v>
      </c>
      <c r="J88" s="1" t="s">
        <v>128</v>
      </c>
      <c r="K88" s="1" t="s">
        <v>173</v>
      </c>
      <c r="L88" s="1" t="s">
        <v>174</v>
      </c>
      <c r="M88" s="1" t="s">
        <v>237</v>
      </c>
      <c r="N88" s="1" t="s">
        <v>239</v>
      </c>
      <c r="O88" s="12" t="s">
        <v>86</v>
      </c>
      <c r="P88" s="1" t="s">
        <v>146</v>
      </c>
      <c r="Q88" s="1" t="s">
        <v>93</v>
      </c>
      <c r="R88" s="1">
        <v>2010</v>
      </c>
      <c r="S88" s="1">
        <v>10</v>
      </c>
      <c r="V88" s="1">
        <v>3</v>
      </c>
      <c r="W88" s="1">
        <v>3</v>
      </c>
      <c r="X88" s="1" t="s">
        <v>97</v>
      </c>
      <c r="Y88" s="1" t="s">
        <v>133</v>
      </c>
      <c r="Z88" s="1" t="s">
        <v>0</v>
      </c>
      <c r="AA88" s="1" t="s">
        <v>98</v>
      </c>
      <c r="AB88" s="1" t="s">
        <v>203</v>
      </c>
      <c r="AC88" s="1" t="s">
        <v>99</v>
      </c>
      <c r="AD88" s="1" t="s">
        <v>100</v>
      </c>
      <c r="AE88" s="1" t="s">
        <v>262</v>
      </c>
      <c r="AF88" s="1" t="s">
        <v>321</v>
      </c>
      <c r="AG88" s="1">
        <v>288</v>
      </c>
      <c r="AH88" s="12">
        <f>AI88*SQRT(W88)</f>
        <v>13.752483412096886</v>
      </c>
      <c r="AI88" s="12">
        <v>7.94</v>
      </c>
      <c r="AJ88" s="12">
        <v>261</v>
      </c>
      <c r="AK88" s="12">
        <f>AL88*SQRT(V88)</f>
        <v>90.707500792382092</v>
      </c>
      <c r="AL88" s="12">
        <v>52.37</v>
      </c>
      <c r="AM88" s="12">
        <f t="shared" si="153"/>
        <v>27</v>
      </c>
      <c r="AN88" s="1">
        <f>SQRT((((W88-1)*AH88^2)+((V88-1)*AK88^2))/(W88+V88-2))</f>
        <v>64.872881468299212</v>
      </c>
      <c r="AO88" s="1">
        <f t="shared" si="188"/>
        <v>0.4161985623097969</v>
      </c>
      <c r="AP88" s="1">
        <f>1/W88+1/V88+(AO88^2)/(2*(W88+V88))</f>
        <v>0.68110177027239516</v>
      </c>
      <c r="AQ88" s="1">
        <f>1-(3/(4*(W88+V88-2)-1))</f>
        <v>0.8</v>
      </c>
      <c r="AR88" s="21">
        <f t="shared" ref="AR88:AR179" si="196">AO88*AQ88</f>
        <v>0.33295884984783752</v>
      </c>
      <c r="AS88" s="21">
        <f t="shared" ref="AS88:AS90" si="197">AP88*(AQ88^2)</f>
        <v>0.43590513297433298</v>
      </c>
      <c r="AT88" s="21">
        <f t="shared" si="43"/>
        <v>0.66023112087687363</v>
      </c>
      <c r="AU88" s="20">
        <f t="shared" ref="AU88:AU90" si="198">1/AS88</f>
        <v>2.294077138244853</v>
      </c>
      <c r="AV88" s="20">
        <f t="shared" ref="AV88:AV90" si="199">AR88/AS88</f>
        <v>0.76383328541222484</v>
      </c>
      <c r="AW88" s="20">
        <f t="shared" ref="AW88:AW90" si="200">((AR88)^2)/AS88</f>
        <v>0.25432505218634943</v>
      </c>
      <c r="AX88" s="14"/>
      <c r="AY88" s="14"/>
      <c r="AZ88" s="1" t="s">
        <v>271</v>
      </c>
      <c r="BA88" s="2"/>
    </row>
    <row r="89" spans="1:53" ht="14.25" hidden="1" customHeight="1">
      <c r="A89" s="2">
        <v>493</v>
      </c>
      <c r="B89" s="2" t="s">
        <v>65</v>
      </c>
      <c r="C89" s="1" t="s">
        <v>85</v>
      </c>
      <c r="D89" s="1">
        <v>2023</v>
      </c>
      <c r="E89" s="1">
        <v>2020</v>
      </c>
      <c r="F89" s="1" t="s">
        <v>215</v>
      </c>
      <c r="G89" s="1" t="s">
        <v>160</v>
      </c>
      <c r="H89" s="1">
        <v>53.468417000000002</v>
      </c>
      <c r="I89" s="1">
        <v>122.35216699999999</v>
      </c>
      <c r="J89" s="1" t="s">
        <v>128</v>
      </c>
      <c r="K89" s="1" t="s">
        <v>173</v>
      </c>
      <c r="L89" s="1" t="s">
        <v>174</v>
      </c>
      <c r="M89" s="1" t="s">
        <v>237</v>
      </c>
      <c r="N89" s="1" t="s">
        <v>239</v>
      </c>
      <c r="O89" s="1" t="s">
        <v>86</v>
      </c>
      <c r="P89" s="1" t="s">
        <v>146</v>
      </c>
      <c r="Q89" s="1" t="s">
        <v>93</v>
      </c>
      <c r="R89" s="1">
        <v>2010</v>
      </c>
      <c r="S89" s="1">
        <v>10</v>
      </c>
      <c r="V89" s="1">
        <v>3</v>
      </c>
      <c r="W89" s="1">
        <v>3</v>
      </c>
      <c r="X89" s="1" t="s">
        <v>97</v>
      </c>
      <c r="Y89" s="1" t="s">
        <v>133</v>
      </c>
      <c r="Z89" s="1" t="s">
        <v>0</v>
      </c>
      <c r="AA89" s="1" t="s">
        <v>98</v>
      </c>
      <c r="AB89" s="1" t="s">
        <v>203</v>
      </c>
      <c r="AC89" s="1" t="s">
        <v>99</v>
      </c>
      <c r="AD89" s="1" t="s">
        <v>100</v>
      </c>
      <c r="AE89" s="1" t="s">
        <v>149</v>
      </c>
      <c r="AF89" s="1" t="s">
        <v>321</v>
      </c>
      <c r="AG89" s="1">
        <v>3.74</v>
      </c>
      <c r="AH89" s="12">
        <f t="shared" ref="AH89:AH98" si="201">AI89*SQRT(W89)</f>
        <v>0.1905255888325765</v>
      </c>
      <c r="AI89" s="12">
        <v>0.11</v>
      </c>
      <c r="AJ89" s="12">
        <v>2.67</v>
      </c>
      <c r="AK89" s="12">
        <f t="shared" ref="AK89:AK90" si="202">AL89*SQRT(V89)</f>
        <v>1.1951150572225251</v>
      </c>
      <c r="AL89" s="12">
        <v>0.69</v>
      </c>
      <c r="AM89" s="12">
        <f t="shared" ref="AM89" si="203">AG89-AJ89</f>
        <v>1.0700000000000003</v>
      </c>
      <c r="AN89" s="1">
        <f t="shared" ref="AN89" si="204">SQRT((((W89-1)*AH89^2)+((V89-1)*AK89^2))/(W89+V89-2))</f>
        <v>0.8557452892070162</v>
      </c>
      <c r="AO89" s="1">
        <f t="shared" ref="AO89" si="205">AM89/AN89</f>
        <v>1.2503720598818897</v>
      </c>
      <c r="AP89" s="1">
        <f t="shared" ref="AP89" si="206">1/W89+1/V89+(AO89^2)/(2*(W89+V89))</f>
        <v>0.79695252401110661</v>
      </c>
      <c r="AQ89" s="1">
        <f t="shared" ref="AQ89" si="207">1-(3/(4*(W89+V89-2)-1))</f>
        <v>0.8</v>
      </c>
      <c r="AR89" s="21">
        <f t="shared" ref="AR89" si="208">AO89*AQ89</f>
        <v>1.0002976479055119</v>
      </c>
      <c r="AS89" s="21">
        <f t="shared" si="197"/>
        <v>0.51004961536710836</v>
      </c>
      <c r="AT89" s="21">
        <f t="shared" ref="AT89" si="209">SQRT(AP89*AQ89^2)</f>
        <v>0.71417757971467322</v>
      </c>
      <c r="AU89" s="20">
        <f t="shared" si="198"/>
        <v>1.9605935773135517</v>
      </c>
      <c r="AV89" s="20">
        <f t="shared" si="199"/>
        <v>1.9611771438853991</v>
      </c>
      <c r="AW89" s="20">
        <f t="shared" si="200"/>
        <v>1.9617608841546144</v>
      </c>
      <c r="AX89" s="14"/>
      <c r="AY89" s="14"/>
      <c r="AZ89" s="1" t="s">
        <v>271</v>
      </c>
      <c r="BA89" s="2"/>
    </row>
    <row r="90" spans="1:53" ht="14.25" hidden="1" customHeight="1">
      <c r="A90" s="2">
        <v>493</v>
      </c>
      <c r="B90" s="2" t="s">
        <v>65</v>
      </c>
      <c r="C90" s="1" t="s">
        <v>85</v>
      </c>
      <c r="D90" s="1">
        <v>2023</v>
      </c>
      <c r="E90" s="1">
        <v>2020</v>
      </c>
      <c r="F90" s="1" t="s">
        <v>215</v>
      </c>
      <c r="G90" s="1" t="s">
        <v>160</v>
      </c>
      <c r="H90" s="1">
        <v>53.468417000000002</v>
      </c>
      <c r="I90" s="1">
        <v>122.35216699999999</v>
      </c>
      <c r="J90" s="1" t="s">
        <v>128</v>
      </c>
      <c r="K90" s="1" t="s">
        <v>173</v>
      </c>
      <c r="L90" s="1" t="s">
        <v>174</v>
      </c>
      <c r="M90" s="1" t="s">
        <v>237</v>
      </c>
      <c r="N90" s="1" t="s">
        <v>239</v>
      </c>
      <c r="O90" s="1" t="s">
        <v>86</v>
      </c>
      <c r="P90" s="1" t="s">
        <v>146</v>
      </c>
      <c r="Q90" s="1" t="s">
        <v>93</v>
      </c>
      <c r="R90" s="1">
        <v>2010</v>
      </c>
      <c r="S90" s="1">
        <v>10</v>
      </c>
      <c r="V90" s="1">
        <v>3</v>
      </c>
      <c r="W90" s="1">
        <v>3</v>
      </c>
      <c r="X90" s="1" t="s">
        <v>97</v>
      </c>
      <c r="Y90" s="1" t="s">
        <v>133</v>
      </c>
      <c r="Z90" s="1" t="s">
        <v>0</v>
      </c>
      <c r="AA90" s="1" t="s">
        <v>98</v>
      </c>
      <c r="AB90" s="1" t="s">
        <v>203</v>
      </c>
      <c r="AC90" s="1" t="s">
        <v>99</v>
      </c>
      <c r="AD90" s="1" t="s">
        <v>100</v>
      </c>
      <c r="AE90" s="1" t="s">
        <v>254</v>
      </c>
      <c r="AF90" s="1" t="s">
        <v>321</v>
      </c>
      <c r="AG90" s="1">
        <v>0.05</v>
      </c>
      <c r="AH90" s="12">
        <f t="shared" si="201"/>
        <v>1.7320508075688772E-3</v>
      </c>
      <c r="AI90" s="12">
        <v>1E-3</v>
      </c>
      <c r="AJ90" s="12">
        <v>0.23</v>
      </c>
      <c r="AK90" s="12">
        <f t="shared" si="202"/>
        <v>0.27712812921102037</v>
      </c>
      <c r="AL90" s="12">
        <v>0.16</v>
      </c>
      <c r="AM90" s="12">
        <f t="shared" ref="AM90" si="210">AG90-AJ90</f>
        <v>-0.18</v>
      </c>
      <c r="AN90" s="1">
        <f t="shared" ref="AN90" si="211">SQRT((((W90-1)*AH90^2)+((V90-1)*AK90^2))/(W90+V90-2))</f>
        <v>0.19596300671300185</v>
      </c>
      <c r="AO90" s="1">
        <f t="shared" ref="AO90" si="212">AM90/AN90</f>
        <v>-0.91854071347057598</v>
      </c>
      <c r="AP90" s="1">
        <f t="shared" ref="AP90" si="213">1/W90+1/V90+(AO90^2)/(2*(W90+V90))</f>
        <v>0.73697642019191956</v>
      </c>
      <c r="AQ90" s="1">
        <f t="shared" ref="AQ90" si="214">1-(3/(4*(W90+V90-2)-1))</f>
        <v>0.8</v>
      </c>
      <c r="AR90" s="21">
        <f t="shared" ref="AR90" si="215">AO90*AQ90</f>
        <v>-0.7348325707764608</v>
      </c>
      <c r="AS90" s="21">
        <f t="shared" si="197"/>
        <v>0.47166490892282859</v>
      </c>
      <c r="AT90" s="21">
        <f t="shared" ref="AT90" si="216">SQRT(AP90*AQ90^2)</f>
        <v>0.68677864623387108</v>
      </c>
      <c r="AU90" s="20">
        <f t="shared" si="198"/>
        <v>2.1201492438429734</v>
      </c>
      <c r="AV90" s="20">
        <f t="shared" si="199"/>
        <v>-1.5579547192829017</v>
      </c>
      <c r="AW90" s="20">
        <f t="shared" si="200"/>
        <v>1.1448358715239739</v>
      </c>
      <c r="AX90" s="14"/>
      <c r="AY90" s="14"/>
      <c r="AZ90" s="1" t="s">
        <v>271</v>
      </c>
      <c r="BA90" s="2"/>
    </row>
    <row r="91" spans="1:53" ht="14.25" hidden="1" customHeight="1">
      <c r="A91" s="2">
        <v>493</v>
      </c>
      <c r="B91" s="2" t="s">
        <v>65</v>
      </c>
      <c r="C91" s="1" t="s">
        <v>85</v>
      </c>
      <c r="D91" s="1">
        <v>2023</v>
      </c>
      <c r="E91" s="1">
        <v>2020</v>
      </c>
      <c r="F91" s="1" t="s">
        <v>215</v>
      </c>
      <c r="G91" s="1" t="s">
        <v>160</v>
      </c>
      <c r="H91" s="1">
        <v>53.468417000000002</v>
      </c>
      <c r="I91" s="1">
        <v>122.35216699999999</v>
      </c>
      <c r="J91" s="1" t="s">
        <v>128</v>
      </c>
      <c r="K91" s="1" t="s">
        <v>173</v>
      </c>
      <c r="L91" s="1" t="s">
        <v>174</v>
      </c>
      <c r="M91" s="1" t="s">
        <v>237</v>
      </c>
      <c r="N91" s="1" t="s">
        <v>239</v>
      </c>
      <c r="O91" s="1" t="s">
        <v>86</v>
      </c>
      <c r="P91" s="1" t="s">
        <v>146</v>
      </c>
      <c r="Q91" s="1" t="s">
        <v>93</v>
      </c>
      <c r="R91" s="1">
        <v>2010</v>
      </c>
      <c r="S91" s="1">
        <v>10</v>
      </c>
      <c r="V91" s="1">
        <v>3</v>
      </c>
      <c r="W91" s="1">
        <v>3</v>
      </c>
      <c r="X91" s="1" t="s">
        <v>97</v>
      </c>
      <c r="Y91" s="1" t="s">
        <v>133</v>
      </c>
      <c r="Z91" s="1" t="s">
        <v>0</v>
      </c>
      <c r="AA91" s="1" t="s">
        <v>98</v>
      </c>
      <c r="AB91" s="1" t="s">
        <v>203</v>
      </c>
      <c r="AC91" s="1" t="s">
        <v>99</v>
      </c>
      <c r="AD91" s="1" t="s">
        <v>100</v>
      </c>
      <c r="AE91" s="1" t="s">
        <v>255</v>
      </c>
      <c r="AF91" s="1" t="s">
        <v>323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" t="s">
        <v>286</v>
      </c>
    </row>
    <row r="92" spans="1:53" ht="14.25" hidden="1" customHeight="1">
      <c r="A92" s="2">
        <v>493</v>
      </c>
      <c r="B92" s="2" t="s">
        <v>65</v>
      </c>
      <c r="C92" s="1" t="s">
        <v>85</v>
      </c>
      <c r="D92" s="1">
        <v>2023</v>
      </c>
      <c r="E92" s="1">
        <v>2020</v>
      </c>
      <c r="F92" s="1" t="s">
        <v>215</v>
      </c>
      <c r="G92" s="1" t="s">
        <v>160</v>
      </c>
      <c r="H92" s="1">
        <v>53.468417000000002</v>
      </c>
      <c r="I92" s="1">
        <v>122.35216699999999</v>
      </c>
      <c r="J92" s="1" t="s">
        <v>128</v>
      </c>
      <c r="K92" s="1" t="s">
        <v>173</v>
      </c>
      <c r="L92" s="1" t="s">
        <v>174</v>
      </c>
      <c r="M92" s="1" t="s">
        <v>237</v>
      </c>
      <c r="N92" s="1" t="s">
        <v>239</v>
      </c>
      <c r="O92" s="1" t="s">
        <v>86</v>
      </c>
      <c r="P92" s="1" t="s">
        <v>211</v>
      </c>
      <c r="Q92" s="1" t="s">
        <v>93</v>
      </c>
      <c r="R92" s="1">
        <v>2010</v>
      </c>
      <c r="S92" s="1">
        <v>10</v>
      </c>
      <c r="V92" s="1">
        <v>3</v>
      </c>
      <c r="W92" s="1">
        <v>3</v>
      </c>
      <c r="X92" s="1" t="s">
        <v>97</v>
      </c>
      <c r="Y92" s="1" t="s">
        <v>133</v>
      </c>
      <c r="Z92" s="1" t="s">
        <v>0</v>
      </c>
      <c r="AA92" s="1" t="s">
        <v>98</v>
      </c>
      <c r="AB92" s="1" t="s">
        <v>203</v>
      </c>
      <c r="AC92" s="1" t="s">
        <v>99</v>
      </c>
      <c r="AD92" s="1" t="s">
        <v>100</v>
      </c>
      <c r="AE92" s="1" t="s">
        <v>262</v>
      </c>
      <c r="AF92" s="1" t="s">
        <v>321</v>
      </c>
      <c r="AG92" s="1">
        <v>206.67</v>
      </c>
      <c r="AH92" s="12">
        <f t="shared" si="201"/>
        <v>28.578838324886473</v>
      </c>
      <c r="AI92" s="12">
        <v>16.5</v>
      </c>
      <c r="AJ92" s="12">
        <v>261</v>
      </c>
      <c r="AK92" s="12">
        <f>AL92*SQRT(V92)</f>
        <v>90.707500792382092</v>
      </c>
      <c r="AL92" s="12">
        <v>52.37</v>
      </c>
      <c r="AM92" s="12">
        <f t="shared" si="153"/>
        <v>-54.330000000000013</v>
      </c>
      <c r="AN92" s="1">
        <f>SQRT((((W92-1)*AH92^2)+((V92-1)*AK92^2))/(W92+V92-2))</f>
        <v>67.248050901122767</v>
      </c>
      <c r="AO92" s="1">
        <f t="shared" si="188"/>
        <v>-0.8079044562924711</v>
      </c>
      <c r="AP92" s="1">
        <f>1/W92+1/V92+(AO92^2)/(2*(W92+V92))</f>
        <v>0.72105913420810275</v>
      </c>
      <c r="AQ92" s="1">
        <f>1-(3/(4*(W92+V92-2)-1))</f>
        <v>0.8</v>
      </c>
      <c r="AR92" s="21">
        <f t="shared" si="196"/>
        <v>-0.64632356503397692</v>
      </c>
      <c r="AS92" s="21">
        <f t="shared" ref="AS92:AS94" si="217">AP92*(AQ92^2)</f>
        <v>0.46147784589318586</v>
      </c>
      <c r="AT92" s="21">
        <f t="shared" si="43"/>
        <v>0.6793216071149113</v>
      </c>
      <c r="AU92" s="20">
        <f t="shared" ref="AU92:AU94" si="218">1/AS92</f>
        <v>2.1669512608227373</v>
      </c>
      <c r="AV92" s="20">
        <f t="shared" ref="AV92:AV94" si="219">AR92/AS92</f>
        <v>-1.4005516641498228</v>
      </c>
      <c r="AW92" s="20">
        <f t="shared" ref="AW92:AW94" si="220">((AR92)^2)/AS92</f>
        <v>0.90520954458758263</v>
      </c>
      <c r="AX92" s="14"/>
      <c r="AY92" s="14"/>
      <c r="AZ92" s="1" t="s">
        <v>271</v>
      </c>
      <c r="BA92" s="2"/>
    </row>
    <row r="93" spans="1:53" ht="14.25" hidden="1" customHeight="1">
      <c r="A93" s="2">
        <v>493</v>
      </c>
      <c r="B93" s="2" t="s">
        <v>65</v>
      </c>
      <c r="C93" s="1" t="s">
        <v>85</v>
      </c>
      <c r="D93" s="1">
        <v>2023</v>
      </c>
      <c r="E93" s="1">
        <v>2020</v>
      </c>
      <c r="F93" s="1" t="s">
        <v>215</v>
      </c>
      <c r="G93" s="1" t="s">
        <v>160</v>
      </c>
      <c r="H93" s="1">
        <v>53.468417000000002</v>
      </c>
      <c r="I93" s="1">
        <v>122.35216699999999</v>
      </c>
      <c r="J93" s="1" t="s">
        <v>128</v>
      </c>
      <c r="K93" s="1" t="s">
        <v>173</v>
      </c>
      <c r="L93" s="1" t="s">
        <v>174</v>
      </c>
      <c r="M93" s="1" t="s">
        <v>237</v>
      </c>
      <c r="N93" s="1" t="s">
        <v>239</v>
      </c>
      <c r="O93" s="1" t="s">
        <v>86</v>
      </c>
      <c r="P93" s="1" t="s">
        <v>211</v>
      </c>
      <c r="Q93" s="1" t="s">
        <v>93</v>
      </c>
      <c r="R93" s="1">
        <v>2010</v>
      </c>
      <c r="S93" s="1">
        <v>10</v>
      </c>
      <c r="V93" s="1">
        <v>3</v>
      </c>
      <c r="W93" s="1">
        <v>3</v>
      </c>
      <c r="X93" s="1" t="s">
        <v>97</v>
      </c>
      <c r="Y93" s="1" t="s">
        <v>133</v>
      </c>
      <c r="Z93" s="1" t="s">
        <v>0</v>
      </c>
      <c r="AA93" s="1" t="s">
        <v>98</v>
      </c>
      <c r="AB93" s="1" t="s">
        <v>203</v>
      </c>
      <c r="AC93" s="1" t="s">
        <v>99</v>
      </c>
      <c r="AD93" s="1" t="s">
        <v>100</v>
      </c>
      <c r="AE93" s="1" t="s">
        <v>149</v>
      </c>
      <c r="AF93" s="1" t="s">
        <v>321</v>
      </c>
      <c r="AG93" s="1">
        <v>3.34</v>
      </c>
      <c r="AH93" s="12">
        <f t="shared" si="201"/>
        <v>0.17320508075688773</v>
      </c>
      <c r="AI93" s="12">
        <v>0.1</v>
      </c>
      <c r="AJ93" s="12">
        <v>2.67</v>
      </c>
      <c r="AK93" s="12">
        <f t="shared" ref="AK93:AK94" si="221">AL93*SQRT(V93)</f>
        <v>1.1951150572225251</v>
      </c>
      <c r="AL93" s="12">
        <v>0.69</v>
      </c>
      <c r="AM93" s="12">
        <f t="shared" ref="AM93" si="222">AG93-AJ93</f>
        <v>0.66999999999999993</v>
      </c>
      <c r="AN93" s="1">
        <f t="shared" ref="AN93" si="223">SQRT((((W93-1)*AH93^2)+((V93-1)*AK93^2))/(W93+V93-2))</f>
        <v>0.85390280477347058</v>
      </c>
      <c r="AO93" s="1">
        <f t="shared" ref="AO93" si="224">AM93/AN93</f>
        <v>0.78463262593187322</v>
      </c>
      <c r="AP93" s="1">
        <f t="shared" ref="AP93" si="225">1/W93+1/V93+(AO93^2)/(2*(W93+V93))</f>
        <v>0.71797069647306222</v>
      </c>
      <c r="AQ93" s="1">
        <f t="shared" ref="AQ93" si="226">1-(3/(4*(W93+V93-2)-1))</f>
        <v>0.8</v>
      </c>
      <c r="AR93" s="21">
        <f t="shared" ref="AR93" si="227">AO93*AQ93</f>
        <v>0.6277061007454986</v>
      </c>
      <c r="AS93" s="21">
        <f t="shared" si="217"/>
        <v>0.45950124574275991</v>
      </c>
      <c r="AT93" s="21">
        <f t="shared" ref="AT93" si="228">SQRT(AP93*AQ93^2)</f>
        <v>0.67786521207594064</v>
      </c>
      <c r="AU93" s="20">
        <f t="shared" si="218"/>
        <v>2.1762726635997511</v>
      </c>
      <c r="AV93" s="20">
        <f t="shared" si="219"/>
        <v>1.3660596278272201</v>
      </c>
      <c r="AW93" s="20">
        <f t="shared" si="220"/>
        <v>0.85748396236927138</v>
      </c>
      <c r="AX93" s="14"/>
      <c r="AY93" s="14"/>
      <c r="AZ93" s="1" t="s">
        <v>271</v>
      </c>
      <c r="BA93" s="2"/>
    </row>
    <row r="94" spans="1:53" ht="14.25" hidden="1" customHeight="1">
      <c r="A94" s="2">
        <v>493</v>
      </c>
      <c r="B94" s="2" t="s">
        <v>65</v>
      </c>
      <c r="C94" s="1" t="s">
        <v>85</v>
      </c>
      <c r="D94" s="1">
        <v>2023</v>
      </c>
      <c r="E94" s="1">
        <v>2020</v>
      </c>
      <c r="F94" s="1" t="s">
        <v>215</v>
      </c>
      <c r="G94" s="1" t="s">
        <v>160</v>
      </c>
      <c r="H94" s="1">
        <v>53.468417000000002</v>
      </c>
      <c r="I94" s="1">
        <v>122.35216699999999</v>
      </c>
      <c r="J94" s="1" t="s">
        <v>128</v>
      </c>
      <c r="K94" s="1" t="s">
        <v>173</v>
      </c>
      <c r="L94" s="1" t="s">
        <v>174</v>
      </c>
      <c r="M94" s="1" t="s">
        <v>237</v>
      </c>
      <c r="N94" s="1" t="s">
        <v>239</v>
      </c>
      <c r="O94" s="1" t="s">
        <v>86</v>
      </c>
      <c r="P94" s="1" t="s">
        <v>211</v>
      </c>
      <c r="Q94" s="1" t="s">
        <v>93</v>
      </c>
      <c r="R94" s="1">
        <v>2010</v>
      </c>
      <c r="S94" s="1">
        <v>10</v>
      </c>
      <c r="V94" s="1">
        <v>3</v>
      </c>
      <c r="W94" s="1">
        <v>3</v>
      </c>
      <c r="X94" s="1" t="s">
        <v>97</v>
      </c>
      <c r="Y94" s="1" t="s">
        <v>133</v>
      </c>
      <c r="Z94" s="1" t="s">
        <v>0</v>
      </c>
      <c r="AA94" s="1" t="s">
        <v>98</v>
      </c>
      <c r="AB94" s="1" t="s">
        <v>203</v>
      </c>
      <c r="AC94" s="1" t="s">
        <v>99</v>
      </c>
      <c r="AD94" s="1" t="s">
        <v>100</v>
      </c>
      <c r="AE94" s="1" t="s">
        <v>254</v>
      </c>
      <c r="AF94" s="1" t="s">
        <v>321</v>
      </c>
      <c r="AG94" s="1">
        <v>7.0000000000000007E-2</v>
      </c>
      <c r="AH94" s="12">
        <f t="shared" si="201"/>
        <v>1.7320508075688773E-2</v>
      </c>
      <c r="AI94" s="12">
        <v>0.01</v>
      </c>
      <c r="AJ94" s="12">
        <v>0.23</v>
      </c>
      <c r="AK94" s="12">
        <f t="shared" si="221"/>
        <v>0.27712812921102037</v>
      </c>
      <c r="AL94" s="12">
        <v>0.16</v>
      </c>
      <c r="AM94" s="12">
        <f t="shared" ref="AM94" si="229">AG94-AJ94</f>
        <v>-0.16</v>
      </c>
      <c r="AN94" s="1">
        <f t="shared" ref="AN94" si="230">SQRT((((W94-1)*AH94^2)+((V94-1)*AK94^2))/(W94+V94-2))</f>
        <v>0.19634153916071861</v>
      </c>
      <c r="AO94" s="1">
        <f t="shared" ref="AO94" si="231">AM94/AN94</f>
        <v>-0.81490651791737945</v>
      </c>
      <c r="AP94" s="1">
        <f t="shared" ref="AP94" si="232">1/W94+1/V94+(AO94^2)/(2*(W94+V94))</f>
        <v>0.72200605274535234</v>
      </c>
      <c r="AQ94" s="1">
        <f t="shared" ref="AQ94" si="233">1-(3/(4*(W94+V94-2)-1))</f>
        <v>0.8</v>
      </c>
      <c r="AR94" s="21">
        <f t="shared" ref="AR94" si="234">AO94*AQ94</f>
        <v>-0.6519252143339036</v>
      </c>
      <c r="AS94" s="21">
        <f t="shared" si="217"/>
        <v>0.46208387375702559</v>
      </c>
      <c r="AT94" s="21">
        <f t="shared" ref="AT94" si="235">SQRT(AP94*AQ94^2)</f>
        <v>0.67976751449081885</v>
      </c>
      <c r="AU94" s="20">
        <f t="shared" si="218"/>
        <v>2.1641092814371254</v>
      </c>
      <c r="AV94" s="20">
        <f t="shared" si="219"/>
        <v>-1.410837407142888</v>
      </c>
      <c r="AW94" s="20">
        <f t="shared" si="220"/>
        <v>0.91976047904191616</v>
      </c>
      <c r="AX94" s="14"/>
      <c r="AY94" s="14"/>
      <c r="AZ94" s="1" t="s">
        <v>271</v>
      </c>
      <c r="BA94" s="2"/>
    </row>
    <row r="95" spans="1:53" ht="14.25" hidden="1" customHeight="1">
      <c r="A95" s="2">
        <v>493</v>
      </c>
      <c r="B95" s="2" t="s">
        <v>65</v>
      </c>
      <c r="C95" s="1" t="s">
        <v>85</v>
      </c>
      <c r="D95" s="1">
        <v>2023</v>
      </c>
      <c r="E95" s="1">
        <v>2020</v>
      </c>
      <c r="F95" s="1" t="s">
        <v>215</v>
      </c>
      <c r="G95" s="1" t="s">
        <v>160</v>
      </c>
      <c r="H95" s="1">
        <v>53.468417000000002</v>
      </c>
      <c r="I95" s="1">
        <v>122.35216699999999</v>
      </c>
      <c r="J95" s="1" t="s">
        <v>128</v>
      </c>
      <c r="K95" s="1" t="s">
        <v>173</v>
      </c>
      <c r="L95" s="1" t="s">
        <v>174</v>
      </c>
      <c r="M95" s="1" t="s">
        <v>237</v>
      </c>
      <c r="N95" s="1" t="s">
        <v>239</v>
      </c>
      <c r="O95" s="1" t="s">
        <v>86</v>
      </c>
      <c r="P95" s="1" t="s">
        <v>211</v>
      </c>
      <c r="Q95" s="1" t="s">
        <v>93</v>
      </c>
      <c r="R95" s="1">
        <v>2010</v>
      </c>
      <c r="S95" s="1">
        <v>10</v>
      </c>
      <c r="V95" s="1">
        <v>3</v>
      </c>
      <c r="W95" s="1">
        <v>3</v>
      </c>
      <c r="X95" s="1" t="s">
        <v>97</v>
      </c>
      <c r="Y95" s="1" t="s">
        <v>133</v>
      </c>
      <c r="Z95" s="1" t="s">
        <v>0</v>
      </c>
      <c r="AA95" s="1" t="s">
        <v>98</v>
      </c>
      <c r="AB95" s="1" t="s">
        <v>203</v>
      </c>
      <c r="AC95" s="1" t="s">
        <v>99</v>
      </c>
      <c r="AD95" s="1" t="s">
        <v>100</v>
      </c>
      <c r="AE95" s="1" t="s">
        <v>255</v>
      </c>
      <c r="AF95" s="1" t="s">
        <v>323</v>
      </c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" t="s">
        <v>286</v>
      </c>
    </row>
    <row r="96" spans="1:53" ht="14.25" hidden="1" customHeight="1">
      <c r="A96" s="2">
        <v>493</v>
      </c>
      <c r="B96" s="2" t="s">
        <v>65</v>
      </c>
      <c r="C96" s="1" t="s">
        <v>85</v>
      </c>
      <c r="D96" s="1">
        <v>2023</v>
      </c>
      <c r="E96" s="1">
        <v>2020</v>
      </c>
      <c r="F96" s="1" t="s">
        <v>215</v>
      </c>
      <c r="G96" s="1" t="s">
        <v>160</v>
      </c>
      <c r="H96" s="1">
        <v>53.468417000000002</v>
      </c>
      <c r="I96" s="1">
        <v>122.35216699999999</v>
      </c>
      <c r="J96" s="1" t="s">
        <v>128</v>
      </c>
      <c r="K96" s="1" t="s">
        <v>173</v>
      </c>
      <c r="L96" s="1" t="s">
        <v>174</v>
      </c>
      <c r="M96" s="1" t="s">
        <v>237</v>
      </c>
      <c r="N96" s="1" t="s">
        <v>239</v>
      </c>
      <c r="O96" s="1" t="s">
        <v>86</v>
      </c>
      <c r="P96" s="1" t="s">
        <v>129</v>
      </c>
      <c r="Q96" s="1" t="s">
        <v>93</v>
      </c>
      <c r="R96" s="1">
        <v>2010</v>
      </c>
      <c r="S96" s="1">
        <v>10</v>
      </c>
      <c r="V96" s="1">
        <v>3</v>
      </c>
      <c r="W96" s="1">
        <v>3</v>
      </c>
      <c r="X96" s="1" t="s">
        <v>97</v>
      </c>
      <c r="Y96" s="1" t="s">
        <v>133</v>
      </c>
      <c r="Z96" s="1" t="s">
        <v>0</v>
      </c>
      <c r="AA96" s="1" t="s">
        <v>98</v>
      </c>
      <c r="AB96" s="1" t="s">
        <v>203</v>
      </c>
      <c r="AC96" s="1" t="s">
        <v>99</v>
      </c>
      <c r="AD96" s="1" t="s">
        <v>100</v>
      </c>
      <c r="AE96" s="1" t="s">
        <v>262</v>
      </c>
      <c r="AF96" s="1" t="s">
        <v>321</v>
      </c>
      <c r="AG96" s="1">
        <v>313</v>
      </c>
      <c r="AH96" s="12">
        <f t="shared" si="201"/>
        <v>104.89299690637121</v>
      </c>
      <c r="AI96" s="12">
        <v>60.56</v>
      </c>
      <c r="AJ96" s="12">
        <v>261</v>
      </c>
      <c r="AK96" s="12">
        <f>AL96*SQRT(V96)</f>
        <v>90.707500792382092</v>
      </c>
      <c r="AL96" s="12">
        <v>52.37</v>
      </c>
      <c r="AM96" s="12">
        <f t="shared" si="153"/>
        <v>52</v>
      </c>
      <c r="AN96" s="1">
        <f>SQRT((((W96-1)*AH96^2)+((V96-1)*AK96^2))/(W96+V96-2))</f>
        <v>98.057104536081411</v>
      </c>
      <c r="AO96" s="1">
        <f t="shared" si="188"/>
        <v>0.53030323754732034</v>
      </c>
      <c r="AP96" s="1">
        <f>1/W96+1/V96+(AO96^2)/(2*(W96+V96))</f>
        <v>0.69010179364609747</v>
      </c>
      <c r="AQ96" s="1">
        <f>1-(3/(4*(W96+V96-2)-1))</f>
        <v>0.8</v>
      </c>
      <c r="AR96" s="21">
        <f t="shared" si="196"/>
        <v>0.4242425900378563</v>
      </c>
      <c r="AS96" s="21">
        <f t="shared" ref="AS96:AS98" si="236">AP96*(AQ96^2)</f>
        <v>0.44166514793350248</v>
      </c>
      <c r="AT96" s="21">
        <f t="shared" si="43"/>
        <v>0.66457892528540397</v>
      </c>
      <c r="AU96" s="20">
        <f t="shared" ref="AU96:AU98" si="237">1/AS96</f>
        <v>2.2641587290255489</v>
      </c>
      <c r="AV96" s="20">
        <f t="shared" ref="AV96:AV98" si="238">AR96/AS96</f>
        <v>0.96055256345861972</v>
      </c>
      <c r="AW96" s="20">
        <f t="shared" ref="AW96:AW98" si="239">((AR96)^2)/AS96</f>
        <v>0.40750730738918717</v>
      </c>
      <c r="AX96" s="14"/>
      <c r="AY96" s="14"/>
      <c r="AZ96" s="1" t="s">
        <v>271</v>
      </c>
      <c r="BA96" s="2"/>
    </row>
    <row r="97" spans="1:53" ht="14.25" hidden="1" customHeight="1">
      <c r="A97" s="2">
        <v>493</v>
      </c>
      <c r="B97" s="2" t="s">
        <v>65</v>
      </c>
      <c r="C97" s="1" t="s">
        <v>85</v>
      </c>
      <c r="D97" s="1">
        <v>2023</v>
      </c>
      <c r="E97" s="1">
        <v>2020</v>
      </c>
      <c r="F97" s="1" t="s">
        <v>215</v>
      </c>
      <c r="G97" s="1" t="s">
        <v>160</v>
      </c>
      <c r="H97" s="1">
        <v>53.468417000000002</v>
      </c>
      <c r="I97" s="1">
        <v>122.35216699999999</v>
      </c>
      <c r="J97" s="1" t="s">
        <v>128</v>
      </c>
      <c r="K97" s="1" t="s">
        <v>173</v>
      </c>
      <c r="L97" s="1" t="s">
        <v>174</v>
      </c>
      <c r="M97" s="1" t="s">
        <v>237</v>
      </c>
      <c r="N97" s="1" t="s">
        <v>239</v>
      </c>
      <c r="O97" s="1" t="s">
        <v>86</v>
      </c>
      <c r="P97" s="1" t="s">
        <v>129</v>
      </c>
      <c r="Q97" s="1" t="s">
        <v>93</v>
      </c>
      <c r="R97" s="1">
        <v>2010</v>
      </c>
      <c r="S97" s="1">
        <v>10</v>
      </c>
      <c r="V97" s="1">
        <v>3</v>
      </c>
      <c r="W97" s="1">
        <v>3</v>
      </c>
      <c r="X97" s="1" t="s">
        <v>97</v>
      </c>
      <c r="Y97" s="1" t="s">
        <v>133</v>
      </c>
      <c r="Z97" s="1" t="s">
        <v>0</v>
      </c>
      <c r="AA97" s="1" t="s">
        <v>98</v>
      </c>
      <c r="AB97" s="1" t="s">
        <v>203</v>
      </c>
      <c r="AC97" s="1" t="s">
        <v>99</v>
      </c>
      <c r="AD97" s="1" t="s">
        <v>100</v>
      </c>
      <c r="AE97" s="1" t="s">
        <v>149</v>
      </c>
      <c r="AF97" s="1" t="s">
        <v>321</v>
      </c>
      <c r="AG97" s="1">
        <v>3.85</v>
      </c>
      <c r="AH97" s="12">
        <f t="shared" si="201"/>
        <v>0.29444863728670917</v>
      </c>
      <c r="AI97" s="12">
        <v>0.17</v>
      </c>
      <c r="AJ97" s="12">
        <v>2.67</v>
      </c>
      <c r="AK97" s="12">
        <f t="shared" ref="AK97:AK98" si="240">AL97*SQRT(V97)</f>
        <v>1.1951150572225251</v>
      </c>
      <c r="AL97" s="12">
        <v>0.69</v>
      </c>
      <c r="AM97" s="12">
        <f t="shared" ref="AM97" si="241">AG97-AJ97</f>
        <v>1.1800000000000002</v>
      </c>
      <c r="AN97" s="1">
        <f t="shared" ref="AN97" si="242">SQRT((((W97-1)*AH97^2)+((V97-1)*AK97^2))/(W97+V97-2))</f>
        <v>0.87034475927646038</v>
      </c>
      <c r="AO97" s="1">
        <f t="shared" ref="AO97" si="243">AM97/AN97</f>
        <v>1.3557845755065661</v>
      </c>
      <c r="AP97" s="1">
        <f t="shared" ref="AP97" si="244">1/W97+1/V97+(AO97^2)/(2*(W97+V97))</f>
        <v>0.81984598459845992</v>
      </c>
      <c r="AQ97" s="1">
        <f t="shared" ref="AQ97" si="245">1-(3/(4*(W97+V97-2)-1))</f>
        <v>0.8</v>
      </c>
      <c r="AR97" s="21">
        <f t="shared" ref="AR97" si="246">AO97*AQ97</f>
        <v>1.0846276604052529</v>
      </c>
      <c r="AS97" s="21">
        <f t="shared" si="236"/>
        <v>0.5247014301430144</v>
      </c>
      <c r="AT97" s="21">
        <f t="shared" ref="AT97" si="247">SQRT(AP97*AQ97^2)</f>
        <v>0.72436277523283488</v>
      </c>
      <c r="AU97" s="20">
        <f t="shared" si="237"/>
        <v>1.9058457678063438</v>
      </c>
      <c r="AV97" s="20">
        <f t="shared" si="238"/>
        <v>2.0671330362290479</v>
      </c>
      <c r="AW97" s="20">
        <f t="shared" si="239"/>
        <v>2.2420696688315189</v>
      </c>
      <c r="AX97" s="14"/>
      <c r="AY97" s="14"/>
      <c r="AZ97" s="1" t="s">
        <v>271</v>
      </c>
      <c r="BA97" s="2"/>
    </row>
    <row r="98" spans="1:53" ht="14.25" hidden="1" customHeight="1">
      <c r="A98" s="2">
        <v>493</v>
      </c>
      <c r="B98" s="2" t="s">
        <v>65</v>
      </c>
      <c r="C98" s="1" t="s">
        <v>85</v>
      </c>
      <c r="D98" s="1">
        <v>2023</v>
      </c>
      <c r="E98" s="1">
        <v>2020</v>
      </c>
      <c r="F98" s="1" t="s">
        <v>215</v>
      </c>
      <c r="G98" s="1" t="s">
        <v>160</v>
      </c>
      <c r="H98" s="1">
        <v>53.468417000000002</v>
      </c>
      <c r="I98" s="1">
        <v>122.35216699999999</v>
      </c>
      <c r="J98" s="1" t="s">
        <v>128</v>
      </c>
      <c r="K98" s="1" t="s">
        <v>173</v>
      </c>
      <c r="L98" s="1" t="s">
        <v>174</v>
      </c>
      <c r="M98" s="1" t="s">
        <v>237</v>
      </c>
      <c r="N98" s="1" t="s">
        <v>239</v>
      </c>
      <c r="O98" s="1" t="s">
        <v>86</v>
      </c>
      <c r="P98" s="1" t="s">
        <v>129</v>
      </c>
      <c r="Q98" s="1" t="s">
        <v>93</v>
      </c>
      <c r="R98" s="1">
        <v>2010</v>
      </c>
      <c r="S98" s="1">
        <v>10</v>
      </c>
      <c r="V98" s="1">
        <v>3</v>
      </c>
      <c r="W98" s="1">
        <v>3</v>
      </c>
      <c r="X98" s="1" t="s">
        <v>97</v>
      </c>
      <c r="Y98" s="1" t="s">
        <v>133</v>
      </c>
      <c r="Z98" s="1" t="s">
        <v>0</v>
      </c>
      <c r="AA98" s="1" t="s">
        <v>98</v>
      </c>
      <c r="AB98" s="1" t="s">
        <v>203</v>
      </c>
      <c r="AC98" s="1" t="s">
        <v>99</v>
      </c>
      <c r="AD98" s="1" t="s">
        <v>100</v>
      </c>
      <c r="AE98" s="1" t="s">
        <v>254</v>
      </c>
      <c r="AF98" s="1" t="s">
        <v>321</v>
      </c>
      <c r="AG98" s="1">
        <v>0.04</v>
      </c>
      <c r="AH98" s="12">
        <f t="shared" si="201"/>
        <v>0</v>
      </c>
      <c r="AI98" s="12">
        <v>0</v>
      </c>
      <c r="AJ98" s="12">
        <v>0.23</v>
      </c>
      <c r="AK98" s="12">
        <f t="shared" si="240"/>
        <v>0.27712812921102037</v>
      </c>
      <c r="AL98" s="12">
        <v>0.16</v>
      </c>
      <c r="AM98" s="12">
        <f t="shared" ref="AM98" si="248">AG98-AJ98</f>
        <v>-0.19</v>
      </c>
      <c r="AN98" s="1">
        <f t="shared" ref="AN98:AN115" si="249">SQRT((((W98-1)*AH98^2)+((V98-1)*AK98^2))/(W98+V98-2))</f>
        <v>0.19595917942265426</v>
      </c>
      <c r="AO98" s="1">
        <f t="shared" ref="AO98" si="250">AM98/AN98</f>
        <v>-0.9695896898516746</v>
      </c>
      <c r="AP98" s="1">
        <f t="shared" ref="AP98" si="251">1/W98+1/V98+(AO98^2)/(2*(W98+V98))</f>
        <v>0.74500868055555547</v>
      </c>
      <c r="AQ98" s="1">
        <f t="shared" ref="AQ98" si="252">1-(3/(4*(W98+V98-2)-1))</f>
        <v>0.8</v>
      </c>
      <c r="AR98" s="21">
        <f t="shared" ref="AR98" si="253">AO98*AQ98</f>
        <v>-0.77567175188133974</v>
      </c>
      <c r="AS98" s="21">
        <f t="shared" si="236"/>
        <v>0.47680555555555559</v>
      </c>
      <c r="AT98" s="21">
        <f t="shared" ref="AT98" si="254">SQRT(AP98*AQ98^2)</f>
        <v>0.69051108286221996</v>
      </c>
      <c r="AU98" s="20">
        <f t="shared" si="237"/>
        <v>2.0972909991261286</v>
      </c>
      <c r="AV98" s="20">
        <f t="shared" si="238"/>
        <v>-1.6268093834971296</v>
      </c>
      <c r="AW98" s="20">
        <f t="shared" si="239"/>
        <v>1.2618700844742208</v>
      </c>
      <c r="AX98" s="14"/>
      <c r="AY98" s="14"/>
      <c r="AZ98" s="1" t="s">
        <v>271</v>
      </c>
      <c r="BA98" s="2"/>
    </row>
    <row r="99" spans="1:53" ht="14.25" hidden="1" customHeight="1">
      <c r="A99" s="2">
        <v>493</v>
      </c>
      <c r="B99" s="2" t="s">
        <v>65</v>
      </c>
      <c r="C99" s="1" t="s">
        <v>85</v>
      </c>
      <c r="D99" s="1">
        <v>2023</v>
      </c>
      <c r="E99" s="1">
        <v>2020</v>
      </c>
      <c r="F99" s="1" t="s">
        <v>215</v>
      </c>
      <c r="G99" s="1" t="s">
        <v>160</v>
      </c>
      <c r="H99" s="1">
        <v>53.468417000000002</v>
      </c>
      <c r="I99" s="1">
        <v>122.35216699999999</v>
      </c>
      <c r="J99" s="1" t="s">
        <v>128</v>
      </c>
      <c r="K99" s="1" t="s">
        <v>173</v>
      </c>
      <c r="L99" s="1" t="s">
        <v>174</v>
      </c>
      <c r="M99" s="1" t="s">
        <v>237</v>
      </c>
      <c r="N99" s="1" t="s">
        <v>239</v>
      </c>
      <c r="O99" s="1" t="s">
        <v>86</v>
      </c>
      <c r="P99" s="1" t="s">
        <v>129</v>
      </c>
      <c r="Q99" s="1" t="s">
        <v>93</v>
      </c>
      <c r="R99" s="1">
        <v>2010</v>
      </c>
      <c r="S99" s="1">
        <v>10</v>
      </c>
      <c r="V99" s="1">
        <v>3</v>
      </c>
      <c r="W99" s="1">
        <v>3</v>
      </c>
      <c r="X99" s="1" t="s">
        <v>97</v>
      </c>
      <c r="Y99" s="1" t="s">
        <v>133</v>
      </c>
      <c r="Z99" s="1" t="s">
        <v>0</v>
      </c>
      <c r="AA99" s="1" t="s">
        <v>98</v>
      </c>
      <c r="AB99" s="1" t="s">
        <v>203</v>
      </c>
      <c r="AC99" s="1" t="s">
        <v>99</v>
      </c>
      <c r="AD99" s="1" t="s">
        <v>100</v>
      </c>
      <c r="AE99" s="1" t="s">
        <v>255</v>
      </c>
      <c r="AF99" s="1" t="s">
        <v>323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" t="s">
        <v>286</v>
      </c>
    </row>
    <row r="100" spans="1:53" ht="14.25" hidden="1" customHeight="1">
      <c r="A100" s="2">
        <v>44</v>
      </c>
      <c r="B100" s="2" t="s">
        <v>10</v>
      </c>
      <c r="C100" s="1" t="s">
        <v>89</v>
      </c>
      <c r="D100" s="1">
        <v>2016</v>
      </c>
      <c r="E100" s="1">
        <v>2013</v>
      </c>
      <c r="F100" s="1" t="s">
        <v>143</v>
      </c>
      <c r="G100" s="1" t="s">
        <v>119</v>
      </c>
      <c r="H100" s="1">
        <v>43.7</v>
      </c>
      <c r="I100" s="1">
        <v>-121.61666700000001</v>
      </c>
      <c r="J100" s="1" t="s">
        <v>135</v>
      </c>
      <c r="K100" s="1" t="s">
        <v>177</v>
      </c>
      <c r="L100" s="1" t="s">
        <v>193</v>
      </c>
      <c r="M100" s="1" t="s">
        <v>237</v>
      </c>
      <c r="N100" s="1" t="s">
        <v>239</v>
      </c>
      <c r="O100" s="1" t="s">
        <v>121</v>
      </c>
      <c r="P100" s="1" t="s">
        <v>146</v>
      </c>
      <c r="Q100" s="1" t="s">
        <v>93</v>
      </c>
      <c r="R100" s="1">
        <v>2013</v>
      </c>
      <c r="S100" s="1" t="s">
        <v>158</v>
      </c>
      <c r="V100" s="1">
        <v>12</v>
      </c>
      <c r="W100" s="1">
        <v>12</v>
      </c>
      <c r="X100" s="1" t="s">
        <v>134</v>
      </c>
      <c r="Y100" s="1" t="s">
        <v>0</v>
      </c>
      <c r="Z100" s="1" t="s">
        <v>1</v>
      </c>
      <c r="AA100" s="1" t="s">
        <v>98</v>
      </c>
      <c r="AB100" s="1" t="s">
        <v>159</v>
      </c>
      <c r="AC100" s="1" t="s">
        <v>2</v>
      </c>
      <c r="AD100" s="1" t="s">
        <v>100</v>
      </c>
      <c r="AE100" s="1" t="s">
        <v>223</v>
      </c>
      <c r="AF100" s="1" t="s">
        <v>335</v>
      </c>
      <c r="AG100" s="1">
        <v>8.4</v>
      </c>
      <c r="AH100" s="1">
        <v>0.8</v>
      </c>
      <c r="AJ100" s="1">
        <v>7.4</v>
      </c>
      <c r="AK100" s="1">
        <v>0.7</v>
      </c>
      <c r="AM100" s="12">
        <f t="shared" si="153"/>
        <v>1</v>
      </c>
      <c r="AN100" s="1">
        <f t="shared" si="249"/>
        <v>0.75166481891864534</v>
      </c>
      <c r="AO100" s="1">
        <f t="shared" si="188"/>
        <v>1.3303802104754787</v>
      </c>
      <c r="AP100" s="1">
        <f>1/W100+1/V100+(AO100^2)/(2*(W100+V100))</f>
        <v>0.20353982300884954</v>
      </c>
      <c r="AQ100" s="1">
        <f>1-(3/(4*(W100+V100-2)-1))</f>
        <v>0.96551724137931039</v>
      </c>
      <c r="AR100" s="21">
        <f t="shared" si="196"/>
        <v>1.2845050308039105</v>
      </c>
      <c r="AS100" s="21">
        <f t="shared" ref="AS100:AS103" si="255">AP100*(AQ100^2)</f>
        <v>0.18974461502846382</v>
      </c>
      <c r="AT100" s="21">
        <f t="shared" ref="AT100:AT194" si="256">SQRT(AP100*AQ100^2)</f>
        <v>0.43559684919483038</v>
      </c>
      <c r="AU100" s="20">
        <f t="shared" ref="AU100:AU103" si="257">1/AS100</f>
        <v>5.2702417923691209</v>
      </c>
      <c r="AV100" s="20">
        <f t="shared" ref="AV100:AV103" si="258">AR100/AS100</f>
        <v>6.7696520958511543</v>
      </c>
      <c r="AW100" s="20">
        <f t="shared" ref="AW100:AW103" si="259">((AR100)^2)/AS100</f>
        <v>8.6956521739130448</v>
      </c>
      <c r="AX100" s="14"/>
      <c r="AY100" s="14"/>
      <c r="AZ100" s="1" t="s">
        <v>271</v>
      </c>
      <c r="BA100" s="2"/>
    </row>
    <row r="101" spans="1:53" ht="14.25" hidden="1" customHeight="1">
      <c r="A101" s="2">
        <v>44</v>
      </c>
      <c r="B101" s="2" t="s">
        <v>10</v>
      </c>
      <c r="C101" s="1" t="s">
        <v>89</v>
      </c>
      <c r="D101" s="1">
        <v>2016</v>
      </c>
      <c r="E101" s="1">
        <v>2013</v>
      </c>
      <c r="F101" s="1" t="s">
        <v>143</v>
      </c>
      <c r="G101" s="1" t="s">
        <v>119</v>
      </c>
      <c r="H101" s="1">
        <v>43.7</v>
      </c>
      <c r="I101" s="1">
        <v>-121.61666700000001</v>
      </c>
      <c r="J101" s="1" t="s">
        <v>135</v>
      </c>
      <c r="K101" s="1" t="s">
        <v>177</v>
      </c>
      <c r="L101" s="1" t="s">
        <v>193</v>
      </c>
      <c r="M101" s="1" t="s">
        <v>237</v>
      </c>
      <c r="N101" s="1" t="s">
        <v>239</v>
      </c>
      <c r="O101" s="1" t="s">
        <v>121</v>
      </c>
      <c r="P101" s="1" t="s">
        <v>146</v>
      </c>
      <c r="Q101" s="1" t="s">
        <v>93</v>
      </c>
      <c r="R101" s="1">
        <v>2013</v>
      </c>
      <c r="S101" s="1" t="s">
        <v>158</v>
      </c>
      <c r="V101" s="1">
        <v>12</v>
      </c>
      <c r="W101" s="1">
        <v>12</v>
      </c>
      <c r="X101" s="1" t="s">
        <v>134</v>
      </c>
      <c r="Y101" s="1" t="s">
        <v>0</v>
      </c>
      <c r="Z101" s="1" t="s">
        <v>1</v>
      </c>
      <c r="AA101" s="1" t="s">
        <v>98</v>
      </c>
      <c r="AB101" s="1" t="s">
        <v>159</v>
      </c>
      <c r="AC101" s="1" t="s">
        <v>2</v>
      </c>
      <c r="AD101" s="1" t="s">
        <v>100</v>
      </c>
      <c r="AE101" s="1" t="s">
        <v>254</v>
      </c>
      <c r="AF101" s="1" t="s">
        <v>335</v>
      </c>
      <c r="AG101" s="1">
        <v>0.74</v>
      </c>
      <c r="AH101" s="1">
        <v>0.02</v>
      </c>
      <c r="AJ101" s="1">
        <v>0.68</v>
      </c>
      <c r="AK101" s="1">
        <v>0.04</v>
      </c>
      <c r="AM101" s="12">
        <f t="shared" ref="AM101" si="260">AG101-AJ101</f>
        <v>5.9999999999999942E-2</v>
      </c>
      <c r="AN101" s="1">
        <f t="shared" si="249"/>
        <v>3.1622776601683791E-2</v>
      </c>
      <c r="AO101" s="1">
        <f t="shared" ref="AO101" si="261">AM101/AN101</f>
        <v>1.897366596101026</v>
      </c>
      <c r="AP101" s="1">
        <f t="shared" ref="AP101" si="262">1/W101+1/V101+(AO101^2)/(2*(W101+V101))</f>
        <v>0.24166666666666653</v>
      </c>
      <c r="AQ101" s="1">
        <f t="shared" ref="AQ101" si="263">1-(3/(4*(W101+V101-2)-1))</f>
        <v>0.96551724137931039</v>
      </c>
      <c r="AR101" s="21">
        <f t="shared" ref="AR101" si="264">AO101*AQ101</f>
        <v>1.8319401617527149</v>
      </c>
      <c r="AS101" s="21">
        <f t="shared" si="255"/>
        <v>0.22528735632183899</v>
      </c>
      <c r="AT101" s="21">
        <f t="shared" ref="AT101" si="265">SQRT(AP101*AQ101^2)</f>
        <v>0.47464445253456716</v>
      </c>
      <c r="AU101" s="20">
        <f t="shared" si="257"/>
        <v>4.4387755102040831</v>
      </c>
      <c r="AV101" s="20">
        <f t="shared" si="258"/>
        <v>8.1315711261472572</v>
      </c>
      <c r="AW101" s="20">
        <f t="shared" si="259"/>
        <v>14.896551724137915</v>
      </c>
      <c r="AX101" s="14"/>
      <c r="AY101" s="14"/>
      <c r="AZ101" s="1" t="s">
        <v>271</v>
      </c>
      <c r="BA101" s="2"/>
    </row>
    <row r="102" spans="1:53" ht="14.25" hidden="1" customHeight="1">
      <c r="A102" s="2">
        <v>44</v>
      </c>
      <c r="B102" s="2" t="s">
        <v>10</v>
      </c>
      <c r="C102" s="1" t="s">
        <v>89</v>
      </c>
      <c r="D102" s="1">
        <v>2016</v>
      </c>
      <c r="E102" s="1">
        <v>2013</v>
      </c>
      <c r="F102" s="1" t="s">
        <v>143</v>
      </c>
      <c r="G102" s="1" t="s">
        <v>119</v>
      </c>
      <c r="H102" s="1">
        <v>43.7</v>
      </c>
      <c r="I102" s="1">
        <v>-121.61666700000001</v>
      </c>
      <c r="J102" s="1" t="s">
        <v>135</v>
      </c>
      <c r="K102" s="1" t="s">
        <v>177</v>
      </c>
      <c r="L102" s="1" t="s">
        <v>193</v>
      </c>
      <c r="M102" s="1" t="s">
        <v>237</v>
      </c>
      <c r="N102" s="1" t="s">
        <v>239</v>
      </c>
      <c r="O102" s="1" t="s">
        <v>121</v>
      </c>
      <c r="P102" s="1" t="s">
        <v>129</v>
      </c>
      <c r="Q102" s="1" t="s">
        <v>93</v>
      </c>
      <c r="R102" s="1">
        <v>2013</v>
      </c>
      <c r="S102" s="1" t="s">
        <v>158</v>
      </c>
      <c r="V102" s="1">
        <v>12</v>
      </c>
      <c r="W102" s="1">
        <v>12</v>
      </c>
      <c r="X102" s="1" t="s">
        <v>134</v>
      </c>
      <c r="Y102" s="1" t="s">
        <v>0</v>
      </c>
      <c r="Z102" s="1" t="s">
        <v>1</v>
      </c>
      <c r="AA102" s="1" t="s">
        <v>98</v>
      </c>
      <c r="AB102" s="1" t="s">
        <v>159</v>
      </c>
      <c r="AC102" s="1" t="s">
        <v>2</v>
      </c>
      <c r="AD102" s="1" t="s">
        <v>100</v>
      </c>
      <c r="AE102" s="1" t="s">
        <v>223</v>
      </c>
      <c r="AF102" s="1" t="s">
        <v>335</v>
      </c>
      <c r="AG102" s="1">
        <v>6.6</v>
      </c>
      <c r="AH102" s="1">
        <v>0.5</v>
      </c>
      <c r="AJ102" s="1">
        <v>7.4</v>
      </c>
      <c r="AK102" s="1">
        <v>0.7</v>
      </c>
      <c r="AM102" s="12">
        <f>AG102-AJ102</f>
        <v>-0.80000000000000071</v>
      </c>
      <c r="AN102" s="1">
        <f t="shared" si="249"/>
        <v>0.60827625302982202</v>
      </c>
      <c r="AO102" s="1">
        <f t="shared" ref="AO102" si="266">AM102/AN102</f>
        <v>-1.3151918984428594</v>
      </c>
      <c r="AP102" s="1">
        <f t="shared" ref="AP102" si="267">1/W102+1/V102+(AO102^2)/(2*(W102+V102))</f>
        <v>0.20270270270270274</v>
      </c>
      <c r="AQ102" s="1">
        <f t="shared" ref="AQ102" si="268">1-(3/(4*(W102+V102-2)-1))</f>
        <v>0.96551724137931039</v>
      </c>
      <c r="AR102" s="21">
        <f t="shared" ref="AR102" si="269">AO102*AQ102</f>
        <v>-1.2698404536689678</v>
      </c>
      <c r="AS102" s="21">
        <f t="shared" si="255"/>
        <v>0.18896423177041494</v>
      </c>
      <c r="AT102" s="21">
        <f t="shared" ref="AT102" si="270">SQRT(AP102*AQ102^2)</f>
        <v>0.43470016306692932</v>
      </c>
      <c r="AU102" s="20">
        <f t="shared" si="257"/>
        <v>5.2920068027210867</v>
      </c>
      <c r="AV102" s="20">
        <f t="shared" si="258"/>
        <v>-6.720004319186609</v>
      </c>
      <c r="AW102" s="20">
        <f t="shared" si="259"/>
        <v>8.5333333333333474</v>
      </c>
      <c r="AX102" s="14"/>
      <c r="AY102" s="14"/>
      <c r="AZ102" s="1" t="s">
        <v>271</v>
      </c>
      <c r="BA102" s="2"/>
    </row>
    <row r="103" spans="1:53" ht="14.25" hidden="1" customHeight="1">
      <c r="A103" s="2">
        <v>44</v>
      </c>
      <c r="B103" s="2" t="s">
        <v>10</v>
      </c>
      <c r="C103" s="1" t="s">
        <v>89</v>
      </c>
      <c r="D103" s="1">
        <v>2016</v>
      </c>
      <c r="E103" s="1">
        <v>2013</v>
      </c>
      <c r="F103" s="1" t="s">
        <v>143</v>
      </c>
      <c r="G103" s="1" t="s">
        <v>119</v>
      </c>
      <c r="H103" s="1">
        <v>43.7</v>
      </c>
      <c r="I103" s="1">
        <v>-121.61666700000001</v>
      </c>
      <c r="J103" s="1" t="s">
        <v>135</v>
      </c>
      <c r="K103" s="1" t="s">
        <v>177</v>
      </c>
      <c r="L103" s="1" t="s">
        <v>193</v>
      </c>
      <c r="M103" s="1" t="s">
        <v>237</v>
      </c>
      <c r="N103" s="1" t="s">
        <v>239</v>
      </c>
      <c r="O103" s="1" t="s">
        <v>121</v>
      </c>
      <c r="P103" s="1" t="s">
        <v>129</v>
      </c>
      <c r="Q103" s="1" t="s">
        <v>93</v>
      </c>
      <c r="R103" s="1">
        <v>2013</v>
      </c>
      <c r="S103" s="1" t="s">
        <v>158</v>
      </c>
      <c r="V103" s="1">
        <v>12</v>
      </c>
      <c r="W103" s="1">
        <v>12</v>
      </c>
      <c r="X103" s="1" t="s">
        <v>134</v>
      </c>
      <c r="Y103" s="1" t="s">
        <v>0</v>
      </c>
      <c r="Z103" s="1" t="s">
        <v>1</v>
      </c>
      <c r="AA103" s="1" t="s">
        <v>98</v>
      </c>
      <c r="AB103" s="1" t="s">
        <v>159</v>
      </c>
      <c r="AC103" s="1" t="s">
        <v>2</v>
      </c>
      <c r="AD103" s="1" t="s">
        <v>100</v>
      </c>
      <c r="AE103" s="1" t="s">
        <v>254</v>
      </c>
      <c r="AF103" s="1" t="s">
        <v>335</v>
      </c>
      <c r="AG103" s="1">
        <v>0.64</v>
      </c>
      <c r="AH103" s="1">
        <v>0.06</v>
      </c>
      <c r="AJ103" s="1">
        <v>0.68</v>
      </c>
      <c r="AK103" s="1">
        <v>0.04</v>
      </c>
      <c r="AM103" s="12">
        <f>AG103-AJ103</f>
        <v>-4.0000000000000036E-2</v>
      </c>
      <c r="AN103" s="1">
        <f t="shared" si="249"/>
        <v>5.0990195135927847E-2</v>
      </c>
      <c r="AO103" s="1">
        <f t="shared" ref="AO103" si="271">AM103/AN103</f>
        <v>-0.78446454055273684</v>
      </c>
      <c r="AP103" s="1">
        <f t="shared" ref="AP103" si="272">1/W103+1/V103+(AO103^2)/(2*(W103+V103))</f>
        <v>0.17948717948717952</v>
      </c>
      <c r="AQ103" s="1">
        <f t="shared" ref="AQ103" si="273">1-(3/(4*(W103+V103-2)-1))</f>
        <v>0.96551724137931039</v>
      </c>
      <c r="AR103" s="21">
        <f t="shared" ref="AR103" si="274">AO103*AQ103</f>
        <v>-0.75741403915436667</v>
      </c>
      <c r="AS103" s="21">
        <f t="shared" si="255"/>
        <v>0.16732217445653835</v>
      </c>
      <c r="AT103" s="21">
        <f t="shared" ref="AT103" si="275">SQRT(AP103*AQ103^2)</f>
        <v>0.40905033242443206</v>
      </c>
      <c r="AU103" s="20">
        <f t="shared" si="257"/>
        <v>5.9764941690962088</v>
      </c>
      <c r="AV103" s="20">
        <f t="shared" si="258"/>
        <v>-4.5266805885976797</v>
      </c>
      <c r="AW103" s="20">
        <f t="shared" si="259"/>
        <v>3.4285714285714342</v>
      </c>
      <c r="AX103" s="14"/>
      <c r="AY103" s="14"/>
      <c r="AZ103" s="1" t="s">
        <v>271</v>
      </c>
      <c r="BA103" s="2"/>
    </row>
    <row r="104" spans="1:53" ht="14.25" hidden="1" customHeight="1">
      <c r="A104" s="2">
        <v>215</v>
      </c>
      <c r="B104" s="2" t="s">
        <v>34</v>
      </c>
      <c r="C104" s="1" t="s">
        <v>85</v>
      </c>
      <c r="D104" s="1">
        <v>2001</v>
      </c>
      <c r="E104" s="1">
        <v>1997</v>
      </c>
      <c r="F104" s="1" t="s">
        <v>116</v>
      </c>
      <c r="G104" s="1" t="s">
        <v>117</v>
      </c>
      <c r="H104" s="1">
        <v>61.1</v>
      </c>
      <c r="I104" s="1">
        <v>16</v>
      </c>
      <c r="J104" s="1" t="s">
        <v>135</v>
      </c>
      <c r="K104" s="1" t="s">
        <v>177</v>
      </c>
      <c r="L104" s="1" t="s">
        <v>183</v>
      </c>
      <c r="M104" s="1" t="s">
        <v>237</v>
      </c>
      <c r="N104" s="1" t="s">
        <v>239</v>
      </c>
      <c r="O104" s="1" t="s">
        <v>121</v>
      </c>
      <c r="P104" s="1" t="s">
        <v>146</v>
      </c>
      <c r="Q104" s="1" t="s">
        <v>93</v>
      </c>
      <c r="R104" s="1">
        <v>1997</v>
      </c>
      <c r="S104" s="1" t="s">
        <v>299</v>
      </c>
      <c r="U104" s="1">
        <v>30</v>
      </c>
      <c r="V104" s="12">
        <v>45</v>
      </c>
      <c r="W104" s="12">
        <v>45</v>
      </c>
      <c r="X104" s="1" t="s">
        <v>134</v>
      </c>
      <c r="Y104" s="1" t="s">
        <v>155</v>
      </c>
      <c r="Z104" s="1" t="s">
        <v>0</v>
      </c>
      <c r="AA104" s="1" t="s">
        <v>98</v>
      </c>
      <c r="AB104" s="1" t="s">
        <v>222</v>
      </c>
      <c r="AC104" s="1" t="s">
        <v>2</v>
      </c>
      <c r="AD104" s="1" t="s">
        <v>100</v>
      </c>
      <c r="AE104" s="1" t="s">
        <v>223</v>
      </c>
      <c r="AF104" s="1" t="s">
        <v>335</v>
      </c>
      <c r="AG104" s="1">
        <v>3</v>
      </c>
      <c r="AH104" s="7" t="s">
        <v>2</v>
      </c>
      <c r="AI104" s="7" t="s">
        <v>2</v>
      </c>
      <c r="AJ104" s="1">
        <v>9</v>
      </c>
      <c r="AK104" s="7" t="s">
        <v>2</v>
      </c>
      <c r="AL104" s="7" t="s">
        <v>2</v>
      </c>
      <c r="AM104" s="12">
        <f t="shared" si="153"/>
        <v>-6</v>
      </c>
      <c r="AN104" s="1" t="e">
        <f t="shared" si="249"/>
        <v>#VALUE!</v>
      </c>
      <c r="AO104" s="1" t="e">
        <f t="shared" si="188"/>
        <v>#VALUE!</v>
      </c>
      <c r="AP104" s="1" t="e">
        <f>1/W104+1/V104+(AO104^2)/(2*(W104+V104))</f>
        <v>#VALUE!</v>
      </c>
      <c r="AQ104" s="1">
        <f>1-(3/(4*(W104+V104-2)-1))</f>
        <v>0.99145299145299148</v>
      </c>
      <c r="AR104" s="1" t="e">
        <f t="shared" si="196"/>
        <v>#VALUE!</v>
      </c>
      <c r="AT104" s="1" t="e">
        <f t="shared" si="256"/>
        <v>#VALUE!</v>
      </c>
      <c r="AX104" s="14"/>
      <c r="AY104" s="14"/>
      <c r="AZ104" s="1" t="s">
        <v>271</v>
      </c>
      <c r="BA104" s="2"/>
    </row>
    <row r="105" spans="1:53" ht="14.25" hidden="1" customHeight="1">
      <c r="A105" s="2">
        <v>215</v>
      </c>
      <c r="B105" s="2" t="s">
        <v>34</v>
      </c>
      <c r="C105" s="1" t="s">
        <v>85</v>
      </c>
      <c r="D105" s="1">
        <v>2001</v>
      </c>
      <c r="E105" s="1">
        <v>1997</v>
      </c>
      <c r="F105" s="1" t="s">
        <v>116</v>
      </c>
      <c r="G105" s="1" t="s">
        <v>117</v>
      </c>
      <c r="H105" s="1">
        <v>61.1</v>
      </c>
      <c r="I105" s="1">
        <v>16</v>
      </c>
      <c r="J105" s="1" t="s">
        <v>135</v>
      </c>
      <c r="K105" s="1" t="s">
        <v>177</v>
      </c>
      <c r="L105" s="1" t="s">
        <v>183</v>
      </c>
      <c r="M105" s="1" t="s">
        <v>237</v>
      </c>
      <c r="N105" s="1" t="s">
        <v>239</v>
      </c>
      <c r="O105" s="1" t="s">
        <v>121</v>
      </c>
      <c r="P105" s="1" t="s">
        <v>146</v>
      </c>
      <c r="Q105" s="1" t="s">
        <v>93</v>
      </c>
      <c r="R105" s="1">
        <v>1997</v>
      </c>
      <c r="S105" s="1" t="s">
        <v>299</v>
      </c>
      <c r="U105" s="1">
        <v>30</v>
      </c>
      <c r="V105" s="12">
        <v>45</v>
      </c>
      <c r="W105" s="12">
        <v>45</v>
      </c>
      <c r="X105" s="1" t="s">
        <v>134</v>
      </c>
      <c r="Y105" s="1" t="s">
        <v>155</v>
      </c>
      <c r="Z105" s="1" t="s">
        <v>0</v>
      </c>
      <c r="AA105" s="1" t="s">
        <v>98</v>
      </c>
      <c r="AB105" s="1" t="s">
        <v>222</v>
      </c>
      <c r="AC105" s="1" t="s">
        <v>2</v>
      </c>
      <c r="AD105" s="1" t="s">
        <v>100</v>
      </c>
      <c r="AE105" s="1" t="s">
        <v>254</v>
      </c>
      <c r="AF105" s="1" t="s">
        <v>335</v>
      </c>
      <c r="AG105" s="1">
        <v>2.1</v>
      </c>
      <c r="AH105" s="7" t="s">
        <v>2</v>
      </c>
      <c r="AI105" s="7" t="s">
        <v>2</v>
      </c>
      <c r="AJ105" s="1">
        <v>4.5999999999999996</v>
      </c>
      <c r="AK105" s="7" t="s">
        <v>2</v>
      </c>
      <c r="AL105" s="7" t="s">
        <v>2</v>
      </c>
      <c r="AM105" s="12">
        <f t="shared" ref="AM105:AM106" si="276">AG105-AJ105</f>
        <v>-2.4999999999999996</v>
      </c>
      <c r="AN105" s="1" t="e">
        <f t="shared" si="249"/>
        <v>#VALUE!</v>
      </c>
      <c r="AO105" s="1" t="e">
        <f t="shared" ref="AO105:AO106" si="277">AM105/AN105</f>
        <v>#VALUE!</v>
      </c>
      <c r="AP105" s="1" t="e">
        <f t="shared" ref="AP105:AP106" si="278">1/W105+1/V105+(AO105^2)/(2*(W105+V105))</f>
        <v>#VALUE!</v>
      </c>
      <c r="AQ105" s="1">
        <f t="shared" ref="AQ105:AQ106" si="279">1-(3/(4*(W105+V105-2)-1))</f>
        <v>0.99145299145299148</v>
      </c>
      <c r="AR105" s="1" t="e">
        <f t="shared" ref="AR105:AR106" si="280">AO105*AQ105</f>
        <v>#VALUE!</v>
      </c>
      <c r="AT105" s="1" t="e">
        <f t="shared" ref="AT105:AT106" si="281">SQRT(AP105*AQ105^2)</f>
        <v>#VALUE!</v>
      </c>
      <c r="AX105" s="14"/>
      <c r="AY105" s="14"/>
      <c r="AZ105" s="1" t="s">
        <v>271</v>
      </c>
      <c r="BA105" s="2"/>
    </row>
    <row r="106" spans="1:53" ht="14.25" hidden="1" customHeight="1">
      <c r="A106" s="2">
        <v>215</v>
      </c>
      <c r="B106" s="2" t="s">
        <v>34</v>
      </c>
      <c r="C106" s="1" t="s">
        <v>85</v>
      </c>
      <c r="D106" s="1">
        <v>2001</v>
      </c>
      <c r="E106" s="1">
        <v>1997</v>
      </c>
      <c r="F106" s="1" t="s">
        <v>116</v>
      </c>
      <c r="G106" s="1" t="s">
        <v>117</v>
      </c>
      <c r="H106" s="1">
        <v>61.1</v>
      </c>
      <c r="I106" s="1">
        <v>16</v>
      </c>
      <c r="J106" s="1" t="s">
        <v>135</v>
      </c>
      <c r="K106" s="1" t="s">
        <v>177</v>
      </c>
      <c r="L106" s="1" t="s">
        <v>183</v>
      </c>
      <c r="M106" s="1" t="s">
        <v>237</v>
      </c>
      <c r="N106" s="1" t="s">
        <v>239</v>
      </c>
      <c r="O106" s="1" t="s">
        <v>121</v>
      </c>
      <c r="P106" s="1" t="s">
        <v>129</v>
      </c>
      <c r="Q106" s="1" t="s">
        <v>93</v>
      </c>
      <c r="R106" s="1">
        <v>1997</v>
      </c>
      <c r="S106" s="1" t="s">
        <v>299</v>
      </c>
      <c r="U106" s="1">
        <v>30</v>
      </c>
      <c r="V106" s="12">
        <v>45</v>
      </c>
      <c r="W106" s="12">
        <v>45</v>
      </c>
      <c r="X106" s="1" t="s">
        <v>134</v>
      </c>
      <c r="Y106" s="1" t="s">
        <v>155</v>
      </c>
      <c r="Z106" s="1" t="s">
        <v>0</v>
      </c>
      <c r="AA106" s="1" t="s">
        <v>98</v>
      </c>
      <c r="AB106" s="1" t="s">
        <v>222</v>
      </c>
      <c r="AC106" s="1" t="s">
        <v>2</v>
      </c>
      <c r="AD106" s="1" t="s">
        <v>100</v>
      </c>
      <c r="AE106" s="1" t="s">
        <v>223</v>
      </c>
      <c r="AF106" s="1" t="s">
        <v>335</v>
      </c>
      <c r="AG106" s="1">
        <v>0</v>
      </c>
      <c r="AH106" s="7" t="s">
        <v>2</v>
      </c>
      <c r="AI106" s="7" t="s">
        <v>2</v>
      </c>
      <c r="AJ106" s="1">
        <v>9</v>
      </c>
      <c r="AK106" s="7" t="s">
        <v>2</v>
      </c>
      <c r="AL106" s="7" t="s">
        <v>2</v>
      </c>
      <c r="AM106" s="12">
        <f t="shared" si="276"/>
        <v>-9</v>
      </c>
      <c r="AN106" s="1" t="e">
        <f t="shared" si="249"/>
        <v>#VALUE!</v>
      </c>
      <c r="AO106" s="1" t="e">
        <f t="shared" si="277"/>
        <v>#VALUE!</v>
      </c>
      <c r="AP106" s="1" t="e">
        <f t="shared" si="278"/>
        <v>#VALUE!</v>
      </c>
      <c r="AQ106" s="1">
        <f t="shared" si="279"/>
        <v>0.99145299145299148</v>
      </c>
      <c r="AR106" s="1" t="e">
        <f t="shared" si="280"/>
        <v>#VALUE!</v>
      </c>
      <c r="AT106" s="1" t="e">
        <f t="shared" si="281"/>
        <v>#VALUE!</v>
      </c>
      <c r="AX106" s="14"/>
      <c r="AY106" s="14"/>
      <c r="AZ106" s="1" t="s">
        <v>271</v>
      </c>
      <c r="BA106" s="2"/>
    </row>
    <row r="107" spans="1:53" ht="14.25" hidden="1" customHeight="1">
      <c r="A107" s="2">
        <v>215</v>
      </c>
      <c r="B107" s="2" t="s">
        <v>34</v>
      </c>
      <c r="C107" s="1" t="s">
        <v>85</v>
      </c>
      <c r="D107" s="1">
        <v>2001</v>
      </c>
      <c r="E107" s="1">
        <v>1997</v>
      </c>
      <c r="F107" s="1" t="s">
        <v>116</v>
      </c>
      <c r="G107" s="1" t="s">
        <v>117</v>
      </c>
      <c r="H107" s="1">
        <v>61.1</v>
      </c>
      <c r="I107" s="1">
        <v>16</v>
      </c>
      <c r="J107" s="1" t="s">
        <v>135</v>
      </c>
      <c r="K107" s="1" t="s">
        <v>177</v>
      </c>
      <c r="L107" s="1" t="s">
        <v>183</v>
      </c>
      <c r="M107" s="1" t="s">
        <v>237</v>
      </c>
      <c r="N107" s="1" t="s">
        <v>239</v>
      </c>
      <c r="O107" s="1" t="s">
        <v>121</v>
      </c>
      <c r="P107" s="1" t="s">
        <v>129</v>
      </c>
      <c r="Q107" s="1" t="s">
        <v>93</v>
      </c>
      <c r="R107" s="1">
        <v>1997</v>
      </c>
      <c r="S107" s="1" t="s">
        <v>299</v>
      </c>
      <c r="U107" s="1">
        <v>30</v>
      </c>
      <c r="V107" s="12">
        <v>45</v>
      </c>
      <c r="W107" s="12">
        <v>45</v>
      </c>
      <c r="X107" s="1" t="s">
        <v>134</v>
      </c>
      <c r="Y107" s="1" t="s">
        <v>155</v>
      </c>
      <c r="Z107" s="1" t="s">
        <v>0</v>
      </c>
      <c r="AA107" s="1" t="s">
        <v>98</v>
      </c>
      <c r="AB107" s="1" t="s">
        <v>222</v>
      </c>
      <c r="AC107" s="1" t="s">
        <v>2</v>
      </c>
      <c r="AD107" s="1" t="s">
        <v>100</v>
      </c>
      <c r="AE107" s="1" t="s">
        <v>254</v>
      </c>
      <c r="AF107" s="1" t="s">
        <v>335</v>
      </c>
      <c r="AG107" s="1">
        <v>0</v>
      </c>
      <c r="AH107" s="7" t="s">
        <v>2</v>
      </c>
      <c r="AI107" s="7" t="s">
        <v>2</v>
      </c>
      <c r="AJ107" s="1">
        <v>4.5999999999999996</v>
      </c>
      <c r="AK107" s="7" t="s">
        <v>2</v>
      </c>
      <c r="AL107" s="7" t="s">
        <v>2</v>
      </c>
      <c r="AM107" s="12">
        <f t="shared" ref="AM107:AM115" si="282">AG107-AJ107</f>
        <v>-4.5999999999999996</v>
      </c>
      <c r="AN107" s="1" t="e">
        <f t="shared" si="249"/>
        <v>#VALUE!</v>
      </c>
      <c r="AO107" s="1" t="e">
        <f t="shared" ref="AO107:AO108" si="283">AM107/AN107</f>
        <v>#VALUE!</v>
      </c>
      <c r="AP107" s="1" t="e">
        <f t="shared" ref="AP107:AP108" si="284">1/W107+1/V107+(AO107^2)/(2*(W107+V107))</f>
        <v>#VALUE!</v>
      </c>
      <c r="AQ107" s="1">
        <f t="shared" ref="AQ107:AQ108" si="285">1-(3/(4*(W107+V107-2)-1))</f>
        <v>0.99145299145299148</v>
      </c>
      <c r="AR107" s="1" t="e">
        <f t="shared" ref="AR107:AR108" si="286">AO107*AQ107</f>
        <v>#VALUE!</v>
      </c>
      <c r="AT107" s="1" t="e">
        <f t="shared" ref="AT107:AT108" si="287">SQRT(AP107*AQ107^2)</f>
        <v>#VALUE!</v>
      </c>
      <c r="AX107" s="14"/>
      <c r="AY107" s="14"/>
      <c r="AZ107" s="1" t="s">
        <v>271</v>
      </c>
      <c r="BA107" s="2"/>
    </row>
    <row r="108" spans="1:53" ht="14.25" hidden="1" customHeight="1">
      <c r="A108" s="2">
        <v>215</v>
      </c>
      <c r="B108" s="2" t="s">
        <v>34</v>
      </c>
      <c r="C108" s="1" t="s">
        <v>85</v>
      </c>
      <c r="D108" s="1">
        <v>2001</v>
      </c>
      <c r="E108" s="1">
        <v>1997</v>
      </c>
      <c r="F108" s="1" t="s">
        <v>116</v>
      </c>
      <c r="G108" s="1" t="s">
        <v>117</v>
      </c>
      <c r="H108" s="1">
        <v>61.1</v>
      </c>
      <c r="I108" s="1">
        <v>16</v>
      </c>
      <c r="J108" s="1" t="s">
        <v>126</v>
      </c>
      <c r="K108" s="1" t="s">
        <v>177</v>
      </c>
      <c r="L108" s="1" t="s">
        <v>183</v>
      </c>
      <c r="M108" s="1" t="s">
        <v>237</v>
      </c>
      <c r="N108" s="1" t="s">
        <v>239</v>
      </c>
      <c r="O108" s="1" t="s">
        <v>121</v>
      </c>
      <c r="P108" s="1" t="s">
        <v>146</v>
      </c>
      <c r="Q108" s="1" t="s">
        <v>93</v>
      </c>
      <c r="R108" s="1">
        <v>1997</v>
      </c>
      <c r="S108" s="1" t="s">
        <v>299</v>
      </c>
      <c r="U108" s="1">
        <v>30</v>
      </c>
      <c r="V108" s="1">
        <v>5</v>
      </c>
      <c r="W108" s="1">
        <v>5</v>
      </c>
      <c r="X108" s="1" t="s">
        <v>114</v>
      </c>
      <c r="Y108" s="1" t="s">
        <v>2</v>
      </c>
      <c r="Z108" s="1" t="s">
        <v>0</v>
      </c>
      <c r="AA108" s="1" t="s">
        <v>113</v>
      </c>
      <c r="AB108" s="1" t="s">
        <v>2</v>
      </c>
      <c r="AC108" s="1" t="s">
        <v>2</v>
      </c>
      <c r="AD108" s="1" t="s">
        <v>2</v>
      </c>
      <c r="AE108" s="1" t="s">
        <v>298</v>
      </c>
      <c r="AF108" s="1" t="s">
        <v>323</v>
      </c>
      <c r="AG108" s="1">
        <v>0.14000000000000001</v>
      </c>
      <c r="AH108" s="1">
        <f>AI108*SQRT(W108)</f>
        <v>8.9442719099991547E-2</v>
      </c>
      <c r="AI108" s="1">
        <f>0.18-AG108</f>
        <v>3.999999999999998E-2</v>
      </c>
      <c r="AJ108" s="1">
        <v>1.36</v>
      </c>
      <c r="AK108" s="1">
        <f>AL108*SQRT(V108)</f>
        <v>0.33541019662496829</v>
      </c>
      <c r="AL108" s="1">
        <f>1.51-AJ108</f>
        <v>0.14999999999999991</v>
      </c>
      <c r="AM108" s="12">
        <f t="shared" si="282"/>
        <v>-1.2200000000000002</v>
      </c>
      <c r="AN108" s="1">
        <f t="shared" si="249"/>
        <v>0.24545875417267143</v>
      </c>
      <c r="AO108" s="1">
        <f t="shared" si="283"/>
        <v>-4.9702851467329374</v>
      </c>
      <c r="AP108" s="1">
        <f t="shared" si="284"/>
        <v>1.6351867219917029</v>
      </c>
      <c r="AQ108" s="1">
        <f t="shared" si="285"/>
        <v>0.90322580645161288</v>
      </c>
      <c r="AR108" s="21">
        <f t="shared" si="286"/>
        <v>-4.4892898099523304</v>
      </c>
      <c r="AS108" s="21">
        <f t="shared" ref="AS108:AS109" si="288">AP108*(AQ108^2)</f>
        <v>1.3340128928631581</v>
      </c>
      <c r="AT108" s="21">
        <f t="shared" si="287"/>
        <v>1.154994758803328</v>
      </c>
      <c r="AU108" s="20">
        <f t="shared" ref="AU108:AU109" si="289">1/AS108</f>
        <v>0.74961794248759117</v>
      </c>
      <c r="AV108" s="20">
        <f t="shared" ref="AV108:AV109" si="290">AR108/AS108</f>
        <v>-3.3652521905669754</v>
      </c>
      <c r="AW108" s="20">
        <f t="shared" ref="AW108:AW109" si="291">((AR108)^2)/AS108</f>
        <v>15.10759236703208</v>
      </c>
      <c r="AX108" s="14"/>
      <c r="AY108" s="14"/>
      <c r="AZ108" s="1" t="s">
        <v>271</v>
      </c>
      <c r="BA108" s="2"/>
    </row>
    <row r="109" spans="1:53" ht="14.25" hidden="1" customHeight="1">
      <c r="A109" s="2">
        <v>215</v>
      </c>
      <c r="B109" s="2" t="s">
        <v>34</v>
      </c>
      <c r="C109" s="1" t="s">
        <v>85</v>
      </c>
      <c r="D109" s="1">
        <v>2001</v>
      </c>
      <c r="E109" s="1">
        <v>1997</v>
      </c>
      <c r="F109" s="1" t="s">
        <v>116</v>
      </c>
      <c r="G109" s="1" t="s">
        <v>117</v>
      </c>
      <c r="H109" s="1">
        <v>61.1</v>
      </c>
      <c r="I109" s="1">
        <v>16</v>
      </c>
      <c r="J109" s="1" t="s">
        <v>126</v>
      </c>
      <c r="K109" s="1" t="s">
        <v>177</v>
      </c>
      <c r="L109" s="1" t="s">
        <v>183</v>
      </c>
      <c r="M109" s="1" t="s">
        <v>237</v>
      </c>
      <c r="N109" s="1" t="s">
        <v>239</v>
      </c>
      <c r="O109" s="1" t="s">
        <v>121</v>
      </c>
      <c r="P109" s="1" t="s">
        <v>129</v>
      </c>
      <c r="Q109" s="1" t="s">
        <v>93</v>
      </c>
      <c r="R109" s="1">
        <v>1997</v>
      </c>
      <c r="S109" s="1" t="s">
        <v>299</v>
      </c>
      <c r="U109" s="1">
        <v>30</v>
      </c>
      <c r="V109" s="1">
        <v>5</v>
      </c>
      <c r="W109" s="1">
        <v>5</v>
      </c>
      <c r="X109" s="1" t="s">
        <v>114</v>
      </c>
      <c r="Y109" s="1" t="s">
        <v>2</v>
      </c>
      <c r="Z109" s="1" t="s">
        <v>0</v>
      </c>
      <c r="AA109" s="1" t="s">
        <v>113</v>
      </c>
      <c r="AB109" s="1" t="s">
        <v>2</v>
      </c>
      <c r="AC109" s="1" t="s">
        <v>2</v>
      </c>
      <c r="AD109" s="1" t="s">
        <v>2</v>
      </c>
      <c r="AE109" s="1" t="s">
        <v>298</v>
      </c>
      <c r="AF109" s="1" t="s">
        <v>323</v>
      </c>
      <c r="AG109" s="1">
        <v>0</v>
      </c>
      <c r="AH109" s="1">
        <v>0</v>
      </c>
      <c r="AI109" s="1">
        <v>0</v>
      </c>
      <c r="AJ109" s="1">
        <v>1.36</v>
      </c>
      <c r="AK109" s="1">
        <f>AL109*SQRT(V109)</f>
        <v>0.33541019662496829</v>
      </c>
      <c r="AL109" s="1">
        <f>1.51-AJ109</f>
        <v>0.14999999999999991</v>
      </c>
      <c r="AM109" s="12">
        <f t="shared" si="282"/>
        <v>-1.36</v>
      </c>
      <c r="AN109" s="1">
        <f t="shared" si="249"/>
        <v>0.23717082451262833</v>
      </c>
      <c r="AO109" s="1">
        <f t="shared" si="188"/>
        <v>-5.7342634904386642</v>
      </c>
      <c r="AP109" s="1">
        <f>1/W109+1/V109+(AO109^2)/(2*(W109+V109))</f>
        <v>2.0440888888888908</v>
      </c>
      <c r="AQ109" s="1">
        <f>1-(3/(4*(W109+V109-2)-1))</f>
        <v>0.90322580645161288</v>
      </c>
      <c r="AR109" s="21">
        <f t="shared" si="196"/>
        <v>-5.1793347655575026</v>
      </c>
      <c r="AS109" s="21">
        <f t="shared" si="288"/>
        <v>1.6676021736616964</v>
      </c>
      <c r="AT109" s="21">
        <f t="shared" si="256"/>
        <v>1.2913567182082943</v>
      </c>
      <c r="AU109" s="20">
        <f t="shared" si="289"/>
        <v>0.59966340641318228</v>
      </c>
      <c r="AV109" s="20">
        <f t="shared" si="290"/>
        <v>-3.1058575284684329</v>
      </c>
      <c r="AW109" s="20">
        <f t="shared" si="291"/>
        <v>16.086275874065056</v>
      </c>
      <c r="AX109" s="14"/>
      <c r="AY109" s="14"/>
      <c r="AZ109" s="1" t="s">
        <v>271</v>
      </c>
      <c r="BA109" s="2"/>
    </row>
    <row r="110" spans="1:53" s="12" customFormat="1" ht="14.25" hidden="1" customHeight="1">
      <c r="A110" s="2">
        <v>449</v>
      </c>
      <c r="B110" s="2" t="s">
        <v>57</v>
      </c>
      <c r="C110" s="12" t="s">
        <v>85</v>
      </c>
      <c r="D110" s="12">
        <v>2019</v>
      </c>
      <c r="E110" s="12">
        <v>2015</v>
      </c>
      <c r="F110" s="12" t="s">
        <v>153</v>
      </c>
      <c r="G110" s="1" t="s">
        <v>117</v>
      </c>
      <c r="H110" s="12">
        <v>61.714253999999997</v>
      </c>
      <c r="I110" s="12">
        <v>-116.79387</v>
      </c>
      <c r="J110" s="12" t="s">
        <v>128</v>
      </c>
      <c r="K110" s="12" t="s">
        <v>103</v>
      </c>
      <c r="L110" s="12" t="s">
        <v>188</v>
      </c>
      <c r="M110" s="12" t="s">
        <v>237</v>
      </c>
      <c r="N110" s="12" t="s">
        <v>239</v>
      </c>
      <c r="O110" s="12" t="s">
        <v>86</v>
      </c>
      <c r="P110" s="12" t="s">
        <v>129</v>
      </c>
      <c r="Q110" s="12" t="s">
        <v>93</v>
      </c>
      <c r="R110" s="12">
        <v>2014</v>
      </c>
      <c r="S110" s="12">
        <v>1</v>
      </c>
      <c r="V110" s="12">
        <v>8</v>
      </c>
      <c r="W110" s="12">
        <v>39</v>
      </c>
      <c r="X110" s="12" t="s">
        <v>97</v>
      </c>
      <c r="Y110" s="12" t="s">
        <v>130</v>
      </c>
      <c r="Z110" s="12" t="s">
        <v>1</v>
      </c>
      <c r="AA110" s="12" t="s">
        <v>98</v>
      </c>
      <c r="AB110" s="12" t="s">
        <v>203</v>
      </c>
      <c r="AC110" s="12" t="s">
        <v>99</v>
      </c>
      <c r="AD110" s="12" t="s">
        <v>100</v>
      </c>
      <c r="AE110" s="12" t="s">
        <v>255</v>
      </c>
      <c r="AF110" s="12" t="s">
        <v>323</v>
      </c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2" t="s">
        <v>286</v>
      </c>
    </row>
    <row r="111" spans="1:53" ht="14.25" hidden="1" customHeight="1">
      <c r="A111" s="2">
        <v>21</v>
      </c>
      <c r="B111" s="2" t="s">
        <v>4</v>
      </c>
      <c r="C111" s="1" t="s">
        <v>85</v>
      </c>
      <c r="D111" s="1">
        <v>2005</v>
      </c>
      <c r="E111" s="1" t="s">
        <v>145</v>
      </c>
      <c r="F111" s="1" t="s">
        <v>120</v>
      </c>
      <c r="G111" s="1" t="s">
        <v>162</v>
      </c>
      <c r="H111" s="1">
        <v>42.641388999999997</v>
      </c>
      <c r="I111" s="1">
        <v>-2.2769439999999999</v>
      </c>
      <c r="J111" s="1" t="s">
        <v>135</v>
      </c>
      <c r="K111" s="1" t="s">
        <v>179</v>
      </c>
      <c r="L111" s="1" t="s">
        <v>195</v>
      </c>
      <c r="M111" s="1" t="s">
        <v>237</v>
      </c>
      <c r="N111" s="1" t="s">
        <v>239</v>
      </c>
      <c r="O111" s="1" t="s">
        <v>86</v>
      </c>
      <c r="P111" s="1" t="s">
        <v>146</v>
      </c>
      <c r="Q111" s="1" t="s">
        <v>93</v>
      </c>
      <c r="R111" s="1">
        <v>1994</v>
      </c>
      <c r="S111" s="1">
        <v>4</v>
      </c>
      <c r="U111" s="1">
        <v>38</v>
      </c>
      <c r="V111" s="1">
        <f t="shared" ref="V111:W113" si="292">12*5</f>
        <v>60</v>
      </c>
      <c r="W111" s="1">
        <f t="shared" si="292"/>
        <v>60</v>
      </c>
      <c r="X111" s="1" t="s">
        <v>134</v>
      </c>
      <c r="Y111" s="1" t="s">
        <v>133</v>
      </c>
      <c r="Z111" s="1" t="s">
        <v>0</v>
      </c>
      <c r="AA111" s="1" t="s">
        <v>148</v>
      </c>
      <c r="AB111" s="1" t="s">
        <v>2</v>
      </c>
      <c r="AC111" s="1" t="s">
        <v>2</v>
      </c>
      <c r="AD111" s="1" t="s">
        <v>2</v>
      </c>
      <c r="AE111" s="1" t="s">
        <v>223</v>
      </c>
      <c r="AF111" s="1" t="s">
        <v>336</v>
      </c>
      <c r="AG111" s="1">
        <v>6.5</v>
      </c>
      <c r="AH111" s="7" t="s">
        <v>2</v>
      </c>
      <c r="AI111" s="7" t="s">
        <v>2</v>
      </c>
      <c r="AJ111" s="1">
        <v>7.1</v>
      </c>
      <c r="AK111" s="7" t="s">
        <v>2</v>
      </c>
      <c r="AL111" s="7" t="s">
        <v>2</v>
      </c>
      <c r="AM111" s="12">
        <f t="shared" si="282"/>
        <v>-0.59999999999999964</v>
      </c>
      <c r="AN111" s="1" t="e">
        <f t="shared" si="249"/>
        <v>#VALUE!</v>
      </c>
      <c r="AO111" s="1" t="e">
        <f t="shared" si="188"/>
        <v>#VALUE!</v>
      </c>
      <c r="AP111" s="1" t="e">
        <f>1/W111+1/V111+(AO111^2)/(2*(W111+V111))</f>
        <v>#VALUE!</v>
      </c>
      <c r="AQ111" s="1">
        <f>1-(3/(4*(W111+V111-2)-1))</f>
        <v>0.99363057324840764</v>
      </c>
      <c r="AR111" s="1" t="e">
        <f t="shared" si="196"/>
        <v>#VALUE!</v>
      </c>
      <c r="AT111" s="1" t="e">
        <f t="shared" si="256"/>
        <v>#VALUE!</v>
      </c>
      <c r="AX111" s="14"/>
      <c r="AY111" s="14"/>
      <c r="AZ111" s="1" t="s">
        <v>271</v>
      </c>
      <c r="BA111" s="2"/>
    </row>
    <row r="112" spans="1:53" ht="14.25" hidden="1" customHeight="1">
      <c r="A112" s="2">
        <v>21</v>
      </c>
      <c r="B112" s="2" t="s">
        <v>4</v>
      </c>
      <c r="C112" s="1" t="s">
        <v>85</v>
      </c>
      <c r="D112" s="1">
        <v>2005</v>
      </c>
      <c r="E112" s="1" t="s">
        <v>145</v>
      </c>
      <c r="F112" s="1" t="s">
        <v>120</v>
      </c>
      <c r="G112" s="1" t="s">
        <v>162</v>
      </c>
      <c r="H112" s="1">
        <v>42.641388999999997</v>
      </c>
      <c r="I112" s="1">
        <v>-2.2769439999999999</v>
      </c>
      <c r="J112" s="1" t="s">
        <v>135</v>
      </c>
      <c r="K112" s="1" t="s">
        <v>179</v>
      </c>
      <c r="L112" s="1" t="s">
        <v>195</v>
      </c>
      <c r="M112" s="1" t="s">
        <v>237</v>
      </c>
      <c r="N112" s="1" t="s">
        <v>239</v>
      </c>
      <c r="O112" s="1" t="s">
        <v>86</v>
      </c>
      <c r="P112" s="1" t="s">
        <v>146</v>
      </c>
      <c r="Q112" s="1" t="s">
        <v>93</v>
      </c>
      <c r="R112" s="1">
        <v>1994</v>
      </c>
      <c r="S112" s="1">
        <v>4</v>
      </c>
      <c r="U112" s="1">
        <v>38</v>
      </c>
      <c r="V112" s="1">
        <f t="shared" si="292"/>
        <v>60</v>
      </c>
      <c r="W112" s="1">
        <f t="shared" si="292"/>
        <v>60</v>
      </c>
      <c r="X112" s="1" t="s">
        <v>134</v>
      </c>
      <c r="Y112" s="1" t="s">
        <v>133</v>
      </c>
      <c r="Z112" s="1" t="s">
        <v>0</v>
      </c>
      <c r="AA112" s="1" t="s">
        <v>148</v>
      </c>
      <c r="AB112" s="1" t="s">
        <v>2</v>
      </c>
      <c r="AC112" s="1" t="s">
        <v>2</v>
      </c>
      <c r="AD112" s="1" t="s">
        <v>2</v>
      </c>
      <c r="AE112" s="1" t="s">
        <v>149</v>
      </c>
      <c r="AF112" s="1" t="s">
        <v>336</v>
      </c>
      <c r="AG112" s="1">
        <v>1.242</v>
      </c>
      <c r="AH112" s="7" t="s">
        <v>2</v>
      </c>
      <c r="AI112" s="7" t="s">
        <v>2</v>
      </c>
      <c r="AJ112" s="1">
        <v>1.3240000000000001</v>
      </c>
      <c r="AK112" s="7" t="s">
        <v>2</v>
      </c>
      <c r="AL112" s="7" t="s">
        <v>2</v>
      </c>
      <c r="AM112" s="12">
        <f>AG112-AJ112</f>
        <v>-8.2000000000000073E-2</v>
      </c>
      <c r="AN112" s="1" t="e">
        <f t="shared" si="249"/>
        <v>#VALUE!</v>
      </c>
      <c r="AO112" s="1" t="e">
        <f t="shared" si="188"/>
        <v>#VALUE!</v>
      </c>
      <c r="AP112" s="1" t="e">
        <f>1/W112+1/V112+(AO112^2)/(2*(W112+V112))</f>
        <v>#VALUE!</v>
      </c>
      <c r="AQ112" s="1">
        <f>1-(3/(4*(W112+V112-2)-1))</f>
        <v>0.99363057324840764</v>
      </c>
      <c r="AR112" s="1" t="e">
        <f t="shared" si="196"/>
        <v>#VALUE!</v>
      </c>
      <c r="AT112" s="1" t="e">
        <f t="shared" si="256"/>
        <v>#VALUE!</v>
      </c>
      <c r="AX112" s="14"/>
      <c r="AY112" s="14"/>
      <c r="AZ112" s="1" t="s">
        <v>271</v>
      </c>
      <c r="BA112" s="2"/>
    </row>
    <row r="113" spans="1:53" ht="14.25" hidden="1" customHeight="1">
      <c r="A113" s="2">
        <v>21</v>
      </c>
      <c r="B113" s="2" t="s">
        <v>4</v>
      </c>
      <c r="C113" s="1" t="s">
        <v>85</v>
      </c>
      <c r="D113" s="1">
        <v>2005</v>
      </c>
      <c r="E113" s="1" t="s">
        <v>145</v>
      </c>
      <c r="F113" s="1" t="s">
        <v>120</v>
      </c>
      <c r="G113" s="1" t="s">
        <v>162</v>
      </c>
      <c r="H113" s="1">
        <v>42.641388999999997</v>
      </c>
      <c r="I113" s="1">
        <v>-2.2769439999999999</v>
      </c>
      <c r="J113" s="1" t="s">
        <v>135</v>
      </c>
      <c r="K113" s="1" t="s">
        <v>179</v>
      </c>
      <c r="L113" s="1" t="s">
        <v>195</v>
      </c>
      <c r="M113" s="1" t="s">
        <v>237</v>
      </c>
      <c r="N113" s="1" t="s">
        <v>239</v>
      </c>
      <c r="O113" s="1" t="s">
        <v>86</v>
      </c>
      <c r="P113" s="1" t="s">
        <v>146</v>
      </c>
      <c r="Q113" s="1" t="s">
        <v>93</v>
      </c>
      <c r="R113" s="1">
        <v>1994</v>
      </c>
      <c r="S113" s="1">
        <v>4</v>
      </c>
      <c r="U113" s="1">
        <v>38</v>
      </c>
      <c r="V113" s="1">
        <f t="shared" si="292"/>
        <v>60</v>
      </c>
      <c r="W113" s="1">
        <f t="shared" si="292"/>
        <v>60</v>
      </c>
      <c r="X113" s="1" t="s">
        <v>134</v>
      </c>
      <c r="Y113" s="1" t="s">
        <v>133</v>
      </c>
      <c r="Z113" s="1" t="s">
        <v>0</v>
      </c>
      <c r="AA113" s="1" t="s">
        <v>148</v>
      </c>
      <c r="AB113" s="1" t="s">
        <v>2</v>
      </c>
      <c r="AC113" s="1" t="s">
        <v>2</v>
      </c>
      <c r="AD113" s="1" t="s">
        <v>2</v>
      </c>
      <c r="AE113" s="1" t="s">
        <v>300</v>
      </c>
      <c r="AF113" s="1" t="s">
        <v>336</v>
      </c>
      <c r="AG113" s="1">
        <f>22.7/100</f>
        <v>0.22699999999999998</v>
      </c>
      <c r="AH113" s="13"/>
      <c r="AI113" s="13"/>
      <c r="AJ113" s="1">
        <f>27.6/100</f>
        <v>0.27600000000000002</v>
      </c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2">
        <f>LOG(AG113/AJ113)</f>
        <v>-8.4883224872095056E-2</v>
      </c>
      <c r="AY113" s="12">
        <f t="shared" ref="AY113:AY144" si="293">((1-AG113)/(AG113*W113))+((1-AJ113)/(V113*AJ113))</f>
        <v>0.10047457915682394</v>
      </c>
      <c r="AZ113" s="1" t="s">
        <v>284</v>
      </c>
    </row>
    <row r="114" spans="1:53" ht="14.25" hidden="1" customHeight="1">
      <c r="A114" s="2">
        <v>141</v>
      </c>
      <c r="B114" s="2" t="s">
        <v>21</v>
      </c>
      <c r="C114" s="1" t="s">
        <v>85</v>
      </c>
      <c r="D114" s="1">
        <v>2022</v>
      </c>
      <c r="E114" s="1">
        <v>2015</v>
      </c>
      <c r="F114" s="1" t="s">
        <v>200</v>
      </c>
      <c r="G114" s="1" t="s">
        <v>124</v>
      </c>
      <c r="H114" s="1">
        <v>20.327825000000001</v>
      </c>
      <c r="I114" s="1">
        <v>-74.804070999999993</v>
      </c>
      <c r="J114" s="1" t="s">
        <v>126</v>
      </c>
      <c r="K114" s="1" t="s">
        <v>177</v>
      </c>
      <c r="L114" s="1" t="s">
        <v>201</v>
      </c>
      <c r="M114" s="1" t="s">
        <v>237</v>
      </c>
      <c r="N114" s="1" t="s">
        <v>239</v>
      </c>
      <c r="O114" s="1" t="s">
        <v>121</v>
      </c>
      <c r="Q114" s="1" t="s">
        <v>115</v>
      </c>
      <c r="R114" s="1">
        <v>2015</v>
      </c>
      <c r="S114" s="1" t="s">
        <v>301</v>
      </c>
      <c r="V114" s="1">
        <v>3</v>
      </c>
      <c r="W114" s="1">
        <v>3</v>
      </c>
      <c r="X114" s="1" t="s">
        <v>114</v>
      </c>
      <c r="Y114" s="1" t="s">
        <v>2</v>
      </c>
      <c r="Z114" s="1" t="s">
        <v>1</v>
      </c>
      <c r="AA114" s="1" t="s">
        <v>113</v>
      </c>
      <c r="AB114" s="1" t="s">
        <v>2</v>
      </c>
      <c r="AC114" s="1" t="s">
        <v>2</v>
      </c>
      <c r="AD114" s="1" t="s">
        <v>2</v>
      </c>
      <c r="AE114" s="1" t="s">
        <v>298</v>
      </c>
      <c r="AF114" s="1" t="s">
        <v>323</v>
      </c>
      <c r="AG114" s="1">
        <v>1.76</v>
      </c>
      <c r="AH114" s="12">
        <f>2.93-AG114</f>
        <v>1.1700000000000002</v>
      </c>
      <c r="AI114" s="12"/>
      <c r="AJ114" s="12">
        <v>49.59</v>
      </c>
      <c r="AK114" s="1">
        <f>63.07-AJ114</f>
        <v>13.479999999999997</v>
      </c>
      <c r="AL114" s="12"/>
      <c r="AM114" s="12">
        <f t="shared" si="282"/>
        <v>-47.830000000000005</v>
      </c>
      <c r="AN114" s="1">
        <f t="shared" si="249"/>
        <v>9.5676355490789859</v>
      </c>
      <c r="AO114" s="1">
        <f t="shared" si="188"/>
        <v>-4.99914526997261</v>
      </c>
      <c r="AP114" s="1">
        <f>1/W114+1/V114+(AO114^2)/(2*(W114+V114))</f>
        <v>2.7492877858574598</v>
      </c>
      <c r="AQ114" s="1">
        <f>1-(3/(4*(W114+V114-2)-1))</f>
        <v>0.8</v>
      </c>
      <c r="AR114" s="21">
        <f t="shared" si="196"/>
        <v>-3.9993162159780882</v>
      </c>
      <c r="AS114" s="21">
        <f t="shared" ref="AS114:AS115" si="294">AP114*(AQ114^2)</f>
        <v>1.7595441829487746</v>
      </c>
      <c r="AT114" s="21">
        <f t="shared" si="256"/>
        <v>1.3264781125027185</v>
      </c>
      <c r="AU114" s="20">
        <f t="shared" ref="AU114:AU115" si="295">1/AS114</f>
        <v>0.56832900798440078</v>
      </c>
      <c r="AV114" s="20">
        <f t="shared" ref="AV114:AV115" si="296">AR114/AS114</f>
        <v>-2.2729274176427543</v>
      </c>
      <c r="AW114" s="20">
        <f t="shared" ref="AW114:AW115" si="297">((AR114)^2)/AS114</f>
        <v>9.0901554791198684</v>
      </c>
      <c r="AX114" s="14"/>
      <c r="AY114" s="14"/>
      <c r="AZ114" s="1" t="s">
        <v>271</v>
      </c>
      <c r="BA114" s="2"/>
    </row>
    <row r="115" spans="1:53" ht="14.25" hidden="1" customHeight="1">
      <c r="A115" s="2">
        <v>141</v>
      </c>
      <c r="B115" s="2" t="s">
        <v>21</v>
      </c>
      <c r="C115" s="1" t="s">
        <v>85</v>
      </c>
      <c r="D115" s="1">
        <v>2022</v>
      </c>
      <c r="E115" s="1">
        <v>2015</v>
      </c>
      <c r="F115" s="1" t="s">
        <v>200</v>
      </c>
      <c r="G115" s="1" t="s">
        <v>124</v>
      </c>
      <c r="H115" s="1">
        <v>20.327825000000001</v>
      </c>
      <c r="I115" s="1">
        <v>-74.804070999999993</v>
      </c>
      <c r="J115" s="1" t="s">
        <v>126</v>
      </c>
      <c r="K115" s="1" t="s">
        <v>177</v>
      </c>
      <c r="L115" s="1" t="s">
        <v>201</v>
      </c>
      <c r="M115" s="1" t="s">
        <v>237</v>
      </c>
      <c r="N115" s="1" t="s">
        <v>239</v>
      </c>
      <c r="O115" s="1" t="s">
        <v>121</v>
      </c>
      <c r="Q115" s="1" t="s">
        <v>115</v>
      </c>
      <c r="R115" s="1">
        <v>2015</v>
      </c>
      <c r="S115" s="1" t="s">
        <v>299</v>
      </c>
      <c r="V115" s="1">
        <v>3</v>
      </c>
      <c r="W115" s="1">
        <v>3</v>
      </c>
      <c r="X115" s="1" t="s">
        <v>114</v>
      </c>
      <c r="Y115" s="1" t="s">
        <v>2</v>
      </c>
      <c r="Z115" s="1" t="s">
        <v>1</v>
      </c>
      <c r="AA115" s="1" t="s">
        <v>113</v>
      </c>
      <c r="AB115" s="1" t="s">
        <v>2</v>
      </c>
      <c r="AC115" s="1" t="s">
        <v>2</v>
      </c>
      <c r="AD115" s="1" t="s">
        <v>2</v>
      </c>
      <c r="AE115" s="1" t="s">
        <v>298</v>
      </c>
      <c r="AF115" s="1" t="s">
        <v>323</v>
      </c>
      <c r="AG115" s="1">
        <v>78.03</v>
      </c>
      <c r="AH115" s="12">
        <f>84.77-AG115</f>
        <v>6.7399999999999949</v>
      </c>
      <c r="AI115" s="12"/>
      <c r="AJ115" s="12">
        <v>49.59</v>
      </c>
      <c r="AK115" s="1">
        <f>63.07-AJ115</f>
        <v>13.479999999999997</v>
      </c>
      <c r="AL115" s="12"/>
      <c r="AM115" s="12">
        <f t="shared" si="282"/>
        <v>28.439999999999998</v>
      </c>
      <c r="AN115" s="1">
        <f t="shared" si="249"/>
        <v>10.656875714767434</v>
      </c>
      <c r="AO115" s="1">
        <f t="shared" ref="AO115" si="298">AM115/AN115</f>
        <v>2.6686996040115352</v>
      </c>
      <c r="AP115" s="1">
        <f t="shared" ref="AP115" si="299">1/W115+1/V115+(AO115^2)/(2*(W115+V115))</f>
        <v>1.2601631313709438</v>
      </c>
      <c r="AQ115" s="1">
        <f t="shared" ref="AQ115" si="300">1-(3/(4*(W115+V115-2)-1))</f>
        <v>0.8</v>
      </c>
      <c r="AR115" s="21">
        <f t="shared" ref="AR115" si="301">AO115*AQ115</f>
        <v>2.1349596832092281</v>
      </c>
      <c r="AS115" s="21">
        <f t="shared" si="294"/>
        <v>0.8065044040774042</v>
      </c>
      <c r="AT115" s="21">
        <f t="shared" ref="AT115" si="302">SQRT(AP115*AQ115^2)</f>
        <v>0.89805590253469425</v>
      </c>
      <c r="AU115" s="20">
        <f t="shared" si="295"/>
        <v>1.2399188336038214</v>
      </c>
      <c r="AV115" s="20">
        <f t="shared" si="296"/>
        <v>2.6471767201959699</v>
      </c>
      <c r="AW115" s="20">
        <f t="shared" si="297"/>
        <v>5.6516155719484322</v>
      </c>
      <c r="AX115" s="14"/>
      <c r="AY115" s="14"/>
      <c r="AZ115" s="1" t="s">
        <v>271</v>
      </c>
      <c r="BA115" s="2"/>
    </row>
    <row r="116" spans="1:53" ht="14.25" hidden="1" customHeight="1">
      <c r="A116" s="2">
        <v>141</v>
      </c>
      <c r="B116" s="2" t="s">
        <v>21</v>
      </c>
      <c r="C116" s="1" t="s">
        <v>85</v>
      </c>
      <c r="D116" s="1">
        <v>2022</v>
      </c>
      <c r="E116" s="1">
        <v>2015</v>
      </c>
      <c r="F116" s="1" t="s">
        <v>200</v>
      </c>
      <c r="G116" s="1" t="s">
        <v>124</v>
      </c>
      <c r="H116" s="1">
        <v>20.327825000000001</v>
      </c>
      <c r="I116" s="1">
        <v>-74.804070999999993</v>
      </c>
      <c r="J116" s="1" t="s">
        <v>126</v>
      </c>
      <c r="K116" s="1" t="s">
        <v>177</v>
      </c>
      <c r="L116" s="1" t="s">
        <v>201</v>
      </c>
      <c r="M116" s="1" t="s">
        <v>237</v>
      </c>
      <c r="N116" s="1" t="s">
        <v>239</v>
      </c>
      <c r="O116" s="1" t="s">
        <v>121</v>
      </c>
      <c r="Q116" s="1" t="s">
        <v>115</v>
      </c>
      <c r="R116" s="1">
        <v>2015</v>
      </c>
      <c r="S116" s="1" t="s">
        <v>301</v>
      </c>
      <c r="V116" s="1">
        <v>3</v>
      </c>
      <c r="W116" s="1">
        <v>3</v>
      </c>
      <c r="X116" s="1" t="s">
        <v>114</v>
      </c>
      <c r="Y116" s="12" t="s">
        <v>2</v>
      </c>
      <c r="Z116" s="1" t="s">
        <v>1</v>
      </c>
      <c r="AA116" s="1" t="s">
        <v>113</v>
      </c>
      <c r="AB116" s="1" t="s">
        <v>2</v>
      </c>
      <c r="AC116" s="1" t="s">
        <v>2</v>
      </c>
      <c r="AD116" s="1" t="s">
        <v>2</v>
      </c>
      <c r="AE116" s="1" t="s">
        <v>257</v>
      </c>
      <c r="AF116" s="1" t="s">
        <v>319</v>
      </c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2" t="s">
        <v>286</v>
      </c>
    </row>
    <row r="117" spans="1:53" ht="14.25" hidden="1" customHeight="1">
      <c r="A117" s="2">
        <v>141</v>
      </c>
      <c r="B117" s="2" t="s">
        <v>21</v>
      </c>
      <c r="C117" s="1" t="s">
        <v>85</v>
      </c>
      <c r="D117" s="1">
        <v>2022</v>
      </c>
      <c r="E117" s="1">
        <v>2015</v>
      </c>
      <c r="F117" s="1" t="s">
        <v>200</v>
      </c>
      <c r="G117" s="1" t="s">
        <v>124</v>
      </c>
      <c r="H117" s="1">
        <v>20.327825000000001</v>
      </c>
      <c r="I117" s="1">
        <v>-74.804070999999993</v>
      </c>
      <c r="J117" s="1" t="s">
        <v>126</v>
      </c>
      <c r="K117" s="1" t="s">
        <v>177</v>
      </c>
      <c r="L117" s="1" t="s">
        <v>201</v>
      </c>
      <c r="M117" s="1" t="s">
        <v>237</v>
      </c>
      <c r="N117" s="1" t="s">
        <v>239</v>
      </c>
      <c r="O117" s="1" t="s">
        <v>121</v>
      </c>
      <c r="Q117" s="1" t="s">
        <v>115</v>
      </c>
      <c r="R117" s="1">
        <v>2015</v>
      </c>
      <c r="S117" s="1" t="s">
        <v>299</v>
      </c>
      <c r="V117" s="1">
        <v>3</v>
      </c>
      <c r="W117" s="1">
        <v>3</v>
      </c>
      <c r="X117" s="1" t="s">
        <v>114</v>
      </c>
      <c r="Y117" s="12" t="s">
        <v>2</v>
      </c>
      <c r="Z117" s="1" t="s">
        <v>1</v>
      </c>
      <c r="AA117" s="1" t="s">
        <v>113</v>
      </c>
      <c r="AB117" s="1" t="s">
        <v>2</v>
      </c>
      <c r="AC117" s="1" t="s">
        <v>2</v>
      </c>
      <c r="AD117" s="1" t="s">
        <v>2</v>
      </c>
      <c r="AE117" s="1" t="s">
        <v>257</v>
      </c>
      <c r="AF117" s="1" t="s">
        <v>319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2" t="s">
        <v>286</v>
      </c>
    </row>
    <row r="118" spans="1:53" s="16" customFormat="1" ht="14.25" hidden="1">
      <c r="A118" s="17">
        <v>191</v>
      </c>
      <c r="B118" s="17" t="s">
        <v>241</v>
      </c>
      <c r="C118" s="1" t="s">
        <v>85</v>
      </c>
      <c r="D118" s="16">
        <v>2025</v>
      </c>
      <c r="E118" s="16">
        <v>2020</v>
      </c>
      <c r="F118" s="16" t="s">
        <v>120</v>
      </c>
      <c r="G118" s="16" t="s">
        <v>109</v>
      </c>
      <c r="H118" s="16">
        <v>40.551667000000002</v>
      </c>
      <c r="I118" s="16">
        <v>-2.108889</v>
      </c>
      <c r="J118" s="1" t="s">
        <v>128</v>
      </c>
      <c r="K118" s="16" t="s">
        <v>177</v>
      </c>
      <c r="L118" s="16" t="s">
        <v>192</v>
      </c>
      <c r="M118" s="16" t="s">
        <v>237</v>
      </c>
      <c r="N118" s="16" t="s">
        <v>239</v>
      </c>
      <c r="O118" s="16" t="s">
        <v>121</v>
      </c>
      <c r="P118" s="16" t="s">
        <v>146</v>
      </c>
      <c r="Q118" s="16" t="s">
        <v>93</v>
      </c>
      <c r="R118" s="16">
        <v>2019</v>
      </c>
      <c r="S118" s="16">
        <v>1</v>
      </c>
      <c r="V118" s="16">
        <v>9</v>
      </c>
      <c r="W118" s="16">
        <v>9</v>
      </c>
      <c r="X118" s="16" t="s">
        <v>97</v>
      </c>
      <c r="Y118" s="16" t="s">
        <v>147</v>
      </c>
      <c r="Z118" s="16" t="s">
        <v>1</v>
      </c>
      <c r="AA118" s="16" t="s">
        <v>98</v>
      </c>
      <c r="AB118" s="16" t="s">
        <v>203</v>
      </c>
      <c r="AC118" s="16" t="s">
        <v>99</v>
      </c>
      <c r="AD118" s="16" t="s">
        <v>102</v>
      </c>
      <c r="AE118" s="16" t="s">
        <v>223</v>
      </c>
      <c r="AF118" s="16" t="s">
        <v>339</v>
      </c>
      <c r="AG118" s="16">
        <v>705.67</v>
      </c>
      <c r="AH118" s="12">
        <f>783.69-586.52</f>
        <v>197.17000000000007</v>
      </c>
      <c r="AJ118" s="16">
        <v>636.16999999999996</v>
      </c>
      <c r="AK118" s="16">
        <f>800-522.7</f>
        <v>277.29999999999995</v>
      </c>
      <c r="AM118" s="12">
        <f t="shared" ref="AM118:AM121" si="303">AG118-AJ118</f>
        <v>69.5</v>
      </c>
      <c r="AN118" s="1">
        <f t="shared" ref="AN118:AN121" si="304">SQRT((((W118-1)*AH118^2)+((V118-1)*AK118^2))/(W118+V118-2))</f>
        <v>240.59436703713578</v>
      </c>
      <c r="AO118" s="1">
        <f t="shared" ref="AO118:AO121" si="305">AM118/AN118</f>
        <v>0.2888679434014873</v>
      </c>
      <c r="AP118" s="1">
        <f t="shared" ref="AP118:AP121" si="306">1/W118+1/V118+(AO118^2)/(2*(W118+V118))</f>
        <v>0.22454013024236125</v>
      </c>
      <c r="AQ118" s="1">
        <f t="shared" ref="AQ118:AQ121" si="307">1-(3/(4*(W118+V118-2)-1))</f>
        <v>0.95238095238095233</v>
      </c>
      <c r="AR118" s="21">
        <f t="shared" ref="AR118:AR121" si="308">AO118*AQ118</f>
        <v>0.27511232704903549</v>
      </c>
      <c r="AS118" s="21">
        <f t="shared" ref="AS118:AS121" si="309">AP118*(AQ118^2)</f>
        <v>0.20366451722663151</v>
      </c>
      <c r="AT118" s="21">
        <f t="shared" ref="AT118:AT121" si="310">SQRT(AP118*AQ118^2)</f>
        <v>0.45129205313924098</v>
      </c>
      <c r="AU118" s="20">
        <f t="shared" ref="AU118:AU121" si="311">1/AS118</f>
        <v>4.9100354525046264</v>
      </c>
      <c r="AV118" s="20">
        <f t="shared" ref="AV118:AV121" si="312">AR118/AS118</f>
        <v>1.3508112792318119</v>
      </c>
      <c r="AW118" s="20">
        <f t="shared" ref="AW118:AW121" si="313">((AR118)^2)/AS118</f>
        <v>0.37162483443354821</v>
      </c>
      <c r="AX118" s="14"/>
      <c r="AY118" s="14"/>
      <c r="AZ118" s="1" t="s">
        <v>271</v>
      </c>
      <c r="BA118" s="17"/>
    </row>
    <row r="119" spans="1:53" s="16" customFormat="1" ht="14.25" hidden="1">
      <c r="A119" s="17">
        <v>191</v>
      </c>
      <c r="B119" s="17" t="s">
        <v>241</v>
      </c>
      <c r="C119" s="1" t="s">
        <v>85</v>
      </c>
      <c r="D119" s="16">
        <v>2025</v>
      </c>
      <c r="E119" s="16">
        <v>2020</v>
      </c>
      <c r="F119" s="16" t="s">
        <v>120</v>
      </c>
      <c r="G119" s="16" t="s">
        <v>109</v>
      </c>
      <c r="H119" s="16">
        <v>40.551667000000002</v>
      </c>
      <c r="I119" s="16">
        <v>-2.108889</v>
      </c>
      <c r="J119" s="1" t="s">
        <v>128</v>
      </c>
      <c r="K119" s="16" t="s">
        <v>177</v>
      </c>
      <c r="L119" s="16" t="s">
        <v>192</v>
      </c>
      <c r="M119" s="16" t="s">
        <v>237</v>
      </c>
      <c r="N119" s="16" t="s">
        <v>239</v>
      </c>
      <c r="O119" s="16" t="s">
        <v>121</v>
      </c>
      <c r="P119" s="16" t="s">
        <v>146</v>
      </c>
      <c r="Q119" s="16" t="s">
        <v>93</v>
      </c>
      <c r="R119" s="16">
        <v>2019</v>
      </c>
      <c r="S119" s="16">
        <v>1</v>
      </c>
      <c r="V119" s="16">
        <v>9</v>
      </c>
      <c r="W119" s="16">
        <v>9</v>
      </c>
      <c r="X119" s="16" t="s">
        <v>97</v>
      </c>
      <c r="Y119" s="16" t="s">
        <v>147</v>
      </c>
      <c r="Z119" s="16" t="s">
        <v>1</v>
      </c>
      <c r="AA119" s="16" t="s">
        <v>98</v>
      </c>
      <c r="AB119" s="16" t="s">
        <v>203</v>
      </c>
      <c r="AC119" s="16" t="s">
        <v>99</v>
      </c>
      <c r="AD119" s="16" t="s">
        <v>102</v>
      </c>
      <c r="AE119" s="16" t="s">
        <v>149</v>
      </c>
      <c r="AF119" s="16" t="s">
        <v>339</v>
      </c>
      <c r="AG119" s="16">
        <v>4.99</v>
      </c>
      <c r="AH119" s="12">
        <f>5.04-4.79</f>
        <v>0.25</v>
      </c>
      <c r="AJ119" s="16">
        <v>5.1100000000000003</v>
      </c>
      <c r="AK119" s="16">
        <f>5.37-4.9</f>
        <v>0.46999999999999975</v>
      </c>
      <c r="AM119" s="12">
        <f t="shared" si="303"/>
        <v>-0.12000000000000011</v>
      </c>
      <c r="AN119" s="1">
        <f t="shared" si="304"/>
        <v>0.3764306044943741</v>
      </c>
      <c r="AO119" s="1">
        <f t="shared" si="305"/>
        <v>-0.31878385701711337</v>
      </c>
      <c r="AP119" s="1">
        <f t="shared" si="306"/>
        <v>0.22504508743040852</v>
      </c>
      <c r="AQ119" s="1">
        <f t="shared" si="307"/>
        <v>0.95238095238095233</v>
      </c>
      <c r="AR119" s="21">
        <f t="shared" si="308"/>
        <v>-0.30360367334963179</v>
      </c>
      <c r="AS119" s="21">
        <f t="shared" si="309"/>
        <v>0.20412252828154967</v>
      </c>
      <c r="AT119" s="21">
        <f t="shared" si="310"/>
        <v>0.45179921235162601</v>
      </c>
      <c r="AU119" s="20">
        <f t="shared" si="311"/>
        <v>4.8990182926829275</v>
      </c>
      <c r="AV119" s="20">
        <f t="shared" si="312"/>
        <v>-1.4873599494655783</v>
      </c>
      <c r="AW119" s="20">
        <f t="shared" si="313"/>
        <v>0.45156794425087227</v>
      </c>
      <c r="AX119" s="14"/>
      <c r="AY119" s="14"/>
      <c r="AZ119" s="1" t="s">
        <v>271</v>
      </c>
      <c r="BA119" s="17"/>
    </row>
    <row r="120" spans="1:53" s="16" customFormat="1" ht="14.25" hidden="1">
      <c r="A120" s="17">
        <v>191</v>
      </c>
      <c r="B120" s="17" t="s">
        <v>241</v>
      </c>
      <c r="C120" s="1" t="s">
        <v>85</v>
      </c>
      <c r="D120" s="16">
        <v>2025</v>
      </c>
      <c r="E120" s="16">
        <v>2020</v>
      </c>
      <c r="F120" s="16" t="s">
        <v>120</v>
      </c>
      <c r="G120" s="16" t="s">
        <v>109</v>
      </c>
      <c r="H120" s="16">
        <v>40.551667000000002</v>
      </c>
      <c r="I120" s="16">
        <v>-2.108889</v>
      </c>
      <c r="J120" s="1" t="s">
        <v>128</v>
      </c>
      <c r="K120" s="16" t="s">
        <v>177</v>
      </c>
      <c r="L120" s="16" t="s">
        <v>192</v>
      </c>
      <c r="M120" s="16" t="s">
        <v>237</v>
      </c>
      <c r="N120" s="16" t="s">
        <v>239</v>
      </c>
      <c r="O120" s="16" t="s">
        <v>121</v>
      </c>
      <c r="P120" s="16" t="s">
        <v>146</v>
      </c>
      <c r="Q120" s="16" t="s">
        <v>93</v>
      </c>
      <c r="R120" s="16">
        <v>2019</v>
      </c>
      <c r="S120" s="16">
        <v>1</v>
      </c>
      <c r="V120" s="16">
        <v>9</v>
      </c>
      <c r="W120" s="16">
        <v>9</v>
      </c>
      <c r="X120" s="16" t="s">
        <v>97</v>
      </c>
      <c r="Y120" s="16" t="s">
        <v>147</v>
      </c>
      <c r="Z120" s="16" t="s">
        <v>1</v>
      </c>
      <c r="AA120" s="16" t="s">
        <v>98</v>
      </c>
      <c r="AB120" s="16" t="s">
        <v>203</v>
      </c>
      <c r="AC120" s="16" t="s">
        <v>99</v>
      </c>
      <c r="AD120" s="16" t="s">
        <v>102</v>
      </c>
      <c r="AE120" s="16" t="s">
        <v>302</v>
      </c>
      <c r="AF120" s="16" t="s">
        <v>334</v>
      </c>
      <c r="AG120" s="16">
        <v>12261</v>
      </c>
      <c r="AH120" s="12">
        <f>21676-5000</f>
        <v>16676</v>
      </c>
      <c r="AJ120" s="16">
        <v>13984</v>
      </c>
      <c r="AK120" s="16">
        <f>16384-4323</f>
        <v>12061</v>
      </c>
      <c r="AM120" s="12">
        <f t="shared" si="303"/>
        <v>-1723</v>
      </c>
      <c r="AN120" s="1">
        <f t="shared" si="304"/>
        <v>14552.606244243674</v>
      </c>
      <c r="AO120" s="1">
        <f t="shared" si="305"/>
        <v>-0.11839803613744704</v>
      </c>
      <c r="AP120" s="1">
        <f t="shared" si="306"/>
        <v>0.22261161374892233</v>
      </c>
      <c r="AQ120" s="1">
        <f t="shared" si="307"/>
        <v>0.95238095238095233</v>
      </c>
      <c r="AR120" s="21">
        <f t="shared" si="308"/>
        <v>-0.11276003441661622</v>
      </c>
      <c r="AS120" s="21">
        <f t="shared" si="309"/>
        <v>0.20191529591738985</v>
      </c>
      <c r="AT120" s="21">
        <f t="shared" si="310"/>
        <v>0.44934985914918218</v>
      </c>
      <c r="AU120" s="20">
        <f t="shared" si="311"/>
        <v>4.9525717972804433</v>
      </c>
      <c r="AV120" s="20">
        <f t="shared" si="312"/>
        <v>-0.55845216631210559</v>
      </c>
      <c r="AW120" s="20">
        <f t="shared" si="313"/>
        <v>6.2971085493386925E-2</v>
      </c>
      <c r="AX120" s="14"/>
      <c r="AY120" s="14"/>
      <c r="AZ120" s="1" t="s">
        <v>271</v>
      </c>
      <c r="BA120" s="17"/>
    </row>
    <row r="121" spans="1:53" s="16" customFormat="1" ht="14.25">
      <c r="A121" s="17">
        <v>191</v>
      </c>
      <c r="B121" s="17" t="s">
        <v>241</v>
      </c>
      <c r="C121" s="1" t="s">
        <v>85</v>
      </c>
      <c r="D121" s="16">
        <v>2025</v>
      </c>
      <c r="E121" s="16">
        <v>2020</v>
      </c>
      <c r="F121" s="16" t="s">
        <v>120</v>
      </c>
      <c r="G121" s="16" t="s">
        <v>109</v>
      </c>
      <c r="H121" s="16">
        <v>40.551667000000002</v>
      </c>
      <c r="I121" s="16">
        <v>-2.108889</v>
      </c>
      <c r="J121" s="1" t="s">
        <v>128</v>
      </c>
      <c r="K121" s="16" t="s">
        <v>177</v>
      </c>
      <c r="L121" s="16" t="s">
        <v>192</v>
      </c>
      <c r="M121" s="16" t="s">
        <v>237</v>
      </c>
      <c r="N121" s="16" t="s">
        <v>239</v>
      </c>
      <c r="O121" s="16" t="s">
        <v>121</v>
      </c>
      <c r="P121" s="16" t="s">
        <v>146</v>
      </c>
      <c r="Q121" s="16" t="s">
        <v>93</v>
      </c>
      <c r="R121" s="16">
        <v>2019</v>
      </c>
      <c r="S121" s="16">
        <v>1</v>
      </c>
      <c r="V121" s="16">
        <v>9</v>
      </c>
      <c r="W121" s="16">
        <v>9</v>
      </c>
      <c r="X121" s="16" t="s">
        <v>97</v>
      </c>
      <c r="Y121" s="16" t="s">
        <v>147</v>
      </c>
      <c r="Z121" s="16" t="s">
        <v>1</v>
      </c>
      <c r="AA121" s="16" t="s">
        <v>98</v>
      </c>
      <c r="AB121" s="16" t="s">
        <v>203</v>
      </c>
      <c r="AC121" s="16" t="s">
        <v>99</v>
      </c>
      <c r="AD121" s="16" t="s">
        <v>102</v>
      </c>
      <c r="AE121" s="16" t="s">
        <v>303</v>
      </c>
      <c r="AF121" s="16" t="s">
        <v>334</v>
      </c>
      <c r="AG121" s="16">
        <v>26142</v>
      </c>
      <c r="AH121" s="12">
        <f>31508-11142</f>
        <v>20366</v>
      </c>
      <c r="AJ121" s="16">
        <v>16120</v>
      </c>
      <c r="AK121" s="16">
        <f>17931-12176</f>
        <v>5755</v>
      </c>
      <c r="AM121" s="12">
        <f t="shared" si="303"/>
        <v>10022</v>
      </c>
      <c r="AN121" s="1">
        <f t="shared" si="304"/>
        <v>14964.858519210931</v>
      </c>
      <c r="AO121" s="1">
        <f t="shared" si="305"/>
        <v>0.66970228867412251</v>
      </c>
      <c r="AP121" s="1">
        <f t="shared" si="306"/>
        <v>0.23468058765153771</v>
      </c>
      <c r="AQ121" s="1">
        <f t="shared" si="307"/>
        <v>0.95238095238095233</v>
      </c>
      <c r="AR121" s="21">
        <f t="shared" si="308"/>
        <v>0.63781170349916427</v>
      </c>
      <c r="AS121" s="21">
        <f t="shared" si="309"/>
        <v>0.21286221102180289</v>
      </c>
      <c r="AT121" s="21">
        <f t="shared" si="310"/>
        <v>0.46136992860588877</v>
      </c>
      <c r="AU121" s="20">
        <f t="shared" si="311"/>
        <v>4.6978747199876301</v>
      </c>
      <c r="AV121" s="20">
        <f t="shared" si="312"/>
        <v>2.9963594779809695</v>
      </c>
      <c r="AW121" s="20">
        <f t="shared" si="313"/>
        <v>1.9111131429469088</v>
      </c>
      <c r="AX121" s="14"/>
      <c r="AY121" s="14"/>
      <c r="AZ121" s="1" t="s">
        <v>271</v>
      </c>
      <c r="BA121" s="17"/>
    </row>
    <row r="122" spans="1:53" s="16" customFormat="1" ht="14.25" hidden="1">
      <c r="A122" s="17">
        <v>191</v>
      </c>
      <c r="B122" s="17" t="s">
        <v>241</v>
      </c>
      <c r="C122" s="1" t="s">
        <v>85</v>
      </c>
      <c r="D122" s="16">
        <v>2025</v>
      </c>
      <c r="E122" s="16">
        <v>2020</v>
      </c>
      <c r="F122" s="16" t="s">
        <v>120</v>
      </c>
      <c r="G122" s="16" t="s">
        <v>109</v>
      </c>
      <c r="H122" s="16">
        <v>40.551667000000002</v>
      </c>
      <c r="I122" s="16">
        <v>-2.108889</v>
      </c>
      <c r="J122" s="1" t="s">
        <v>128</v>
      </c>
      <c r="K122" s="16" t="s">
        <v>177</v>
      </c>
      <c r="L122" s="16" t="s">
        <v>192</v>
      </c>
      <c r="M122" s="16" t="s">
        <v>237</v>
      </c>
      <c r="N122" s="16" t="s">
        <v>239</v>
      </c>
      <c r="O122" s="16" t="s">
        <v>121</v>
      </c>
      <c r="P122" s="16" t="s">
        <v>146</v>
      </c>
      <c r="Q122" s="16" t="s">
        <v>93</v>
      </c>
      <c r="R122" s="16">
        <v>2019</v>
      </c>
      <c r="S122" s="16">
        <v>1</v>
      </c>
      <c r="V122" s="16">
        <v>9</v>
      </c>
      <c r="W122" s="16">
        <v>9</v>
      </c>
      <c r="X122" s="16" t="s">
        <v>97</v>
      </c>
      <c r="Y122" s="16" t="s">
        <v>147</v>
      </c>
      <c r="Z122" s="16" t="s">
        <v>1</v>
      </c>
      <c r="AA122" s="16" t="s">
        <v>98</v>
      </c>
      <c r="AB122" s="16" t="s">
        <v>203</v>
      </c>
      <c r="AC122" s="16" t="s">
        <v>99</v>
      </c>
      <c r="AD122" s="16" t="s">
        <v>102</v>
      </c>
      <c r="AE122" s="16" t="s">
        <v>257</v>
      </c>
      <c r="AF122" s="16" t="s">
        <v>320</v>
      </c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4"/>
      <c r="AY122" s="14"/>
      <c r="AZ122" s="16" t="s">
        <v>286</v>
      </c>
    </row>
    <row r="123" spans="1:53" ht="14.25" hidden="1" customHeight="1">
      <c r="A123" s="2">
        <v>474</v>
      </c>
      <c r="B123" s="2" t="s">
        <v>61</v>
      </c>
      <c r="C123" s="1" t="s">
        <v>85</v>
      </c>
      <c r="D123" s="1">
        <v>2023</v>
      </c>
      <c r="E123" s="1">
        <v>2020</v>
      </c>
      <c r="F123" s="1" t="s">
        <v>120</v>
      </c>
      <c r="G123" s="1" t="s">
        <v>109</v>
      </c>
      <c r="H123" s="1">
        <v>37.020277999999998</v>
      </c>
      <c r="I123" s="1">
        <v>-6.48</v>
      </c>
      <c r="J123" s="1" t="s">
        <v>128</v>
      </c>
      <c r="K123" s="1" t="s">
        <v>304</v>
      </c>
      <c r="M123" s="1" t="s">
        <v>238</v>
      </c>
      <c r="N123" s="1" t="s">
        <v>239</v>
      </c>
      <c r="O123" s="1" t="s">
        <v>121</v>
      </c>
      <c r="P123" s="16" t="s">
        <v>146</v>
      </c>
      <c r="Q123" s="1" t="s">
        <v>115</v>
      </c>
      <c r="R123" s="1">
        <v>2020</v>
      </c>
      <c r="S123" s="1" t="s">
        <v>307</v>
      </c>
      <c r="V123" s="16">
        <v>9</v>
      </c>
      <c r="W123" s="16">
        <v>9</v>
      </c>
      <c r="X123" s="1" t="s">
        <v>97</v>
      </c>
      <c r="Z123" s="1" t="s">
        <v>1</v>
      </c>
      <c r="AA123" s="1" t="s">
        <v>98</v>
      </c>
      <c r="AB123" s="1" t="s">
        <v>203</v>
      </c>
      <c r="AC123" s="1" t="s">
        <v>99</v>
      </c>
      <c r="AD123" s="1" t="s">
        <v>102</v>
      </c>
      <c r="AE123" s="16" t="s">
        <v>223</v>
      </c>
      <c r="AF123" s="16" t="s">
        <v>334</v>
      </c>
      <c r="AG123" s="16">
        <v>321.72000000000003</v>
      </c>
      <c r="AH123" s="12">
        <f>337.15-283.55</f>
        <v>53.599999999999966</v>
      </c>
      <c r="AI123" s="16"/>
      <c r="AJ123" s="16">
        <v>352.18</v>
      </c>
      <c r="AK123" s="16">
        <f>363.75-320.57</f>
        <v>43.180000000000007</v>
      </c>
      <c r="AL123" s="16"/>
      <c r="AM123" s="12">
        <f>AG123-AJ123</f>
        <v>-30.45999999999998</v>
      </c>
      <c r="AN123" s="1">
        <f>SQRT((((W123-1)*AH123^2)+((V123-1)*AK123^2))/(W123+V123-2))</f>
        <v>48.669664062945806</v>
      </c>
      <c r="AO123" s="1">
        <f>AM123/AN123</f>
        <v>-0.62585186453321784</v>
      </c>
      <c r="AP123" s="1">
        <f>1/W123+1/V123+(AO123^2)/(2*(W123+V123))</f>
        <v>0.23310251545388069</v>
      </c>
      <c r="AQ123" s="1">
        <f>1-(3/(4*(W123+V123-2)-1))</f>
        <v>0.95238095238095233</v>
      </c>
      <c r="AR123" s="21">
        <f>AO123*AQ123</f>
        <v>-0.5960493947935408</v>
      </c>
      <c r="AS123" s="21">
        <f t="shared" ref="AS123:AS126" si="314">AP123*(AQ123^2)</f>
        <v>0.21143085301939291</v>
      </c>
      <c r="AT123" s="21">
        <f>SQRT(AP123*AQ123^2)</f>
        <v>0.45981610782941579</v>
      </c>
      <c r="AU123" s="20">
        <f t="shared" ref="AU123:AU126" si="315">1/AS123</f>
        <v>4.7296786903105277</v>
      </c>
      <c r="AV123" s="20">
        <f t="shared" ref="AV123:AV126" si="316">AR123/AS123</f>
        <v>-2.819122120927497</v>
      </c>
      <c r="AW123" s="20">
        <f t="shared" ref="AW123:AW126" si="317">((AR123)^2)/AS123</f>
        <v>1.6803360340279176</v>
      </c>
      <c r="AX123" s="14"/>
      <c r="AY123" s="14"/>
      <c r="AZ123" s="1" t="s">
        <v>271</v>
      </c>
      <c r="BA123" s="2"/>
    </row>
    <row r="124" spans="1:53" ht="14.25" hidden="1" customHeight="1">
      <c r="A124" s="2">
        <v>474</v>
      </c>
      <c r="B124" s="2" t="s">
        <v>61</v>
      </c>
      <c r="C124" s="1" t="s">
        <v>85</v>
      </c>
      <c r="D124" s="1">
        <v>2023</v>
      </c>
      <c r="E124" s="1">
        <v>2020</v>
      </c>
      <c r="F124" s="1" t="s">
        <v>120</v>
      </c>
      <c r="G124" s="1" t="s">
        <v>109</v>
      </c>
      <c r="H124" s="1">
        <v>37.020277999999998</v>
      </c>
      <c r="I124" s="1">
        <v>-6.48</v>
      </c>
      <c r="J124" s="1" t="s">
        <v>128</v>
      </c>
      <c r="K124" s="1" t="s">
        <v>304</v>
      </c>
      <c r="M124" s="1" t="s">
        <v>238</v>
      </c>
      <c r="N124" s="1" t="s">
        <v>239</v>
      </c>
      <c r="O124" s="1" t="s">
        <v>121</v>
      </c>
      <c r="P124" s="16" t="s">
        <v>146</v>
      </c>
      <c r="Q124" s="1" t="s">
        <v>115</v>
      </c>
      <c r="R124" s="1">
        <v>2020</v>
      </c>
      <c r="S124" s="1" t="s">
        <v>307</v>
      </c>
      <c r="V124" s="16">
        <v>9</v>
      </c>
      <c r="W124" s="16">
        <v>9</v>
      </c>
      <c r="X124" s="1" t="s">
        <v>97</v>
      </c>
      <c r="Z124" s="1" t="s">
        <v>1</v>
      </c>
      <c r="AA124" s="1" t="s">
        <v>98</v>
      </c>
      <c r="AB124" s="1" t="s">
        <v>203</v>
      </c>
      <c r="AC124" s="1" t="s">
        <v>99</v>
      </c>
      <c r="AD124" s="1" t="s">
        <v>102</v>
      </c>
      <c r="AE124" s="12" t="s">
        <v>150</v>
      </c>
      <c r="AF124" s="12" t="s">
        <v>338</v>
      </c>
      <c r="AG124" s="16">
        <v>21.76</v>
      </c>
      <c r="AH124" s="12">
        <f>23.04-18.92</f>
        <v>4.1199999999999974</v>
      </c>
      <c r="AI124" s="16"/>
      <c r="AJ124" s="16">
        <v>19.93</v>
      </c>
      <c r="AK124" s="16">
        <f>23.18-17.97</f>
        <v>5.2100000000000009</v>
      </c>
      <c r="AL124" s="16"/>
      <c r="AM124" s="12">
        <f>AG124-AJ124</f>
        <v>1.8300000000000018</v>
      </c>
      <c r="AN124" s="1">
        <f t="shared" ref="AN124" si="318">SQRT((((W124-1)*AH124^2)+((V124-1)*AK124^2))/(W124+V124-2))</f>
        <v>4.6967275841802865</v>
      </c>
      <c r="AO124" s="1">
        <f t="shared" ref="AO124" si="319">AM124/AN124</f>
        <v>0.38963298747917252</v>
      </c>
      <c r="AP124" s="1">
        <f t="shared" ref="AP124" si="320">1/W124+1/V124+(AO124^2)/(2*(W124+V124))</f>
        <v>0.22643927402588734</v>
      </c>
      <c r="AQ124" s="1">
        <f t="shared" ref="AQ124" si="321">1-(3/(4*(W124+V124-2)-1))</f>
        <v>0.95238095238095233</v>
      </c>
      <c r="AR124" s="21">
        <f t="shared" ref="AR124" si="322">AO124*AQ124</f>
        <v>0.37107903569445</v>
      </c>
      <c r="AS124" s="21">
        <f t="shared" si="314"/>
        <v>0.20538709662212001</v>
      </c>
      <c r="AT124" s="21">
        <f t="shared" ref="AT124" si="323">SQRT(AP124*AQ124^2)</f>
        <v>0.45319653200583959</v>
      </c>
      <c r="AU124" s="20">
        <f t="shared" si="315"/>
        <v>4.8688550373728825</v>
      </c>
      <c r="AV124" s="20">
        <f t="shared" si="316"/>
        <v>1.8067300322043947</v>
      </c>
      <c r="AW124" s="20">
        <f t="shared" si="317"/>
        <v>0.67043963811060936</v>
      </c>
      <c r="AX124" s="14"/>
      <c r="AY124" s="14"/>
      <c r="AZ124" s="1" t="s">
        <v>271</v>
      </c>
      <c r="BA124" s="2"/>
    </row>
    <row r="125" spans="1:53" ht="14.25" hidden="1" customHeight="1">
      <c r="A125" s="2">
        <v>474</v>
      </c>
      <c r="B125" s="2" t="s">
        <v>61</v>
      </c>
      <c r="C125" s="1" t="s">
        <v>85</v>
      </c>
      <c r="D125" s="1">
        <v>2023</v>
      </c>
      <c r="E125" s="1">
        <v>2020</v>
      </c>
      <c r="F125" s="1" t="s">
        <v>120</v>
      </c>
      <c r="G125" s="1" t="s">
        <v>109</v>
      </c>
      <c r="H125" s="1">
        <v>37.020277999999998</v>
      </c>
      <c r="I125" s="1">
        <v>-6.48</v>
      </c>
      <c r="J125" s="1" t="s">
        <v>128</v>
      </c>
      <c r="K125" s="1" t="s">
        <v>304</v>
      </c>
      <c r="M125" s="1" t="s">
        <v>238</v>
      </c>
      <c r="N125" s="1" t="s">
        <v>239</v>
      </c>
      <c r="O125" s="1" t="s">
        <v>121</v>
      </c>
      <c r="P125" s="16" t="s">
        <v>146</v>
      </c>
      <c r="Q125" s="1" t="s">
        <v>115</v>
      </c>
      <c r="R125" s="1">
        <v>2020</v>
      </c>
      <c r="S125" s="1" t="s">
        <v>307</v>
      </c>
      <c r="V125" s="16">
        <v>9</v>
      </c>
      <c r="W125" s="16">
        <v>9</v>
      </c>
      <c r="X125" s="1" t="s">
        <v>97</v>
      </c>
      <c r="Z125" s="1" t="s">
        <v>1</v>
      </c>
      <c r="AA125" s="1" t="s">
        <v>98</v>
      </c>
      <c r="AB125" s="1" t="s">
        <v>203</v>
      </c>
      <c r="AC125" s="1" t="s">
        <v>99</v>
      </c>
      <c r="AD125" s="1" t="s">
        <v>102</v>
      </c>
      <c r="AE125" s="16" t="s">
        <v>305</v>
      </c>
      <c r="AF125" s="12" t="s">
        <v>338</v>
      </c>
      <c r="AG125" s="16">
        <v>14.81</v>
      </c>
      <c r="AH125" s="12">
        <f>16.8-12.95</f>
        <v>3.8500000000000014</v>
      </c>
      <c r="AI125" s="16"/>
      <c r="AJ125" s="16">
        <v>21.77</v>
      </c>
      <c r="AK125" s="16">
        <f>23.88-20.16</f>
        <v>3.7199999999999989</v>
      </c>
      <c r="AL125" s="16"/>
      <c r="AM125" s="12">
        <f t="shared" ref="AM125" si="324">AG125-AJ125</f>
        <v>-6.9599999999999991</v>
      </c>
      <c r="AN125" s="1">
        <f t="shared" ref="AN125" si="325">SQRT((((W125-1)*AH125^2)+((V125-1)*AK125^2))/(W125+V125-2))</f>
        <v>3.7855580830308231</v>
      </c>
      <c r="AO125" s="1">
        <f t="shared" ref="AO125" si="326">AM125/AN125</f>
        <v>-1.838566427285572</v>
      </c>
      <c r="AP125" s="1">
        <f t="shared" ref="AP125" si="327">1/W125+1/V125+(AO125^2)/(2*(W125+V125))</f>
        <v>0.31612018076504533</v>
      </c>
      <c r="AQ125" s="1">
        <f t="shared" ref="AQ125" si="328">1-(3/(4*(W125+V125-2)-1))</f>
        <v>0.95238095238095233</v>
      </c>
      <c r="AR125" s="21">
        <f t="shared" ref="AR125" si="329">AO125*AQ125</f>
        <v>-1.7510156450338779</v>
      </c>
      <c r="AS125" s="21">
        <f t="shared" si="314"/>
        <v>0.28673032268938348</v>
      </c>
      <c r="AT125" s="21">
        <f t="shared" ref="AT125" si="330">SQRT(AP125*AQ125^2)</f>
        <v>0.53547205593698677</v>
      </c>
      <c r="AU125" s="20">
        <f t="shared" si="315"/>
        <v>3.4875976514116558</v>
      </c>
      <c r="AV125" s="20">
        <f t="shared" si="316"/>
        <v>-6.1068380512052176</v>
      </c>
      <c r="AW125" s="20">
        <f t="shared" si="317"/>
        <v>10.693168969348534</v>
      </c>
      <c r="AX125" s="14"/>
      <c r="AY125" s="14"/>
      <c r="AZ125" s="1" t="s">
        <v>271</v>
      </c>
      <c r="BA125" s="2"/>
    </row>
    <row r="126" spans="1:53" ht="14.25" hidden="1" customHeight="1">
      <c r="A126" s="2">
        <v>474</v>
      </c>
      <c r="B126" s="2" t="s">
        <v>61</v>
      </c>
      <c r="C126" s="1" t="s">
        <v>85</v>
      </c>
      <c r="D126" s="1">
        <v>2023</v>
      </c>
      <c r="E126" s="1">
        <v>2020</v>
      </c>
      <c r="F126" s="1" t="s">
        <v>120</v>
      </c>
      <c r="G126" s="1" t="s">
        <v>109</v>
      </c>
      <c r="H126" s="1">
        <v>37.020277999999998</v>
      </c>
      <c r="I126" s="1">
        <v>-6.48</v>
      </c>
      <c r="J126" s="1" t="s">
        <v>128</v>
      </c>
      <c r="K126" s="1" t="s">
        <v>304</v>
      </c>
      <c r="M126" s="1" t="s">
        <v>238</v>
      </c>
      <c r="N126" s="1" t="s">
        <v>239</v>
      </c>
      <c r="O126" s="1" t="s">
        <v>121</v>
      </c>
      <c r="P126" s="16" t="s">
        <v>146</v>
      </c>
      <c r="Q126" s="1" t="s">
        <v>115</v>
      </c>
      <c r="R126" s="1">
        <v>2020</v>
      </c>
      <c r="S126" s="1" t="s">
        <v>307</v>
      </c>
      <c r="V126" s="16">
        <v>9</v>
      </c>
      <c r="W126" s="16">
        <v>9</v>
      </c>
      <c r="X126" s="1" t="s">
        <v>97</v>
      </c>
      <c r="Z126" s="1" t="s">
        <v>1</v>
      </c>
      <c r="AA126" s="1" t="s">
        <v>98</v>
      </c>
      <c r="AB126" s="1" t="s">
        <v>203</v>
      </c>
      <c r="AC126" s="1" t="s">
        <v>99</v>
      </c>
      <c r="AD126" s="1" t="s">
        <v>102</v>
      </c>
      <c r="AE126" s="16" t="s">
        <v>306</v>
      </c>
      <c r="AF126" s="12" t="s">
        <v>338</v>
      </c>
      <c r="AG126" s="16">
        <v>18.2</v>
      </c>
      <c r="AH126" s="12">
        <f>22.1-12.3</f>
        <v>9.8000000000000007</v>
      </c>
      <c r="AI126" s="16"/>
      <c r="AJ126" s="16">
        <v>23</v>
      </c>
      <c r="AK126" s="16">
        <f>25.4-19.4</f>
        <v>6</v>
      </c>
      <c r="AL126" s="16"/>
      <c r="AM126" s="12">
        <f t="shared" ref="AM126" si="331">AG126-AJ126</f>
        <v>-4.8000000000000007</v>
      </c>
      <c r="AN126" s="1">
        <f t="shared" ref="AN126" si="332">SQRT((((W126-1)*AH126^2)+((V126-1)*AK126^2))/(W126+V126-2))</f>
        <v>8.1252692263087507</v>
      </c>
      <c r="AO126" s="1">
        <f t="shared" ref="AO126" si="333">AM126/AN126</f>
        <v>-0.59074965595701312</v>
      </c>
      <c r="AP126" s="1">
        <f t="shared" ref="AP126" si="334">1/W126+1/V126+(AO126^2)/(2*(W126+V126))</f>
        <v>0.23191625433370358</v>
      </c>
      <c r="AQ126" s="1">
        <f t="shared" ref="AQ126" si="335">1-(3/(4*(W126+V126-2)-1))</f>
        <v>0.95238095238095233</v>
      </c>
      <c r="AR126" s="21">
        <f t="shared" ref="AR126" si="336">AO126*AQ126</f>
        <v>-0.5626187199590601</v>
      </c>
      <c r="AS126" s="21">
        <f t="shared" si="314"/>
        <v>0.21035487921424359</v>
      </c>
      <c r="AT126" s="21">
        <f t="shared" ref="AT126" si="337">SQRT(AP126*AQ126^2)</f>
        <v>0.45864461101624598</v>
      </c>
      <c r="AU126" s="20">
        <f t="shared" si="315"/>
        <v>4.7538711901306252</v>
      </c>
      <c r="AV126" s="20">
        <f t="shared" si="316"/>
        <v>-2.6746169238415458</v>
      </c>
      <c r="AW126" s="20">
        <f t="shared" si="317"/>
        <v>1.5047895500725694</v>
      </c>
      <c r="AX126" s="14"/>
      <c r="AY126" s="14"/>
      <c r="AZ126" s="1" t="s">
        <v>271</v>
      </c>
      <c r="BA126" s="2"/>
    </row>
    <row r="127" spans="1:53" ht="14.25" hidden="1" customHeight="1">
      <c r="A127" s="2">
        <v>474</v>
      </c>
      <c r="B127" s="2" t="s">
        <v>61</v>
      </c>
      <c r="C127" s="1" t="s">
        <v>85</v>
      </c>
      <c r="D127" s="1">
        <v>2023</v>
      </c>
      <c r="E127" s="1">
        <v>2020</v>
      </c>
      <c r="F127" s="1" t="s">
        <v>120</v>
      </c>
      <c r="G127" s="1" t="s">
        <v>109</v>
      </c>
      <c r="H127" s="1">
        <v>37.020277999999998</v>
      </c>
      <c r="I127" s="1">
        <v>-6.48</v>
      </c>
      <c r="J127" s="1" t="s">
        <v>128</v>
      </c>
      <c r="K127" s="1" t="s">
        <v>304</v>
      </c>
      <c r="M127" s="1" t="s">
        <v>238</v>
      </c>
      <c r="N127" s="1" t="s">
        <v>239</v>
      </c>
      <c r="O127" s="1" t="s">
        <v>121</v>
      </c>
      <c r="P127" s="16" t="s">
        <v>146</v>
      </c>
      <c r="Q127" s="1" t="s">
        <v>115</v>
      </c>
      <c r="R127" s="1">
        <v>2020</v>
      </c>
      <c r="S127" s="1" t="s">
        <v>307</v>
      </c>
      <c r="V127" s="16">
        <v>9</v>
      </c>
      <c r="W127" s="16">
        <v>9</v>
      </c>
      <c r="X127" s="1" t="s">
        <v>97</v>
      </c>
      <c r="Z127" s="1" t="s">
        <v>1</v>
      </c>
      <c r="AA127" s="1" t="s">
        <v>98</v>
      </c>
      <c r="AB127" s="1" t="s">
        <v>203</v>
      </c>
      <c r="AC127" s="1" t="s">
        <v>99</v>
      </c>
      <c r="AD127" s="1" t="s">
        <v>102</v>
      </c>
      <c r="AE127" s="16" t="s">
        <v>257</v>
      </c>
      <c r="AF127" s="16" t="s">
        <v>337</v>
      </c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4"/>
      <c r="AY127" s="14"/>
      <c r="AZ127" s="16" t="s">
        <v>286</v>
      </c>
    </row>
    <row r="128" spans="1:53" ht="14.25" hidden="1" customHeight="1">
      <c r="A128" s="2">
        <v>474</v>
      </c>
      <c r="B128" s="2" t="s">
        <v>61</v>
      </c>
      <c r="C128" s="1" t="s">
        <v>85</v>
      </c>
      <c r="D128" s="1">
        <v>2023</v>
      </c>
      <c r="E128" s="1">
        <v>2020</v>
      </c>
      <c r="F128" s="1" t="s">
        <v>120</v>
      </c>
      <c r="G128" s="1" t="s">
        <v>109</v>
      </c>
      <c r="H128" s="1">
        <v>37.020277999999998</v>
      </c>
      <c r="I128" s="1">
        <v>-6.48</v>
      </c>
      <c r="J128" s="1" t="s">
        <v>128</v>
      </c>
      <c r="K128" s="1" t="s">
        <v>304</v>
      </c>
      <c r="M128" s="1" t="s">
        <v>238</v>
      </c>
      <c r="N128" s="1" t="s">
        <v>239</v>
      </c>
      <c r="O128" s="1" t="s">
        <v>121</v>
      </c>
      <c r="P128" s="16" t="s">
        <v>146</v>
      </c>
      <c r="Q128" s="1" t="s">
        <v>115</v>
      </c>
      <c r="R128" s="1">
        <v>2020</v>
      </c>
      <c r="S128" s="1">
        <v>1</v>
      </c>
      <c r="V128" s="16">
        <v>9</v>
      </c>
      <c r="W128" s="16">
        <v>9</v>
      </c>
      <c r="X128" s="1" t="s">
        <v>97</v>
      </c>
      <c r="Z128" s="1" t="s">
        <v>1</v>
      </c>
      <c r="AA128" s="1" t="s">
        <v>98</v>
      </c>
      <c r="AB128" s="1" t="s">
        <v>203</v>
      </c>
      <c r="AC128" s="1" t="s">
        <v>99</v>
      </c>
      <c r="AD128" s="1" t="s">
        <v>102</v>
      </c>
      <c r="AE128" s="16" t="s">
        <v>223</v>
      </c>
      <c r="AF128" s="16" t="s">
        <v>334</v>
      </c>
      <c r="AG128" s="16">
        <v>342.93</v>
      </c>
      <c r="AH128" s="12">
        <f>360.28-314.4</f>
        <v>45.879999999999995</v>
      </c>
      <c r="AI128" s="16"/>
      <c r="AJ128" s="16">
        <v>352.18</v>
      </c>
      <c r="AK128" s="16">
        <f>363.75-320.57</f>
        <v>43.180000000000007</v>
      </c>
      <c r="AL128" s="16"/>
      <c r="AM128" s="12">
        <f t="shared" ref="AM128:AM131" si="338">AG128-AJ128</f>
        <v>-9.25</v>
      </c>
      <c r="AN128" s="1">
        <f t="shared" ref="AN128:AN131" si="339">SQRT((((W128-1)*AH128^2)+((V128-1)*AK128^2))/(W128+V128-2))</f>
        <v>44.55045903242749</v>
      </c>
      <c r="AO128" s="1">
        <f t="shared" ref="AO128:AO131" si="340">AM128/AN128</f>
        <v>-0.20762973493195858</v>
      </c>
      <c r="AP128" s="1">
        <f t="shared" ref="AP128:AP131" si="341">1/W128+1/V128+(AO128^2)/(2*(W128+V128))</f>
        <v>0.2234197251896643</v>
      </c>
      <c r="AQ128" s="1">
        <f t="shared" ref="AQ128:AQ131" si="342">1-(3/(4*(W128+V128-2)-1))</f>
        <v>0.95238095238095233</v>
      </c>
      <c r="AR128" s="21">
        <f t="shared" ref="AR128:AR131" si="343">AO128*AQ128</f>
        <v>-0.19774260469710339</v>
      </c>
      <c r="AS128" s="21">
        <f t="shared" ref="AS128:AS131" si="344">AP128*(AQ128^2)</f>
        <v>0.20264827681602202</v>
      </c>
      <c r="AT128" s="21">
        <f t="shared" ref="AT128:AT131" si="345">SQRT(AP128*AQ128^2)</f>
        <v>0.45016472186969742</v>
      </c>
      <c r="AU128" s="20">
        <f t="shared" ref="AU128:AU131" si="346">1/AS128</f>
        <v>4.9346582942221042</v>
      </c>
      <c r="AV128" s="20">
        <f t="shared" ref="AV128:AV131" si="347">AR128/AS128</f>
        <v>-0.9757921843896441</v>
      </c>
      <c r="AW128" s="20">
        <f t="shared" ref="AW128:AW131" si="348">((AR128)^2)/AS128</f>
        <v>0.19295568818428441</v>
      </c>
      <c r="AX128" s="14"/>
      <c r="AY128" s="14"/>
      <c r="AZ128" s="1" t="s">
        <v>271</v>
      </c>
      <c r="BA128" s="2"/>
    </row>
    <row r="129" spans="1:53" ht="14.25" hidden="1" customHeight="1">
      <c r="A129" s="2">
        <v>474</v>
      </c>
      <c r="B129" s="2" t="s">
        <v>61</v>
      </c>
      <c r="C129" s="1" t="s">
        <v>85</v>
      </c>
      <c r="D129" s="1">
        <v>2023</v>
      </c>
      <c r="E129" s="1">
        <v>2020</v>
      </c>
      <c r="F129" s="1" t="s">
        <v>120</v>
      </c>
      <c r="G129" s="1" t="s">
        <v>109</v>
      </c>
      <c r="H129" s="1">
        <v>37.020277999999998</v>
      </c>
      <c r="I129" s="1">
        <v>-6.48</v>
      </c>
      <c r="J129" s="1" t="s">
        <v>128</v>
      </c>
      <c r="K129" s="1" t="s">
        <v>304</v>
      </c>
      <c r="M129" s="1" t="s">
        <v>238</v>
      </c>
      <c r="N129" s="1" t="s">
        <v>239</v>
      </c>
      <c r="O129" s="1" t="s">
        <v>121</v>
      </c>
      <c r="P129" s="16" t="s">
        <v>146</v>
      </c>
      <c r="Q129" s="1" t="s">
        <v>115</v>
      </c>
      <c r="R129" s="1">
        <v>2020</v>
      </c>
      <c r="S129" s="1">
        <v>1</v>
      </c>
      <c r="V129" s="16">
        <v>9</v>
      </c>
      <c r="W129" s="16">
        <v>9</v>
      </c>
      <c r="X129" s="1" t="s">
        <v>97</v>
      </c>
      <c r="Z129" s="1" t="s">
        <v>1</v>
      </c>
      <c r="AA129" s="1" t="s">
        <v>98</v>
      </c>
      <c r="AB129" s="1" t="s">
        <v>203</v>
      </c>
      <c r="AC129" s="1" t="s">
        <v>99</v>
      </c>
      <c r="AD129" s="1" t="s">
        <v>102</v>
      </c>
      <c r="AE129" s="12" t="s">
        <v>150</v>
      </c>
      <c r="AF129" s="12" t="s">
        <v>338</v>
      </c>
      <c r="AG129" s="16">
        <v>18.309999999999999</v>
      </c>
      <c r="AH129" s="12">
        <f>19.8-13.92</f>
        <v>5.8800000000000008</v>
      </c>
      <c r="AI129" s="16"/>
      <c r="AJ129" s="16">
        <v>19.93</v>
      </c>
      <c r="AK129" s="16">
        <f>23.18-17.97</f>
        <v>5.2100000000000009</v>
      </c>
      <c r="AL129" s="16"/>
      <c r="AM129" s="12">
        <f t="shared" si="338"/>
        <v>-1.620000000000001</v>
      </c>
      <c r="AN129" s="1">
        <f t="shared" si="339"/>
        <v>5.5551102599318414</v>
      </c>
      <c r="AO129" s="1">
        <f t="shared" si="340"/>
        <v>-0.29162337455024295</v>
      </c>
      <c r="AP129" s="1">
        <f t="shared" si="341"/>
        <v>0.22458456090511308</v>
      </c>
      <c r="AQ129" s="1">
        <f t="shared" si="342"/>
        <v>0.95238095238095233</v>
      </c>
      <c r="AR129" s="21">
        <f t="shared" si="343"/>
        <v>-0.27773654719070756</v>
      </c>
      <c r="AS129" s="21">
        <f t="shared" si="344"/>
        <v>0.20370481714749486</v>
      </c>
      <c r="AT129" s="21">
        <f t="shared" si="345"/>
        <v>0.45133670042164181</v>
      </c>
      <c r="AU129" s="20">
        <f t="shared" si="346"/>
        <v>4.9090640761624122</v>
      </c>
      <c r="AV129" s="20">
        <f t="shared" si="347"/>
        <v>-1.3634265064512892</v>
      </c>
      <c r="AW129" s="20">
        <f t="shared" si="348"/>
        <v>0.37867337025007003</v>
      </c>
      <c r="AX129" s="14"/>
      <c r="AY129" s="14"/>
      <c r="AZ129" s="1" t="s">
        <v>271</v>
      </c>
      <c r="BA129" s="2"/>
    </row>
    <row r="130" spans="1:53" ht="14.25" hidden="1" customHeight="1">
      <c r="A130" s="2">
        <v>474</v>
      </c>
      <c r="B130" s="2" t="s">
        <v>61</v>
      </c>
      <c r="C130" s="1" t="s">
        <v>85</v>
      </c>
      <c r="D130" s="1">
        <v>2023</v>
      </c>
      <c r="E130" s="1">
        <v>2020</v>
      </c>
      <c r="F130" s="1" t="s">
        <v>120</v>
      </c>
      <c r="G130" s="1" t="s">
        <v>109</v>
      </c>
      <c r="H130" s="1">
        <v>37.020277999999998</v>
      </c>
      <c r="I130" s="1">
        <v>-6.48</v>
      </c>
      <c r="J130" s="1" t="s">
        <v>128</v>
      </c>
      <c r="K130" s="1" t="s">
        <v>304</v>
      </c>
      <c r="M130" s="1" t="s">
        <v>238</v>
      </c>
      <c r="N130" s="1" t="s">
        <v>239</v>
      </c>
      <c r="O130" s="1" t="s">
        <v>121</v>
      </c>
      <c r="P130" s="16" t="s">
        <v>146</v>
      </c>
      <c r="Q130" s="1" t="s">
        <v>115</v>
      </c>
      <c r="R130" s="1">
        <v>2020</v>
      </c>
      <c r="S130" s="1">
        <v>1</v>
      </c>
      <c r="V130" s="16">
        <v>9</v>
      </c>
      <c r="W130" s="16">
        <v>9</v>
      </c>
      <c r="X130" s="1" t="s">
        <v>97</v>
      </c>
      <c r="Z130" s="1" t="s">
        <v>1</v>
      </c>
      <c r="AA130" s="1" t="s">
        <v>98</v>
      </c>
      <c r="AB130" s="1" t="s">
        <v>203</v>
      </c>
      <c r="AC130" s="1" t="s">
        <v>99</v>
      </c>
      <c r="AD130" s="1" t="s">
        <v>102</v>
      </c>
      <c r="AE130" s="16" t="s">
        <v>305</v>
      </c>
      <c r="AF130" s="12" t="s">
        <v>338</v>
      </c>
      <c r="AG130" s="1">
        <v>23.88</v>
      </c>
      <c r="AH130" s="12">
        <f>27.11-21.15</f>
        <v>5.9600000000000009</v>
      </c>
      <c r="AI130" s="16"/>
      <c r="AJ130" s="16">
        <v>21.77</v>
      </c>
      <c r="AK130" s="16">
        <f>23.88-20.16</f>
        <v>3.7199999999999989</v>
      </c>
      <c r="AL130" s="16"/>
      <c r="AM130" s="12">
        <f t="shared" ref="AM130" si="349">AG130-AJ130</f>
        <v>2.1099999999999994</v>
      </c>
      <c r="AN130" s="1">
        <f t="shared" ref="AN130" si="350">SQRT((((W130-1)*AH130^2)+((V130-1)*AK130^2))/(W130+V130-2))</f>
        <v>4.9678969393496883</v>
      </c>
      <c r="AO130" s="1">
        <f t="shared" ref="AO130" si="351">AM130/AN130</f>
        <v>0.42472700737552022</v>
      </c>
      <c r="AP130" s="1">
        <f t="shared" ref="AP130" si="352">1/W130+1/V130+(AO130^2)/(2*(W130+V130))</f>
        <v>0.22723313974428236</v>
      </c>
      <c r="AQ130" s="1">
        <f t="shared" ref="AQ130" si="353">1-(3/(4*(W130+V130-2)-1))</f>
        <v>0.95238095238095233</v>
      </c>
      <c r="AR130" s="21">
        <f t="shared" ref="AR130" si="354">AO130*AQ130</f>
        <v>0.4045019117862097</v>
      </c>
      <c r="AS130" s="21">
        <f t="shared" si="344"/>
        <v>0.20610715623064157</v>
      </c>
      <c r="AT130" s="21">
        <f t="shared" ref="AT130" si="355">SQRT(AP130*AQ130^2)</f>
        <v>0.4539902600614264</v>
      </c>
      <c r="AU130" s="20">
        <f t="shared" si="346"/>
        <v>4.8518451192493419</v>
      </c>
      <c r="AV130" s="20">
        <f t="shared" si="347"/>
        <v>1.9625806264269496</v>
      </c>
      <c r="AW130" s="20">
        <f t="shared" si="348"/>
        <v>0.79386761542427819</v>
      </c>
      <c r="AX130" s="14"/>
      <c r="AY130" s="14"/>
      <c r="AZ130" s="1" t="s">
        <v>271</v>
      </c>
      <c r="BA130" s="2"/>
    </row>
    <row r="131" spans="1:53" ht="14.25" hidden="1" customHeight="1">
      <c r="A131" s="2">
        <v>474</v>
      </c>
      <c r="B131" s="2" t="s">
        <v>61</v>
      </c>
      <c r="C131" s="1" t="s">
        <v>85</v>
      </c>
      <c r="D131" s="1">
        <v>2023</v>
      </c>
      <c r="E131" s="1">
        <v>2020</v>
      </c>
      <c r="F131" s="1" t="s">
        <v>120</v>
      </c>
      <c r="G131" s="1" t="s">
        <v>109</v>
      </c>
      <c r="H131" s="1">
        <v>37.020277999999998</v>
      </c>
      <c r="I131" s="1">
        <v>-6.48</v>
      </c>
      <c r="J131" s="1" t="s">
        <v>128</v>
      </c>
      <c r="K131" s="1" t="s">
        <v>304</v>
      </c>
      <c r="M131" s="1" t="s">
        <v>238</v>
      </c>
      <c r="N131" s="1" t="s">
        <v>239</v>
      </c>
      <c r="O131" s="1" t="s">
        <v>121</v>
      </c>
      <c r="P131" s="16" t="s">
        <v>146</v>
      </c>
      <c r="Q131" s="1" t="s">
        <v>115</v>
      </c>
      <c r="R131" s="1">
        <v>2020</v>
      </c>
      <c r="S131" s="1">
        <v>1</v>
      </c>
      <c r="V131" s="16">
        <v>9</v>
      </c>
      <c r="W131" s="16">
        <v>9</v>
      </c>
      <c r="X131" s="1" t="s">
        <v>97</v>
      </c>
      <c r="Z131" s="1" t="s">
        <v>1</v>
      </c>
      <c r="AA131" s="1" t="s">
        <v>98</v>
      </c>
      <c r="AB131" s="1" t="s">
        <v>203</v>
      </c>
      <c r="AC131" s="1" t="s">
        <v>99</v>
      </c>
      <c r="AD131" s="1" t="s">
        <v>102</v>
      </c>
      <c r="AE131" s="16" t="s">
        <v>306</v>
      </c>
      <c r="AF131" s="12" t="s">
        <v>338</v>
      </c>
      <c r="AG131" s="16">
        <v>17.3</v>
      </c>
      <c r="AH131" s="12">
        <f>25.3-13.5</f>
        <v>11.8</v>
      </c>
      <c r="AI131" s="16"/>
      <c r="AJ131" s="16">
        <v>23</v>
      </c>
      <c r="AK131" s="16">
        <f>25.4-19.4</f>
        <v>6</v>
      </c>
      <c r="AL131" s="16"/>
      <c r="AM131" s="12">
        <f t="shared" si="338"/>
        <v>-5.6999999999999993</v>
      </c>
      <c r="AN131" s="1">
        <f t="shared" si="339"/>
        <v>9.3605555390692494</v>
      </c>
      <c r="AO131" s="1">
        <f t="shared" si="340"/>
        <v>-0.60893821699035278</v>
      </c>
      <c r="AP131" s="1">
        <f t="shared" si="341"/>
        <v>0.23252238200309416</v>
      </c>
      <c r="AQ131" s="1">
        <f t="shared" si="342"/>
        <v>0.95238095238095233</v>
      </c>
      <c r="AR131" s="21">
        <f t="shared" si="343"/>
        <v>-0.57994115903843113</v>
      </c>
      <c r="AS131" s="21">
        <f t="shared" si="344"/>
        <v>0.21090465487808993</v>
      </c>
      <c r="AT131" s="21">
        <f t="shared" si="345"/>
        <v>0.45924356814014272</v>
      </c>
      <c r="AU131" s="20">
        <f t="shared" si="346"/>
        <v>4.7414790374258642</v>
      </c>
      <c r="AV131" s="20">
        <f t="shared" si="347"/>
        <v>-2.7497788485211805</v>
      </c>
      <c r="AW131" s="20">
        <f t="shared" si="348"/>
        <v>1.5947099325107359</v>
      </c>
      <c r="AX131" s="14"/>
      <c r="AY131" s="14"/>
      <c r="AZ131" s="1" t="s">
        <v>271</v>
      </c>
      <c r="BA131" s="2"/>
    </row>
    <row r="132" spans="1:53" ht="15" hidden="1" customHeight="1">
      <c r="A132" s="2">
        <v>474</v>
      </c>
      <c r="B132" s="2" t="s">
        <v>61</v>
      </c>
      <c r="C132" s="1" t="s">
        <v>85</v>
      </c>
      <c r="D132" s="1">
        <v>2023</v>
      </c>
      <c r="E132" s="1">
        <v>2020</v>
      </c>
      <c r="F132" s="1" t="s">
        <v>120</v>
      </c>
      <c r="G132" s="1" t="s">
        <v>109</v>
      </c>
      <c r="H132" s="1">
        <v>37.020277999999998</v>
      </c>
      <c r="I132" s="1">
        <v>-6.48</v>
      </c>
      <c r="J132" s="1" t="s">
        <v>128</v>
      </c>
      <c r="K132" s="1" t="s">
        <v>304</v>
      </c>
      <c r="M132" s="1" t="s">
        <v>238</v>
      </c>
      <c r="N132" s="1" t="s">
        <v>239</v>
      </c>
      <c r="O132" s="1" t="s">
        <v>121</v>
      </c>
      <c r="P132" s="16" t="s">
        <v>146</v>
      </c>
      <c r="Q132" s="1" t="s">
        <v>115</v>
      </c>
      <c r="R132" s="1">
        <v>2020</v>
      </c>
      <c r="S132" s="1">
        <v>1</v>
      </c>
      <c r="V132" s="16">
        <v>9</v>
      </c>
      <c r="W132" s="16">
        <v>9</v>
      </c>
      <c r="X132" s="1" t="s">
        <v>97</v>
      </c>
      <c r="Z132" s="1" t="s">
        <v>1</v>
      </c>
      <c r="AA132" s="1" t="s">
        <v>98</v>
      </c>
      <c r="AB132" s="1" t="s">
        <v>203</v>
      </c>
      <c r="AC132" s="1" t="s">
        <v>99</v>
      </c>
      <c r="AD132" s="1" t="s">
        <v>102</v>
      </c>
      <c r="AE132" s="16" t="s">
        <v>257</v>
      </c>
      <c r="AF132" s="16" t="s">
        <v>337</v>
      </c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4"/>
      <c r="AY132" s="14"/>
      <c r="AZ132" s="16" t="s">
        <v>286</v>
      </c>
    </row>
    <row r="133" spans="1:53" ht="14.25" hidden="1" customHeight="1">
      <c r="A133" s="2">
        <v>102</v>
      </c>
      <c r="B133" s="2" t="s">
        <v>14</v>
      </c>
      <c r="C133" s="1" t="s">
        <v>85</v>
      </c>
      <c r="D133" s="1">
        <v>2024</v>
      </c>
      <c r="E133" s="1">
        <v>2020</v>
      </c>
      <c r="F133" s="1" t="s">
        <v>143</v>
      </c>
      <c r="G133" s="1" t="s">
        <v>167</v>
      </c>
      <c r="H133" s="1">
        <v>44.798842</v>
      </c>
      <c r="I133" s="1">
        <v>-111.290696</v>
      </c>
      <c r="J133" s="1" t="s">
        <v>128</v>
      </c>
      <c r="K133" s="1" t="s">
        <v>177</v>
      </c>
      <c r="L133" s="1" t="s">
        <v>187</v>
      </c>
      <c r="M133" s="16" t="s">
        <v>237</v>
      </c>
      <c r="N133" s="16" t="s">
        <v>239</v>
      </c>
      <c r="O133" s="1" t="s">
        <v>121</v>
      </c>
      <c r="Q133" s="1" t="s">
        <v>93</v>
      </c>
      <c r="R133" s="1">
        <v>2019</v>
      </c>
      <c r="S133" s="1" t="s">
        <v>166</v>
      </c>
      <c r="V133" s="1">
        <v>7</v>
      </c>
      <c r="W133" s="1">
        <v>15</v>
      </c>
      <c r="X133" s="1" t="s">
        <v>97</v>
      </c>
      <c r="Y133" s="1" t="s">
        <v>130</v>
      </c>
      <c r="Z133" s="1" t="s">
        <v>1</v>
      </c>
      <c r="AA133" s="1" t="s">
        <v>98</v>
      </c>
      <c r="AB133" s="1" t="s">
        <v>203</v>
      </c>
      <c r="AC133" s="1" t="s">
        <v>99</v>
      </c>
      <c r="AD133" s="1" t="s">
        <v>111</v>
      </c>
      <c r="AE133" s="16" t="s">
        <v>223</v>
      </c>
      <c r="AF133" s="16" t="s">
        <v>327</v>
      </c>
      <c r="AG133" s="16">
        <v>52.2</v>
      </c>
      <c r="AH133" s="12">
        <f>91.35-29.36</f>
        <v>61.989999999999995</v>
      </c>
      <c r="AI133" s="16"/>
      <c r="AJ133" s="16">
        <v>362.15</v>
      </c>
      <c r="AK133" s="16">
        <f>489.4-241.44</f>
        <v>247.95999999999998</v>
      </c>
      <c r="AL133" s="16"/>
      <c r="AM133" s="12">
        <f>AG133-AJ133</f>
        <v>-309.95</v>
      </c>
      <c r="AN133" s="1">
        <f>SQRT((((W133-1)*AH133^2)+((V133-1)*AK133^2))/(W133+V133-2))</f>
        <v>145.3794364757272</v>
      </c>
      <c r="AO133" s="1">
        <f>AM133/AN133</f>
        <v>-2.132007163556104</v>
      </c>
      <c r="AP133" s="1">
        <f>1/W133+1/V133+(AO133^2)/(2*(W133+V133))</f>
        <v>0.31282959464777643</v>
      </c>
      <c r="AQ133" s="1">
        <f>1-(3/(4*(W133+V133-2)-1))</f>
        <v>0.96202531645569622</v>
      </c>
      <c r="AR133" s="21">
        <f>AO133*AQ133</f>
        <v>-2.051044866205872</v>
      </c>
      <c r="AS133" s="21">
        <f t="shared" ref="AS133:AS134" si="356">AP133*(AQ133^2)</f>
        <v>0.28952150916288366</v>
      </c>
      <c r="AT133" s="21">
        <f>SQRT(AP133*AQ133^2)</f>
        <v>0.5380720297161744</v>
      </c>
      <c r="AU133" s="20">
        <f t="shared" ref="AU133:AU134" si="357">1/AS133</f>
        <v>3.4539748113754269</v>
      </c>
      <c r="AV133" s="20">
        <f t="shared" ref="AV133:AV134" si="358">AR133/AS133</f>
        <v>-7.0842573048759645</v>
      </c>
      <c r="AW133" s="20">
        <f t="shared" ref="AW133:AW134" si="359">((AR133)^2)/AS133</f>
        <v>14.530129576047294</v>
      </c>
      <c r="AX133" s="14"/>
      <c r="AY133" s="14"/>
      <c r="AZ133" s="1" t="s">
        <v>271</v>
      </c>
      <c r="BA133" s="2"/>
    </row>
    <row r="134" spans="1:53" ht="14.25" hidden="1" customHeight="1">
      <c r="A134" s="2">
        <v>102</v>
      </c>
      <c r="B134" s="2" t="s">
        <v>14</v>
      </c>
      <c r="C134" s="1" t="s">
        <v>85</v>
      </c>
      <c r="D134" s="1">
        <v>2024</v>
      </c>
      <c r="E134" s="1">
        <v>2020</v>
      </c>
      <c r="F134" s="1" t="s">
        <v>143</v>
      </c>
      <c r="G134" s="1" t="s">
        <v>167</v>
      </c>
      <c r="H134" s="1">
        <v>44.798842</v>
      </c>
      <c r="I134" s="1">
        <v>-111.290696</v>
      </c>
      <c r="J134" s="1" t="s">
        <v>128</v>
      </c>
      <c r="K134" s="1" t="s">
        <v>177</v>
      </c>
      <c r="L134" s="1" t="s">
        <v>187</v>
      </c>
      <c r="M134" s="16" t="s">
        <v>237</v>
      </c>
      <c r="N134" s="16" t="s">
        <v>239</v>
      </c>
      <c r="O134" s="1" t="s">
        <v>121</v>
      </c>
      <c r="Q134" s="1" t="s">
        <v>93</v>
      </c>
      <c r="R134" s="1">
        <v>2019</v>
      </c>
      <c r="S134" s="1" t="s">
        <v>166</v>
      </c>
      <c r="V134" s="1">
        <v>7</v>
      </c>
      <c r="W134" s="1">
        <v>15</v>
      </c>
      <c r="X134" s="1" t="s">
        <v>97</v>
      </c>
      <c r="Y134" s="1" t="s">
        <v>130</v>
      </c>
      <c r="Z134" s="1" t="s">
        <v>1</v>
      </c>
      <c r="AA134" s="1" t="s">
        <v>98</v>
      </c>
      <c r="AB134" s="1" t="s">
        <v>203</v>
      </c>
      <c r="AC134" s="1" t="s">
        <v>99</v>
      </c>
      <c r="AD134" s="1" t="s">
        <v>111</v>
      </c>
      <c r="AE134" s="16" t="s">
        <v>149</v>
      </c>
      <c r="AF134" s="16" t="s">
        <v>340</v>
      </c>
      <c r="AG134" s="16">
        <v>2.1</v>
      </c>
      <c r="AH134" s="12">
        <f>2.68-1.9</f>
        <v>0.78000000000000025</v>
      </c>
      <c r="AI134" s="16"/>
      <c r="AJ134" s="16">
        <v>4.07</v>
      </c>
      <c r="AK134" s="16">
        <f>4.41-3.54</f>
        <v>0.87000000000000011</v>
      </c>
      <c r="AL134" s="16"/>
      <c r="AM134" s="12">
        <f t="shared" ref="AM134" si="360">AG134-AJ134</f>
        <v>-1.9700000000000002</v>
      </c>
      <c r="AN134" s="1">
        <f t="shared" ref="AN134" si="361">SQRT((((W134-1)*AH134^2)+((V134-1)*AK134^2))/(W134+V134-2))</f>
        <v>0.80805321606933811</v>
      </c>
      <c r="AO134" s="1">
        <f t="shared" ref="AO134" si="362">AM134/AN134</f>
        <v>-2.4379582443626546</v>
      </c>
      <c r="AP134" s="1">
        <f t="shared" ref="AP134" si="363">1/W134+1/V134+(AO134^2)/(2*(W134+V134))</f>
        <v>0.34460654591598761</v>
      </c>
      <c r="AQ134" s="1">
        <f t="shared" ref="AQ134" si="364">1-(3/(4*(W134+V134-2)-1))</f>
        <v>0.96202531645569622</v>
      </c>
      <c r="AR134" s="21">
        <f t="shared" ref="AR134" si="365">AO134*AQ134</f>
        <v>-2.3453775515387565</v>
      </c>
      <c r="AS134" s="21">
        <f t="shared" si="356"/>
        <v>0.31893084589180332</v>
      </c>
      <c r="AT134" s="21">
        <f t="shared" ref="AT134" si="366">SQRT(AP134*AQ134^2)</f>
        <v>0.56473962663496824</v>
      </c>
      <c r="AU134" s="20">
        <f t="shared" si="357"/>
        <v>3.1354759593847756</v>
      </c>
      <c r="AV134" s="20">
        <f t="shared" si="358"/>
        <v>-7.3538749285304981</v>
      </c>
      <c r="AW134" s="20">
        <f t="shared" si="359"/>
        <v>17.247613174199106</v>
      </c>
      <c r="AX134" s="14"/>
      <c r="AY134" s="14"/>
      <c r="AZ134" s="1" t="s">
        <v>271</v>
      </c>
      <c r="BA134" s="2"/>
    </row>
    <row r="135" spans="1:53" ht="14.25" hidden="1" customHeight="1">
      <c r="A135" s="2">
        <v>102</v>
      </c>
      <c r="B135" s="2" t="s">
        <v>14</v>
      </c>
      <c r="C135" s="1" t="s">
        <v>85</v>
      </c>
      <c r="D135" s="1">
        <v>2024</v>
      </c>
      <c r="E135" s="1">
        <v>2020</v>
      </c>
      <c r="F135" s="1" t="s">
        <v>143</v>
      </c>
      <c r="G135" s="1" t="s">
        <v>167</v>
      </c>
      <c r="H135" s="1">
        <v>44.798842</v>
      </c>
      <c r="I135" s="1">
        <v>-111.290696</v>
      </c>
      <c r="J135" s="1" t="s">
        <v>128</v>
      </c>
      <c r="K135" s="1" t="s">
        <v>177</v>
      </c>
      <c r="L135" s="1" t="s">
        <v>187</v>
      </c>
      <c r="M135" s="16" t="s">
        <v>237</v>
      </c>
      <c r="N135" s="16" t="s">
        <v>239</v>
      </c>
      <c r="O135" s="1" t="s">
        <v>121</v>
      </c>
      <c r="Q135" s="1" t="s">
        <v>93</v>
      </c>
      <c r="R135" s="1">
        <v>2019</v>
      </c>
      <c r="S135" s="1" t="s">
        <v>166</v>
      </c>
      <c r="V135" s="1">
        <v>7</v>
      </c>
      <c r="W135" s="1">
        <v>15</v>
      </c>
      <c r="X135" s="1" t="s">
        <v>97</v>
      </c>
      <c r="Y135" s="1" t="s">
        <v>130</v>
      </c>
      <c r="Z135" s="1" t="s">
        <v>1</v>
      </c>
      <c r="AA135" s="1" t="s">
        <v>98</v>
      </c>
      <c r="AB135" s="1" t="s">
        <v>203</v>
      </c>
      <c r="AC135" s="1" t="s">
        <v>99</v>
      </c>
      <c r="AD135" s="1" t="s">
        <v>111</v>
      </c>
      <c r="AE135" s="16" t="s">
        <v>257</v>
      </c>
      <c r="AF135" s="16" t="s">
        <v>325</v>
      </c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4"/>
      <c r="AY135" s="14"/>
      <c r="AZ135" s="16" t="s">
        <v>286</v>
      </c>
    </row>
    <row r="136" spans="1:53" ht="14.25" hidden="1" customHeight="1">
      <c r="A136" s="2">
        <v>297</v>
      </c>
      <c r="B136" s="2" t="s">
        <v>45</v>
      </c>
      <c r="C136" s="1" t="s">
        <v>85</v>
      </c>
      <c r="D136" s="1">
        <v>2024</v>
      </c>
      <c r="E136" s="1">
        <v>2018</v>
      </c>
      <c r="F136" s="1" t="s">
        <v>143</v>
      </c>
      <c r="G136" s="1" t="s">
        <v>142</v>
      </c>
      <c r="H136" s="1">
        <v>30.238056</v>
      </c>
      <c r="I136" s="1">
        <v>-82.411389</v>
      </c>
      <c r="J136" s="1" t="s">
        <v>128</v>
      </c>
      <c r="K136" s="1" t="s">
        <v>177</v>
      </c>
      <c r="L136" s="1" t="s">
        <v>190</v>
      </c>
      <c r="M136" s="16" t="s">
        <v>237</v>
      </c>
      <c r="N136" s="16" t="s">
        <v>239</v>
      </c>
      <c r="O136" s="1" t="s">
        <v>121</v>
      </c>
      <c r="Q136" s="1" t="s">
        <v>93</v>
      </c>
      <c r="R136" s="1">
        <v>2018</v>
      </c>
      <c r="S136" s="1">
        <v>1</v>
      </c>
      <c r="T136" s="1" t="s">
        <v>345</v>
      </c>
      <c r="V136" s="1">
        <v>6</v>
      </c>
      <c r="W136" s="1">
        <v>6</v>
      </c>
      <c r="X136" s="1" t="s">
        <v>97</v>
      </c>
      <c r="Y136" s="1" t="s">
        <v>133</v>
      </c>
      <c r="Z136" s="1" t="s">
        <v>1</v>
      </c>
      <c r="AA136" s="1" t="s">
        <v>98</v>
      </c>
      <c r="AB136" s="1" t="s">
        <v>203</v>
      </c>
      <c r="AC136" s="1" t="s">
        <v>99</v>
      </c>
      <c r="AD136" s="1" t="s">
        <v>102</v>
      </c>
      <c r="AE136" s="16" t="s">
        <v>223</v>
      </c>
      <c r="AF136" s="16" t="s">
        <v>341</v>
      </c>
      <c r="AG136" s="16">
        <v>514.4</v>
      </c>
      <c r="AH136" s="12">
        <f>538.4-458.4</f>
        <v>80</v>
      </c>
      <c r="AI136" s="16"/>
      <c r="AJ136" s="16">
        <v>423</v>
      </c>
      <c r="AK136" s="16">
        <f>423-356</f>
        <v>67</v>
      </c>
      <c r="AL136" s="16"/>
      <c r="AM136" s="12">
        <f>AG136-AJ136</f>
        <v>91.399999999999977</v>
      </c>
      <c r="AN136" s="1">
        <f>SQRT((((W136-1)*AH136^2)+((V136-1)*AK136^2))/(W136+V136-2))</f>
        <v>73.786855197928034</v>
      </c>
      <c r="AO136" s="1">
        <f>AM136/AN136</f>
        <v>1.2387030149858795</v>
      </c>
      <c r="AP136" s="1">
        <f>1/W136+1/V136+(AO136^2)/(2*(W136+V136))</f>
        <v>0.3972660483056295</v>
      </c>
      <c r="AQ136" s="1">
        <f>1-(3/(4*(W136+V136-2)-1))</f>
        <v>0.92307692307692313</v>
      </c>
      <c r="AR136" s="21">
        <f>AO136*AQ136</f>
        <v>1.1434181676792734</v>
      </c>
      <c r="AS136" s="21">
        <f t="shared" ref="AS136:AS139" si="367">AP136*(AQ136^2)</f>
        <v>0.33849888139651274</v>
      </c>
      <c r="AT136" s="21">
        <f>SQRT(AP136*AQ136^2)</f>
        <v>0.58180656699328581</v>
      </c>
      <c r="AU136" s="20">
        <f t="shared" ref="AU136:AU139" si="368">1/AS136</f>
        <v>2.9542195113744389</v>
      </c>
      <c r="AV136" s="20">
        <f t="shared" ref="AV136:AV139" si="369">AR136/AS136</f>
        <v>3.3779082606181192</v>
      </c>
      <c r="AW136" s="20">
        <f t="shared" ref="AW136:AW139" si="370">((AR136)^2)/AS136</f>
        <v>3.8623616739446516</v>
      </c>
      <c r="AX136" s="14"/>
      <c r="AY136" s="14"/>
      <c r="AZ136" s="1" t="s">
        <v>271</v>
      </c>
      <c r="BA136" s="2"/>
    </row>
    <row r="137" spans="1:53" ht="14.25" hidden="1" customHeight="1">
      <c r="A137" s="2">
        <v>297</v>
      </c>
      <c r="B137" s="2" t="s">
        <v>45</v>
      </c>
      <c r="C137" s="1" t="s">
        <v>85</v>
      </c>
      <c r="D137" s="1">
        <v>2024</v>
      </c>
      <c r="E137" s="1">
        <v>2018</v>
      </c>
      <c r="F137" s="1" t="s">
        <v>143</v>
      </c>
      <c r="G137" s="1" t="s">
        <v>142</v>
      </c>
      <c r="H137" s="1">
        <v>30.238056</v>
      </c>
      <c r="I137" s="1">
        <v>-82.411389</v>
      </c>
      <c r="J137" s="1" t="s">
        <v>128</v>
      </c>
      <c r="K137" s="1" t="s">
        <v>177</v>
      </c>
      <c r="L137" s="1" t="s">
        <v>190</v>
      </c>
      <c r="M137" s="16" t="s">
        <v>237</v>
      </c>
      <c r="N137" s="16" t="s">
        <v>239</v>
      </c>
      <c r="O137" s="1" t="s">
        <v>121</v>
      </c>
      <c r="Q137" s="1" t="s">
        <v>93</v>
      </c>
      <c r="R137" s="1">
        <v>2018</v>
      </c>
      <c r="S137" s="1">
        <v>1</v>
      </c>
      <c r="T137" s="1" t="s">
        <v>345</v>
      </c>
      <c r="V137" s="1">
        <v>6</v>
      </c>
      <c r="W137" s="1">
        <v>6</v>
      </c>
      <c r="X137" s="1" t="s">
        <v>97</v>
      </c>
      <c r="Y137" s="1" t="s">
        <v>133</v>
      </c>
      <c r="Z137" s="1" t="s">
        <v>1</v>
      </c>
      <c r="AA137" s="1" t="s">
        <v>98</v>
      </c>
      <c r="AB137" s="1" t="s">
        <v>203</v>
      </c>
      <c r="AC137" s="1" t="s">
        <v>99</v>
      </c>
      <c r="AD137" s="1" t="s">
        <v>102</v>
      </c>
      <c r="AE137" s="16" t="s">
        <v>262</v>
      </c>
      <c r="AF137" s="16" t="s">
        <v>342</v>
      </c>
      <c r="AG137" s="16">
        <v>604.69000000000005</v>
      </c>
      <c r="AH137" s="12">
        <f>679.69-584</f>
        <v>95.690000000000055</v>
      </c>
      <c r="AI137" s="16"/>
      <c r="AJ137" s="16">
        <v>445.31</v>
      </c>
      <c r="AK137" s="16">
        <f>464.06-367.19</f>
        <v>96.87</v>
      </c>
      <c r="AL137" s="16"/>
      <c r="AM137" s="12">
        <f>AG137-AJ137</f>
        <v>159.38000000000005</v>
      </c>
      <c r="AN137" s="1">
        <f>SQRT((((W137-1)*AH137^2)+((V137-1)*AK137^2))/(W137+V137-2))</f>
        <v>96.281807731263584</v>
      </c>
      <c r="AO137" s="1">
        <f>AM137/AN137</f>
        <v>1.6553490607992387</v>
      </c>
      <c r="AP137" s="1">
        <f>1/W137+1/V137+(AO137^2)/(2*(W137+V137))</f>
        <v>0.44750752137870503</v>
      </c>
      <c r="AQ137" s="1">
        <f>1-(3/(4*(W137+V137-2)-1))</f>
        <v>0.92307692307692313</v>
      </c>
      <c r="AR137" s="21">
        <f>AO137*AQ137</f>
        <v>1.5280145176608357</v>
      </c>
      <c r="AS137" s="21">
        <f t="shared" si="367"/>
        <v>0.38130818389664811</v>
      </c>
      <c r="AT137" s="21">
        <f>SQRT(AP137*AQ137^2)</f>
        <v>0.61750156590623162</v>
      </c>
      <c r="AU137" s="20">
        <f t="shared" si="368"/>
        <v>2.6225505830502853</v>
      </c>
      <c r="AV137" s="20">
        <f t="shared" si="369"/>
        <v>4.0072953642007256</v>
      </c>
      <c r="AW137" s="20">
        <f t="shared" si="370"/>
        <v>6.1232054930536748</v>
      </c>
      <c r="AX137" s="14"/>
      <c r="AY137" s="14"/>
      <c r="AZ137" s="1" t="s">
        <v>271</v>
      </c>
      <c r="BA137" s="2"/>
    </row>
    <row r="138" spans="1:53" ht="14.25" hidden="1" customHeight="1">
      <c r="A138" s="2">
        <v>297</v>
      </c>
      <c r="B138" s="2" t="s">
        <v>45</v>
      </c>
      <c r="C138" s="1" t="s">
        <v>85</v>
      </c>
      <c r="D138" s="1">
        <v>2024</v>
      </c>
      <c r="E138" s="1">
        <v>2018</v>
      </c>
      <c r="F138" s="1" t="s">
        <v>143</v>
      </c>
      <c r="G138" s="1" t="s">
        <v>142</v>
      </c>
      <c r="H138" s="1">
        <v>30.238056</v>
      </c>
      <c r="I138" s="1">
        <v>-82.411389</v>
      </c>
      <c r="J138" s="1" t="s">
        <v>128</v>
      </c>
      <c r="K138" s="1" t="s">
        <v>177</v>
      </c>
      <c r="L138" s="1" t="s">
        <v>190</v>
      </c>
      <c r="M138" s="16" t="s">
        <v>237</v>
      </c>
      <c r="N138" s="16" t="s">
        <v>239</v>
      </c>
      <c r="O138" s="1" t="s">
        <v>121</v>
      </c>
      <c r="Q138" s="1" t="s">
        <v>93</v>
      </c>
      <c r="R138" s="1">
        <v>2018</v>
      </c>
      <c r="S138" s="1">
        <v>1</v>
      </c>
      <c r="T138" s="1" t="s">
        <v>345</v>
      </c>
      <c r="V138" s="1">
        <v>6</v>
      </c>
      <c r="W138" s="1">
        <v>6</v>
      </c>
      <c r="X138" s="1" t="s">
        <v>97</v>
      </c>
      <c r="Y138" s="1" t="s">
        <v>133</v>
      </c>
      <c r="Z138" s="1" t="s">
        <v>1</v>
      </c>
      <c r="AA138" s="1" t="s">
        <v>98</v>
      </c>
      <c r="AB138" s="1" t="s">
        <v>203</v>
      </c>
      <c r="AC138" s="1" t="s">
        <v>99</v>
      </c>
      <c r="AD138" s="1" t="s">
        <v>102</v>
      </c>
      <c r="AE138" s="16" t="s">
        <v>149</v>
      </c>
      <c r="AF138" s="12" t="s">
        <v>343</v>
      </c>
      <c r="AG138" s="12">
        <v>3.36</v>
      </c>
      <c r="AH138" s="12">
        <f>3.6-3.02</f>
        <v>0.58000000000000007</v>
      </c>
      <c r="AI138" s="12"/>
      <c r="AJ138" s="12">
        <v>3.04</v>
      </c>
      <c r="AK138" s="12">
        <f>3.36-2.76</f>
        <v>0.60000000000000009</v>
      </c>
      <c r="AL138" s="12"/>
      <c r="AM138" s="12">
        <f>AG138-AJ138</f>
        <v>0.31999999999999984</v>
      </c>
      <c r="AN138" s="1">
        <f>SQRT((((W138-1)*AH138^2)+((V138-1)*AK138^2))/(W138+V138-2))</f>
        <v>0.59008473967727726</v>
      </c>
      <c r="AO138" s="1">
        <f>AM138/AN138</f>
        <v>0.54229499338520559</v>
      </c>
      <c r="AP138" s="1">
        <f>1/W138+1/V138+(AO138^2)/(2*(W138+V138))</f>
        <v>0.3455868274937775</v>
      </c>
      <c r="AQ138" s="1">
        <f>1-(3/(4*(W138+V138-2)-1))</f>
        <v>0.92307692307692313</v>
      </c>
      <c r="AR138" s="21">
        <f>AO138*AQ138</f>
        <v>0.50057999389403596</v>
      </c>
      <c r="AS138" s="21">
        <f t="shared" si="367"/>
        <v>0.29446451573434301</v>
      </c>
      <c r="AT138" s="21">
        <f>SQRT(AP138*AQ138^2)</f>
        <v>0.54264584743121647</v>
      </c>
      <c r="AU138" s="20">
        <f t="shared" si="368"/>
        <v>3.3959949215143115</v>
      </c>
      <c r="AV138" s="20">
        <f t="shared" si="369"/>
        <v>1.6999671170758113</v>
      </c>
      <c r="AW138" s="20">
        <f t="shared" si="370"/>
        <v>0.85096952908587153</v>
      </c>
      <c r="AX138" s="14"/>
      <c r="AY138" s="14"/>
      <c r="AZ138" s="1" t="s">
        <v>271</v>
      </c>
      <c r="BA138" s="2"/>
    </row>
    <row r="139" spans="1:53" ht="14.25" hidden="1" customHeight="1">
      <c r="A139" s="2">
        <v>297</v>
      </c>
      <c r="B139" s="2" t="s">
        <v>45</v>
      </c>
      <c r="C139" s="1" t="s">
        <v>85</v>
      </c>
      <c r="D139" s="1">
        <v>2024</v>
      </c>
      <c r="E139" s="1">
        <v>2018</v>
      </c>
      <c r="F139" s="1" t="s">
        <v>143</v>
      </c>
      <c r="G139" s="1" t="s">
        <v>142</v>
      </c>
      <c r="H139" s="1">
        <v>30.238056</v>
      </c>
      <c r="I139" s="1">
        <v>-82.411389</v>
      </c>
      <c r="J139" s="1" t="s">
        <v>128</v>
      </c>
      <c r="K139" s="1" t="s">
        <v>177</v>
      </c>
      <c r="L139" s="1" t="s">
        <v>190</v>
      </c>
      <c r="M139" s="16" t="s">
        <v>237</v>
      </c>
      <c r="N139" s="16" t="s">
        <v>239</v>
      </c>
      <c r="O139" s="1" t="s">
        <v>121</v>
      </c>
      <c r="Q139" s="1" t="s">
        <v>93</v>
      </c>
      <c r="R139" s="1">
        <v>2018</v>
      </c>
      <c r="S139" s="1">
        <v>1</v>
      </c>
      <c r="T139" s="1" t="s">
        <v>345</v>
      </c>
      <c r="V139" s="1">
        <v>6</v>
      </c>
      <c r="W139" s="1">
        <v>6</v>
      </c>
      <c r="X139" s="1" t="s">
        <v>97</v>
      </c>
      <c r="Y139" s="1" t="s">
        <v>133</v>
      </c>
      <c r="Z139" s="1" t="s">
        <v>1</v>
      </c>
      <c r="AA139" s="1" t="s">
        <v>98</v>
      </c>
      <c r="AB139" s="1" t="s">
        <v>203</v>
      </c>
      <c r="AC139" s="1" t="s">
        <v>99</v>
      </c>
      <c r="AD139" s="1" t="s">
        <v>102</v>
      </c>
      <c r="AE139" s="1" t="s">
        <v>353</v>
      </c>
      <c r="AF139" s="12" t="s">
        <v>344</v>
      </c>
      <c r="AG139" s="12">
        <v>0.55000000000000004</v>
      </c>
      <c r="AH139" s="12">
        <f>0.57-0.49</f>
        <v>7.999999999999996E-2</v>
      </c>
      <c r="AI139" s="12"/>
      <c r="AJ139" s="12">
        <v>0.5</v>
      </c>
      <c r="AK139" s="12">
        <f>0.56-0.47</f>
        <v>9.000000000000008E-2</v>
      </c>
      <c r="AL139" s="12"/>
      <c r="AM139" s="12">
        <f t="shared" ref="AM139" si="371">AG139-AJ139</f>
        <v>5.0000000000000044E-2</v>
      </c>
      <c r="AN139" s="1">
        <f t="shared" ref="AN139" si="372">SQRT((((W139-1)*AH139^2)+((V139-1)*AK139^2))/(W139+V139-2))</f>
        <v>8.5146931829632025E-2</v>
      </c>
      <c r="AO139" s="1">
        <f t="shared" ref="AO139" si="373">AM139/AN139</f>
        <v>0.58722021951470393</v>
      </c>
      <c r="AP139" s="1">
        <f t="shared" ref="AP139" si="374">1/W139+1/V139+(AO139^2)/(2*(W139+V139))</f>
        <v>0.34770114942528735</v>
      </c>
      <c r="AQ139" s="1">
        <f t="shared" ref="AQ139" si="375">1-(3/(4*(W139+V139-2)-1))</f>
        <v>0.92307692307692313</v>
      </c>
      <c r="AR139" s="21">
        <f t="shared" ref="AR139" si="376">AO139*AQ139</f>
        <v>0.54204943339818823</v>
      </c>
      <c r="AS139" s="21">
        <f t="shared" si="367"/>
        <v>0.2962660681493573</v>
      </c>
      <c r="AT139" s="21">
        <f t="shared" ref="AT139" si="377">SQRT(AP139*AQ139^2)</f>
        <v>0.54430328691764973</v>
      </c>
      <c r="AU139" s="20">
        <f t="shared" si="368"/>
        <v>3.3753443526170797</v>
      </c>
      <c r="AV139" s="20">
        <f t="shared" si="369"/>
        <v>1.8296034938598624</v>
      </c>
      <c r="AW139" s="20">
        <f t="shared" si="370"/>
        <v>0.99173553719008412</v>
      </c>
      <c r="AX139" s="14"/>
      <c r="AY139" s="14"/>
      <c r="AZ139" s="1" t="s">
        <v>271</v>
      </c>
      <c r="BA139" s="2"/>
    </row>
    <row r="140" spans="1:53" ht="14.25" hidden="1" customHeight="1">
      <c r="A140" s="2">
        <v>297</v>
      </c>
      <c r="B140" s="2" t="s">
        <v>45</v>
      </c>
      <c r="C140" s="1" t="s">
        <v>85</v>
      </c>
      <c r="D140" s="1">
        <v>2024</v>
      </c>
      <c r="E140" s="1">
        <v>2018</v>
      </c>
      <c r="F140" s="1" t="s">
        <v>143</v>
      </c>
      <c r="G140" s="1" t="s">
        <v>142</v>
      </c>
      <c r="H140" s="1">
        <v>30.238056</v>
      </c>
      <c r="I140" s="1">
        <v>-82.411389</v>
      </c>
      <c r="J140" s="1" t="s">
        <v>128</v>
      </c>
      <c r="K140" s="1" t="s">
        <v>177</v>
      </c>
      <c r="L140" s="1" t="s">
        <v>190</v>
      </c>
      <c r="M140" s="16" t="s">
        <v>237</v>
      </c>
      <c r="N140" s="16" t="s">
        <v>239</v>
      </c>
      <c r="O140" s="1" t="s">
        <v>121</v>
      </c>
      <c r="Q140" s="1" t="s">
        <v>93</v>
      </c>
      <c r="R140" s="1">
        <v>2018</v>
      </c>
      <c r="S140" s="1">
        <v>1</v>
      </c>
      <c r="T140" s="1" t="s">
        <v>345</v>
      </c>
      <c r="V140" s="1">
        <v>6</v>
      </c>
      <c r="W140" s="1">
        <v>6</v>
      </c>
      <c r="X140" s="1" t="s">
        <v>97</v>
      </c>
      <c r="Y140" s="1" t="s">
        <v>133</v>
      </c>
      <c r="Z140" s="1" t="s">
        <v>1</v>
      </c>
      <c r="AA140" s="1" t="s">
        <v>98</v>
      </c>
      <c r="AB140" s="1" t="s">
        <v>203</v>
      </c>
      <c r="AC140" s="1" t="s">
        <v>99</v>
      </c>
      <c r="AD140" s="1" t="s">
        <v>102</v>
      </c>
      <c r="AE140" s="1" t="s">
        <v>257</v>
      </c>
      <c r="AF140" s="1" t="s">
        <v>320</v>
      </c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4"/>
      <c r="AY140" s="14"/>
      <c r="AZ140" s="16" t="s">
        <v>286</v>
      </c>
    </row>
    <row r="141" spans="1:53" s="12" customFormat="1" ht="14.25" hidden="1" customHeight="1">
      <c r="A141" s="2">
        <v>111</v>
      </c>
      <c r="B141" s="2" t="s">
        <v>16</v>
      </c>
      <c r="C141" s="12" t="s">
        <v>85</v>
      </c>
      <c r="D141" s="12">
        <v>2019</v>
      </c>
      <c r="F141" s="12" t="s">
        <v>120</v>
      </c>
      <c r="G141" s="12" t="s">
        <v>109</v>
      </c>
      <c r="H141" s="12">
        <v>41.831111</v>
      </c>
      <c r="I141" s="12">
        <v>-6.5036110000000003</v>
      </c>
      <c r="J141" s="12" t="s">
        <v>126</v>
      </c>
      <c r="K141" s="12" t="s">
        <v>177</v>
      </c>
      <c r="L141" s="12" t="s">
        <v>178</v>
      </c>
      <c r="M141" s="16" t="s">
        <v>237</v>
      </c>
      <c r="N141" s="16" t="s">
        <v>239</v>
      </c>
      <c r="O141" s="12" t="s">
        <v>86</v>
      </c>
      <c r="P141" s="12" t="s">
        <v>129</v>
      </c>
      <c r="Q141" s="12" t="s">
        <v>93</v>
      </c>
      <c r="R141" s="12">
        <v>2002</v>
      </c>
      <c r="S141" s="12">
        <v>1</v>
      </c>
      <c r="U141" s="12">
        <v>1427</v>
      </c>
      <c r="V141" s="12">
        <v>1</v>
      </c>
      <c r="W141" s="12">
        <v>1</v>
      </c>
      <c r="X141" s="12" t="s">
        <v>114</v>
      </c>
      <c r="Y141" s="12" t="s">
        <v>2</v>
      </c>
      <c r="Z141" s="12" t="s">
        <v>0</v>
      </c>
      <c r="AA141" s="12" t="s">
        <v>113</v>
      </c>
      <c r="AB141" s="12" t="s">
        <v>2</v>
      </c>
      <c r="AC141" s="12" t="s">
        <v>2</v>
      </c>
      <c r="AD141" s="12" t="s">
        <v>2</v>
      </c>
      <c r="AE141" s="12" t="s">
        <v>308</v>
      </c>
      <c r="AF141" s="12" t="s">
        <v>350</v>
      </c>
      <c r="AG141" s="12">
        <f>((4*100)/13)/100</f>
        <v>0.30769230769230771</v>
      </c>
      <c r="AH141" s="14"/>
      <c r="AI141" s="14"/>
      <c r="AJ141" s="12">
        <f>((20*100)/31)/100</f>
        <v>0.64516129032258063</v>
      </c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2">
        <f t="shared" ref="AX141:AX144" si="378">LOG(AG141/AJ141)</f>
        <v>-0.32155166280858288</v>
      </c>
      <c r="AY141" s="12">
        <f t="shared" si="293"/>
        <v>2.8</v>
      </c>
      <c r="AZ141" s="12" t="s">
        <v>284</v>
      </c>
    </row>
    <row r="142" spans="1:53" s="12" customFormat="1" ht="14.25" hidden="1" customHeight="1">
      <c r="A142" s="2">
        <v>111</v>
      </c>
      <c r="B142" s="2" t="s">
        <v>16</v>
      </c>
      <c r="C142" s="12" t="s">
        <v>85</v>
      </c>
      <c r="D142" s="12">
        <v>2019</v>
      </c>
      <c r="F142" s="12" t="s">
        <v>120</v>
      </c>
      <c r="G142" s="12" t="s">
        <v>109</v>
      </c>
      <c r="H142" s="12">
        <v>41.831111</v>
      </c>
      <c r="I142" s="12">
        <v>-6.5036110000000003</v>
      </c>
      <c r="J142" s="12" t="s">
        <v>126</v>
      </c>
      <c r="K142" s="12" t="s">
        <v>177</v>
      </c>
      <c r="L142" s="12" t="s">
        <v>178</v>
      </c>
      <c r="M142" s="16" t="s">
        <v>237</v>
      </c>
      <c r="N142" s="16" t="s">
        <v>239</v>
      </c>
      <c r="O142" s="12" t="s">
        <v>86</v>
      </c>
      <c r="P142" s="12" t="s">
        <v>129</v>
      </c>
      <c r="Q142" s="12" t="s">
        <v>93</v>
      </c>
      <c r="R142" s="12">
        <v>2002</v>
      </c>
      <c r="S142" s="12">
        <v>1</v>
      </c>
      <c r="U142" s="12">
        <v>1427</v>
      </c>
      <c r="V142" s="12">
        <v>1</v>
      </c>
      <c r="W142" s="12">
        <v>1</v>
      </c>
      <c r="X142" s="12" t="s">
        <v>114</v>
      </c>
      <c r="Y142" s="12" t="s">
        <v>2</v>
      </c>
      <c r="Z142" s="12" t="s">
        <v>0</v>
      </c>
      <c r="AA142" s="12" t="s">
        <v>113</v>
      </c>
      <c r="AB142" s="12" t="s">
        <v>2</v>
      </c>
      <c r="AC142" s="12" t="s">
        <v>2</v>
      </c>
      <c r="AD142" s="12" t="s">
        <v>2</v>
      </c>
      <c r="AE142" s="12" t="s">
        <v>309</v>
      </c>
      <c r="AF142" s="12" t="s">
        <v>350</v>
      </c>
      <c r="AG142" s="12">
        <f>((9*100)/13)/100</f>
        <v>0.69230769230769229</v>
      </c>
      <c r="AH142" s="14"/>
      <c r="AI142" s="14"/>
      <c r="AJ142" s="12">
        <f>((11*100)/31)/100</f>
        <v>0.35483870967741937</v>
      </c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2">
        <f t="shared" si="378"/>
        <v>0.29026816580853571</v>
      </c>
      <c r="AY142" s="12">
        <f t="shared" si="293"/>
        <v>2.2626262626262625</v>
      </c>
      <c r="AZ142" s="12" t="s">
        <v>284</v>
      </c>
    </row>
    <row r="143" spans="1:53" s="12" customFormat="1" ht="14.25" hidden="1" customHeight="1">
      <c r="A143" s="2">
        <v>111</v>
      </c>
      <c r="B143" s="2" t="s">
        <v>16</v>
      </c>
      <c r="C143" s="12" t="s">
        <v>85</v>
      </c>
      <c r="D143" s="12">
        <v>2019</v>
      </c>
      <c r="F143" s="12" t="s">
        <v>120</v>
      </c>
      <c r="G143" s="12" t="s">
        <v>109</v>
      </c>
      <c r="H143" s="12">
        <v>41.831111</v>
      </c>
      <c r="I143" s="12">
        <v>-6.5036110000000003</v>
      </c>
      <c r="J143" s="12" t="s">
        <v>126</v>
      </c>
      <c r="K143" s="12" t="s">
        <v>177</v>
      </c>
      <c r="L143" s="12" t="s">
        <v>178</v>
      </c>
      <c r="M143" s="16" t="s">
        <v>237</v>
      </c>
      <c r="N143" s="16" t="s">
        <v>239</v>
      </c>
      <c r="O143" s="12" t="s">
        <v>86</v>
      </c>
      <c r="P143" s="12" t="s">
        <v>129</v>
      </c>
      <c r="Q143" s="12" t="s">
        <v>93</v>
      </c>
      <c r="R143" s="12">
        <v>2002</v>
      </c>
      <c r="S143" s="12">
        <v>5</v>
      </c>
      <c r="U143" s="12">
        <v>1427</v>
      </c>
      <c r="V143" s="12">
        <v>1</v>
      </c>
      <c r="W143" s="12">
        <v>1</v>
      </c>
      <c r="X143" s="12" t="s">
        <v>114</v>
      </c>
      <c r="Y143" s="12" t="s">
        <v>2</v>
      </c>
      <c r="Z143" s="12" t="s">
        <v>0</v>
      </c>
      <c r="AA143" s="12" t="s">
        <v>113</v>
      </c>
      <c r="AB143" s="12" t="s">
        <v>2</v>
      </c>
      <c r="AC143" s="12" t="s">
        <v>2</v>
      </c>
      <c r="AD143" s="12" t="s">
        <v>2</v>
      </c>
      <c r="AE143" s="12" t="s">
        <v>308</v>
      </c>
      <c r="AF143" s="12" t="s">
        <v>350</v>
      </c>
      <c r="AG143" s="12">
        <f>((10*100)/32)/100</f>
        <v>0.3125</v>
      </c>
      <c r="AH143" s="14"/>
      <c r="AI143" s="14"/>
      <c r="AJ143" s="12">
        <f>((20*100)/31)/100</f>
        <v>0.64516129032258063</v>
      </c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2">
        <f t="shared" si="378"/>
        <v>-0.31481828014961449</v>
      </c>
      <c r="AY143" s="12">
        <f t="shared" si="293"/>
        <v>2.75</v>
      </c>
      <c r="AZ143" s="12" t="s">
        <v>284</v>
      </c>
    </row>
    <row r="144" spans="1:53" s="12" customFormat="1" ht="14.25" hidden="1" customHeight="1">
      <c r="A144" s="2">
        <v>111</v>
      </c>
      <c r="B144" s="2" t="s">
        <v>16</v>
      </c>
      <c r="C144" s="12" t="s">
        <v>85</v>
      </c>
      <c r="D144" s="12">
        <v>2019</v>
      </c>
      <c r="F144" s="12" t="s">
        <v>120</v>
      </c>
      <c r="G144" s="12" t="s">
        <v>109</v>
      </c>
      <c r="H144" s="12">
        <v>41.831111</v>
      </c>
      <c r="I144" s="12">
        <v>-6.5036110000000003</v>
      </c>
      <c r="J144" s="12" t="s">
        <v>126</v>
      </c>
      <c r="K144" s="12" t="s">
        <v>177</v>
      </c>
      <c r="L144" s="12" t="s">
        <v>178</v>
      </c>
      <c r="M144" s="16" t="s">
        <v>237</v>
      </c>
      <c r="N144" s="16" t="s">
        <v>239</v>
      </c>
      <c r="O144" s="12" t="s">
        <v>86</v>
      </c>
      <c r="P144" s="12" t="s">
        <v>129</v>
      </c>
      <c r="Q144" s="12" t="s">
        <v>93</v>
      </c>
      <c r="R144" s="12">
        <v>2002</v>
      </c>
      <c r="S144" s="12">
        <v>5</v>
      </c>
      <c r="U144" s="12">
        <v>1427</v>
      </c>
      <c r="V144" s="12">
        <v>1</v>
      </c>
      <c r="W144" s="12">
        <v>1</v>
      </c>
      <c r="X144" s="12" t="s">
        <v>114</v>
      </c>
      <c r="Y144" s="12" t="s">
        <v>2</v>
      </c>
      <c r="Z144" s="12" t="s">
        <v>0</v>
      </c>
      <c r="AA144" s="12" t="s">
        <v>113</v>
      </c>
      <c r="AB144" s="12" t="s">
        <v>2</v>
      </c>
      <c r="AC144" s="12" t="s">
        <v>2</v>
      </c>
      <c r="AD144" s="12" t="s">
        <v>2</v>
      </c>
      <c r="AE144" s="12" t="s">
        <v>309</v>
      </c>
      <c r="AF144" s="12" t="s">
        <v>350</v>
      </c>
      <c r="AG144" s="12">
        <f>((22*100)/32)/100</f>
        <v>0.6875</v>
      </c>
      <c r="AH144" s="14"/>
      <c r="AI144" s="14"/>
      <c r="AJ144" s="12">
        <f>((11*100)/31)/100</f>
        <v>0.35483870967741937</v>
      </c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2">
        <f t="shared" si="378"/>
        <v>0.2872417111783479</v>
      </c>
      <c r="AY144" s="12">
        <f t="shared" si="293"/>
        <v>2.2727272727272725</v>
      </c>
      <c r="AZ144" s="12" t="s">
        <v>284</v>
      </c>
    </row>
    <row r="145" spans="1:53" ht="14.25" hidden="1" customHeight="1">
      <c r="A145" s="2">
        <v>562</v>
      </c>
      <c r="B145" s="2" t="s">
        <v>71</v>
      </c>
      <c r="C145" s="1" t="s">
        <v>85</v>
      </c>
      <c r="D145" s="1">
        <v>2023</v>
      </c>
      <c r="E145" s="1">
        <v>2021</v>
      </c>
      <c r="F145" s="1" t="s">
        <v>96</v>
      </c>
      <c r="G145" s="1" t="s">
        <v>119</v>
      </c>
      <c r="H145" s="1">
        <v>-36.537121999999997</v>
      </c>
      <c r="I145" s="1">
        <v>142.010153</v>
      </c>
      <c r="J145" s="1" t="s">
        <v>128</v>
      </c>
      <c r="K145" s="1" t="s">
        <v>112</v>
      </c>
      <c r="M145" s="1" t="s">
        <v>238</v>
      </c>
      <c r="N145" s="16" t="s">
        <v>239</v>
      </c>
      <c r="O145" s="1" t="s">
        <v>86</v>
      </c>
      <c r="Q145" s="1" t="s">
        <v>93</v>
      </c>
      <c r="S145" s="1">
        <v>1</v>
      </c>
      <c r="V145" s="1">
        <v>18</v>
      </c>
      <c r="W145" s="1">
        <v>11</v>
      </c>
      <c r="X145" s="1" t="s">
        <v>97</v>
      </c>
      <c r="Y145" s="1" t="s">
        <v>133</v>
      </c>
      <c r="Z145" s="1" t="s">
        <v>1</v>
      </c>
      <c r="AA145" s="1" t="s">
        <v>98</v>
      </c>
      <c r="AB145" s="1" t="s">
        <v>203</v>
      </c>
      <c r="AC145" s="1" t="s">
        <v>99</v>
      </c>
      <c r="AD145" s="1" t="s">
        <v>102</v>
      </c>
      <c r="AE145" s="16" t="s">
        <v>223</v>
      </c>
      <c r="AF145" s="16" t="s">
        <v>319</v>
      </c>
      <c r="AG145" s="16">
        <v>376.64</v>
      </c>
      <c r="AH145" s="12">
        <f>438.32-319.63</f>
        <v>118.69</v>
      </c>
      <c r="AI145" s="16"/>
      <c r="AJ145" s="16">
        <v>414.95</v>
      </c>
      <c r="AK145" s="16">
        <f>425.23-352.34</f>
        <v>72.890000000000043</v>
      </c>
      <c r="AL145" s="16"/>
      <c r="AM145" s="12">
        <f t="shared" si="153"/>
        <v>-38.31</v>
      </c>
      <c r="AN145" s="1">
        <f t="shared" ref="AN145:AN227" si="379">SQRT((((W145-1)*AH145^2)+((V145-1)*AK145^2))/(W145+V145-2))</f>
        <v>92.534947692449947</v>
      </c>
      <c r="AO145" s="1">
        <f t="shared" si="188"/>
        <v>-0.41400574545443619</v>
      </c>
      <c r="AP145" s="1">
        <f t="shared" ref="AP145:AP227" si="380">1/W145+1/V145+(AO145^2)/(2*(W145+V145))</f>
        <v>0.14941983193480651</v>
      </c>
      <c r="AQ145" s="1">
        <f t="shared" ref="AQ145:AQ227" si="381">1-(3/(4*(W145+V145-2)-1))</f>
        <v>0.9719626168224299</v>
      </c>
      <c r="AR145" s="21">
        <f t="shared" si="196"/>
        <v>-0.4023981077314146</v>
      </c>
      <c r="AS145" s="21">
        <f t="shared" ref="AS145:AS148" si="382">AP145*(AQ145^2)</f>
        <v>0.14115860793142346</v>
      </c>
      <c r="AT145" s="21">
        <f t="shared" si="256"/>
        <v>0.37571080358624698</v>
      </c>
      <c r="AU145" s="20">
        <f t="shared" ref="AU145:AU148" si="383">1/AS145</f>
        <v>7.084229680741907</v>
      </c>
      <c r="AV145" s="20">
        <f t="shared" ref="AV145:AV148" si="384">AR145/AS145</f>
        <v>-2.8506806182652666</v>
      </c>
      <c r="AW145" s="20">
        <f t="shared" ref="AW145:AW148" si="385">((AR145)^2)/AS145</f>
        <v>1.1471084865365624</v>
      </c>
      <c r="AX145" s="14"/>
      <c r="AY145" s="14"/>
      <c r="AZ145" s="1" t="s">
        <v>271</v>
      </c>
      <c r="BA145" s="2"/>
    </row>
    <row r="146" spans="1:53" ht="14.25" hidden="1" customHeight="1">
      <c r="A146" s="2">
        <v>562</v>
      </c>
      <c r="B146" s="2" t="s">
        <v>71</v>
      </c>
      <c r="C146" s="1" t="s">
        <v>85</v>
      </c>
      <c r="D146" s="1">
        <v>2023</v>
      </c>
      <c r="E146" s="1">
        <v>2021</v>
      </c>
      <c r="F146" s="1" t="s">
        <v>96</v>
      </c>
      <c r="G146" s="1" t="s">
        <v>119</v>
      </c>
      <c r="H146" s="1">
        <v>-36.537121999999997</v>
      </c>
      <c r="I146" s="1">
        <v>142.010153</v>
      </c>
      <c r="J146" s="1" t="s">
        <v>128</v>
      </c>
      <c r="K146" s="1" t="s">
        <v>112</v>
      </c>
      <c r="M146" s="1" t="s">
        <v>238</v>
      </c>
      <c r="N146" s="16" t="s">
        <v>239</v>
      </c>
      <c r="O146" s="1" t="s">
        <v>86</v>
      </c>
      <c r="Q146" s="1" t="s">
        <v>93</v>
      </c>
      <c r="S146" s="1">
        <v>1</v>
      </c>
      <c r="V146" s="1">
        <v>18</v>
      </c>
      <c r="W146" s="1">
        <v>11</v>
      </c>
      <c r="X146" s="1" t="s">
        <v>97</v>
      </c>
      <c r="Y146" s="1" t="s">
        <v>133</v>
      </c>
      <c r="Z146" s="1" t="s">
        <v>1</v>
      </c>
      <c r="AA146" s="1" t="s">
        <v>98</v>
      </c>
      <c r="AB146" s="1" t="s">
        <v>203</v>
      </c>
      <c r="AC146" s="1" t="s">
        <v>99</v>
      </c>
      <c r="AD146" s="1" t="s">
        <v>102</v>
      </c>
      <c r="AE146" s="12" t="s">
        <v>150</v>
      </c>
      <c r="AF146" s="16" t="s">
        <v>319</v>
      </c>
      <c r="AG146" s="12">
        <v>5.99</v>
      </c>
      <c r="AH146" s="12">
        <f>7.79-5.04</f>
        <v>2.75</v>
      </c>
      <c r="AI146" s="12"/>
      <c r="AJ146" s="12">
        <v>6.54</v>
      </c>
      <c r="AK146" s="12">
        <f>9.01-4.24</f>
        <v>4.7699999999999996</v>
      </c>
      <c r="AL146" s="12"/>
      <c r="AM146" s="12">
        <f t="shared" ref="AM146" si="386">AG146-AJ146</f>
        <v>-0.54999999999999982</v>
      </c>
      <c r="AN146" s="1">
        <f t="shared" ref="AN146" si="387">SQRT((((W146-1)*AH146^2)+((V146-1)*AK146^2))/(W146+V146-2))</f>
        <v>4.1384569498698331</v>
      </c>
      <c r="AO146" s="1">
        <f t="shared" ref="AO146" si="388">AM146/AN146</f>
        <v>-0.13289977560774166</v>
      </c>
      <c r="AP146" s="1">
        <f t="shared" ref="AP146" si="389">1/W146+1/V146+(AO146^2)/(2*(W146+V146))</f>
        <v>0.1467691697466566</v>
      </c>
      <c r="AQ146" s="1">
        <f t="shared" ref="AQ146" si="390">1-(3/(4*(W146+V146-2)-1))</f>
        <v>0.9719626168224299</v>
      </c>
      <c r="AR146" s="21">
        <f t="shared" ref="AR146" si="391">AO146*AQ146</f>
        <v>-0.12917361367481434</v>
      </c>
      <c r="AS146" s="21">
        <f t="shared" si="382"/>
        <v>0.13865449733425084</v>
      </c>
      <c r="AT146" s="21">
        <f t="shared" ref="AT146" si="392">SQRT(AP146*AQ146^2)</f>
        <v>0.37236339419208603</v>
      </c>
      <c r="AU146" s="20">
        <f t="shared" si="383"/>
        <v>7.2121713988787945</v>
      </c>
      <c r="AV146" s="20">
        <f t="shared" si="384"/>
        <v>-0.93162224203531474</v>
      </c>
      <c r="AW146" s="20">
        <f t="shared" si="385"/>
        <v>0.12034101158353411</v>
      </c>
      <c r="AX146" s="14"/>
      <c r="AY146" s="14"/>
      <c r="AZ146" s="1" t="s">
        <v>271</v>
      </c>
      <c r="BA146" s="2"/>
    </row>
    <row r="147" spans="1:53" ht="14.25" customHeight="1">
      <c r="A147" s="2">
        <v>562</v>
      </c>
      <c r="B147" s="2" t="s">
        <v>71</v>
      </c>
      <c r="C147" s="1" t="s">
        <v>85</v>
      </c>
      <c r="D147" s="1">
        <v>2023</v>
      </c>
      <c r="E147" s="1">
        <v>2021</v>
      </c>
      <c r="F147" s="1" t="s">
        <v>96</v>
      </c>
      <c r="G147" s="1" t="s">
        <v>119</v>
      </c>
      <c r="H147" s="1">
        <v>-36.537121999999997</v>
      </c>
      <c r="I147" s="1">
        <v>142.010153</v>
      </c>
      <c r="J147" s="1" t="s">
        <v>128</v>
      </c>
      <c r="K147" s="1" t="s">
        <v>112</v>
      </c>
      <c r="M147" s="1" t="s">
        <v>238</v>
      </c>
      <c r="N147" s="16" t="s">
        <v>239</v>
      </c>
      <c r="O147" s="1" t="s">
        <v>86</v>
      </c>
      <c r="Q147" s="1" t="s">
        <v>93</v>
      </c>
      <c r="S147" s="1">
        <v>1</v>
      </c>
      <c r="V147" s="1">
        <v>18</v>
      </c>
      <c r="W147" s="1">
        <v>11</v>
      </c>
      <c r="X147" s="1" t="s">
        <v>97</v>
      </c>
      <c r="Y147" s="1" t="s">
        <v>133</v>
      </c>
      <c r="Z147" s="1" t="s">
        <v>1</v>
      </c>
      <c r="AA147" s="1" t="s">
        <v>98</v>
      </c>
      <c r="AB147" s="1" t="s">
        <v>203</v>
      </c>
      <c r="AC147" s="1" t="s">
        <v>99</v>
      </c>
      <c r="AD147" s="1" t="s">
        <v>102</v>
      </c>
      <c r="AE147" s="12" t="s">
        <v>151</v>
      </c>
      <c r="AF147" s="16" t="s">
        <v>319</v>
      </c>
      <c r="AG147" s="12">
        <v>86.79</v>
      </c>
      <c r="AH147" s="12">
        <f>93.86-77.57</f>
        <v>16.290000000000006</v>
      </c>
      <c r="AI147" s="12"/>
      <c r="AJ147" s="12">
        <v>94.5</v>
      </c>
      <c r="AK147" s="12">
        <f>99.21-85.29</f>
        <v>13.919999999999987</v>
      </c>
      <c r="AL147" s="12"/>
      <c r="AM147" s="12">
        <f t="shared" ref="AM147" si="393">AG147-AJ147</f>
        <v>-7.7099999999999937</v>
      </c>
      <c r="AN147" s="1">
        <f t="shared" ref="AN147" si="394">SQRT((((W147-1)*AH147^2)+((V147-1)*AK147^2))/(W147+V147-2))</f>
        <v>14.841969770440395</v>
      </c>
      <c r="AO147" s="1">
        <f t="shared" ref="AO147" si="395">AM147/AN147</f>
        <v>-0.51947282734367273</v>
      </c>
      <c r="AP147" s="1">
        <f t="shared" ref="AP147" si="396">1/W147+1/V147+(AO147^2)/(2*(W147+V147))</f>
        <v>0.15111726747065388</v>
      </c>
      <c r="AQ147" s="1">
        <f t="shared" ref="AQ147" si="397">1-(3/(4*(W147+V147-2)-1))</f>
        <v>0.9719626168224299</v>
      </c>
      <c r="AR147" s="21">
        <f t="shared" ref="AR147" si="398">AO147*AQ147</f>
        <v>-0.50490816863310251</v>
      </c>
      <c r="AS147" s="21">
        <f t="shared" si="382"/>
        <v>0.14276219451153746</v>
      </c>
      <c r="AT147" s="21">
        <f t="shared" ref="AT147" si="399">SQRT(AP147*AQ147^2)</f>
        <v>0.3778388472769012</v>
      </c>
      <c r="AU147" s="20">
        <f t="shared" si="383"/>
        <v>7.0046555632008305</v>
      </c>
      <c r="AV147" s="20">
        <f t="shared" si="384"/>
        <v>-3.5367078123214046</v>
      </c>
      <c r="AW147" s="20">
        <f t="shared" si="385"/>
        <v>1.7857126645095869</v>
      </c>
      <c r="AX147" s="14"/>
      <c r="AY147" s="14"/>
      <c r="AZ147" s="1" t="s">
        <v>271</v>
      </c>
      <c r="BA147" s="2"/>
    </row>
    <row r="148" spans="1:53" ht="14.25" hidden="1" customHeight="1">
      <c r="A148" s="2">
        <v>562</v>
      </c>
      <c r="B148" s="2" t="s">
        <v>71</v>
      </c>
      <c r="C148" s="1" t="s">
        <v>85</v>
      </c>
      <c r="D148" s="1">
        <v>2023</v>
      </c>
      <c r="E148" s="1">
        <v>2021</v>
      </c>
      <c r="F148" s="1" t="s">
        <v>96</v>
      </c>
      <c r="G148" s="1" t="s">
        <v>119</v>
      </c>
      <c r="H148" s="1">
        <v>-36.537121999999997</v>
      </c>
      <c r="I148" s="1">
        <v>142.010153</v>
      </c>
      <c r="J148" s="1" t="s">
        <v>128</v>
      </c>
      <c r="K148" s="1" t="s">
        <v>112</v>
      </c>
      <c r="M148" s="1" t="s">
        <v>238</v>
      </c>
      <c r="N148" s="16" t="s">
        <v>239</v>
      </c>
      <c r="O148" s="1" t="s">
        <v>86</v>
      </c>
      <c r="Q148" s="1" t="s">
        <v>93</v>
      </c>
      <c r="S148" s="1">
        <v>1</v>
      </c>
      <c r="V148" s="1">
        <v>18</v>
      </c>
      <c r="W148" s="1">
        <v>11</v>
      </c>
      <c r="X148" s="1" t="s">
        <v>97</v>
      </c>
      <c r="Y148" s="1" t="s">
        <v>133</v>
      </c>
      <c r="Z148" s="1" t="s">
        <v>1</v>
      </c>
      <c r="AA148" s="1" t="s">
        <v>98</v>
      </c>
      <c r="AB148" s="1" t="s">
        <v>203</v>
      </c>
      <c r="AC148" s="1" t="s">
        <v>99</v>
      </c>
      <c r="AD148" s="1" t="s">
        <v>102</v>
      </c>
      <c r="AE148" s="12" t="s">
        <v>315</v>
      </c>
      <c r="AF148" s="16" t="s">
        <v>319</v>
      </c>
      <c r="AG148" s="12">
        <v>15.54</v>
      </c>
      <c r="AH148" s="12">
        <f>18.56-12.35</f>
        <v>6.2099999999999991</v>
      </c>
      <c r="AI148" s="12"/>
      <c r="AJ148" s="12">
        <v>17.05</v>
      </c>
      <c r="AK148" s="12">
        <f>19.1-15.36</f>
        <v>3.740000000000002</v>
      </c>
      <c r="AL148" s="12"/>
      <c r="AM148" s="12">
        <f t="shared" ref="AM148" si="400">AG148-AJ148</f>
        <v>-1.5100000000000016</v>
      </c>
      <c r="AN148" s="1">
        <f t="shared" ref="AN148" si="401">SQRT((((W148-1)*AH148^2)+((V148-1)*AK148^2))/(W148+V148-2))</f>
        <v>4.8052062814625778</v>
      </c>
      <c r="AO148" s="1">
        <f t="shared" ref="AO148" si="402">AM148/AN148</f>
        <v>-0.3142424927365236</v>
      </c>
      <c r="AP148" s="1">
        <f t="shared" ref="AP148" si="403">1/W148+1/V148+(AO148^2)/(2*(W148+V148))</f>
        <v>0.1481672041239786</v>
      </c>
      <c r="AQ148" s="1">
        <f t="shared" ref="AQ148" si="404">1-(3/(4*(W148+V148-2)-1))</f>
        <v>0.9719626168224299</v>
      </c>
      <c r="AR148" s="21">
        <f t="shared" ref="AR148" si="405">AO148*AQ148</f>
        <v>-0.30543195555699493</v>
      </c>
      <c r="AS148" s="21">
        <f t="shared" si="382"/>
        <v>0.13997523624813979</v>
      </c>
      <c r="AT148" s="21">
        <f t="shared" ref="AT148" si="406">SQRT(AP148*AQ148^2)</f>
        <v>0.37413264525852297</v>
      </c>
      <c r="AU148" s="20">
        <f t="shared" si="383"/>
        <v>7.1441208231094491</v>
      </c>
      <c r="AV148" s="20">
        <f t="shared" si="384"/>
        <v>-2.1820427937377671</v>
      </c>
      <c r="AW148" s="20">
        <f t="shared" si="385"/>
        <v>0.66646559760037472</v>
      </c>
      <c r="AX148" s="14"/>
      <c r="AY148" s="14"/>
      <c r="AZ148" s="1" t="s">
        <v>271</v>
      </c>
      <c r="BA148" s="2"/>
    </row>
    <row r="149" spans="1:53" ht="14.25" hidden="1" customHeight="1">
      <c r="A149" s="2">
        <v>562</v>
      </c>
      <c r="B149" s="2" t="s">
        <v>71</v>
      </c>
      <c r="C149" s="1" t="s">
        <v>85</v>
      </c>
      <c r="D149" s="1">
        <v>2023</v>
      </c>
      <c r="E149" s="1">
        <v>2021</v>
      </c>
      <c r="F149" s="1" t="s">
        <v>96</v>
      </c>
      <c r="G149" s="1" t="s">
        <v>119</v>
      </c>
      <c r="H149" s="1">
        <v>-36.537121999999997</v>
      </c>
      <c r="I149" s="1">
        <v>142.010153</v>
      </c>
      <c r="J149" s="1" t="s">
        <v>128</v>
      </c>
      <c r="K149" s="1" t="s">
        <v>112</v>
      </c>
      <c r="M149" s="1" t="s">
        <v>238</v>
      </c>
      <c r="N149" s="16" t="s">
        <v>239</v>
      </c>
      <c r="O149" s="1" t="s">
        <v>86</v>
      </c>
      <c r="Q149" s="1" t="s">
        <v>93</v>
      </c>
      <c r="S149" s="1">
        <v>1</v>
      </c>
      <c r="V149" s="1">
        <v>18</v>
      </c>
      <c r="W149" s="1">
        <v>11</v>
      </c>
      <c r="X149" s="1" t="s">
        <v>97</v>
      </c>
      <c r="Y149" s="1" t="s">
        <v>133</v>
      </c>
      <c r="Z149" s="1" t="s">
        <v>1</v>
      </c>
      <c r="AA149" s="1" t="s">
        <v>98</v>
      </c>
      <c r="AB149" s="1" t="s">
        <v>203</v>
      </c>
      <c r="AC149" s="1" t="s">
        <v>99</v>
      </c>
      <c r="AD149" s="1" t="s">
        <v>102</v>
      </c>
      <c r="AE149" s="1" t="s">
        <v>257</v>
      </c>
      <c r="AF149" s="1" t="s">
        <v>320</v>
      </c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4"/>
      <c r="AY149" s="14"/>
      <c r="AZ149" s="16" t="s">
        <v>286</v>
      </c>
    </row>
    <row r="150" spans="1:53" ht="14.25" hidden="1" customHeight="1">
      <c r="A150" s="2">
        <v>562</v>
      </c>
      <c r="B150" s="2" t="s">
        <v>71</v>
      </c>
      <c r="C150" s="1" t="s">
        <v>85</v>
      </c>
      <c r="D150" s="1">
        <v>2023</v>
      </c>
      <c r="E150" s="1">
        <v>2021</v>
      </c>
      <c r="F150" s="1" t="s">
        <v>96</v>
      </c>
      <c r="G150" s="1" t="s">
        <v>119</v>
      </c>
      <c r="H150" s="1">
        <v>-36.537121999999997</v>
      </c>
      <c r="I150" s="1">
        <v>142.010153</v>
      </c>
      <c r="J150" s="1" t="s">
        <v>128</v>
      </c>
      <c r="K150" s="1" t="s">
        <v>112</v>
      </c>
      <c r="M150" s="1" t="s">
        <v>238</v>
      </c>
      <c r="N150" s="16" t="s">
        <v>239</v>
      </c>
      <c r="O150" s="1" t="s">
        <v>86</v>
      </c>
      <c r="Q150" s="1" t="s">
        <v>93</v>
      </c>
      <c r="S150" s="1">
        <v>5</v>
      </c>
      <c r="V150" s="1">
        <v>18</v>
      </c>
      <c r="W150" s="1">
        <v>17</v>
      </c>
      <c r="X150" s="1" t="s">
        <v>97</v>
      </c>
      <c r="Y150" s="1" t="s">
        <v>133</v>
      </c>
      <c r="Z150" s="1" t="s">
        <v>1</v>
      </c>
      <c r="AA150" s="1" t="s">
        <v>98</v>
      </c>
      <c r="AB150" s="1" t="s">
        <v>203</v>
      </c>
      <c r="AC150" s="1" t="s">
        <v>99</v>
      </c>
      <c r="AD150" s="1" t="s">
        <v>102</v>
      </c>
      <c r="AE150" s="16" t="s">
        <v>223</v>
      </c>
      <c r="AF150" s="16" t="s">
        <v>319</v>
      </c>
      <c r="AG150" s="16">
        <v>361.68</v>
      </c>
      <c r="AH150" s="12">
        <f>424.3-328.04</f>
        <v>96.259999999999991</v>
      </c>
      <c r="AI150" s="16"/>
      <c r="AJ150" s="16">
        <v>414.95</v>
      </c>
      <c r="AK150" s="16">
        <f>425.23-352.34</f>
        <v>72.890000000000043</v>
      </c>
      <c r="AL150" s="16"/>
      <c r="AM150" s="12">
        <f t="shared" ref="AM150:AM153" si="407">AG150-AJ150</f>
        <v>-53.269999999999982</v>
      </c>
      <c r="AN150" s="1">
        <f t="shared" ref="AN150:AN153" si="408">SQRT((((W150-1)*AH150^2)+((V150-1)*AK150^2))/(W150+V150-2))</f>
        <v>85.026909697620297</v>
      </c>
      <c r="AO150" s="1">
        <f t="shared" ref="AO150:AO153" si="409">AM150/AN150</f>
        <v>-0.62650753966530293</v>
      </c>
      <c r="AP150" s="1">
        <f t="shared" ref="AP150:AP153" si="410">1/W150+1/V150+(AO150^2)/(2*(W150+V150))</f>
        <v>0.11998639492814127</v>
      </c>
      <c r="AQ150" s="1">
        <f t="shared" ref="AQ150:AQ153" si="411">1-(3/(4*(W150+V150-2)-1))</f>
        <v>0.97709923664122134</v>
      </c>
      <c r="AR150" s="21">
        <f t="shared" ref="AR150:AR153" si="412">AO150*AQ150</f>
        <v>-0.61216003875693714</v>
      </c>
      <c r="AS150" s="21">
        <f t="shared" ref="AS150:AS153" si="413">AP150*(AQ150^2)</f>
        <v>0.11455376111547499</v>
      </c>
      <c r="AT150" s="21">
        <f t="shared" ref="AT150:AT153" si="414">SQRT(AP150*AQ150^2)</f>
        <v>0.33845791631379374</v>
      </c>
      <c r="AU150" s="20">
        <f t="shared" ref="AU150:AU153" si="415">1/AS150</f>
        <v>8.7295256852540888</v>
      </c>
      <c r="AV150" s="20">
        <f t="shared" ref="AV150:AV153" si="416">AR150/AS150</f>
        <v>-5.3438667818148211</v>
      </c>
      <c r="AW150" s="20">
        <f t="shared" ref="AW150:AW153" si="417">((AR150)^2)/AS150</f>
        <v>3.2713016962676695</v>
      </c>
      <c r="AX150" s="14"/>
      <c r="AY150" s="14"/>
      <c r="AZ150" s="1" t="s">
        <v>271</v>
      </c>
      <c r="BA150" s="2"/>
    </row>
    <row r="151" spans="1:53" ht="14.25" hidden="1" customHeight="1">
      <c r="A151" s="2">
        <v>562</v>
      </c>
      <c r="B151" s="2" t="s">
        <v>71</v>
      </c>
      <c r="C151" s="1" t="s">
        <v>85</v>
      </c>
      <c r="D151" s="1">
        <v>2023</v>
      </c>
      <c r="E151" s="1">
        <v>2021</v>
      </c>
      <c r="F151" s="1" t="s">
        <v>96</v>
      </c>
      <c r="G151" s="1" t="s">
        <v>119</v>
      </c>
      <c r="H151" s="1">
        <v>-36.537121999999997</v>
      </c>
      <c r="I151" s="1">
        <v>142.010153</v>
      </c>
      <c r="J151" s="1" t="s">
        <v>128</v>
      </c>
      <c r="K151" s="1" t="s">
        <v>112</v>
      </c>
      <c r="M151" s="1" t="s">
        <v>238</v>
      </c>
      <c r="N151" s="16" t="s">
        <v>239</v>
      </c>
      <c r="O151" s="1" t="s">
        <v>86</v>
      </c>
      <c r="Q151" s="1" t="s">
        <v>93</v>
      </c>
      <c r="S151" s="1">
        <v>5</v>
      </c>
      <c r="V151" s="1">
        <v>18</v>
      </c>
      <c r="W151" s="1">
        <v>17</v>
      </c>
      <c r="X151" s="1" t="s">
        <v>97</v>
      </c>
      <c r="Y151" s="1" t="s">
        <v>133</v>
      </c>
      <c r="Z151" s="1" t="s">
        <v>1</v>
      </c>
      <c r="AA151" s="1" t="s">
        <v>98</v>
      </c>
      <c r="AB151" s="1" t="s">
        <v>203</v>
      </c>
      <c r="AC151" s="1" t="s">
        <v>99</v>
      </c>
      <c r="AD151" s="1" t="s">
        <v>102</v>
      </c>
      <c r="AE151" s="12" t="s">
        <v>150</v>
      </c>
      <c r="AF151" s="16" t="s">
        <v>319</v>
      </c>
      <c r="AG151" s="1">
        <v>7</v>
      </c>
      <c r="AH151" s="1">
        <f>8.07-6.05</f>
        <v>2.0200000000000005</v>
      </c>
      <c r="AI151" s="12"/>
      <c r="AJ151" s="12">
        <v>6.54</v>
      </c>
      <c r="AK151" s="12">
        <f>9.01-4.24</f>
        <v>4.7699999999999996</v>
      </c>
      <c r="AL151" s="12"/>
      <c r="AM151" s="12">
        <f t="shared" ref="AM151" si="418">AG151-AJ151</f>
        <v>0.45999999999999996</v>
      </c>
      <c r="AN151" s="1">
        <f t="shared" ref="AN151" si="419">SQRT((((W151-1)*AH151^2)+((V151-1)*AK151^2))/(W151+V151-2))</f>
        <v>3.7012925670185362</v>
      </c>
      <c r="AO151" s="1">
        <f t="shared" ref="AO151" si="420">AM151/AN151</f>
        <v>0.1242809077290907</v>
      </c>
      <c r="AP151" s="1">
        <f t="shared" ref="AP151" si="421">1/W151+1/V151+(AO151^2)/(2*(W151+V151))</f>
        <v>0.1145997384534055</v>
      </c>
      <c r="AQ151" s="1">
        <f t="shared" ref="AQ151" si="422">1-(3/(4*(W151+V151-2)-1))</f>
        <v>0.97709923664122134</v>
      </c>
      <c r="AR151" s="21">
        <f t="shared" ref="AR151" si="423">AO151*AQ151</f>
        <v>0.12143478007117259</v>
      </c>
      <c r="AS151" s="21">
        <f t="shared" si="413"/>
        <v>0.1094109967263327</v>
      </c>
      <c r="AT151" s="21">
        <f t="shared" ref="AT151" si="424">SQRT(AP151*AQ151^2)</f>
        <v>0.33077333134086356</v>
      </c>
      <c r="AU151" s="20">
        <f t="shared" si="415"/>
        <v>9.1398491003722224</v>
      </c>
      <c r="AV151" s="20">
        <f t="shared" si="416"/>
        <v>1.1098955653874054</v>
      </c>
      <c r="AW151" s="20">
        <f t="shared" si="417"/>
        <v>0.13477992388478932</v>
      </c>
      <c r="AX151" s="14"/>
      <c r="AY151" s="14"/>
      <c r="AZ151" s="1" t="s">
        <v>271</v>
      </c>
      <c r="BA151" s="2"/>
    </row>
    <row r="152" spans="1:53" ht="14.25" customHeight="1">
      <c r="A152" s="2">
        <v>562</v>
      </c>
      <c r="B152" s="2" t="s">
        <v>71</v>
      </c>
      <c r="C152" s="1" t="s">
        <v>85</v>
      </c>
      <c r="D152" s="1">
        <v>2023</v>
      </c>
      <c r="E152" s="1">
        <v>2021</v>
      </c>
      <c r="F152" s="1" t="s">
        <v>96</v>
      </c>
      <c r="G152" s="1" t="s">
        <v>119</v>
      </c>
      <c r="H152" s="1">
        <v>-36.537121999999997</v>
      </c>
      <c r="I152" s="1">
        <v>142.010153</v>
      </c>
      <c r="J152" s="1" t="s">
        <v>128</v>
      </c>
      <c r="K152" s="1" t="s">
        <v>112</v>
      </c>
      <c r="M152" s="1" t="s">
        <v>238</v>
      </c>
      <c r="N152" s="16" t="s">
        <v>239</v>
      </c>
      <c r="O152" s="1" t="s">
        <v>86</v>
      </c>
      <c r="Q152" s="1" t="s">
        <v>93</v>
      </c>
      <c r="S152" s="1">
        <v>5</v>
      </c>
      <c r="V152" s="1">
        <v>18</v>
      </c>
      <c r="W152" s="1">
        <v>17</v>
      </c>
      <c r="X152" s="1" t="s">
        <v>97</v>
      </c>
      <c r="Y152" s="1" t="s">
        <v>133</v>
      </c>
      <c r="Z152" s="1" t="s">
        <v>1</v>
      </c>
      <c r="AA152" s="1" t="s">
        <v>98</v>
      </c>
      <c r="AB152" s="1" t="s">
        <v>203</v>
      </c>
      <c r="AC152" s="1" t="s">
        <v>99</v>
      </c>
      <c r="AD152" s="1" t="s">
        <v>102</v>
      </c>
      <c r="AE152" s="12" t="s">
        <v>151</v>
      </c>
      <c r="AF152" s="16" t="s">
        <v>319</v>
      </c>
      <c r="AG152" s="12">
        <v>82.5</v>
      </c>
      <c r="AH152" s="12">
        <f>91.29-67.07</f>
        <v>24.220000000000013</v>
      </c>
      <c r="AI152" s="12"/>
      <c r="AJ152" s="12">
        <v>94.5</v>
      </c>
      <c r="AK152" s="12">
        <f>99.21-85.29</f>
        <v>13.919999999999987</v>
      </c>
      <c r="AL152" s="12"/>
      <c r="AM152" s="12">
        <f t="shared" si="407"/>
        <v>-12</v>
      </c>
      <c r="AN152" s="1">
        <f t="shared" si="408"/>
        <v>19.601919510212479</v>
      </c>
      <c r="AO152" s="1">
        <f t="shared" si="409"/>
        <v>-0.61218494411978752</v>
      </c>
      <c r="AP152" s="1">
        <f t="shared" si="410"/>
        <v>0.11973294790741951</v>
      </c>
      <c r="AQ152" s="1">
        <f t="shared" si="411"/>
        <v>0.97709923664122134</v>
      </c>
      <c r="AR152" s="21">
        <f t="shared" si="412"/>
        <v>-0.59816544158269314</v>
      </c>
      <c r="AS152" s="21">
        <f t="shared" si="413"/>
        <v>0.11431178943623105</v>
      </c>
      <c r="AT152" s="21">
        <f t="shared" si="414"/>
        <v>0.3381002653595987</v>
      </c>
      <c r="AU152" s="20">
        <f t="shared" si="415"/>
        <v>8.7480040766735705</v>
      </c>
      <c r="AV152" s="20">
        <f t="shared" si="416"/>
        <v>-5.2327537214906457</v>
      </c>
      <c r="AW152" s="20">
        <f t="shared" si="417"/>
        <v>3.1300524405089334</v>
      </c>
      <c r="AX152" s="14"/>
      <c r="AY152" s="14"/>
      <c r="AZ152" s="1" t="s">
        <v>271</v>
      </c>
      <c r="BA152" s="2"/>
    </row>
    <row r="153" spans="1:53" ht="14.25" hidden="1" customHeight="1">
      <c r="A153" s="2">
        <v>562</v>
      </c>
      <c r="B153" s="2" t="s">
        <v>71</v>
      </c>
      <c r="C153" s="1" t="s">
        <v>85</v>
      </c>
      <c r="D153" s="1">
        <v>2023</v>
      </c>
      <c r="E153" s="1">
        <v>2021</v>
      </c>
      <c r="F153" s="1" t="s">
        <v>96</v>
      </c>
      <c r="G153" s="1" t="s">
        <v>119</v>
      </c>
      <c r="H153" s="1">
        <v>-36.537121999999997</v>
      </c>
      <c r="I153" s="1">
        <v>142.010153</v>
      </c>
      <c r="J153" s="1" t="s">
        <v>128</v>
      </c>
      <c r="K153" s="1" t="s">
        <v>112</v>
      </c>
      <c r="M153" s="1" t="s">
        <v>238</v>
      </c>
      <c r="N153" s="16" t="s">
        <v>239</v>
      </c>
      <c r="O153" s="1" t="s">
        <v>86</v>
      </c>
      <c r="Q153" s="1" t="s">
        <v>93</v>
      </c>
      <c r="S153" s="1">
        <v>5</v>
      </c>
      <c r="V153" s="1">
        <v>18</v>
      </c>
      <c r="W153" s="1">
        <v>17</v>
      </c>
      <c r="X153" s="1" t="s">
        <v>97</v>
      </c>
      <c r="Y153" s="1" t="s">
        <v>133</v>
      </c>
      <c r="Z153" s="1" t="s">
        <v>1</v>
      </c>
      <c r="AA153" s="1" t="s">
        <v>98</v>
      </c>
      <c r="AB153" s="1" t="s">
        <v>203</v>
      </c>
      <c r="AC153" s="1" t="s">
        <v>99</v>
      </c>
      <c r="AD153" s="1" t="s">
        <v>102</v>
      </c>
      <c r="AE153" s="12" t="s">
        <v>315</v>
      </c>
      <c r="AF153" s="16" t="s">
        <v>319</v>
      </c>
      <c r="AG153" s="12">
        <v>16.079999999999998</v>
      </c>
      <c r="AH153" s="12">
        <f>21.08-12.29</f>
        <v>8.7899999999999991</v>
      </c>
      <c r="AI153" s="12"/>
      <c r="AJ153" s="12">
        <v>17.05</v>
      </c>
      <c r="AK153" s="12">
        <f>19.1-15.36</f>
        <v>3.740000000000002</v>
      </c>
      <c r="AL153" s="12"/>
      <c r="AM153" s="12">
        <f t="shared" si="407"/>
        <v>-0.97000000000000242</v>
      </c>
      <c r="AN153" s="1">
        <f t="shared" si="408"/>
        <v>6.6833461044236779</v>
      </c>
      <c r="AO153" s="1">
        <f t="shared" si="409"/>
        <v>-0.14513687976715189</v>
      </c>
      <c r="AP153" s="1">
        <f t="shared" si="410"/>
        <v>0.11468000945115661</v>
      </c>
      <c r="AQ153" s="1">
        <f t="shared" si="411"/>
        <v>0.97709923664122134</v>
      </c>
      <c r="AR153" s="21">
        <f t="shared" si="412"/>
        <v>-0.14181313442897284</v>
      </c>
      <c r="AS153" s="21">
        <f t="shared" si="413"/>
        <v>0.10948763328755608</v>
      </c>
      <c r="AT153" s="21">
        <f t="shared" si="414"/>
        <v>0.33088915559074472</v>
      </c>
      <c r="AU153" s="20">
        <f t="shared" si="415"/>
        <v>9.133451605202028</v>
      </c>
      <c r="AV153" s="20">
        <f t="shared" si="416"/>
        <v>-1.295243400289033</v>
      </c>
      <c r="AW153" s="20">
        <f t="shared" si="417"/>
        <v>0.1836825264434285</v>
      </c>
      <c r="AX153" s="14"/>
      <c r="AY153" s="14"/>
      <c r="AZ153" s="1" t="s">
        <v>271</v>
      </c>
      <c r="BA153" s="2"/>
    </row>
    <row r="154" spans="1:53" ht="14.25" hidden="1" customHeight="1">
      <c r="A154" s="2">
        <v>562</v>
      </c>
      <c r="B154" s="2" t="s">
        <v>71</v>
      </c>
      <c r="C154" s="1" t="s">
        <v>85</v>
      </c>
      <c r="D154" s="1">
        <v>2023</v>
      </c>
      <c r="E154" s="1">
        <v>2021</v>
      </c>
      <c r="F154" s="1" t="s">
        <v>96</v>
      </c>
      <c r="G154" s="1" t="s">
        <v>119</v>
      </c>
      <c r="H154" s="1">
        <v>-36.537121999999997</v>
      </c>
      <c r="I154" s="1">
        <v>142.010153</v>
      </c>
      <c r="J154" s="1" t="s">
        <v>128</v>
      </c>
      <c r="K154" s="1" t="s">
        <v>112</v>
      </c>
      <c r="M154" s="1" t="s">
        <v>238</v>
      </c>
      <c r="N154" s="16" t="s">
        <v>239</v>
      </c>
      <c r="O154" s="1" t="s">
        <v>86</v>
      </c>
      <c r="Q154" s="1" t="s">
        <v>93</v>
      </c>
      <c r="S154" s="1">
        <v>5</v>
      </c>
      <c r="V154" s="1">
        <v>18</v>
      </c>
      <c r="W154" s="1">
        <v>17</v>
      </c>
      <c r="X154" s="1" t="s">
        <v>97</v>
      </c>
      <c r="Y154" s="1" t="s">
        <v>133</v>
      </c>
      <c r="Z154" s="1" t="s">
        <v>1</v>
      </c>
      <c r="AA154" s="1" t="s">
        <v>98</v>
      </c>
      <c r="AB154" s="1" t="s">
        <v>203</v>
      </c>
      <c r="AC154" s="12" t="s">
        <v>99</v>
      </c>
      <c r="AD154" s="1" t="s">
        <v>102</v>
      </c>
      <c r="AE154" s="1" t="s">
        <v>257</v>
      </c>
      <c r="AF154" s="1" t="s">
        <v>320</v>
      </c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4"/>
      <c r="AY154" s="14"/>
      <c r="AZ154" s="16" t="s">
        <v>286</v>
      </c>
    </row>
    <row r="155" spans="1:53" ht="14.25" hidden="1" customHeight="1">
      <c r="A155" s="2">
        <v>174</v>
      </c>
      <c r="B155" s="2" t="s">
        <v>24</v>
      </c>
      <c r="C155" s="1" t="s">
        <v>85</v>
      </c>
      <c r="D155" s="1">
        <v>2018</v>
      </c>
      <c r="E155" s="1">
        <v>2014</v>
      </c>
      <c r="F155" s="1" t="s">
        <v>143</v>
      </c>
      <c r="G155" s="1" t="s">
        <v>119</v>
      </c>
      <c r="H155" s="1">
        <v>45.633378</v>
      </c>
      <c r="I155" s="1">
        <v>-117.217235</v>
      </c>
      <c r="J155" s="1" t="s">
        <v>135</v>
      </c>
      <c r="K155" s="1" t="s">
        <v>177</v>
      </c>
      <c r="L155" s="1" t="s">
        <v>193</v>
      </c>
      <c r="M155" s="1" t="s">
        <v>237</v>
      </c>
      <c r="N155" s="16" t="s">
        <v>239</v>
      </c>
      <c r="O155" s="1" t="s">
        <v>121</v>
      </c>
      <c r="Q155" s="1" t="s">
        <v>93</v>
      </c>
      <c r="R155" s="1">
        <v>2000</v>
      </c>
      <c r="S155" s="1">
        <v>14</v>
      </c>
      <c r="V155" s="1">
        <v>4</v>
      </c>
      <c r="W155" s="1">
        <v>4</v>
      </c>
      <c r="X155" s="1" t="s">
        <v>134</v>
      </c>
      <c r="Y155" s="1" t="s">
        <v>133</v>
      </c>
      <c r="Z155" s="1" t="s">
        <v>1</v>
      </c>
      <c r="AA155" s="1" t="s">
        <v>98</v>
      </c>
      <c r="AB155" s="1" t="s">
        <v>159</v>
      </c>
      <c r="AC155" s="12" t="s">
        <v>204</v>
      </c>
      <c r="AD155" s="1" t="s">
        <v>100</v>
      </c>
      <c r="AE155" s="1" t="s">
        <v>223</v>
      </c>
      <c r="AF155" s="1" t="s">
        <v>321</v>
      </c>
      <c r="AG155" s="1">
        <v>2.75</v>
      </c>
      <c r="AH155" s="1">
        <f>AI155*SQRT(W155)</f>
        <v>1.84</v>
      </c>
      <c r="AI155" s="1">
        <v>0.92</v>
      </c>
      <c r="AJ155" s="1">
        <v>3.13</v>
      </c>
      <c r="AK155" s="1">
        <f>AL155*SQRT(V155)</f>
        <v>1.58</v>
      </c>
      <c r="AL155" s="1">
        <v>0.79</v>
      </c>
      <c r="AM155" s="12">
        <f t="shared" si="153"/>
        <v>-0.37999999999999989</v>
      </c>
      <c r="AN155" s="1">
        <f t="shared" si="379"/>
        <v>1.7149344010777789</v>
      </c>
      <c r="AO155" s="1">
        <f t="shared" si="188"/>
        <v>-0.22158281958842427</v>
      </c>
      <c r="AP155" s="1">
        <f t="shared" si="380"/>
        <v>0.50306868412104722</v>
      </c>
      <c r="AQ155" s="1">
        <f t="shared" si="381"/>
        <v>0.86956521739130432</v>
      </c>
      <c r="AR155" s="21">
        <f t="shared" si="196"/>
        <v>-0.19268071268558631</v>
      </c>
      <c r="AS155" s="21">
        <f t="shared" ref="AS155:AS157" si="425">AP155*(AQ155^2)</f>
        <v>0.38039219971345728</v>
      </c>
      <c r="AT155" s="21">
        <f t="shared" si="256"/>
        <v>0.61675943423141677</v>
      </c>
      <c r="AU155" s="20">
        <f t="shared" ref="AU155:AU157" si="426">1/AS155</f>
        <v>2.6288656832429327</v>
      </c>
      <c r="AV155" s="20">
        <f t="shared" ref="AV155:AV157" si="427">AR155/AS155</f>
        <v>-0.50653171340192904</v>
      </c>
      <c r="AW155" s="20">
        <f t="shared" ref="AW155:AW157" si="428">((AR155)^2)/AS155</f>
        <v>9.7598891536134852E-2</v>
      </c>
      <c r="AX155" s="14"/>
      <c r="AY155" s="14"/>
      <c r="AZ155" s="1" t="s">
        <v>271</v>
      </c>
      <c r="BA155" s="2"/>
    </row>
    <row r="156" spans="1:53" s="12" customFormat="1" ht="14.25" hidden="1" customHeight="1">
      <c r="A156" s="2">
        <v>442</v>
      </c>
      <c r="B156" s="2" t="s">
        <v>54</v>
      </c>
      <c r="C156" s="12" t="s">
        <v>85</v>
      </c>
      <c r="D156" s="12">
        <v>2015</v>
      </c>
      <c r="E156" s="12" t="s">
        <v>218</v>
      </c>
      <c r="F156" s="12" t="s">
        <v>120</v>
      </c>
      <c r="G156" s="12" t="s">
        <v>109</v>
      </c>
      <c r="H156" s="12">
        <v>41.696944000000002</v>
      </c>
      <c r="I156" s="12">
        <v>-6.2241109999999997</v>
      </c>
      <c r="J156" s="12" t="s">
        <v>126</v>
      </c>
      <c r="K156" s="12" t="s">
        <v>185</v>
      </c>
      <c r="L156" s="12" t="s">
        <v>186</v>
      </c>
      <c r="M156" s="12" t="s">
        <v>238</v>
      </c>
      <c r="N156" s="12" t="s">
        <v>239</v>
      </c>
      <c r="O156" s="12" t="s">
        <v>86</v>
      </c>
      <c r="Q156" s="12" t="s">
        <v>93</v>
      </c>
      <c r="R156" s="12">
        <v>2002</v>
      </c>
      <c r="S156" s="12">
        <v>8</v>
      </c>
      <c r="V156" s="12">
        <v>3</v>
      </c>
      <c r="W156" s="12">
        <v>3</v>
      </c>
      <c r="X156" s="12" t="s">
        <v>114</v>
      </c>
      <c r="Y156" s="12" t="s">
        <v>2</v>
      </c>
      <c r="Z156" s="12" t="s">
        <v>0</v>
      </c>
      <c r="AA156" s="12" t="s">
        <v>113</v>
      </c>
      <c r="AB156" s="12" t="s">
        <v>2</v>
      </c>
      <c r="AC156" s="12" t="s">
        <v>2</v>
      </c>
      <c r="AD156" s="12" t="s">
        <v>2</v>
      </c>
      <c r="AE156" s="12" t="s">
        <v>150</v>
      </c>
      <c r="AF156" s="12" t="s">
        <v>323</v>
      </c>
      <c r="AG156" s="12">
        <v>19.98</v>
      </c>
      <c r="AH156" s="12">
        <f>AI156*SQRT(V156)</f>
        <v>4.2435244785437476</v>
      </c>
      <c r="AI156" s="12">
        <f>22.43-AG156</f>
        <v>2.4499999999999993</v>
      </c>
      <c r="AJ156" s="12">
        <v>10.4</v>
      </c>
      <c r="AK156" s="12">
        <f>AL156*SQRT(W156)</f>
        <v>4.4513705754520148</v>
      </c>
      <c r="AL156" s="12">
        <f>12.97-AJ156</f>
        <v>2.5700000000000003</v>
      </c>
      <c r="AM156" s="12">
        <f t="shared" ref="AM156" si="429">AG156-AJ156</f>
        <v>9.58</v>
      </c>
      <c r="AN156" s="12">
        <f t="shared" ref="AN156" si="430">SQRT((((W156-1)*AH156^2)+((V156-1)*AK156^2))/(W156+V156-2))</f>
        <v>4.3486894577562092</v>
      </c>
      <c r="AO156" s="12">
        <f t="shared" ref="AO156" si="431">AM156/AN156</f>
        <v>2.202962546086928</v>
      </c>
      <c r="AP156" s="12">
        <f t="shared" ref="AP156" si="432">1/W156+1/V156+(AO156^2)/(2*(W156+V156))</f>
        <v>1.0710869982884832</v>
      </c>
      <c r="AQ156" s="12">
        <f t="shared" ref="AQ156" si="433">1-(3/(4*(W156+V156-2)-1))</f>
        <v>0.8</v>
      </c>
      <c r="AR156" s="21">
        <f t="shared" ref="AR156" si="434">AO156*AQ156</f>
        <v>1.7623700368695425</v>
      </c>
      <c r="AS156" s="21">
        <f t="shared" si="425"/>
        <v>0.68549567890462937</v>
      </c>
      <c r="AT156" s="21">
        <f t="shared" ref="AT156" si="435">SQRT(AP156*AQ156^2)</f>
        <v>0.82794666428739805</v>
      </c>
      <c r="AU156" s="20">
        <f t="shared" si="426"/>
        <v>1.4587984005937498</v>
      </c>
      <c r="AV156" s="20">
        <f t="shared" si="427"/>
        <v>2.5709425910396364</v>
      </c>
      <c r="AW156" s="20">
        <f t="shared" si="428"/>
        <v>4.5309521889600015</v>
      </c>
      <c r="AX156" s="14"/>
      <c r="AY156" s="14"/>
      <c r="AZ156" s="12" t="s">
        <v>271</v>
      </c>
      <c r="BA156" s="2"/>
    </row>
    <row r="157" spans="1:53" s="12" customFormat="1" ht="14.25" hidden="1" customHeight="1">
      <c r="A157" s="2">
        <v>442</v>
      </c>
      <c r="B157" s="2" t="s">
        <v>54</v>
      </c>
      <c r="C157" s="12" t="s">
        <v>85</v>
      </c>
      <c r="D157" s="12">
        <v>2015</v>
      </c>
      <c r="E157" s="12" t="s">
        <v>218</v>
      </c>
      <c r="F157" s="12" t="s">
        <v>120</v>
      </c>
      <c r="G157" s="12" t="s">
        <v>109</v>
      </c>
      <c r="H157" s="12">
        <v>41.696944000000002</v>
      </c>
      <c r="I157" s="12">
        <v>-6.2241109999999997</v>
      </c>
      <c r="J157" s="12" t="s">
        <v>126</v>
      </c>
      <c r="K157" s="12" t="s">
        <v>185</v>
      </c>
      <c r="L157" s="12" t="s">
        <v>186</v>
      </c>
      <c r="M157" s="12" t="s">
        <v>238</v>
      </c>
      <c r="N157" s="12" t="s">
        <v>239</v>
      </c>
      <c r="O157" s="12" t="s">
        <v>86</v>
      </c>
      <c r="Q157" s="12" t="s">
        <v>93</v>
      </c>
      <c r="R157" s="12">
        <v>2002</v>
      </c>
      <c r="S157" s="12">
        <v>8</v>
      </c>
      <c r="V157" s="12">
        <v>3</v>
      </c>
      <c r="W157" s="12">
        <v>3</v>
      </c>
      <c r="X157" s="12" t="s">
        <v>114</v>
      </c>
      <c r="Y157" s="12" t="s">
        <v>2</v>
      </c>
      <c r="Z157" s="12" t="s">
        <v>0</v>
      </c>
      <c r="AA157" s="12" t="s">
        <v>113</v>
      </c>
      <c r="AB157" s="12" t="s">
        <v>2</v>
      </c>
      <c r="AC157" s="12" t="s">
        <v>2</v>
      </c>
      <c r="AD157" s="12" t="s">
        <v>2</v>
      </c>
      <c r="AE157" s="12" t="s">
        <v>349</v>
      </c>
      <c r="AF157" s="12" t="s">
        <v>319</v>
      </c>
      <c r="AG157" s="12">
        <v>2.44</v>
      </c>
      <c r="AH157" s="12">
        <f t="shared" ref="AH157:AH160" si="436">AI157*SQRT(V157)</f>
        <v>0.4676537180435969</v>
      </c>
      <c r="AI157" s="12">
        <f>2.71-AG157</f>
        <v>0.27</v>
      </c>
      <c r="AJ157" s="12">
        <v>1.56</v>
      </c>
      <c r="AK157" s="12">
        <f t="shared" ref="AK157:AK160" si="437">AL157*SQRT(W157)</f>
        <v>0.5542562584220404</v>
      </c>
      <c r="AL157" s="12">
        <f>1.88-AJ157</f>
        <v>0.31999999999999984</v>
      </c>
      <c r="AM157" s="12">
        <f>AG157-AJ157</f>
        <v>0.87999999999999989</v>
      </c>
      <c r="AN157" s="12">
        <f>SQRT((((W157-1)*AH157^2)+((V157-1)*AK157^2))/(W157+V157-2))</f>
        <v>0.51278650528265646</v>
      </c>
      <c r="AO157" s="12">
        <f>AM157/AN157</f>
        <v>1.7161138035700243</v>
      </c>
      <c r="AP157" s="12">
        <f>1/W157+1/V157+(AO157^2)/(2*(W157+V157))</f>
        <v>0.91208721556696459</v>
      </c>
      <c r="AQ157" s="12">
        <f>1-(3/(4*(W157+V157-2)-1))</f>
        <v>0.8</v>
      </c>
      <c r="AR157" s="21">
        <f>AO157*AQ157</f>
        <v>1.3728910428560195</v>
      </c>
      <c r="AS157" s="21">
        <f t="shared" si="425"/>
        <v>0.58373581796285745</v>
      </c>
      <c r="AT157" s="21">
        <f>SQRT(AP157*AQ157^2)</f>
        <v>0.76402605843181648</v>
      </c>
      <c r="AU157" s="20">
        <f t="shared" si="426"/>
        <v>1.7131037178596245</v>
      </c>
      <c r="AV157" s="20">
        <f t="shared" si="427"/>
        <v>2.351904749732824</v>
      </c>
      <c r="AW157" s="20">
        <f t="shared" si="428"/>
        <v>3.2289089645587219</v>
      </c>
      <c r="AX157" s="14"/>
      <c r="AY157" s="14"/>
      <c r="AZ157" s="12" t="s">
        <v>271</v>
      </c>
      <c r="BA157" s="2"/>
    </row>
    <row r="158" spans="1:53" s="12" customFormat="1" ht="14.25" hidden="1" customHeight="1">
      <c r="A158" s="2">
        <v>442</v>
      </c>
      <c r="B158" s="2" t="s">
        <v>54</v>
      </c>
      <c r="C158" s="12" t="s">
        <v>85</v>
      </c>
      <c r="D158" s="12">
        <v>2015</v>
      </c>
      <c r="E158" s="12" t="s">
        <v>218</v>
      </c>
      <c r="F158" s="12" t="s">
        <v>120</v>
      </c>
      <c r="G158" s="12" t="s">
        <v>109</v>
      </c>
      <c r="H158" s="12">
        <v>41.696944000000002</v>
      </c>
      <c r="I158" s="12">
        <v>-6.2241109999999997</v>
      </c>
      <c r="J158" s="12" t="s">
        <v>126</v>
      </c>
      <c r="K158" s="12" t="s">
        <v>185</v>
      </c>
      <c r="L158" s="12" t="s">
        <v>186</v>
      </c>
      <c r="M158" s="12" t="s">
        <v>238</v>
      </c>
      <c r="N158" s="12" t="s">
        <v>239</v>
      </c>
      <c r="O158" s="12" t="s">
        <v>86</v>
      </c>
      <c r="Q158" s="12" t="s">
        <v>93</v>
      </c>
      <c r="R158" s="12">
        <v>2002</v>
      </c>
      <c r="S158" s="12">
        <v>8</v>
      </c>
      <c r="V158" s="12">
        <v>3</v>
      </c>
      <c r="W158" s="12">
        <v>3</v>
      </c>
      <c r="X158" s="12" t="s">
        <v>114</v>
      </c>
      <c r="Y158" s="12" t="s">
        <v>2</v>
      </c>
      <c r="Z158" s="12" t="s">
        <v>0</v>
      </c>
      <c r="AA158" s="12" t="s">
        <v>113</v>
      </c>
      <c r="AB158" s="12" t="s">
        <v>2</v>
      </c>
      <c r="AC158" s="12" t="s">
        <v>2</v>
      </c>
      <c r="AD158" s="12" t="s">
        <v>2</v>
      </c>
      <c r="AE158" s="12" t="s">
        <v>308</v>
      </c>
      <c r="AF158" s="12" t="s">
        <v>321</v>
      </c>
      <c r="AG158" s="12">
        <f>((37*100)/74)/100</f>
        <v>0.5</v>
      </c>
      <c r="AH158" s="14"/>
      <c r="AI158" s="14"/>
      <c r="AJ158" s="12">
        <f>((35*100)/83)/100</f>
        <v>0.42168674698795178</v>
      </c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">
        <f>LOG(AG158/AJ158)</f>
        <v>7.3980052361817081E-2</v>
      </c>
      <c r="AY158" s="12">
        <f>((1-AG158)/(AG158*W158))+((1-AJ158)/(V158*AJ158))</f>
        <v>0.79047619047619055</v>
      </c>
      <c r="AZ158" s="12" t="s">
        <v>284</v>
      </c>
    </row>
    <row r="159" spans="1:53" s="12" customFormat="1" ht="14.25" hidden="1" customHeight="1">
      <c r="A159" s="2">
        <v>442</v>
      </c>
      <c r="B159" s="2" t="s">
        <v>54</v>
      </c>
      <c r="C159" s="12" t="s">
        <v>85</v>
      </c>
      <c r="D159" s="12">
        <v>2015</v>
      </c>
      <c r="E159" s="12" t="s">
        <v>218</v>
      </c>
      <c r="F159" s="12" t="s">
        <v>120</v>
      </c>
      <c r="G159" s="12" t="s">
        <v>109</v>
      </c>
      <c r="H159" s="12">
        <v>41.696944000000002</v>
      </c>
      <c r="I159" s="12">
        <v>-6.2241109999999997</v>
      </c>
      <c r="J159" s="12" t="s">
        <v>126</v>
      </c>
      <c r="K159" s="12" t="s">
        <v>185</v>
      </c>
      <c r="L159" s="12" t="s">
        <v>186</v>
      </c>
      <c r="M159" s="12" t="s">
        <v>238</v>
      </c>
      <c r="N159" s="12" t="s">
        <v>239</v>
      </c>
      <c r="O159" s="12" t="s">
        <v>86</v>
      </c>
      <c r="Q159" s="12" t="s">
        <v>93</v>
      </c>
      <c r="R159" s="12">
        <v>2002</v>
      </c>
      <c r="S159" s="12">
        <v>8</v>
      </c>
      <c r="V159" s="12">
        <v>3</v>
      </c>
      <c r="W159" s="12">
        <v>3</v>
      </c>
      <c r="X159" s="12" t="s">
        <v>114</v>
      </c>
      <c r="Y159" s="12" t="s">
        <v>2</v>
      </c>
      <c r="Z159" s="12" t="s">
        <v>0</v>
      </c>
      <c r="AA159" s="12" t="s">
        <v>113</v>
      </c>
      <c r="AB159" s="12" t="s">
        <v>2</v>
      </c>
      <c r="AC159" s="12" t="s">
        <v>2</v>
      </c>
      <c r="AD159" s="12" t="s">
        <v>2</v>
      </c>
      <c r="AE159" s="12" t="s">
        <v>151</v>
      </c>
      <c r="AF159" s="12" t="s">
        <v>323</v>
      </c>
      <c r="AG159" s="12">
        <v>11.55</v>
      </c>
      <c r="AH159" s="12">
        <f t="shared" si="436"/>
        <v>4.1222809220139256</v>
      </c>
      <c r="AI159" s="12">
        <f>13.93-AG159</f>
        <v>2.379999999999999</v>
      </c>
      <c r="AJ159" s="12">
        <v>12.62</v>
      </c>
      <c r="AK159" s="12">
        <f t="shared" si="437"/>
        <v>4.3301270189221928</v>
      </c>
      <c r="AL159" s="12">
        <f>15.12-AJ159</f>
        <v>2.5</v>
      </c>
      <c r="AM159" s="12">
        <f>AG159-AJ159</f>
        <v>-1.0699999999999985</v>
      </c>
      <c r="AN159" s="12">
        <f>SQRT((((W159-1)*AH159^2)+((V159-1)*AK159^2))/(W159+V159-2))</f>
        <v>4.227481519770369</v>
      </c>
      <c r="AO159" s="12">
        <f>AM159/AN159</f>
        <v>-0.25310577822658809</v>
      </c>
      <c r="AP159" s="12">
        <f>1/W159+1/V159+(AO159^2)/(2*(W159+V159))</f>
        <v>0.67200521124764057</v>
      </c>
      <c r="AQ159" s="12">
        <f>1-(3/(4*(W159+V159-2)-1))</f>
        <v>0.8</v>
      </c>
      <c r="AR159" s="21">
        <f>AO159*AQ159</f>
        <v>-0.20248462258127048</v>
      </c>
      <c r="AS159" s="21">
        <f t="shared" ref="AS159:AS160" si="438">AP159*(AQ159^2)</f>
        <v>0.43008333519849007</v>
      </c>
      <c r="AT159" s="21">
        <f>SQRT(AP159*AQ159^2)</f>
        <v>0.65580739184496084</v>
      </c>
      <c r="AU159" s="20">
        <f t="shared" ref="AU159:AU160" si="439">1/AS159</f>
        <v>2.3251307785233868</v>
      </c>
      <c r="AV159" s="20">
        <f t="shared" ref="AV159:AV160" si="440">AR159/AS159</f>
        <v>-0.47080322814140363</v>
      </c>
      <c r="AW159" s="20">
        <f t="shared" ref="AW159:AW160" si="441">((AR159)^2)/AS159</f>
        <v>9.5330413960255891E-2</v>
      </c>
      <c r="AX159" s="14"/>
      <c r="AY159" s="14"/>
      <c r="AZ159" s="12" t="s">
        <v>271</v>
      </c>
      <c r="BA159" s="2"/>
    </row>
    <row r="160" spans="1:53" s="12" customFormat="1" ht="14.25" hidden="1" customHeight="1">
      <c r="A160" s="2">
        <v>442</v>
      </c>
      <c r="B160" s="2" t="s">
        <v>54</v>
      </c>
      <c r="C160" s="12" t="s">
        <v>85</v>
      </c>
      <c r="D160" s="12">
        <v>2015</v>
      </c>
      <c r="E160" s="12" t="s">
        <v>218</v>
      </c>
      <c r="F160" s="12" t="s">
        <v>120</v>
      </c>
      <c r="G160" s="12" t="s">
        <v>109</v>
      </c>
      <c r="H160" s="12">
        <v>41.696944000000002</v>
      </c>
      <c r="I160" s="12">
        <v>-6.2241109999999997</v>
      </c>
      <c r="J160" s="12" t="s">
        <v>126</v>
      </c>
      <c r="K160" s="12" t="s">
        <v>185</v>
      </c>
      <c r="L160" s="12" t="s">
        <v>186</v>
      </c>
      <c r="M160" s="12" t="s">
        <v>238</v>
      </c>
      <c r="N160" s="12" t="s">
        <v>239</v>
      </c>
      <c r="O160" s="12" t="s">
        <v>86</v>
      </c>
      <c r="Q160" s="12" t="s">
        <v>93</v>
      </c>
      <c r="R160" s="12">
        <v>2002</v>
      </c>
      <c r="S160" s="12">
        <v>8</v>
      </c>
      <c r="V160" s="12">
        <v>3</v>
      </c>
      <c r="W160" s="12">
        <v>3</v>
      </c>
      <c r="X160" s="12" t="s">
        <v>114</v>
      </c>
      <c r="Y160" s="12" t="s">
        <v>2</v>
      </c>
      <c r="Z160" s="12" t="s">
        <v>0</v>
      </c>
      <c r="AA160" s="12" t="s">
        <v>113</v>
      </c>
      <c r="AB160" s="12" t="s">
        <v>2</v>
      </c>
      <c r="AC160" s="12" t="s">
        <v>2</v>
      </c>
      <c r="AD160" s="12" t="s">
        <v>2</v>
      </c>
      <c r="AE160" s="12" t="s">
        <v>296</v>
      </c>
      <c r="AF160" s="12" t="s">
        <v>319</v>
      </c>
      <c r="AG160" s="12">
        <v>1.17</v>
      </c>
      <c r="AH160" s="12">
        <f t="shared" si="436"/>
        <v>0.48497422611928565</v>
      </c>
      <c r="AI160" s="12">
        <f>1.45-AG160</f>
        <v>0.28000000000000003</v>
      </c>
      <c r="AJ160" s="12">
        <v>1.49</v>
      </c>
      <c r="AK160" s="12">
        <f t="shared" si="437"/>
        <v>0.57157676649772959</v>
      </c>
      <c r="AL160" s="12">
        <f>1.82-AJ160</f>
        <v>0.33000000000000007</v>
      </c>
      <c r="AM160" s="12">
        <f>AG160-AJ160</f>
        <v>-0.32000000000000006</v>
      </c>
      <c r="AN160" s="12">
        <f>SQRT((((W160-1)*AH160^2)+((V160-1)*AK160^2))/(W160+V160-2))</f>
        <v>0.53004716771245941</v>
      </c>
      <c r="AO160" s="12">
        <f>AM160/AN160</f>
        <v>-0.60371985644416093</v>
      </c>
      <c r="AP160" s="12">
        <f>1/W160+1/V160+(AO160^2)/(2*(W160+V160))</f>
        <v>0.69703980542207977</v>
      </c>
      <c r="AQ160" s="12">
        <f>1-(3/(4*(W160+V160-2)-1))</f>
        <v>0.8</v>
      </c>
      <c r="AR160" s="21">
        <f>AO160*AQ160</f>
        <v>-0.48297588515532874</v>
      </c>
      <c r="AS160" s="21">
        <f t="shared" si="438"/>
        <v>0.44610547547013113</v>
      </c>
      <c r="AT160" s="21">
        <f>SQRT(AP160*AQ160^2)</f>
        <v>0.66791127814263707</v>
      </c>
      <c r="AU160" s="20">
        <f t="shared" si="439"/>
        <v>2.2416223404255318</v>
      </c>
      <c r="AV160" s="20">
        <f t="shared" si="440"/>
        <v>-1.082649534050981</v>
      </c>
      <c r="AW160" s="20">
        <f t="shared" si="441"/>
        <v>0.52289361702127679</v>
      </c>
      <c r="AX160" s="14"/>
      <c r="AY160" s="14"/>
      <c r="AZ160" s="12" t="s">
        <v>271</v>
      </c>
      <c r="BA160" s="2"/>
    </row>
    <row r="161" spans="1:53" s="12" customFormat="1" ht="14.25" hidden="1" customHeight="1">
      <c r="A161" s="2">
        <v>442</v>
      </c>
      <c r="B161" s="2" t="s">
        <v>54</v>
      </c>
      <c r="C161" s="12" t="s">
        <v>85</v>
      </c>
      <c r="D161" s="12">
        <v>2015</v>
      </c>
      <c r="E161" s="12" t="s">
        <v>218</v>
      </c>
      <c r="F161" s="12" t="s">
        <v>120</v>
      </c>
      <c r="G161" s="12" t="s">
        <v>109</v>
      </c>
      <c r="H161" s="12">
        <v>41.696944000000002</v>
      </c>
      <c r="I161" s="12">
        <v>-6.2241109999999997</v>
      </c>
      <c r="J161" s="12" t="s">
        <v>126</v>
      </c>
      <c r="K161" s="12" t="s">
        <v>185</v>
      </c>
      <c r="L161" s="12" t="s">
        <v>186</v>
      </c>
      <c r="M161" s="12" t="s">
        <v>238</v>
      </c>
      <c r="N161" s="12" t="s">
        <v>239</v>
      </c>
      <c r="O161" s="12" t="s">
        <v>86</v>
      </c>
      <c r="Q161" s="12" t="s">
        <v>93</v>
      </c>
      <c r="R161" s="12">
        <v>2002</v>
      </c>
      <c r="S161" s="12">
        <v>8</v>
      </c>
      <c r="V161" s="12">
        <v>3</v>
      </c>
      <c r="W161" s="12">
        <v>3</v>
      </c>
      <c r="X161" s="12" t="s">
        <v>114</v>
      </c>
      <c r="Y161" s="12" t="s">
        <v>2</v>
      </c>
      <c r="Z161" s="12" t="s">
        <v>0</v>
      </c>
      <c r="AA161" s="12" t="s">
        <v>113</v>
      </c>
      <c r="AB161" s="12" t="s">
        <v>2</v>
      </c>
      <c r="AC161" s="12" t="s">
        <v>2</v>
      </c>
      <c r="AD161" s="12" t="s">
        <v>2</v>
      </c>
      <c r="AE161" s="12" t="s">
        <v>348</v>
      </c>
      <c r="AF161" s="12" t="s">
        <v>321</v>
      </c>
      <c r="AG161" s="12">
        <f>((37*100)/74)/100</f>
        <v>0.5</v>
      </c>
      <c r="AH161" s="14"/>
      <c r="AI161" s="14"/>
      <c r="AJ161" s="12">
        <f>((48*100)/83)/100</f>
        <v>0.57831325301204817</v>
      </c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">
        <f>LOG(AG161/AJ161)</f>
        <v>-6.319314066349449E-2</v>
      </c>
      <c r="AY161" s="12">
        <f>((1-AG161)/(AG161*W161))+((1-AJ161)/(V161*AJ161))</f>
        <v>0.57638888888888895</v>
      </c>
      <c r="AZ161" s="12" t="s">
        <v>284</v>
      </c>
    </row>
    <row r="162" spans="1:53" s="12" customFormat="1" ht="14.25" hidden="1" customHeight="1">
      <c r="A162" s="2">
        <v>442</v>
      </c>
      <c r="B162" s="2" t="s">
        <v>54</v>
      </c>
      <c r="C162" s="12" t="s">
        <v>85</v>
      </c>
      <c r="D162" s="12">
        <v>2015</v>
      </c>
      <c r="E162" s="12" t="s">
        <v>218</v>
      </c>
      <c r="F162" s="12" t="s">
        <v>120</v>
      </c>
      <c r="G162" s="12" t="s">
        <v>109</v>
      </c>
      <c r="H162" s="12">
        <v>41.696944000000002</v>
      </c>
      <c r="I162" s="12">
        <v>-6.2241109999999997</v>
      </c>
      <c r="J162" s="12" t="s">
        <v>126</v>
      </c>
      <c r="K162" s="12" t="s">
        <v>185</v>
      </c>
      <c r="L162" s="12" t="s">
        <v>186</v>
      </c>
      <c r="M162" s="12" t="s">
        <v>238</v>
      </c>
      <c r="N162" s="12" t="s">
        <v>239</v>
      </c>
      <c r="O162" s="12" t="s">
        <v>86</v>
      </c>
      <c r="Q162" s="12" t="s">
        <v>93</v>
      </c>
      <c r="R162" s="12">
        <v>2002</v>
      </c>
      <c r="S162" s="12">
        <v>8</v>
      </c>
      <c r="V162" s="12">
        <v>3</v>
      </c>
      <c r="W162" s="12">
        <v>3</v>
      </c>
      <c r="X162" s="12" t="s">
        <v>114</v>
      </c>
      <c r="Y162" s="12" t="s">
        <v>2</v>
      </c>
      <c r="Z162" s="12" t="s">
        <v>0</v>
      </c>
      <c r="AA162" s="12" t="s">
        <v>113</v>
      </c>
      <c r="AB162" s="12" t="s">
        <v>2</v>
      </c>
      <c r="AC162" s="12" t="s">
        <v>2</v>
      </c>
      <c r="AD162" s="12" t="s">
        <v>2</v>
      </c>
      <c r="AE162" s="12" t="s">
        <v>257</v>
      </c>
      <c r="AF162" s="12" t="s">
        <v>334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2" t="s">
        <v>286</v>
      </c>
    </row>
    <row r="163" spans="1:53" s="12" customFormat="1" ht="14.25" hidden="1" customHeight="1">
      <c r="A163" s="2">
        <v>442</v>
      </c>
      <c r="B163" s="2" t="s">
        <v>54</v>
      </c>
      <c r="C163" s="12" t="s">
        <v>85</v>
      </c>
      <c r="D163" s="12">
        <v>2015</v>
      </c>
      <c r="E163" s="12" t="s">
        <v>218</v>
      </c>
      <c r="F163" s="12" t="s">
        <v>120</v>
      </c>
      <c r="G163" s="12" t="s">
        <v>109</v>
      </c>
      <c r="H163" s="12">
        <v>41.696944000000002</v>
      </c>
      <c r="I163" s="12">
        <v>-6.2241109999999997</v>
      </c>
      <c r="J163" s="12" t="s">
        <v>126</v>
      </c>
      <c r="K163" s="12" t="s">
        <v>185</v>
      </c>
      <c r="L163" s="12" t="s">
        <v>186</v>
      </c>
      <c r="M163" s="12" t="s">
        <v>238</v>
      </c>
      <c r="N163" s="12" t="s">
        <v>239</v>
      </c>
      <c r="O163" s="12" t="s">
        <v>121</v>
      </c>
      <c r="Q163" s="12" t="s">
        <v>93</v>
      </c>
      <c r="R163" s="12">
        <v>2010</v>
      </c>
      <c r="S163" s="12">
        <v>1.5</v>
      </c>
      <c r="V163" s="12">
        <v>3</v>
      </c>
      <c r="W163" s="12">
        <v>3</v>
      </c>
      <c r="X163" s="12" t="s">
        <v>114</v>
      </c>
      <c r="Y163" s="12" t="s">
        <v>2</v>
      </c>
      <c r="Z163" s="12" t="s">
        <v>0</v>
      </c>
      <c r="AA163" s="12" t="s">
        <v>113</v>
      </c>
      <c r="AB163" s="12" t="s">
        <v>2</v>
      </c>
      <c r="AC163" s="12" t="s">
        <v>2</v>
      </c>
      <c r="AD163" s="12" t="s">
        <v>2</v>
      </c>
      <c r="AE163" s="12" t="s">
        <v>150</v>
      </c>
      <c r="AF163" s="12" t="s">
        <v>323</v>
      </c>
      <c r="AG163" s="12">
        <v>4.5599999999999996</v>
      </c>
      <c r="AH163" s="12">
        <f>AI163*SQRT(W163)</f>
        <v>4.2262039704680614</v>
      </c>
      <c r="AI163" s="12">
        <f>7-AG163</f>
        <v>2.4400000000000004</v>
      </c>
      <c r="AJ163" s="12">
        <v>10.4</v>
      </c>
      <c r="AK163" s="12">
        <f>AL163*SQRT(W163)</f>
        <v>4.4513705754520148</v>
      </c>
      <c r="AL163" s="12">
        <f>12.97-AJ163</f>
        <v>2.5700000000000003</v>
      </c>
      <c r="AM163" s="12">
        <f t="shared" ref="AM163" si="442">AG163-AJ163</f>
        <v>-5.8400000000000007</v>
      </c>
      <c r="AN163" s="12">
        <f t="shared" ref="AN163" si="443">SQRT((((W163-1)*AH163^2)+((V163-1)*AK163^2))/(W163+V163-2))</f>
        <v>4.3402476887845935</v>
      </c>
      <c r="AO163" s="12">
        <f t="shared" ref="AO163" si="444">AM163/AN163</f>
        <v>-1.3455453279984086</v>
      </c>
      <c r="AP163" s="12">
        <f t="shared" ref="AP163" si="445">1/W163+1/V163+(AO163^2)/(2*(W163+V163))</f>
        <v>0.81754101914152866</v>
      </c>
      <c r="AQ163" s="12">
        <f t="shared" ref="AQ163" si="446">1-(3/(4*(W163+V163-2)-1))</f>
        <v>0.8</v>
      </c>
      <c r="AR163" s="21">
        <f t="shared" ref="AR163" si="447">AO163*AQ163</f>
        <v>-1.0764362623987269</v>
      </c>
      <c r="AS163" s="21">
        <f t="shared" ref="AS163:AS164" si="448">AP163*(AQ163^2)</f>
        <v>0.52322625225057839</v>
      </c>
      <c r="AT163" s="21">
        <f t="shared" ref="AT163" si="449">SQRT(AP163*AQ163^2)</f>
        <v>0.7233437994830525</v>
      </c>
      <c r="AU163" s="20">
        <f t="shared" ref="AU163:AU164" si="450">1/AS163</f>
        <v>1.911219086769159</v>
      </c>
      <c r="AV163" s="20">
        <f t="shared" ref="AV163:AV164" si="451">AR163/AS163</f>
        <v>-2.0573055303869014</v>
      </c>
      <c r="AW163" s="20">
        <f t="shared" ref="AW163:AW164" si="452">((AR163)^2)/AS163</f>
        <v>2.2145582757419069</v>
      </c>
      <c r="AX163" s="14"/>
      <c r="AY163" s="14"/>
      <c r="AZ163" s="12" t="s">
        <v>271</v>
      </c>
      <c r="BA163" s="2"/>
    </row>
    <row r="164" spans="1:53" s="12" customFormat="1" ht="14.25" hidden="1" customHeight="1">
      <c r="A164" s="2">
        <v>442</v>
      </c>
      <c r="B164" s="2" t="s">
        <v>54</v>
      </c>
      <c r="C164" s="12" t="s">
        <v>85</v>
      </c>
      <c r="D164" s="12">
        <v>2015</v>
      </c>
      <c r="E164" s="12" t="s">
        <v>218</v>
      </c>
      <c r="F164" s="12" t="s">
        <v>120</v>
      </c>
      <c r="G164" s="12" t="s">
        <v>109</v>
      </c>
      <c r="H164" s="12">
        <v>41.696944000000002</v>
      </c>
      <c r="I164" s="12">
        <v>-6.2241109999999997</v>
      </c>
      <c r="J164" s="12" t="s">
        <v>126</v>
      </c>
      <c r="K164" s="12" t="s">
        <v>185</v>
      </c>
      <c r="L164" s="12" t="s">
        <v>186</v>
      </c>
      <c r="M164" s="12" t="s">
        <v>238</v>
      </c>
      <c r="N164" s="12" t="s">
        <v>239</v>
      </c>
      <c r="O164" s="12" t="s">
        <v>121</v>
      </c>
      <c r="Q164" s="12" t="s">
        <v>93</v>
      </c>
      <c r="R164" s="12">
        <v>2010</v>
      </c>
      <c r="S164" s="12">
        <v>1.5</v>
      </c>
      <c r="V164" s="12">
        <v>3</v>
      </c>
      <c r="W164" s="12">
        <v>3</v>
      </c>
      <c r="X164" s="12" t="s">
        <v>114</v>
      </c>
      <c r="Y164" s="12" t="s">
        <v>2</v>
      </c>
      <c r="Z164" s="12" t="s">
        <v>0</v>
      </c>
      <c r="AA164" s="12" t="s">
        <v>113</v>
      </c>
      <c r="AB164" s="12" t="s">
        <v>2</v>
      </c>
      <c r="AC164" s="12" t="s">
        <v>2</v>
      </c>
      <c r="AD164" s="12" t="s">
        <v>2</v>
      </c>
      <c r="AE164" s="12" t="s">
        <v>349</v>
      </c>
      <c r="AF164" s="12" t="s">
        <v>319</v>
      </c>
      <c r="AG164" s="12">
        <v>0.78</v>
      </c>
      <c r="AH164" s="12">
        <f t="shared" ref="AH164:AH167" si="453">AI164*SQRT(W164)</f>
        <v>0.51961524227066325</v>
      </c>
      <c r="AI164" s="12">
        <f>1.08-AG164</f>
        <v>0.30000000000000004</v>
      </c>
      <c r="AJ164" s="12">
        <v>1.56</v>
      </c>
      <c r="AK164" s="12">
        <f t="shared" ref="AK164:AK167" si="454">AL164*SQRT(W164)</f>
        <v>0.5542562584220404</v>
      </c>
      <c r="AL164" s="12">
        <f>1.88-AJ164</f>
        <v>0.31999999999999984</v>
      </c>
      <c r="AM164" s="12">
        <f>AG164-AJ164</f>
        <v>-0.78</v>
      </c>
      <c r="AN164" s="12">
        <f>SQRT((((W164-1)*AH164^2)+((V164-1)*AK164^2))/(W164+V164-2))</f>
        <v>0.53721504074253157</v>
      </c>
      <c r="AO164" s="12">
        <f>AM164/AN164</f>
        <v>-1.4519325425473835</v>
      </c>
      <c r="AP164" s="12">
        <f>1/W164+1/V164+(AO164^2)/(2*(W164+V164))</f>
        <v>0.8423423423423424</v>
      </c>
      <c r="AQ164" s="12">
        <f>1-(3/(4*(W164+V164-2)-1))</f>
        <v>0.8</v>
      </c>
      <c r="AR164" s="21">
        <f>AO164*AQ164</f>
        <v>-1.1615460340379069</v>
      </c>
      <c r="AS164" s="21">
        <f t="shared" si="448"/>
        <v>0.53909909909909925</v>
      </c>
      <c r="AT164" s="21">
        <f>SQRT(AP164*AQ164^2)</f>
        <v>0.73423368153408708</v>
      </c>
      <c r="AU164" s="20">
        <f t="shared" si="450"/>
        <v>1.8549465240641705</v>
      </c>
      <c r="AV164" s="20">
        <f t="shared" si="451"/>
        <v>-2.1546057783791381</v>
      </c>
      <c r="AW164" s="20">
        <f t="shared" si="452"/>
        <v>2.502673796791445</v>
      </c>
      <c r="AX164" s="14"/>
      <c r="AY164" s="14"/>
      <c r="AZ164" s="12" t="s">
        <v>271</v>
      </c>
      <c r="BA164" s="2"/>
    </row>
    <row r="165" spans="1:53" s="12" customFormat="1" ht="14.25" hidden="1" customHeight="1">
      <c r="A165" s="2">
        <v>442</v>
      </c>
      <c r="B165" s="2" t="s">
        <v>54</v>
      </c>
      <c r="C165" s="12" t="s">
        <v>85</v>
      </c>
      <c r="D165" s="12">
        <v>2015</v>
      </c>
      <c r="E165" s="12" t="s">
        <v>218</v>
      </c>
      <c r="F165" s="12" t="s">
        <v>120</v>
      </c>
      <c r="G165" s="12" t="s">
        <v>109</v>
      </c>
      <c r="H165" s="12">
        <v>41.696944000000002</v>
      </c>
      <c r="I165" s="12">
        <v>-6.2241109999999997</v>
      </c>
      <c r="J165" s="12" t="s">
        <v>126</v>
      </c>
      <c r="K165" s="12" t="s">
        <v>185</v>
      </c>
      <c r="L165" s="12" t="s">
        <v>186</v>
      </c>
      <c r="M165" s="12" t="s">
        <v>238</v>
      </c>
      <c r="N165" s="12" t="s">
        <v>239</v>
      </c>
      <c r="O165" s="12" t="s">
        <v>121</v>
      </c>
      <c r="Q165" s="12" t="s">
        <v>93</v>
      </c>
      <c r="R165" s="12">
        <v>2010</v>
      </c>
      <c r="S165" s="12">
        <v>1.5</v>
      </c>
      <c r="V165" s="12">
        <v>3</v>
      </c>
      <c r="W165" s="12">
        <v>3</v>
      </c>
      <c r="X165" s="12" t="s">
        <v>114</v>
      </c>
      <c r="Y165" s="12" t="s">
        <v>2</v>
      </c>
      <c r="Z165" s="12" t="s">
        <v>0</v>
      </c>
      <c r="AA165" s="12" t="s">
        <v>113</v>
      </c>
      <c r="AB165" s="12" t="s">
        <v>2</v>
      </c>
      <c r="AC165" s="12" t="s">
        <v>2</v>
      </c>
      <c r="AD165" s="12" t="s">
        <v>2</v>
      </c>
      <c r="AE165" s="12" t="s">
        <v>308</v>
      </c>
      <c r="AF165" s="12" t="s">
        <v>321</v>
      </c>
      <c r="AG165" s="12">
        <f>((24*100)/59)/100</f>
        <v>0.40677966101694912</v>
      </c>
      <c r="AH165" s="14"/>
      <c r="AI165" s="14"/>
      <c r="AJ165" s="12">
        <f>((35*100)/83)/100</f>
        <v>0.42168674698795178</v>
      </c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">
        <f>LOG(AG165/AJ165)</f>
        <v>-1.5630721904739905E-2</v>
      </c>
      <c r="AY165" s="12">
        <f>((1-AG165)/(AG165*W165))+((1-AJ165)/(V165*AJ165))</f>
        <v>0.94325396825396846</v>
      </c>
      <c r="AZ165" s="12" t="s">
        <v>284</v>
      </c>
    </row>
    <row r="166" spans="1:53" s="12" customFormat="1" ht="14.25" hidden="1" customHeight="1">
      <c r="A166" s="2">
        <v>442</v>
      </c>
      <c r="B166" s="2" t="s">
        <v>54</v>
      </c>
      <c r="C166" s="12" t="s">
        <v>85</v>
      </c>
      <c r="D166" s="12">
        <v>2015</v>
      </c>
      <c r="E166" s="12" t="s">
        <v>218</v>
      </c>
      <c r="F166" s="12" t="s">
        <v>120</v>
      </c>
      <c r="G166" s="12" t="s">
        <v>109</v>
      </c>
      <c r="H166" s="12">
        <v>41.696944000000002</v>
      </c>
      <c r="I166" s="12">
        <v>-6.2241109999999997</v>
      </c>
      <c r="J166" s="12" t="s">
        <v>126</v>
      </c>
      <c r="K166" s="12" t="s">
        <v>185</v>
      </c>
      <c r="L166" s="12" t="s">
        <v>186</v>
      </c>
      <c r="M166" s="12" t="s">
        <v>238</v>
      </c>
      <c r="N166" s="12" t="s">
        <v>239</v>
      </c>
      <c r="O166" s="12" t="s">
        <v>121</v>
      </c>
      <c r="Q166" s="12" t="s">
        <v>93</v>
      </c>
      <c r="R166" s="12">
        <v>2010</v>
      </c>
      <c r="S166" s="12">
        <v>1.5</v>
      </c>
      <c r="V166" s="12">
        <v>3</v>
      </c>
      <c r="W166" s="12">
        <v>3</v>
      </c>
      <c r="X166" s="12" t="s">
        <v>114</v>
      </c>
      <c r="Y166" s="12" t="s">
        <v>2</v>
      </c>
      <c r="Z166" s="12" t="s">
        <v>0</v>
      </c>
      <c r="AA166" s="12" t="s">
        <v>113</v>
      </c>
      <c r="AB166" s="12" t="s">
        <v>2</v>
      </c>
      <c r="AC166" s="12" t="s">
        <v>2</v>
      </c>
      <c r="AD166" s="12" t="s">
        <v>2</v>
      </c>
      <c r="AE166" s="12" t="s">
        <v>151</v>
      </c>
      <c r="AF166" s="12" t="s">
        <v>323</v>
      </c>
      <c r="AG166" s="12">
        <v>5.6</v>
      </c>
      <c r="AH166" s="12">
        <f t="shared" si="453"/>
        <v>4.7284987046630356</v>
      </c>
      <c r="AI166" s="12">
        <f>8.33-AG166</f>
        <v>2.7300000000000004</v>
      </c>
      <c r="AJ166" s="12">
        <v>12.62</v>
      </c>
      <c r="AK166" s="12">
        <f t="shared" si="454"/>
        <v>4.3301270189221928</v>
      </c>
      <c r="AL166" s="12">
        <f>15.12-AJ166</f>
        <v>2.5</v>
      </c>
      <c r="AM166" s="12">
        <f>AG166-AJ166</f>
        <v>-7.02</v>
      </c>
      <c r="AN166" s="12">
        <f>SQRT((((W166-1)*AH166^2)+((V166-1)*AK166^2))/(W166+V166-2))</f>
        <v>4.5336905496515749</v>
      </c>
      <c r="AO166" s="12">
        <f>AM166/AN166</f>
        <v>-1.5484074007961359</v>
      </c>
      <c r="AP166" s="12">
        <f>1/W166+1/V166+(AO166^2)/(2*(W166+V166))</f>
        <v>0.86646378990335371</v>
      </c>
      <c r="AQ166" s="12">
        <f>1-(3/(4*(W166+V166-2)-1))</f>
        <v>0.8</v>
      </c>
      <c r="AR166" s="21">
        <f>AO166*AQ166</f>
        <v>-1.2387259206369088</v>
      </c>
      <c r="AS166" s="21">
        <f t="shared" ref="AS166:AS167" si="455">AP166*(AQ166^2)</f>
        <v>0.55453682553814643</v>
      </c>
      <c r="AT166" s="21">
        <f>SQRT(AP166*AQ166^2)</f>
        <v>0.74467229405836388</v>
      </c>
      <c r="AU166" s="20">
        <f t="shared" ref="AU166:AU167" si="456">1/AS166</f>
        <v>1.8033067488882399</v>
      </c>
      <c r="AV166" s="20">
        <f t="shared" ref="AV166:AV167" si="457">AR166/AS166</f>
        <v>-2.2338028127073359</v>
      </c>
      <c r="AW166" s="20">
        <f t="shared" ref="AW166:AW167" si="458">((AR166)^2)/AS166</f>
        <v>2.7670694456922114</v>
      </c>
      <c r="AX166" s="14"/>
      <c r="AY166" s="14"/>
      <c r="AZ166" s="12" t="s">
        <v>271</v>
      </c>
      <c r="BA166" s="2"/>
    </row>
    <row r="167" spans="1:53" s="12" customFormat="1" ht="14.25" hidden="1" customHeight="1">
      <c r="A167" s="2">
        <v>442</v>
      </c>
      <c r="B167" s="2" t="s">
        <v>54</v>
      </c>
      <c r="C167" s="12" t="s">
        <v>85</v>
      </c>
      <c r="D167" s="12">
        <v>2015</v>
      </c>
      <c r="E167" s="12" t="s">
        <v>218</v>
      </c>
      <c r="F167" s="12" t="s">
        <v>120</v>
      </c>
      <c r="G167" s="12" t="s">
        <v>109</v>
      </c>
      <c r="H167" s="12">
        <v>41.696944000000002</v>
      </c>
      <c r="I167" s="12">
        <v>-6.2241109999999997</v>
      </c>
      <c r="J167" s="12" t="s">
        <v>126</v>
      </c>
      <c r="K167" s="12" t="s">
        <v>185</v>
      </c>
      <c r="L167" s="12" t="s">
        <v>186</v>
      </c>
      <c r="M167" s="12" t="s">
        <v>238</v>
      </c>
      <c r="N167" s="12" t="s">
        <v>239</v>
      </c>
      <c r="O167" s="12" t="s">
        <v>121</v>
      </c>
      <c r="Q167" s="12" t="s">
        <v>93</v>
      </c>
      <c r="R167" s="12">
        <v>2010</v>
      </c>
      <c r="S167" s="12">
        <v>1.5</v>
      </c>
      <c r="V167" s="12">
        <v>3</v>
      </c>
      <c r="W167" s="12">
        <v>3</v>
      </c>
      <c r="X167" s="12" t="s">
        <v>114</v>
      </c>
      <c r="Y167" s="12" t="s">
        <v>2</v>
      </c>
      <c r="Z167" s="12" t="s">
        <v>0</v>
      </c>
      <c r="AA167" s="12" t="s">
        <v>113</v>
      </c>
      <c r="AB167" s="12" t="s">
        <v>2</v>
      </c>
      <c r="AC167" s="12" t="s">
        <v>2</v>
      </c>
      <c r="AD167" s="12" t="s">
        <v>2</v>
      </c>
      <c r="AE167" s="12" t="s">
        <v>296</v>
      </c>
      <c r="AF167" s="12" t="s">
        <v>319</v>
      </c>
      <c r="AG167" s="12">
        <v>0.77</v>
      </c>
      <c r="AH167" s="12">
        <f t="shared" si="453"/>
        <v>0.53693575034635199</v>
      </c>
      <c r="AI167" s="12">
        <f>1.08-AG167</f>
        <v>0.31000000000000005</v>
      </c>
      <c r="AJ167" s="12">
        <v>1.49</v>
      </c>
      <c r="AK167" s="12">
        <f t="shared" si="454"/>
        <v>0.57157676649772959</v>
      </c>
      <c r="AL167" s="12">
        <f>1.82-AJ167</f>
        <v>0.33000000000000007</v>
      </c>
      <c r="AM167" s="12">
        <f>AG167-AJ167</f>
        <v>-0.72</v>
      </c>
      <c r="AN167" s="12">
        <f>SQRT((((W167-1)*AH167^2)+((V167-1)*AK167^2))/(W167+V167-2))</f>
        <v>0.55452682532047093</v>
      </c>
      <c r="AO167" s="12">
        <f>AM167/AN167</f>
        <v>-1.2984042739211024</v>
      </c>
      <c r="AP167" s="12">
        <f>1/W167+1/V167+(AO167^2)/(2*(W167+V167))</f>
        <v>0.80715447154471542</v>
      </c>
      <c r="AQ167" s="12">
        <f>1-(3/(4*(W167+V167-2)-1))</f>
        <v>0.8</v>
      </c>
      <c r="AR167" s="21">
        <f>AO167*AQ167</f>
        <v>-1.0387234191368819</v>
      </c>
      <c r="AS167" s="21">
        <f t="shared" si="455"/>
        <v>0.516578861788618</v>
      </c>
      <c r="AT167" s="21">
        <f>SQRT(AP167*AQ167^2)</f>
        <v>0.7187342080272916</v>
      </c>
      <c r="AU167" s="20">
        <f t="shared" si="456"/>
        <v>1.9358128525382752</v>
      </c>
      <c r="AV167" s="20">
        <f t="shared" si="457"/>
        <v>-2.0107741449976779</v>
      </c>
      <c r="AW167" s="20">
        <f t="shared" si="458"/>
        <v>2.088638195004028</v>
      </c>
      <c r="AX167" s="14"/>
      <c r="AY167" s="14"/>
      <c r="AZ167" s="12" t="s">
        <v>271</v>
      </c>
      <c r="BA167" s="2"/>
    </row>
    <row r="168" spans="1:53" s="12" customFormat="1" ht="14.25" hidden="1" customHeight="1">
      <c r="A168" s="2">
        <v>442</v>
      </c>
      <c r="B168" s="2" t="s">
        <v>54</v>
      </c>
      <c r="C168" s="12" t="s">
        <v>85</v>
      </c>
      <c r="D168" s="12">
        <v>2015</v>
      </c>
      <c r="E168" s="12" t="s">
        <v>218</v>
      </c>
      <c r="F168" s="12" t="s">
        <v>120</v>
      </c>
      <c r="G168" s="12" t="s">
        <v>109</v>
      </c>
      <c r="H168" s="12">
        <v>41.696944000000002</v>
      </c>
      <c r="I168" s="12">
        <v>-6.2241109999999997</v>
      </c>
      <c r="J168" s="12" t="s">
        <v>126</v>
      </c>
      <c r="K168" s="12" t="s">
        <v>185</v>
      </c>
      <c r="L168" s="12" t="s">
        <v>186</v>
      </c>
      <c r="M168" s="12" t="s">
        <v>238</v>
      </c>
      <c r="N168" s="12" t="s">
        <v>239</v>
      </c>
      <c r="O168" s="12" t="s">
        <v>121</v>
      </c>
      <c r="Q168" s="12" t="s">
        <v>93</v>
      </c>
      <c r="R168" s="12">
        <v>2010</v>
      </c>
      <c r="S168" s="12">
        <v>1.5</v>
      </c>
      <c r="V168" s="12">
        <v>3</v>
      </c>
      <c r="W168" s="12">
        <v>3</v>
      </c>
      <c r="X168" s="12" t="s">
        <v>114</v>
      </c>
      <c r="Y168" s="12" t="s">
        <v>2</v>
      </c>
      <c r="Z168" s="12" t="s">
        <v>0</v>
      </c>
      <c r="AA168" s="12" t="s">
        <v>113</v>
      </c>
      <c r="AB168" s="12" t="s">
        <v>2</v>
      </c>
      <c r="AC168" s="12" t="s">
        <v>2</v>
      </c>
      <c r="AD168" s="12" t="s">
        <v>2</v>
      </c>
      <c r="AE168" s="12" t="s">
        <v>348</v>
      </c>
      <c r="AF168" s="12" t="s">
        <v>321</v>
      </c>
      <c r="AG168" s="12">
        <f>((24*100)/59)/100</f>
        <v>0.40677966101694912</v>
      </c>
      <c r="AH168" s="14"/>
      <c r="AI168" s="14"/>
      <c r="AJ168" s="12">
        <f>((48*100)/83)/100</f>
        <v>0.57831325301204817</v>
      </c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">
        <f>LOG(AG168/AJ168)</f>
        <v>-0.15280391493005147</v>
      </c>
      <c r="AY168" s="12">
        <f>((1-AG168)/(AG168*W168))+((1-AJ168)/(V168*AJ168))</f>
        <v>0.72916666666666674</v>
      </c>
      <c r="AZ168" s="12" t="s">
        <v>284</v>
      </c>
    </row>
    <row r="169" spans="1:53" s="12" customFormat="1" ht="14.25" hidden="1" customHeight="1">
      <c r="A169" s="2">
        <v>442</v>
      </c>
      <c r="B169" s="2" t="s">
        <v>54</v>
      </c>
      <c r="C169" s="12" t="s">
        <v>85</v>
      </c>
      <c r="D169" s="12">
        <v>2015</v>
      </c>
      <c r="E169" s="12" t="s">
        <v>218</v>
      </c>
      <c r="F169" s="12" t="s">
        <v>120</v>
      </c>
      <c r="G169" s="12" t="s">
        <v>109</v>
      </c>
      <c r="H169" s="12">
        <v>41.696944000000002</v>
      </c>
      <c r="I169" s="12">
        <v>-6.2241109999999997</v>
      </c>
      <c r="J169" s="12" t="s">
        <v>126</v>
      </c>
      <c r="K169" s="12" t="s">
        <v>185</v>
      </c>
      <c r="L169" s="12" t="s">
        <v>186</v>
      </c>
      <c r="M169" s="12" t="s">
        <v>238</v>
      </c>
      <c r="N169" s="12" t="s">
        <v>239</v>
      </c>
      <c r="O169" s="12" t="s">
        <v>121</v>
      </c>
      <c r="Q169" s="12" t="s">
        <v>93</v>
      </c>
      <c r="R169" s="12">
        <v>2010</v>
      </c>
      <c r="S169" s="12">
        <v>1.5</v>
      </c>
      <c r="V169" s="12">
        <v>3</v>
      </c>
      <c r="W169" s="12">
        <v>3</v>
      </c>
      <c r="X169" s="12" t="s">
        <v>114</v>
      </c>
      <c r="Y169" s="12" t="s">
        <v>2</v>
      </c>
      <c r="Z169" s="12" t="s">
        <v>0</v>
      </c>
      <c r="AA169" s="12" t="s">
        <v>113</v>
      </c>
      <c r="AB169" s="12" t="s">
        <v>2</v>
      </c>
      <c r="AC169" s="12" t="s">
        <v>2</v>
      </c>
      <c r="AD169" s="12" t="s">
        <v>2</v>
      </c>
      <c r="AE169" s="12" t="s">
        <v>257</v>
      </c>
      <c r="AF169" s="12" t="s">
        <v>334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2" t="s">
        <v>286</v>
      </c>
    </row>
    <row r="170" spans="1:53" ht="14.25" hidden="1" customHeight="1">
      <c r="A170" s="2">
        <v>152</v>
      </c>
      <c r="B170" s="2" t="s">
        <v>22</v>
      </c>
      <c r="C170" s="1" t="s">
        <v>85</v>
      </c>
      <c r="D170" s="1">
        <v>2013</v>
      </c>
      <c r="E170" s="1">
        <v>2010</v>
      </c>
      <c r="F170" s="1" t="s">
        <v>143</v>
      </c>
      <c r="G170" s="1" t="s">
        <v>117</v>
      </c>
      <c r="H170" s="1">
        <v>63.826408000000001</v>
      </c>
      <c r="I170" s="1">
        <v>-145.86067399999999</v>
      </c>
      <c r="J170" s="1" t="s">
        <v>128</v>
      </c>
      <c r="K170" s="1" t="s">
        <v>103</v>
      </c>
      <c r="L170" s="1" t="s">
        <v>188</v>
      </c>
      <c r="M170" s="1" t="s">
        <v>237</v>
      </c>
      <c r="N170" s="16" t="s">
        <v>239</v>
      </c>
      <c r="O170" s="1" t="s">
        <v>86</v>
      </c>
      <c r="Q170" s="1" t="s">
        <v>93</v>
      </c>
      <c r="R170" s="1">
        <v>2010</v>
      </c>
      <c r="S170" s="1" t="s">
        <v>157</v>
      </c>
      <c r="V170" s="1">
        <v>2</v>
      </c>
      <c r="W170" s="1">
        <v>2</v>
      </c>
      <c r="X170" s="1" t="s">
        <v>97</v>
      </c>
      <c r="Y170" s="1" t="s">
        <v>133</v>
      </c>
      <c r="Z170" s="1" t="s">
        <v>1</v>
      </c>
      <c r="AA170" s="1" t="s">
        <v>98</v>
      </c>
      <c r="AB170" s="1" t="s">
        <v>203</v>
      </c>
      <c r="AC170" s="1" t="s">
        <v>229</v>
      </c>
      <c r="AD170" s="1" t="s">
        <v>131</v>
      </c>
      <c r="AE170" s="1" t="s">
        <v>223</v>
      </c>
      <c r="AF170" s="1" t="s">
        <v>335</v>
      </c>
      <c r="AG170" s="1">
        <v>121.2</v>
      </c>
      <c r="AH170" s="1">
        <f>AI170*SQRT(W170)</f>
        <v>34.223968209428904</v>
      </c>
      <c r="AI170" s="1">
        <v>24.2</v>
      </c>
      <c r="AJ170" s="1">
        <v>122.3</v>
      </c>
      <c r="AK170" s="1">
        <f>AL170*SQRT(V170)</f>
        <v>26.728636328851497</v>
      </c>
      <c r="AL170" s="1">
        <v>18.899999999999999</v>
      </c>
      <c r="AM170" s="12">
        <f t="shared" ref="AM170:AM296" si="459">AG170-AJ170</f>
        <v>-1.0999999999999943</v>
      </c>
      <c r="AN170" s="1">
        <f t="shared" si="379"/>
        <v>30.705862632402955</v>
      </c>
      <c r="AO170" s="1">
        <f t="shared" si="188"/>
        <v>-3.5823777796725957E-2</v>
      </c>
      <c r="AP170" s="1">
        <f t="shared" si="380"/>
        <v>1.0001604178819536</v>
      </c>
      <c r="AQ170" s="1">
        <f t="shared" si="381"/>
        <v>0.5714285714285714</v>
      </c>
      <c r="AR170" s="21">
        <f t="shared" si="196"/>
        <v>-2.047073016955769E-2</v>
      </c>
      <c r="AS170" s="21">
        <f t="shared" ref="AS170:AS180" si="460">AP170*(AQ170^2)</f>
        <v>0.32658299359410731</v>
      </c>
      <c r="AT170" s="21">
        <f t="shared" si="256"/>
        <v>0.57147440327114152</v>
      </c>
      <c r="AU170" s="20">
        <f t="shared" ref="AU170:AU180" si="461">1/AS170</f>
        <v>3.0620087990339355</v>
      </c>
      <c r="AV170" s="20">
        <f t="shared" ref="AV170:AV180" si="462">AR170/AS170</f>
        <v>-6.2681555901835093E-2</v>
      </c>
      <c r="AW170" s="20">
        <f t="shared" ref="AW170:AW180" si="463">((AR170)^2)/AS170</f>
        <v>1.2831372174745125E-3</v>
      </c>
      <c r="AX170" s="14"/>
      <c r="AY170" s="14"/>
      <c r="AZ170" s="1" t="s">
        <v>271</v>
      </c>
      <c r="BA170" s="2"/>
    </row>
    <row r="171" spans="1:53" ht="14.25" hidden="1" customHeight="1">
      <c r="A171" s="2">
        <v>152</v>
      </c>
      <c r="B171" s="2" t="s">
        <v>22</v>
      </c>
      <c r="C171" s="1" t="s">
        <v>85</v>
      </c>
      <c r="D171" s="1">
        <v>2013</v>
      </c>
      <c r="E171" s="1">
        <v>2010</v>
      </c>
      <c r="F171" s="1" t="s">
        <v>143</v>
      </c>
      <c r="G171" s="1" t="s">
        <v>117</v>
      </c>
      <c r="H171" s="1">
        <v>63.826408000000001</v>
      </c>
      <c r="I171" s="1">
        <v>-145.86067399999999</v>
      </c>
      <c r="J171" s="1" t="s">
        <v>128</v>
      </c>
      <c r="K171" s="1" t="s">
        <v>103</v>
      </c>
      <c r="L171" s="1" t="s">
        <v>188</v>
      </c>
      <c r="M171" s="1" t="s">
        <v>237</v>
      </c>
      <c r="N171" s="16" t="s">
        <v>239</v>
      </c>
      <c r="O171" s="1" t="s">
        <v>86</v>
      </c>
      <c r="Q171" s="1" t="s">
        <v>93</v>
      </c>
      <c r="R171" s="1">
        <v>2010</v>
      </c>
      <c r="S171" s="1" t="s">
        <v>157</v>
      </c>
      <c r="V171" s="1">
        <v>2</v>
      </c>
      <c r="W171" s="1">
        <v>2</v>
      </c>
      <c r="X171" s="1" t="s">
        <v>97</v>
      </c>
      <c r="Y171" s="1" t="s">
        <v>133</v>
      </c>
      <c r="Z171" s="1" t="s">
        <v>1</v>
      </c>
      <c r="AA171" s="1" t="s">
        <v>98</v>
      </c>
      <c r="AB171" s="1" t="s">
        <v>203</v>
      </c>
      <c r="AC171" s="1" t="s">
        <v>229</v>
      </c>
      <c r="AD171" s="1" t="s">
        <v>131</v>
      </c>
      <c r="AE171" s="1" t="s">
        <v>262</v>
      </c>
      <c r="AF171" s="1" t="s">
        <v>335</v>
      </c>
      <c r="AG171" s="1">
        <v>212.2</v>
      </c>
      <c r="AH171" s="1">
        <f t="shared" ref="AH171:AH178" si="464">AI171*SQRT(W171)</f>
        <v>65.478087937874307</v>
      </c>
      <c r="AI171" s="1">
        <v>46.3</v>
      </c>
      <c r="AJ171" s="1">
        <v>256.10000000000002</v>
      </c>
      <c r="AK171" s="1">
        <f t="shared" ref="AK171:AK178" si="465">AL171*SQRT(V171)</f>
        <v>30.547012947258857</v>
      </c>
      <c r="AL171" s="1">
        <v>21.6</v>
      </c>
      <c r="AM171" s="12">
        <f t="shared" ref="AM171" si="466">AG171-AJ171</f>
        <v>-43.900000000000034</v>
      </c>
      <c r="AN171" s="1">
        <f>SQRT((((W171-1)*AI171^2)+((V171-1)*AK171^2))/(W171+V171-2))</f>
        <v>39.222506294218377</v>
      </c>
      <c r="AO171" s="1">
        <f t="shared" ref="AO171" si="467">AM171/AN171</f>
        <v>-1.1192553497396251</v>
      </c>
      <c r="AP171" s="1">
        <f t="shared" ref="AP171" si="468">1/W171+1/V171+(AO171^2)/(2*(W171+V171))</f>
        <v>1.1565915672400964</v>
      </c>
      <c r="AQ171" s="1">
        <f t="shared" ref="AQ171" si="469">1-(3/(4*(W171+V171-2)-1))</f>
        <v>0.5714285714285714</v>
      </c>
      <c r="AR171" s="21">
        <f t="shared" ref="AR171" si="470">AO171*AQ171</f>
        <v>-0.63957448556550001</v>
      </c>
      <c r="AS171" s="21">
        <f t="shared" si="460"/>
        <v>0.3776625525681947</v>
      </c>
      <c r="AT171" s="21">
        <f t="shared" ref="AT171" si="471">SQRT(AP171*AQ171^2)</f>
        <v>0.61454255553882897</v>
      </c>
      <c r="AU171" s="20">
        <f t="shared" si="461"/>
        <v>2.6478664437333368</v>
      </c>
      <c r="AV171" s="20">
        <f t="shared" si="462"/>
        <v>-1.6935078185968988</v>
      </c>
      <c r="AW171" s="20">
        <f t="shared" si="463"/>
        <v>1.0831243918802635</v>
      </c>
      <c r="AX171" s="14"/>
      <c r="AY171" s="14"/>
      <c r="AZ171" s="1" t="s">
        <v>271</v>
      </c>
      <c r="BA171" s="2"/>
    </row>
    <row r="172" spans="1:53" ht="14.25" hidden="1" customHeight="1">
      <c r="A172" s="2">
        <v>152</v>
      </c>
      <c r="B172" s="2" t="s">
        <v>22</v>
      </c>
      <c r="C172" s="1" t="s">
        <v>85</v>
      </c>
      <c r="D172" s="1">
        <v>2013</v>
      </c>
      <c r="E172" s="1">
        <v>2010</v>
      </c>
      <c r="F172" s="1" t="s">
        <v>143</v>
      </c>
      <c r="G172" s="1" t="s">
        <v>117</v>
      </c>
      <c r="H172" s="1">
        <v>63.826408000000001</v>
      </c>
      <c r="I172" s="1">
        <v>-145.86067399999999</v>
      </c>
      <c r="J172" s="1" t="s">
        <v>128</v>
      </c>
      <c r="K172" s="1" t="s">
        <v>103</v>
      </c>
      <c r="L172" s="1" t="s">
        <v>188</v>
      </c>
      <c r="M172" s="1" t="s">
        <v>237</v>
      </c>
      <c r="N172" s="16" t="s">
        <v>239</v>
      </c>
      <c r="O172" s="1" t="s">
        <v>86</v>
      </c>
      <c r="Q172" s="1" t="s">
        <v>93</v>
      </c>
      <c r="R172" s="1">
        <v>2010</v>
      </c>
      <c r="S172" s="1" t="s">
        <v>157</v>
      </c>
      <c r="V172" s="1">
        <v>2</v>
      </c>
      <c r="W172" s="1">
        <v>2</v>
      </c>
      <c r="X172" s="1" t="s">
        <v>97</v>
      </c>
      <c r="Y172" s="1" t="s">
        <v>133</v>
      </c>
      <c r="Z172" s="1" t="s">
        <v>1</v>
      </c>
      <c r="AA172" s="1" t="s">
        <v>98</v>
      </c>
      <c r="AB172" s="1" t="s">
        <v>203</v>
      </c>
      <c r="AC172" s="1" t="s">
        <v>229</v>
      </c>
      <c r="AD172" s="1" t="s">
        <v>131</v>
      </c>
      <c r="AE172" s="1" t="s">
        <v>149</v>
      </c>
      <c r="AF172" s="1" t="s">
        <v>335</v>
      </c>
      <c r="AG172" s="1">
        <v>4.2</v>
      </c>
      <c r="AH172" s="1">
        <f t="shared" si="464"/>
        <v>0.14142135623730953</v>
      </c>
      <c r="AI172" s="1">
        <v>0.1</v>
      </c>
      <c r="AJ172" s="1">
        <v>2.8</v>
      </c>
      <c r="AK172" s="1">
        <f t="shared" si="465"/>
        <v>0.84852813742385702</v>
      </c>
      <c r="AL172" s="1">
        <v>0.6</v>
      </c>
      <c r="AM172" s="12">
        <f t="shared" ref="AM172" si="472">AG172-AJ172</f>
        <v>1.4000000000000004</v>
      </c>
      <c r="AN172" s="1">
        <f t="shared" ref="AN172" si="473">SQRT((((W172-1)*AH172^2)+((V172-1)*AK172^2))/(W172+V172-2))</f>
        <v>0.60827625302982191</v>
      </c>
      <c r="AO172" s="1">
        <f t="shared" ref="AO172" si="474">AM172/AN172</f>
        <v>2.301585822275003</v>
      </c>
      <c r="AP172" s="1">
        <f t="shared" ref="AP172" si="475">1/W172+1/V172+(AO172^2)/(2*(W172+V172))</f>
        <v>1.6621621621621627</v>
      </c>
      <c r="AQ172" s="1">
        <f t="shared" ref="AQ172" si="476">1-(3/(4*(W172+V172-2)-1))</f>
        <v>0.5714285714285714</v>
      </c>
      <c r="AR172" s="21">
        <f t="shared" ref="AR172" si="477">AO172*AQ172</f>
        <v>1.3151918984428588</v>
      </c>
      <c r="AS172" s="21">
        <f t="shared" si="460"/>
        <v>0.54274682846111433</v>
      </c>
      <c r="AT172" s="21">
        <f t="shared" ref="AT172" si="478">SQRT(AP172*AQ172^2)</f>
        <v>0.73671353215555524</v>
      </c>
      <c r="AU172" s="20">
        <f t="shared" si="461"/>
        <v>1.8424796747967473</v>
      </c>
      <c r="AV172" s="20">
        <f t="shared" si="462"/>
        <v>2.4232143413383151</v>
      </c>
      <c r="AW172" s="20">
        <f t="shared" si="463"/>
        <v>3.1869918699187005</v>
      </c>
      <c r="AX172" s="14"/>
      <c r="AY172" s="14"/>
      <c r="AZ172" s="1" t="s">
        <v>271</v>
      </c>
      <c r="BA172" s="2"/>
    </row>
    <row r="173" spans="1:53" ht="14.25" hidden="1" customHeight="1">
      <c r="A173" s="2">
        <v>152</v>
      </c>
      <c r="B173" s="2" t="s">
        <v>22</v>
      </c>
      <c r="C173" s="1" t="s">
        <v>85</v>
      </c>
      <c r="D173" s="1">
        <v>2013</v>
      </c>
      <c r="E173" s="1">
        <v>2010</v>
      </c>
      <c r="F173" s="1" t="s">
        <v>143</v>
      </c>
      <c r="G173" s="1" t="s">
        <v>117</v>
      </c>
      <c r="H173" s="1">
        <v>63.826408000000001</v>
      </c>
      <c r="I173" s="1">
        <v>-145.86067399999999</v>
      </c>
      <c r="J173" s="1" t="s">
        <v>128</v>
      </c>
      <c r="K173" s="1" t="s">
        <v>103</v>
      </c>
      <c r="L173" s="1" t="s">
        <v>188</v>
      </c>
      <c r="M173" s="1" t="s">
        <v>237</v>
      </c>
      <c r="N173" s="16" t="s">
        <v>239</v>
      </c>
      <c r="O173" s="1" t="s">
        <v>86</v>
      </c>
      <c r="Q173" s="1" t="s">
        <v>93</v>
      </c>
      <c r="R173" s="1">
        <v>2004</v>
      </c>
      <c r="S173" s="1">
        <v>6</v>
      </c>
      <c r="V173" s="1">
        <v>2</v>
      </c>
      <c r="W173" s="1">
        <v>2</v>
      </c>
      <c r="X173" s="1" t="s">
        <v>97</v>
      </c>
      <c r="Y173" s="1" t="s">
        <v>133</v>
      </c>
      <c r="Z173" s="1" t="s">
        <v>1</v>
      </c>
      <c r="AA173" s="1" t="s">
        <v>98</v>
      </c>
      <c r="AB173" s="1" t="s">
        <v>203</v>
      </c>
      <c r="AC173" s="1" t="s">
        <v>229</v>
      </c>
      <c r="AD173" s="1" t="s">
        <v>131</v>
      </c>
      <c r="AE173" s="1" t="s">
        <v>223</v>
      </c>
      <c r="AF173" s="1" t="s">
        <v>335</v>
      </c>
      <c r="AG173" s="1">
        <v>142.1</v>
      </c>
      <c r="AH173" s="1">
        <f t="shared" si="464"/>
        <v>1.8384776310850237</v>
      </c>
      <c r="AI173" s="1">
        <v>1.3</v>
      </c>
      <c r="AJ173" s="1">
        <v>122.3</v>
      </c>
      <c r="AK173" s="1">
        <f t="shared" si="465"/>
        <v>26.728636328851497</v>
      </c>
      <c r="AL173" s="1">
        <v>18.899999999999999</v>
      </c>
      <c r="AM173" s="12">
        <f t="shared" si="459"/>
        <v>19.799999999999997</v>
      </c>
      <c r="AN173" s="1">
        <f t="shared" si="379"/>
        <v>18.944656238633627</v>
      </c>
      <c r="AO173" s="1">
        <f t="shared" si="188"/>
        <v>1.0451496058092666</v>
      </c>
      <c r="AP173" s="1">
        <f t="shared" si="380"/>
        <v>1.1365422123154081</v>
      </c>
      <c r="AQ173" s="1">
        <f t="shared" si="381"/>
        <v>0.5714285714285714</v>
      </c>
      <c r="AR173" s="21">
        <f t="shared" si="196"/>
        <v>0.59722834617672371</v>
      </c>
      <c r="AS173" s="21">
        <f t="shared" si="460"/>
        <v>0.37111582442952096</v>
      </c>
      <c r="AT173" s="21">
        <f t="shared" si="256"/>
        <v>0.60919276459058591</v>
      </c>
      <c r="AU173" s="20">
        <f t="shared" si="461"/>
        <v>2.6945765558156931</v>
      </c>
      <c r="AV173" s="20">
        <f t="shared" si="462"/>
        <v>1.6092775000763786</v>
      </c>
      <c r="AW173" s="20">
        <f t="shared" si="463"/>
        <v>0.96110613991002791</v>
      </c>
      <c r="AX173" s="14"/>
      <c r="AY173" s="14"/>
      <c r="AZ173" s="1" t="s">
        <v>271</v>
      </c>
      <c r="BA173" s="2"/>
    </row>
    <row r="174" spans="1:53" ht="14.25" hidden="1" customHeight="1">
      <c r="A174" s="2">
        <v>152</v>
      </c>
      <c r="B174" s="2" t="s">
        <v>22</v>
      </c>
      <c r="C174" s="1" t="s">
        <v>85</v>
      </c>
      <c r="D174" s="1">
        <v>2013</v>
      </c>
      <c r="E174" s="1">
        <v>2010</v>
      </c>
      <c r="F174" s="1" t="s">
        <v>143</v>
      </c>
      <c r="G174" s="1" t="s">
        <v>117</v>
      </c>
      <c r="H174" s="1">
        <v>63.826408000000001</v>
      </c>
      <c r="I174" s="1">
        <v>-145.86067399999999</v>
      </c>
      <c r="J174" s="1" t="s">
        <v>128</v>
      </c>
      <c r="K174" s="1" t="s">
        <v>103</v>
      </c>
      <c r="L174" s="1" t="s">
        <v>188</v>
      </c>
      <c r="M174" s="1" t="s">
        <v>237</v>
      </c>
      <c r="N174" s="16" t="s">
        <v>239</v>
      </c>
      <c r="O174" s="1" t="s">
        <v>86</v>
      </c>
      <c r="Q174" s="1" t="s">
        <v>93</v>
      </c>
      <c r="R174" s="1">
        <v>2004</v>
      </c>
      <c r="S174" s="1">
        <v>6</v>
      </c>
      <c r="V174" s="1">
        <v>2</v>
      </c>
      <c r="W174" s="1">
        <v>2</v>
      </c>
      <c r="X174" s="1" t="s">
        <v>97</v>
      </c>
      <c r="Y174" s="1" t="s">
        <v>133</v>
      </c>
      <c r="Z174" s="1" t="s">
        <v>1</v>
      </c>
      <c r="AA174" s="1" t="s">
        <v>98</v>
      </c>
      <c r="AB174" s="1" t="s">
        <v>203</v>
      </c>
      <c r="AC174" s="1" t="s">
        <v>229</v>
      </c>
      <c r="AD174" s="1" t="s">
        <v>131</v>
      </c>
      <c r="AE174" s="1" t="s">
        <v>262</v>
      </c>
      <c r="AF174" s="1" t="s">
        <v>335</v>
      </c>
      <c r="AG174" s="1">
        <v>247.2</v>
      </c>
      <c r="AH174" s="1">
        <f t="shared" si="464"/>
        <v>16.546298679765211</v>
      </c>
      <c r="AI174" s="1">
        <v>11.7</v>
      </c>
      <c r="AJ174" s="1">
        <v>256.10000000000002</v>
      </c>
      <c r="AK174" s="1">
        <f t="shared" si="465"/>
        <v>30.547012947258857</v>
      </c>
      <c r="AL174" s="1">
        <v>21.6</v>
      </c>
      <c r="AM174" s="12">
        <f t="shared" ref="AM174" si="479">AG174-AJ174</f>
        <v>-8.9000000000000341</v>
      </c>
      <c r="AN174" s="1">
        <f t="shared" ref="AN174" si="480">SQRT((((W174-1)*AH174^2)+((V174-1)*AK174^2))/(W174+V174-2))</f>
        <v>24.565219315121126</v>
      </c>
      <c r="AO174" s="1">
        <f t="shared" ref="AO174" si="481">AM174/AN174</f>
        <v>-0.36230085658228328</v>
      </c>
      <c r="AP174" s="1">
        <f t="shared" ref="AP174" si="482">1/W174+1/V174+(AO174^2)/(2*(W174+V174))</f>
        <v>1.0164077388350321</v>
      </c>
      <c r="AQ174" s="1">
        <f t="shared" ref="AQ174" si="483">1-(3/(4*(W174+V174-2)-1))</f>
        <v>0.5714285714285714</v>
      </c>
      <c r="AR174" s="21">
        <f t="shared" ref="AR174" si="484">AO174*AQ174</f>
        <v>-0.20702906090416187</v>
      </c>
      <c r="AS174" s="21">
        <f t="shared" si="460"/>
        <v>0.33188824125225536</v>
      </c>
      <c r="AT174" s="21">
        <f t="shared" ref="AT174" si="485">SQRT(AP174*AQ174^2)</f>
        <v>0.57609742340359005</v>
      </c>
      <c r="AU174" s="20">
        <f t="shared" si="461"/>
        <v>3.0130624580939549</v>
      </c>
      <c r="AV174" s="20">
        <f t="shared" si="462"/>
        <v>-0.62379149114477705</v>
      </c>
      <c r="AW174" s="20">
        <f t="shared" si="463"/>
        <v>0.12914296661171001</v>
      </c>
      <c r="AX174" s="14"/>
      <c r="AY174" s="14"/>
      <c r="AZ174" s="1" t="s">
        <v>271</v>
      </c>
      <c r="BA174" s="2"/>
    </row>
    <row r="175" spans="1:53" ht="14.25" hidden="1" customHeight="1">
      <c r="A175" s="2">
        <v>152</v>
      </c>
      <c r="B175" s="2" t="s">
        <v>22</v>
      </c>
      <c r="C175" s="1" t="s">
        <v>85</v>
      </c>
      <c r="D175" s="1">
        <v>2013</v>
      </c>
      <c r="E175" s="1">
        <v>2010</v>
      </c>
      <c r="F175" s="1" t="s">
        <v>143</v>
      </c>
      <c r="G175" s="1" t="s">
        <v>117</v>
      </c>
      <c r="H175" s="1">
        <v>63.826408000000001</v>
      </c>
      <c r="I175" s="1">
        <v>-145.86067399999999</v>
      </c>
      <c r="J175" s="1" t="s">
        <v>128</v>
      </c>
      <c r="K175" s="1" t="s">
        <v>103</v>
      </c>
      <c r="L175" s="1" t="s">
        <v>188</v>
      </c>
      <c r="M175" s="1" t="s">
        <v>237</v>
      </c>
      <c r="N175" s="16" t="s">
        <v>239</v>
      </c>
      <c r="O175" s="1" t="s">
        <v>86</v>
      </c>
      <c r="Q175" s="1" t="s">
        <v>93</v>
      </c>
      <c r="R175" s="1">
        <v>2004</v>
      </c>
      <c r="S175" s="1">
        <v>6</v>
      </c>
      <c r="V175" s="1">
        <v>2</v>
      </c>
      <c r="W175" s="1">
        <v>2</v>
      </c>
      <c r="X175" s="1" t="s">
        <v>97</v>
      </c>
      <c r="Y175" s="1" t="s">
        <v>133</v>
      </c>
      <c r="Z175" s="1" t="s">
        <v>1</v>
      </c>
      <c r="AA175" s="1" t="s">
        <v>98</v>
      </c>
      <c r="AB175" s="1" t="s">
        <v>203</v>
      </c>
      <c r="AC175" s="1" t="s">
        <v>229</v>
      </c>
      <c r="AD175" s="1" t="s">
        <v>131</v>
      </c>
      <c r="AE175" s="1" t="s">
        <v>149</v>
      </c>
      <c r="AF175" s="1" t="s">
        <v>335</v>
      </c>
      <c r="AG175" s="1">
        <v>4.8</v>
      </c>
      <c r="AH175" s="1">
        <f t="shared" si="464"/>
        <v>0.14142135623730953</v>
      </c>
      <c r="AI175" s="1">
        <v>0.1</v>
      </c>
      <c r="AJ175" s="1">
        <v>2.8</v>
      </c>
      <c r="AK175" s="1">
        <f t="shared" si="465"/>
        <v>0.84852813742385702</v>
      </c>
      <c r="AL175" s="1">
        <v>0.6</v>
      </c>
      <c r="AM175" s="12">
        <f t="shared" ref="AM175" si="486">AG175-AJ175</f>
        <v>2</v>
      </c>
      <c r="AN175" s="1">
        <f t="shared" ref="AN175" si="487">SQRT((((W175-1)*AH175^2)+((V175-1)*AK175^2))/(W175+V175-2))</f>
        <v>0.60827625302982191</v>
      </c>
      <c r="AO175" s="1">
        <f t="shared" ref="AO175" si="488">AM175/AN175</f>
        <v>3.2879797461071463</v>
      </c>
      <c r="AP175" s="1">
        <f t="shared" ref="AP175" si="489">1/W175+1/V175+(AO175^2)/(2*(W175+V175))</f>
        <v>2.3513513513513518</v>
      </c>
      <c r="AQ175" s="1">
        <f t="shared" ref="AQ175" si="490">1-(3/(4*(W175+V175-2)-1))</f>
        <v>0.5714285714285714</v>
      </c>
      <c r="AR175" s="21">
        <f t="shared" ref="AR175" si="491">AO175*AQ175</f>
        <v>1.8788455692040835</v>
      </c>
      <c r="AS175" s="21">
        <f t="shared" si="460"/>
        <v>0.76778819635962503</v>
      </c>
      <c r="AT175" s="21">
        <f t="shared" ref="AT175" si="492">SQRT(AP175*AQ175^2)</f>
        <v>0.87623524030914501</v>
      </c>
      <c r="AU175" s="20">
        <f t="shared" si="461"/>
        <v>1.302442528735632</v>
      </c>
      <c r="AV175" s="20">
        <f t="shared" si="462"/>
        <v>2.4470883742579046</v>
      </c>
      <c r="AW175" s="20">
        <f t="shared" si="463"/>
        <v>4.597701149425288</v>
      </c>
      <c r="AX175" s="14"/>
      <c r="AY175" s="14"/>
      <c r="AZ175" s="1" t="s">
        <v>271</v>
      </c>
      <c r="BA175" s="2"/>
    </row>
    <row r="176" spans="1:53" ht="14.25" hidden="1" customHeight="1">
      <c r="A176" s="2">
        <v>152</v>
      </c>
      <c r="B176" s="2" t="s">
        <v>22</v>
      </c>
      <c r="C176" s="1" t="s">
        <v>85</v>
      </c>
      <c r="D176" s="1">
        <v>2013</v>
      </c>
      <c r="E176" s="1">
        <v>2010</v>
      </c>
      <c r="F176" s="1" t="s">
        <v>143</v>
      </c>
      <c r="G176" s="1" t="s">
        <v>117</v>
      </c>
      <c r="H176" s="1">
        <v>63.826408000000001</v>
      </c>
      <c r="I176" s="1">
        <v>-145.86067399999999</v>
      </c>
      <c r="J176" s="1" t="s">
        <v>128</v>
      </c>
      <c r="K176" s="1" t="s">
        <v>103</v>
      </c>
      <c r="L176" s="1" t="s">
        <v>188</v>
      </c>
      <c r="M176" s="1" t="s">
        <v>237</v>
      </c>
      <c r="N176" s="16" t="s">
        <v>239</v>
      </c>
      <c r="O176" s="1" t="s">
        <v>86</v>
      </c>
      <c r="Q176" s="1" t="s">
        <v>93</v>
      </c>
      <c r="R176" s="1">
        <v>1999</v>
      </c>
      <c r="S176" s="1">
        <v>11</v>
      </c>
      <c r="V176" s="1">
        <v>2</v>
      </c>
      <c r="W176" s="1">
        <v>2</v>
      </c>
      <c r="X176" s="1" t="s">
        <v>97</v>
      </c>
      <c r="Y176" s="1" t="s">
        <v>133</v>
      </c>
      <c r="Z176" s="1" t="s">
        <v>1</v>
      </c>
      <c r="AA176" s="1" t="s">
        <v>98</v>
      </c>
      <c r="AB176" s="1" t="s">
        <v>203</v>
      </c>
      <c r="AC176" s="1" t="s">
        <v>229</v>
      </c>
      <c r="AD176" s="1" t="s">
        <v>131</v>
      </c>
      <c r="AE176" s="1" t="s">
        <v>223</v>
      </c>
      <c r="AF176" s="1" t="s">
        <v>335</v>
      </c>
      <c r="AG176" s="1">
        <v>134.30000000000001</v>
      </c>
      <c r="AH176" s="1">
        <f t="shared" si="464"/>
        <v>20.930360723121808</v>
      </c>
      <c r="AI176" s="1">
        <v>14.8</v>
      </c>
      <c r="AJ176" s="1">
        <v>122.3</v>
      </c>
      <c r="AK176" s="1">
        <f t="shared" si="465"/>
        <v>26.728636328851497</v>
      </c>
      <c r="AL176" s="1">
        <v>18.899999999999999</v>
      </c>
      <c r="AM176" s="12">
        <f t="shared" si="459"/>
        <v>12.000000000000014</v>
      </c>
      <c r="AN176" s="1">
        <f t="shared" si="379"/>
        <v>24.005207768315607</v>
      </c>
      <c r="AO176" s="1">
        <f t="shared" si="188"/>
        <v>0.49989152836405665</v>
      </c>
      <c r="AP176" s="1">
        <f t="shared" si="380"/>
        <v>1.031236442516269</v>
      </c>
      <c r="AQ176" s="1">
        <f t="shared" si="381"/>
        <v>0.5714285714285714</v>
      </c>
      <c r="AR176" s="21">
        <f t="shared" si="196"/>
        <v>0.28565230192231805</v>
      </c>
      <c r="AS176" s="21">
        <f t="shared" si="460"/>
        <v>0.33673026694408781</v>
      </c>
      <c r="AT176" s="21">
        <f t="shared" si="256"/>
        <v>0.58028464303657723</v>
      </c>
      <c r="AU176" s="20">
        <f t="shared" si="461"/>
        <v>2.9697360117795544</v>
      </c>
      <c r="AV176" s="20">
        <f t="shared" si="462"/>
        <v>0.84831192786643395</v>
      </c>
      <c r="AW176" s="20">
        <f t="shared" si="463"/>
        <v>0.24232225494320628</v>
      </c>
      <c r="AX176" s="14"/>
      <c r="AY176" s="14"/>
      <c r="AZ176" s="1" t="s">
        <v>271</v>
      </c>
      <c r="BA176" s="2"/>
    </row>
    <row r="177" spans="1:53" ht="14.25" hidden="1" customHeight="1">
      <c r="A177" s="2">
        <v>152</v>
      </c>
      <c r="B177" s="2" t="s">
        <v>22</v>
      </c>
      <c r="C177" s="1" t="s">
        <v>85</v>
      </c>
      <c r="D177" s="1">
        <v>2013</v>
      </c>
      <c r="E177" s="1">
        <v>2010</v>
      </c>
      <c r="F177" s="1" t="s">
        <v>143</v>
      </c>
      <c r="G177" s="1" t="s">
        <v>117</v>
      </c>
      <c r="H177" s="1">
        <v>63.826408000000001</v>
      </c>
      <c r="I177" s="1">
        <v>-145.86067399999999</v>
      </c>
      <c r="J177" s="1" t="s">
        <v>128</v>
      </c>
      <c r="K177" s="1" t="s">
        <v>103</v>
      </c>
      <c r="L177" s="1" t="s">
        <v>188</v>
      </c>
      <c r="M177" s="1" t="s">
        <v>237</v>
      </c>
      <c r="N177" s="16" t="s">
        <v>239</v>
      </c>
      <c r="O177" s="1" t="s">
        <v>86</v>
      </c>
      <c r="Q177" s="1" t="s">
        <v>93</v>
      </c>
      <c r="R177" s="1">
        <v>1999</v>
      </c>
      <c r="S177" s="1">
        <v>11</v>
      </c>
      <c r="V177" s="1">
        <v>2</v>
      </c>
      <c r="W177" s="1">
        <v>2</v>
      </c>
      <c r="X177" s="1" t="s">
        <v>97</v>
      </c>
      <c r="Y177" s="1" t="s">
        <v>133</v>
      </c>
      <c r="Z177" s="1" t="s">
        <v>1</v>
      </c>
      <c r="AA177" s="1" t="s">
        <v>98</v>
      </c>
      <c r="AB177" s="1" t="s">
        <v>203</v>
      </c>
      <c r="AC177" s="1" t="s">
        <v>229</v>
      </c>
      <c r="AD177" s="1" t="s">
        <v>131</v>
      </c>
      <c r="AE177" s="1" t="s">
        <v>262</v>
      </c>
      <c r="AF177" s="1" t="s">
        <v>335</v>
      </c>
      <c r="AG177" s="1">
        <v>277</v>
      </c>
      <c r="AH177" s="1">
        <f t="shared" si="464"/>
        <v>82.024386617639522</v>
      </c>
      <c r="AI177" s="1">
        <v>58</v>
      </c>
      <c r="AJ177" s="1">
        <v>256.10000000000002</v>
      </c>
      <c r="AK177" s="1">
        <f t="shared" si="465"/>
        <v>30.547012947258857</v>
      </c>
      <c r="AL177" s="1">
        <v>21.6</v>
      </c>
      <c r="AM177" s="12">
        <f t="shared" ref="AM177" si="493">AG177-AJ177</f>
        <v>20.899999999999977</v>
      </c>
      <c r="AN177" s="1">
        <f t="shared" ref="AN177" si="494">SQRT((((W177-1)*AH177^2)+((V177-1)*AK177^2))/(W177+V177-2))</f>
        <v>61.891517997218337</v>
      </c>
      <c r="AO177" s="1">
        <f t="shared" ref="AO177" si="495">AM177/AN177</f>
        <v>0.33768762952201803</v>
      </c>
      <c r="AP177" s="1">
        <f t="shared" ref="AP177" si="496">1/W177+1/V177+(AO177^2)/(2*(W177+V177))</f>
        <v>1.0142541168915249</v>
      </c>
      <c r="AQ177" s="1">
        <f t="shared" ref="AQ177" si="497">1-(3/(4*(W177+V177-2)-1))</f>
        <v>0.5714285714285714</v>
      </c>
      <c r="AR177" s="21">
        <f t="shared" ref="AR177" si="498">AO177*AQ177</f>
        <v>0.19296435972686743</v>
      </c>
      <c r="AS177" s="21">
        <f t="shared" si="460"/>
        <v>0.33118501776049791</v>
      </c>
      <c r="AT177" s="21">
        <f t="shared" ref="AT177" si="499">SQRT(AP177*AQ177^2)</f>
        <v>0.57548676592993686</v>
      </c>
      <c r="AU177" s="20">
        <f t="shared" si="461"/>
        <v>3.0194602604975538</v>
      </c>
      <c r="AV177" s="20">
        <f t="shared" si="462"/>
        <v>0.58264821588763083</v>
      </c>
      <c r="AW177" s="20">
        <f t="shared" si="463"/>
        <v>0.11243033992475829</v>
      </c>
      <c r="AX177" s="14"/>
      <c r="AY177" s="14"/>
      <c r="AZ177" s="1" t="s">
        <v>271</v>
      </c>
      <c r="BA177" s="2"/>
    </row>
    <row r="178" spans="1:53" ht="14.25" hidden="1" customHeight="1">
      <c r="A178" s="2">
        <v>152</v>
      </c>
      <c r="B178" s="2" t="s">
        <v>22</v>
      </c>
      <c r="C178" s="1" t="s">
        <v>85</v>
      </c>
      <c r="D178" s="1">
        <v>2013</v>
      </c>
      <c r="E178" s="1">
        <v>2010</v>
      </c>
      <c r="F178" s="1" t="s">
        <v>143</v>
      </c>
      <c r="G178" s="1" t="s">
        <v>117</v>
      </c>
      <c r="H178" s="1">
        <v>63.826408000000001</v>
      </c>
      <c r="I178" s="1">
        <v>-145.86067399999999</v>
      </c>
      <c r="J178" s="1" t="s">
        <v>128</v>
      </c>
      <c r="K178" s="1" t="s">
        <v>103</v>
      </c>
      <c r="L178" s="1" t="s">
        <v>188</v>
      </c>
      <c r="M178" s="1" t="s">
        <v>237</v>
      </c>
      <c r="N178" s="16" t="s">
        <v>239</v>
      </c>
      <c r="O178" s="1" t="s">
        <v>86</v>
      </c>
      <c r="Q178" s="1" t="s">
        <v>93</v>
      </c>
      <c r="R178" s="1">
        <v>1999</v>
      </c>
      <c r="S178" s="1">
        <v>11</v>
      </c>
      <c r="V178" s="1">
        <v>2</v>
      </c>
      <c r="W178" s="1">
        <v>2</v>
      </c>
      <c r="X178" s="1" t="s">
        <v>97</v>
      </c>
      <c r="Y178" s="1" t="s">
        <v>133</v>
      </c>
      <c r="Z178" s="1" t="s">
        <v>1</v>
      </c>
      <c r="AA178" s="1" t="s">
        <v>98</v>
      </c>
      <c r="AB178" s="1" t="s">
        <v>203</v>
      </c>
      <c r="AC178" s="1" t="s">
        <v>229</v>
      </c>
      <c r="AD178" s="1" t="s">
        <v>131</v>
      </c>
      <c r="AE178" s="1" t="s">
        <v>149</v>
      </c>
      <c r="AF178" s="1" t="s">
        <v>335</v>
      </c>
      <c r="AG178" s="1">
        <v>4.3</v>
      </c>
      <c r="AH178" s="1">
        <f t="shared" si="464"/>
        <v>0.14142135623730953</v>
      </c>
      <c r="AI178" s="1">
        <v>0.1</v>
      </c>
      <c r="AJ178" s="1">
        <v>2.8</v>
      </c>
      <c r="AK178" s="1">
        <f t="shared" si="465"/>
        <v>0.84852813742385702</v>
      </c>
      <c r="AL178" s="1">
        <v>0.6</v>
      </c>
      <c r="AM178" s="12">
        <f t="shared" ref="AM178" si="500">AG178-AJ178</f>
        <v>1.5</v>
      </c>
      <c r="AN178" s="1">
        <f t="shared" ref="AN178" si="501">SQRT((((W178-1)*AH178^2)+((V178-1)*AK178^2))/(W178+V178-2))</f>
        <v>0.60827625302982191</v>
      </c>
      <c r="AO178" s="1">
        <f t="shared" ref="AO178" si="502">AM178/AN178</f>
        <v>2.4659848095803594</v>
      </c>
      <c r="AP178" s="1">
        <f t="shared" ref="AP178" si="503">1/W178+1/V178+(AO178^2)/(2*(W178+V178))</f>
        <v>1.7601351351351351</v>
      </c>
      <c r="AQ178" s="1">
        <f t="shared" ref="AQ178" si="504">1-(3/(4*(W178+V178-2)-1))</f>
        <v>0.5714285714285714</v>
      </c>
      <c r="AR178" s="21">
        <f t="shared" ref="AR178" si="505">AO178*AQ178</f>
        <v>1.4091341769030625</v>
      </c>
      <c r="AS178" s="21">
        <f t="shared" si="460"/>
        <v>0.57473800330943181</v>
      </c>
      <c r="AT178" s="21">
        <f t="shared" ref="AT178" si="506">SQRT(AP178*AQ178^2)</f>
        <v>0.75811476921995913</v>
      </c>
      <c r="AU178" s="20">
        <f t="shared" si="461"/>
        <v>1.7399232245681384</v>
      </c>
      <c r="AV178" s="20">
        <f t="shared" si="462"/>
        <v>2.4517852809263463</v>
      </c>
      <c r="AW178" s="20">
        <f t="shared" si="463"/>
        <v>3.4548944337811904</v>
      </c>
      <c r="AX178" s="14"/>
      <c r="AY178" s="14"/>
      <c r="AZ178" s="1" t="s">
        <v>271</v>
      </c>
      <c r="BA178" s="2"/>
    </row>
    <row r="179" spans="1:53" ht="14.25" hidden="1" customHeight="1">
      <c r="A179" s="2">
        <v>425</v>
      </c>
      <c r="B179" s="2" t="s">
        <v>53</v>
      </c>
      <c r="C179" s="1" t="s">
        <v>85</v>
      </c>
      <c r="D179" s="1">
        <v>2021</v>
      </c>
      <c r="F179" s="1" t="s">
        <v>143</v>
      </c>
      <c r="G179" s="1" t="s">
        <v>142</v>
      </c>
      <c r="H179" s="1">
        <v>30.75</v>
      </c>
      <c r="I179" s="1">
        <v>-84</v>
      </c>
      <c r="J179" s="1" t="s">
        <v>128</v>
      </c>
      <c r="K179" s="1" t="s">
        <v>177</v>
      </c>
      <c r="L179" s="1" t="s">
        <v>190</v>
      </c>
      <c r="M179" s="1" t="s">
        <v>237</v>
      </c>
      <c r="N179" s="16" t="s">
        <v>239</v>
      </c>
      <c r="O179" s="1" t="s">
        <v>121</v>
      </c>
      <c r="Q179" s="1" t="s">
        <v>115</v>
      </c>
      <c r="R179" s="1">
        <v>2017</v>
      </c>
      <c r="S179" s="1" t="s">
        <v>157</v>
      </c>
      <c r="V179" s="1">
        <v>9</v>
      </c>
      <c r="W179" s="1">
        <v>15</v>
      </c>
      <c r="X179" s="1" t="s">
        <v>97</v>
      </c>
      <c r="Y179" s="1" t="s">
        <v>132</v>
      </c>
      <c r="Z179" s="1" t="s">
        <v>1</v>
      </c>
      <c r="AA179" s="1" t="s">
        <v>98</v>
      </c>
      <c r="AB179" s="1" t="s">
        <v>203</v>
      </c>
      <c r="AC179" s="1" t="s">
        <v>99</v>
      </c>
      <c r="AD179" s="1" t="s">
        <v>102</v>
      </c>
      <c r="AE179" s="12" t="s">
        <v>223</v>
      </c>
      <c r="AF179" s="12" t="s">
        <v>326</v>
      </c>
      <c r="AG179" s="16">
        <v>7.06</v>
      </c>
      <c r="AH179" s="12">
        <f>7.23-6.82</f>
        <v>0.41000000000000014</v>
      </c>
      <c r="AI179" s="16"/>
      <c r="AJ179" s="16">
        <v>7</v>
      </c>
      <c r="AK179" s="16">
        <f>7.2-6.81</f>
        <v>0.39000000000000057</v>
      </c>
      <c r="AL179" s="16"/>
      <c r="AM179" s="12">
        <f t="shared" si="459"/>
        <v>5.9999999999999609E-2</v>
      </c>
      <c r="AN179" s="1">
        <f t="shared" si="379"/>
        <v>0.40284217527689231</v>
      </c>
      <c r="AO179" s="1">
        <f t="shared" si="188"/>
        <v>0.1489417039284896</v>
      </c>
      <c r="AP179" s="1">
        <f t="shared" si="380"/>
        <v>0.17823993676046779</v>
      </c>
      <c r="AQ179" s="1">
        <f t="shared" si="381"/>
        <v>0.96551724137931039</v>
      </c>
      <c r="AR179" s="21">
        <f t="shared" si="196"/>
        <v>0.14380578310336928</v>
      </c>
      <c r="AS179" s="21">
        <f t="shared" si="460"/>
        <v>0.16615946542236237</v>
      </c>
      <c r="AT179" s="21">
        <f t="shared" si="256"/>
        <v>0.40762662501652464</v>
      </c>
      <c r="AU179" s="20">
        <f t="shared" si="461"/>
        <v>6.0183149810821197</v>
      </c>
      <c r="AV179" s="20">
        <f t="shared" si="462"/>
        <v>0.8654684988172533</v>
      </c>
      <c r="AW179" s="20">
        <f t="shared" si="463"/>
        <v>0.12445937522371255</v>
      </c>
      <c r="AX179" s="14"/>
      <c r="AY179" s="14"/>
      <c r="AZ179" s="1" t="s">
        <v>271</v>
      </c>
      <c r="BA179" s="2"/>
    </row>
    <row r="180" spans="1:53" ht="14.25" hidden="1" customHeight="1">
      <c r="A180" s="2">
        <v>425</v>
      </c>
      <c r="B180" s="2" t="s">
        <v>53</v>
      </c>
      <c r="C180" s="1" t="s">
        <v>85</v>
      </c>
      <c r="D180" s="1">
        <v>2021</v>
      </c>
      <c r="F180" s="1" t="s">
        <v>143</v>
      </c>
      <c r="G180" s="1" t="s">
        <v>142</v>
      </c>
      <c r="H180" s="1">
        <v>30.75</v>
      </c>
      <c r="I180" s="1">
        <v>-84</v>
      </c>
      <c r="J180" s="1" t="s">
        <v>128</v>
      </c>
      <c r="K180" s="1" t="s">
        <v>177</v>
      </c>
      <c r="L180" s="1" t="s">
        <v>190</v>
      </c>
      <c r="M180" s="1" t="s">
        <v>237</v>
      </c>
      <c r="N180" s="16" t="s">
        <v>239</v>
      </c>
      <c r="O180" s="1" t="s">
        <v>121</v>
      </c>
      <c r="Q180" s="1" t="s">
        <v>115</v>
      </c>
      <c r="R180" s="1">
        <v>2017</v>
      </c>
      <c r="S180" s="1" t="s">
        <v>157</v>
      </c>
      <c r="V180" s="1">
        <v>9</v>
      </c>
      <c r="W180" s="1">
        <v>15</v>
      </c>
      <c r="X180" s="1" t="s">
        <v>97</v>
      </c>
      <c r="Y180" s="1" t="s">
        <v>132</v>
      </c>
      <c r="Z180" s="1" t="s">
        <v>1</v>
      </c>
      <c r="AA180" s="1" t="s">
        <v>98</v>
      </c>
      <c r="AB180" s="1" t="s">
        <v>203</v>
      </c>
      <c r="AC180" s="1" t="s">
        <v>99</v>
      </c>
      <c r="AD180" s="1" t="s">
        <v>102</v>
      </c>
      <c r="AE180" s="12" t="s">
        <v>310</v>
      </c>
      <c r="AF180" s="12" t="s">
        <v>347</v>
      </c>
      <c r="AG180" s="12">
        <v>6.35</v>
      </c>
      <c r="AH180" s="12">
        <f>6.6-6.06</f>
        <v>0.54</v>
      </c>
      <c r="AI180" s="12"/>
      <c r="AJ180" s="12">
        <v>6.31</v>
      </c>
      <c r="AK180" s="12">
        <f>6.51-6.11</f>
        <v>0.39999999999999947</v>
      </c>
      <c r="AL180" s="12"/>
      <c r="AM180" s="12">
        <f t="shared" ref="AM180" si="507">AG180-AJ180</f>
        <v>4.0000000000000036E-2</v>
      </c>
      <c r="AN180" s="1">
        <f t="shared" ref="AN180" si="508">SQRT((((W180-1)*AH180^2)+((V180-1)*AK180^2))/(W180+V180-2))</f>
        <v>0.49370583807106683</v>
      </c>
      <c r="AO180" s="1">
        <f t="shared" ref="AO180" si="509">AM180/AN180</f>
        <v>8.1019904800563064E-2</v>
      </c>
      <c r="AP180" s="1">
        <f t="shared" ref="AP180" si="510">1/W180+1/V180+(AO180^2)/(2*(W180+V180))</f>
        <v>0.17791453246473385</v>
      </c>
      <c r="AQ180" s="1">
        <f t="shared" ref="AQ180" si="511">1-(3/(4*(W180+V180-2)-1))</f>
        <v>0.96551724137931039</v>
      </c>
      <c r="AR180" s="21">
        <f t="shared" ref="AR180" si="512">AO180*AQ180</f>
        <v>7.8226114979854003E-2</v>
      </c>
      <c r="AS180" s="21">
        <f t="shared" si="460"/>
        <v>0.16585611587675547</v>
      </c>
      <c r="AT180" s="21">
        <f t="shared" ref="AT180" si="513">SQRT(AP180*AQ180^2)</f>
        <v>0.40725436262458314</v>
      </c>
      <c r="AU180" s="20">
        <f t="shared" si="461"/>
        <v>6.0293224323610772</v>
      </c>
      <c r="AV180" s="20">
        <f t="shared" si="462"/>
        <v>0.47165046984449066</v>
      </c>
      <c r="AW180" s="20">
        <f t="shared" si="463"/>
        <v>3.6895383884357293E-2</v>
      </c>
      <c r="AX180" s="14"/>
      <c r="AY180" s="14"/>
      <c r="AZ180" s="1" t="s">
        <v>271</v>
      </c>
      <c r="BA180" s="2"/>
    </row>
    <row r="181" spans="1:53" ht="14.25" hidden="1" customHeight="1">
      <c r="A181" s="2">
        <v>425</v>
      </c>
      <c r="B181" s="2" t="s">
        <v>53</v>
      </c>
      <c r="C181" s="1" t="s">
        <v>85</v>
      </c>
      <c r="D181" s="1">
        <v>2021</v>
      </c>
      <c r="F181" s="1" t="s">
        <v>143</v>
      </c>
      <c r="G181" s="1" t="s">
        <v>142</v>
      </c>
      <c r="H181" s="1">
        <v>30.75</v>
      </c>
      <c r="I181" s="1">
        <v>-84</v>
      </c>
      <c r="J181" s="1" t="s">
        <v>128</v>
      </c>
      <c r="K181" s="1" t="s">
        <v>177</v>
      </c>
      <c r="L181" s="1" t="s">
        <v>190</v>
      </c>
      <c r="M181" s="1" t="s">
        <v>237</v>
      </c>
      <c r="N181" s="16" t="s">
        <v>239</v>
      </c>
      <c r="O181" s="1" t="s">
        <v>121</v>
      </c>
      <c r="Q181" s="1" t="s">
        <v>115</v>
      </c>
      <c r="R181" s="1">
        <v>2017</v>
      </c>
      <c r="S181" s="1" t="s">
        <v>157</v>
      </c>
      <c r="V181" s="1">
        <v>9</v>
      </c>
      <c r="W181" s="1">
        <v>15</v>
      </c>
      <c r="X181" s="1" t="s">
        <v>97</v>
      </c>
      <c r="Y181" s="1" t="s">
        <v>132</v>
      </c>
      <c r="Z181" s="1" t="s">
        <v>1</v>
      </c>
      <c r="AA181" s="1" t="s">
        <v>98</v>
      </c>
      <c r="AB181" s="1" t="s">
        <v>203</v>
      </c>
      <c r="AC181" s="1" t="s">
        <v>99</v>
      </c>
      <c r="AD181" s="1" t="s">
        <v>102</v>
      </c>
      <c r="AE181" s="1" t="s">
        <v>257</v>
      </c>
      <c r="AF181" s="1" t="s">
        <v>346</v>
      </c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" t="s">
        <v>286</v>
      </c>
    </row>
    <row r="182" spans="1:53" ht="14.25" hidden="1" customHeight="1">
      <c r="A182" s="2">
        <v>545</v>
      </c>
      <c r="B182" s="2" t="s">
        <v>69</v>
      </c>
      <c r="C182" s="1" t="s">
        <v>85</v>
      </c>
      <c r="D182" s="1">
        <v>2024</v>
      </c>
      <c r="F182" s="1" t="s">
        <v>96</v>
      </c>
      <c r="G182" s="1" t="s">
        <v>109</v>
      </c>
      <c r="H182" s="1">
        <v>-38.46</v>
      </c>
      <c r="I182" s="1">
        <v>144.09</v>
      </c>
      <c r="J182" s="1" t="s">
        <v>128</v>
      </c>
      <c r="K182" s="1" t="s">
        <v>112</v>
      </c>
      <c r="M182" s="1" t="s">
        <v>238</v>
      </c>
      <c r="N182" s="1" t="s">
        <v>239</v>
      </c>
      <c r="O182" s="1" t="s">
        <v>121</v>
      </c>
      <c r="P182" s="1" t="s">
        <v>146</v>
      </c>
      <c r="Q182" s="1" t="s">
        <v>93</v>
      </c>
      <c r="S182" s="12">
        <v>1.5</v>
      </c>
      <c r="T182" s="9"/>
      <c r="V182" s="1">
        <v>6</v>
      </c>
      <c r="W182" s="1">
        <v>6</v>
      </c>
      <c r="X182" s="1" t="s">
        <v>97</v>
      </c>
      <c r="Y182" s="1" t="s">
        <v>133</v>
      </c>
      <c r="Z182" s="1" t="s">
        <v>0</v>
      </c>
      <c r="AA182" s="1" t="s">
        <v>98</v>
      </c>
      <c r="AB182" s="1" t="s">
        <v>203</v>
      </c>
      <c r="AC182" s="12" t="s">
        <v>99</v>
      </c>
      <c r="AD182" s="12" t="s">
        <v>100</v>
      </c>
      <c r="AE182" s="12" t="s">
        <v>149</v>
      </c>
      <c r="AF182" s="12" t="s">
        <v>319</v>
      </c>
      <c r="AG182" s="1">
        <v>2.79</v>
      </c>
      <c r="AH182" s="1">
        <f>2.93-AG182</f>
        <v>0.14000000000000012</v>
      </c>
      <c r="AI182" s="12"/>
      <c r="AJ182" s="12">
        <v>2.89</v>
      </c>
      <c r="AK182" s="12">
        <f>AJ182-2.85</f>
        <v>4.0000000000000036E-2</v>
      </c>
      <c r="AL182" s="12"/>
      <c r="AM182" s="12">
        <f t="shared" ref="AM182:AM184" si="514">AG182-AJ182</f>
        <v>-0.10000000000000009</v>
      </c>
      <c r="AN182" s="1">
        <f t="shared" ref="AN182:AN184" si="515">SQRT((((W182-1)*AH182^2)+((V182-1)*AK182^2))/(W182+V182-2))</f>
        <v>0.10295630140987008</v>
      </c>
      <c r="AO182" s="1">
        <f t="shared" ref="AO182:AO184" si="516">AM182/AN182</f>
        <v>-0.97128586235726433</v>
      </c>
      <c r="AP182" s="1">
        <f t="shared" ref="AP182:AP184" si="517">1/W182+1/V182+(AO182^2)/(2*(W182+V182))</f>
        <v>0.37264150943396224</v>
      </c>
      <c r="AQ182" s="1">
        <f t="shared" ref="AQ182:AQ184" si="518">1-(3/(4*(W182+V182-2)-1))</f>
        <v>0.92307692307692313</v>
      </c>
      <c r="AR182" s="21">
        <f t="shared" ref="AR182:AR184" si="519">AO182*AQ182</f>
        <v>-0.89657156525285941</v>
      </c>
      <c r="AS182" s="21">
        <f t="shared" ref="AS182:AS184" si="520">AP182*(AQ182^2)</f>
        <v>0.31751702578988505</v>
      </c>
      <c r="AT182" s="21">
        <f t="shared" ref="AT182:AT184" si="521">SQRT(AP182*AQ182^2)</f>
        <v>0.56348649122218097</v>
      </c>
      <c r="AU182" s="20">
        <f t="shared" ref="AU182:AU184" si="522">1/AS182</f>
        <v>3.1494374120956397</v>
      </c>
      <c r="AV182" s="20">
        <f t="shared" ref="AV182:AV184" si="523">AR182/AS182</f>
        <v>-2.8236960302285024</v>
      </c>
      <c r="AW182" s="20">
        <f t="shared" ref="AW182:AW184" si="524">((AR182)^2)/AS182</f>
        <v>2.5316455696202538</v>
      </c>
      <c r="AX182" s="14"/>
      <c r="AY182" s="14"/>
      <c r="AZ182" s="1" t="s">
        <v>271</v>
      </c>
      <c r="BA182" s="2"/>
    </row>
    <row r="183" spans="1:53" ht="14.25" hidden="1" customHeight="1">
      <c r="A183" s="2">
        <v>545</v>
      </c>
      <c r="B183" s="2" t="s">
        <v>69</v>
      </c>
      <c r="C183" s="1" t="s">
        <v>85</v>
      </c>
      <c r="D183" s="1">
        <v>2024</v>
      </c>
      <c r="F183" s="1" t="s">
        <v>96</v>
      </c>
      <c r="G183" s="1" t="s">
        <v>109</v>
      </c>
      <c r="H183" s="1">
        <v>-38.46</v>
      </c>
      <c r="I183" s="1">
        <v>144.09</v>
      </c>
      <c r="J183" s="1" t="s">
        <v>128</v>
      </c>
      <c r="K183" s="1" t="s">
        <v>112</v>
      </c>
      <c r="M183" s="1" t="s">
        <v>238</v>
      </c>
      <c r="N183" s="1" t="s">
        <v>239</v>
      </c>
      <c r="O183" s="1" t="s">
        <v>121</v>
      </c>
      <c r="P183" s="1" t="s">
        <v>146</v>
      </c>
      <c r="Q183" s="1" t="s">
        <v>93</v>
      </c>
      <c r="S183" s="12">
        <v>6.5</v>
      </c>
      <c r="T183" s="9"/>
      <c r="V183" s="1">
        <v>6</v>
      </c>
      <c r="W183" s="1">
        <v>7</v>
      </c>
      <c r="X183" s="1" t="s">
        <v>97</v>
      </c>
      <c r="Y183" s="1" t="s">
        <v>133</v>
      </c>
      <c r="Z183" s="1" t="s">
        <v>0</v>
      </c>
      <c r="AA183" s="1" t="s">
        <v>98</v>
      </c>
      <c r="AB183" s="1" t="s">
        <v>203</v>
      </c>
      <c r="AC183" s="12" t="s">
        <v>99</v>
      </c>
      <c r="AD183" s="12" t="s">
        <v>100</v>
      </c>
      <c r="AE183" s="12" t="s">
        <v>149</v>
      </c>
      <c r="AF183" s="12" t="s">
        <v>319</v>
      </c>
      <c r="AG183" s="12">
        <v>2.95</v>
      </c>
      <c r="AH183" s="12">
        <f>2.98-2.92</f>
        <v>6.0000000000000053E-2</v>
      </c>
      <c r="AI183" s="12"/>
      <c r="AJ183" s="12">
        <v>2.89</v>
      </c>
      <c r="AK183" s="12">
        <f>AJ183-2.85</f>
        <v>4.0000000000000036E-2</v>
      </c>
      <c r="AL183" s="12"/>
      <c r="AM183" s="12">
        <f t="shared" si="514"/>
        <v>6.0000000000000053E-2</v>
      </c>
      <c r="AN183" s="1">
        <f t="shared" si="515"/>
        <v>5.1873973155225885E-2</v>
      </c>
      <c r="AO183" s="1">
        <f t="shared" si="516"/>
        <v>1.1566494014340896</v>
      </c>
      <c r="AP183" s="1">
        <f t="shared" si="517"/>
        <v>0.36097911097911101</v>
      </c>
      <c r="AQ183" s="1">
        <f t="shared" si="518"/>
        <v>0.93023255813953487</v>
      </c>
      <c r="AR183" s="21">
        <f t="shared" si="519"/>
        <v>1.075952931566595</v>
      </c>
      <c r="AS183" s="21">
        <f t="shared" si="520"/>
        <v>0.31236699706142651</v>
      </c>
      <c r="AT183" s="21">
        <f t="shared" si="521"/>
        <v>0.55889802026973268</v>
      </c>
      <c r="AU183" s="20">
        <f t="shared" si="522"/>
        <v>3.2013625299965716</v>
      </c>
      <c r="AV183" s="20">
        <f t="shared" si="523"/>
        <v>3.4445153991572623</v>
      </c>
      <c r="AW183" s="20">
        <f t="shared" si="524"/>
        <v>3.7061364415495364</v>
      </c>
      <c r="AX183" s="14"/>
      <c r="AY183" s="14"/>
      <c r="AZ183" s="1" t="s">
        <v>271</v>
      </c>
      <c r="BA183" s="2"/>
    </row>
    <row r="184" spans="1:53" ht="14.25" hidden="1" customHeight="1">
      <c r="A184" s="2">
        <v>545</v>
      </c>
      <c r="B184" s="2" t="s">
        <v>69</v>
      </c>
      <c r="C184" s="1" t="s">
        <v>85</v>
      </c>
      <c r="D184" s="1">
        <v>2024</v>
      </c>
      <c r="F184" s="1" t="s">
        <v>96</v>
      </c>
      <c r="G184" s="1" t="s">
        <v>109</v>
      </c>
      <c r="H184" s="1">
        <v>-38.46</v>
      </c>
      <c r="I184" s="1">
        <v>144.09</v>
      </c>
      <c r="J184" s="1" t="s">
        <v>128</v>
      </c>
      <c r="K184" s="1" t="s">
        <v>112</v>
      </c>
      <c r="M184" s="1" t="s">
        <v>238</v>
      </c>
      <c r="N184" s="1" t="s">
        <v>239</v>
      </c>
      <c r="O184" s="1" t="s">
        <v>121</v>
      </c>
      <c r="P184" s="1" t="s">
        <v>146</v>
      </c>
      <c r="Q184" s="1" t="s">
        <v>93</v>
      </c>
      <c r="S184" s="12">
        <v>10</v>
      </c>
      <c r="T184" s="9"/>
      <c r="V184" s="1">
        <v>6</v>
      </c>
      <c r="W184" s="1">
        <v>6</v>
      </c>
      <c r="X184" s="1" t="s">
        <v>97</v>
      </c>
      <c r="Y184" s="1" t="s">
        <v>133</v>
      </c>
      <c r="Z184" s="1" t="s">
        <v>0</v>
      </c>
      <c r="AA184" s="1" t="s">
        <v>98</v>
      </c>
      <c r="AB184" s="1" t="s">
        <v>203</v>
      </c>
      <c r="AC184" s="12" t="s">
        <v>99</v>
      </c>
      <c r="AD184" s="12" t="s">
        <v>100</v>
      </c>
      <c r="AE184" s="12" t="s">
        <v>149</v>
      </c>
      <c r="AF184" s="12" t="s">
        <v>319</v>
      </c>
      <c r="AG184" s="12">
        <v>2.89</v>
      </c>
      <c r="AH184" s="12">
        <f>2.91-2.86</f>
        <v>5.0000000000000266E-2</v>
      </c>
      <c r="AI184" s="12"/>
      <c r="AJ184" s="12">
        <v>2.89</v>
      </c>
      <c r="AK184" s="12">
        <f>AJ184-2.85</f>
        <v>4.0000000000000036E-2</v>
      </c>
      <c r="AL184" s="12"/>
      <c r="AM184" s="12">
        <f t="shared" si="514"/>
        <v>0</v>
      </c>
      <c r="AN184" s="1">
        <f t="shared" si="515"/>
        <v>4.5276925690687246E-2</v>
      </c>
      <c r="AO184" s="1">
        <f t="shared" si="516"/>
        <v>0</v>
      </c>
      <c r="AP184" s="1">
        <f t="shared" si="517"/>
        <v>0.33333333333333331</v>
      </c>
      <c r="AQ184" s="1">
        <f t="shared" si="518"/>
        <v>0.92307692307692313</v>
      </c>
      <c r="AR184" s="21">
        <f t="shared" si="519"/>
        <v>0</v>
      </c>
      <c r="AS184" s="21">
        <f t="shared" si="520"/>
        <v>0.28402366863905326</v>
      </c>
      <c r="AT184" s="21">
        <f t="shared" si="521"/>
        <v>0.53293871002119297</v>
      </c>
      <c r="AU184" s="20">
        <f t="shared" si="522"/>
        <v>3.520833333333333</v>
      </c>
      <c r="AV184" s="20">
        <f t="shared" si="523"/>
        <v>0</v>
      </c>
      <c r="AW184" s="20">
        <f t="shared" si="524"/>
        <v>0</v>
      </c>
      <c r="AX184" s="14"/>
      <c r="AY184" s="14"/>
      <c r="AZ184" s="1" t="s">
        <v>271</v>
      </c>
      <c r="BA184" s="2"/>
    </row>
    <row r="185" spans="1:53" ht="14.25" hidden="1" customHeight="1">
      <c r="A185" s="2">
        <v>545</v>
      </c>
      <c r="B185" s="2" t="s">
        <v>69</v>
      </c>
      <c r="C185" s="1" t="s">
        <v>85</v>
      </c>
      <c r="D185" s="1">
        <v>2024</v>
      </c>
      <c r="F185" s="1" t="s">
        <v>96</v>
      </c>
      <c r="G185" s="1" t="s">
        <v>109</v>
      </c>
      <c r="H185" s="1">
        <v>-38.46</v>
      </c>
      <c r="I185" s="1">
        <v>144.09</v>
      </c>
      <c r="J185" s="1" t="s">
        <v>128</v>
      </c>
      <c r="K185" s="1" t="s">
        <v>112</v>
      </c>
      <c r="M185" s="1" t="s">
        <v>238</v>
      </c>
      <c r="N185" s="1" t="s">
        <v>239</v>
      </c>
      <c r="O185" s="1" t="s">
        <v>121</v>
      </c>
      <c r="P185" s="1" t="s">
        <v>146</v>
      </c>
      <c r="Q185" s="1" t="s">
        <v>93</v>
      </c>
      <c r="S185" s="12">
        <v>1.5</v>
      </c>
      <c r="T185" s="9"/>
      <c r="V185" s="1">
        <v>6</v>
      </c>
      <c r="W185" s="1">
        <v>6</v>
      </c>
      <c r="X185" s="1" t="s">
        <v>97</v>
      </c>
      <c r="Y185" s="1" t="s">
        <v>133</v>
      </c>
      <c r="Z185" s="1" t="s">
        <v>0</v>
      </c>
      <c r="AA185" s="1" t="s">
        <v>98</v>
      </c>
      <c r="AB185" s="1" t="s">
        <v>203</v>
      </c>
      <c r="AC185" s="12" t="s">
        <v>99</v>
      </c>
      <c r="AD185" s="12" t="s">
        <v>100</v>
      </c>
      <c r="AE185" s="12" t="s">
        <v>257</v>
      </c>
      <c r="AF185" s="12" t="s">
        <v>323</v>
      </c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" t="s">
        <v>286</v>
      </c>
    </row>
    <row r="186" spans="1:53" ht="14.25" hidden="1" customHeight="1">
      <c r="A186" s="2">
        <v>545</v>
      </c>
      <c r="B186" s="2" t="s">
        <v>69</v>
      </c>
      <c r="C186" s="1" t="s">
        <v>85</v>
      </c>
      <c r="D186" s="1">
        <v>2024</v>
      </c>
      <c r="F186" s="1" t="s">
        <v>96</v>
      </c>
      <c r="G186" s="1" t="s">
        <v>109</v>
      </c>
      <c r="H186" s="1">
        <v>-38.46</v>
      </c>
      <c r="I186" s="1">
        <v>144.09</v>
      </c>
      <c r="J186" s="1" t="s">
        <v>128</v>
      </c>
      <c r="K186" s="1" t="s">
        <v>112</v>
      </c>
      <c r="M186" s="1" t="s">
        <v>238</v>
      </c>
      <c r="N186" s="1" t="s">
        <v>239</v>
      </c>
      <c r="O186" s="1" t="s">
        <v>121</v>
      </c>
      <c r="P186" s="1" t="s">
        <v>146</v>
      </c>
      <c r="Q186" s="1" t="s">
        <v>93</v>
      </c>
      <c r="S186" s="12">
        <v>6.5</v>
      </c>
      <c r="T186" s="9"/>
      <c r="V186" s="1">
        <v>6</v>
      </c>
      <c r="W186" s="1">
        <v>7</v>
      </c>
      <c r="X186" s="1" t="s">
        <v>97</v>
      </c>
      <c r="Y186" s="1" t="s">
        <v>133</v>
      </c>
      <c r="Z186" s="1" t="s">
        <v>0</v>
      </c>
      <c r="AA186" s="1" t="s">
        <v>98</v>
      </c>
      <c r="AB186" s="1" t="s">
        <v>203</v>
      </c>
      <c r="AC186" s="12" t="s">
        <v>99</v>
      </c>
      <c r="AD186" s="12" t="s">
        <v>100</v>
      </c>
      <c r="AE186" s="12" t="s">
        <v>257</v>
      </c>
      <c r="AF186" s="12" t="s">
        <v>323</v>
      </c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" t="s">
        <v>286</v>
      </c>
    </row>
    <row r="187" spans="1:53" ht="14.25" hidden="1" customHeight="1">
      <c r="A187" s="2">
        <v>545</v>
      </c>
      <c r="B187" s="2" t="s">
        <v>69</v>
      </c>
      <c r="C187" s="1" t="s">
        <v>85</v>
      </c>
      <c r="D187" s="1">
        <v>2024</v>
      </c>
      <c r="F187" s="1" t="s">
        <v>96</v>
      </c>
      <c r="G187" s="1" t="s">
        <v>109</v>
      </c>
      <c r="H187" s="1">
        <v>-38.46</v>
      </c>
      <c r="I187" s="1">
        <v>144.09</v>
      </c>
      <c r="J187" s="1" t="s">
        <v>128</v>
      </c>
      <c r="K187" s="1" t="s">
        <v>112</v>
      </c>
      <c r="M187" s="1" t="s">
        <v>238</v>
      </c>
      <c r="N187" s="1" t="s">
        <v>239</v>
      </c>
      <c r="O187" s="1" t="s">
        <v>121</v>
      </c>
      <c r="P187" s="1" t="s">
        <v>146</v>
      </c>
      <c r="Q187" s="1" t="s">
        <v>93</v>
      </c>
      <c r="S187" s="12">
        <v>10</v>
      </c>
      <c r="T187" s="9"/>
      <c r="V187" s="1">
        <v>6</v>
      </c>
      <c r="W187" s="1">
        <v>6</v>
      </c>
      <c r="X187" s="1" t="s">
        <v>97</v>
      </c>
      <c r="Y187" s="1" t="s">
        <v>133</v>
      </c>
      <c r="Z187" s="1" t="s">
        <v>0</v>
      </c>
      <c r="AA187" s="1" t="s">
        <v>98</v>
      </c>
      <c r="AB187" s="1" t="s">
        <v>203</v>
      </c>
      <c r="AC187" s="12" t="s">
        <v>99</v>
      </c>
      <c r="AD187" s="12" t="s">
        <v>100</v>
      </c>
      <c r="AE187" s="12" t="s">
        <v>257</v>
      </c>
      <c r="AF187" s="12" t="s">
        <v>323</v>
      </c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" t="s">
        <v>286</v>
      </c>
    </row>
    <row r="188" spans="1:53" ht="14.25" hidden="1" customHeight="1">
      <c r="A188" s="2">
        <v>29</v>
      </c>
      <c r="B188" s="2" t="s">
        <v>5</v>
      </c>
      <c r="C188" s="1" t="s">
        <v>85</v>
      </c>
      <c r="D188" s="1">
        <v>1999</v>
      </c>
      <c r="E188" s="1">
        <v>1995</v>
      </c>
      <c r="F188" s="1" t="s">
        <v>116</v>
      </c>
      <c r="G188" s="1" t="s">
        <v>117</v>
      </c>
      <c r="H188" s="1">
        <v>64.700007999999997</v>
      </c>
      <c r="I188" s="1">
        <v>14.549446</v>
      </c>
      <c r="J188" s="1" t="s">
        <v>135</v>
      </c>
      <c r="K188" s="1" t="s">
        <v>177</v>
      </c>
      <c r="L188" s="1" t="s">
        <v>183</v>
      </c>
      <c r="M188" s="1" t="s">
        <v>237</v>
      </c>
      <c r="N188" s="1" t="s">
        <v>239</v>
      </c>
      <c r="O188" s="1" t="s">
        <v>86</v>
      </c>
      <c r="Q188" s="1" t="s">
        <v>93</v>
      </c>
      <c r="R188" s="1">
        <v>1995</v>
      </c>
      <c r="S188" s="1">
        <v>1</v>
      </c>
      <c r="V188" s="1">
        <v>10</v>
      </c>
      <c r="W188" s="1">
        <v>10</v>
      </c>
      <c r="X188" s="1" t="s">
        <v>134</v>
      </c>
      <c r="Y188" s="1" t="s">
        <v>2</v>
      </c>
      <c r="AA188" s="1" t="s">
        <v>98</v>
      </c>
      <c r="AB188" s="1" t="s">
        <v>222</v>
      </c>
      <c r="AC188" s="12"/>
      <c r="AD188" s="12" t="s">
        <v>100</v>
      </c>
      <c r="AE188" s="12" t="s">
        <v>308</v>
      </c>
      <c r="AF188" s="12" t="s">
        <v>321</v>
      </c>
      <c r="AG188" s="12">
        <v>12</v>
      </c>
      <c r="AH188" s="12">
        <f>AI188*SQRT(W188)</f>
        <v>10.75174404457249</v>
      </c>
      <c r="AI188" s="12">
        <v>3.4</v>
      </c>
      <c r="AJ188" s="12">
        <v>20.2</v>
      </c>
      <c r="AK188" s="12">
        <f>AL188*SQRT(V188)</f>
        <v>13.597793938724031</v>
      </c>
      <c r="AL188" s="12">
        <v>4.3</v>
      </c>
      <c r="AM188" s="12">
        <f t="shared" si="459"/>
        <v>-8.1999999999999993</v>
      </c>
      <c r="AN188" s="1">
        <f t="shared" si="379"/>
        <v>12.257650672131263</v>
      </c>
      <c r="AO188" s="1">
        <f t="shared" ref="AO188:AO348" si="525">AM188/AN188</f>
        <v>-0.66896995348736343</v>
      </c>
      <c r="AP188" s="1">
        <f t="shared" si="380"/>
        <v>0.21118801996672215</v>
      </c>
      <c r="AQ188" s="1">
        <f t="shared" si="381"/>
        <v>0.95774647887323949</v>
      </c>
      <c r="AR188" s="21">
        <f t="shared" ref="AR188:AR370" si="526">AO188*AQ188</f>
        <v>-0.64070361742451709</v>
      </c>
      <c r="AS188" s="21">
        <f>AP188*(AQ188^2)</f>
        <v>0.19371819169333929</v>
      </c>
      <c r="AT188" s="21">
        <f t="shared" si="256"/>
        <v>0.44013428825000589</v>
      </c>
      <c r="AU188" s="20">
        <f>1/AS188</f>
        <v>5.1621378005790231</v>
      </c>
      <c r="AV188" s="20">
        <f>AR188/AS188</f>
        <v>-3.3074003624748203</v>
      </c>
      <c r="AW188" s="20">
        <f>((AR188)^2)/AS188</f>
        <v>2.1190633765087767</v>
      </c>
      <c r="AX188" s="14"/>
      <c r="AY188" s="14"/>
      <c r="AZ188" s="1" t="s">
        <v>271</v>
      </c>
      <c r="BA188" s="2"/>
    </row>
    <row r="189" spans="1:53" ht="14.25" hidden="1" customHeight="1">
      <c r="A189" s="2">
        <v>29</v>
      </c>
      <c r="B189" s="2" t="s">
        <v>5</v>
      </c>
      <c r="C189" s="1" t="s">
        <v>85</v>
      </c>
      <c r="D189" s="1">
        <v>1999</v>
      </c>
      <c r="E189" s="1">
        <v>1995</v>
      </c>
      <c r="F189" s="1" t="s">
        <v>116</v>
      </c>
      <c r="G189" s="1" t="s">
        <v>117</v>
      </c>
      <c r="H189" s="1">
        <v>64.700007999999997</v>
      </c>
      <c r="I189" s="1">
        <v>14.549446</v>
      </c>
      <c r="J189" s="1" t="s">
        <v>135</v>
      </c>
      <c r="K189" s="1" t="s">
        <v>177</v>
      </c>
      <c r="L189" s="1" t="s">
        <v>183</v>
      </c>
      <c r="M189" s="1" t="s">
        <v>237</v>
      </c>
      <c r="N189" s="1" t="s">
        <v>239</v>
      </c>
      <c r="O189" s="1" t="s">
        <v>86</v>
      </c>
      <c r="Q189" s="1" t="s">
        <v>93</v>
      </c>
      <c r="R189" s="1">
        <v>1995</v>
      </c>
      <c r="S189" s="1">
        <v>1</v>
      </c>
      <c r="V189" s="1">
        <v>10</v>
      </c>
      <c r="W189" s="1">
        <v>10</v>
      </c>
      <c r="X189" s="1" t="s">
        <v>134</v>
      </c>
      <c r="Y189" s="1" t="s">
        <v>2</v>
      </c>
      <c r="AA189" s="1" t="s">
        <v>98</v>
      </c>
      <c r="AB189" s="1" t="s">
        <v>222</v>
      </c>
      <c r="AC189" s="12"/>
      <c r="AD189" s="12" t="s">
        <v>100</v>
      </c>
      <c r="AE189" s="12" t="s">
        <v>223</v>
      </c>
      <c r="AF189" s="12" t="s">
        <v>329</v>
      </c>
      <c r="AG189" s="12">
        <v>22</v>
      </c>
      <c r="AH189" s="7" t="s">
        <v>2</v>
      </c>
      <c r="AI189" s="7" t="s">
        <v>2</v>
      </c>
      <c r="AJ189" s="12">
        <v>24</v>
      </c>
      <c r="AK189" s="7" t="s">
        <v>2</v>
      </c>
      <c r="AL189" s="7" t="s">
        <v>2</v>
      </c>
      <c r="AM189" s="12">
        <f t="shared" ref="AM189:AM193" si="527">AG189-AJ189</f>
        <v>-2</v>
      </c>
      <c r="AN189" s="1" t="e">
        <f t="shared" ref="AN189:AN193" si="528">SQRT((((W189-1)*AH189^2)+((V189-1)*AK189^2))/(W189+V189-2))</f>
        <v>#VALUE!</v>
      </c>
      <c r="AO189" s="1" t="e">
        <f t="shared" ref="AO189:AO193" si="529">AM189/AN189</f>
        <v>#VALUE!</v>
      </c>
      <c r="AP189" s="1" t="e">
        <f t="shared" ref="AP189:AP193" si="530">1/W189+1/V189+(AO189^2)/(2*(W189+V189))</f>
        <v>#VALUE!</v>
      </c>
      <c r="AQ189" s="1">
        <f t="shared" ref="AQ189:AQ193" si="531">1-(3/(4*(W189+V189-2)-1))</f>
        <v>0.95774647887323949</v>
      </c>
      <c r="AR189" s="1" t="e">
        <f t="shared" ref="AR189:AR193" si="532">AO189*AQ189</f>
        <v>#VALUE!</v>
      </c>
      <c r="AT189" s="1" t="e">
        <f t="shared" ref="AT189:AT193" si="533">SQRT(AP189*AQ189^2)</f>
        <v>#VALUE!</v>
      </c>
      <c r="AX189" s="14"/>
      <c r="AY189" s="14"/>
      <c r="AZ189" s="1" t="s">
        <v>271</v>
      </c>
      <c r="BA189" s="2"/>
    </row>
    <row r="190" spans="1:53" ht="14.25" hidden="1" customHeight="1">
      <c r="A190" s="2">
        <v>29</v>
      </c>
      <c r="B190" s="2" t="s">
        <v>5</v>
      </c>
      <c r="C190" s="1" t="s">
        <v>85</v>
      </c>
      <c r="D190" s="1">
        <v>1999</v>
      </c>
      <c r="E190" s="1">
        <v>1995</v>
      </c>
      <c r="F190" s="1" t="s">
        <v>116</v>
      </c>
      <c r="G190" s="1" t="s">
        <v>117</v>
      </c>
      <c r="H190" s="1">
        <v>64.700007999999997</v>
      </c>
      <c r="I190" s="1">
        <v>14.549446</v>
      </c>
      <c r="J190" s="1" t="s">
        <v>135</v>
      </c>
      <c r="K190" s="1" t="s">
        <v>177</v>
      </c>
      <c r="L190" s="1" t="s">
        <v>183</v>
      </c>
      <c r="M190" s="1" t="s">
        <v>237</v>
      </c>
      <c r="N190" s="1" t="s">
        <v>239</v>
      </c>
      <c r="O190" s="1" t="s">
        <v>86</v>
      </c>
      <c r="Q190" s="1" t="s">
        <v>93</v>
      </c>
      <c r="R190" s="1">
        <v>1995</v>
      </c>
      <c r="S190" s="1">
        <v>1</v>
      </c>
      <c r="V190" s="1">
        <v>10</v>
      </c>
      <c r="W190" s="1">
        <v>10</v>
      </c>
      <c r="X190" s="1" t="s">
        <v>134</v>
      </c>
      <c r="Y190" s="1" t="s">
        <v>2</v>
      </c>
      <c r="AA190" s="1" t="s">
        <v>98</v>
      </c>
      <c r="AB190" s="1" t="s">
        <v>222</v>
      </c>
      <c r="AC190" s="12"/>
      <c r="AD190" s="12" t="s">
        <v>100</v>
      </c>
      <c r="AE190" s="12" t="s">
        <v>254</v>
      </c>
      <c r="AF190" s="12" t="s">
        <v>329</v>
      </c>
      <c r="AG190" s="12">
        <v>14</v>
      </c>
      <c r="AH190" s="7" t="s">
        <v>2</v>
      </c>
      <c r="AI190" s="7" t="s">
        <v>2</v>
      </c>
      <c r="AJ190" s="12">
        <v>21</v>
      </c>
      <c r="AK190" s="7" t="s">
        <v>2</v>
      </c>
      <c r="AL190" s="7" t="s">
        <v>2</v>
      </c>
      <c r="AM190" s="12">
        <f t="shared" si="527"/>
        <v>-7</v>
      </c>
      <c r="AN190" s="1" t="e">
        <f t="shared" si="528"/>
        <v>#VALUE!</v>
      </c>
      <c r="AO190" s="1" t="e">
        <f t="shared" si="529"/>
        <v>#VALUE!</v>
      </c>
      <c r="AP190" s="1" t="e">
        <f t="shared" si="530"/>
        <v>#VALUE!</v>
      </c>
      <c r="AQ190" s="1">
        <f t="shared" si="531"/>
        <v>0.95774647887323949</v>
      </c>
      <c r="AR190" s="1" t="e">
        <f t="shared" si="532"/>
        <v>#VALUE!</v>
      </c>
      <c r="AT190" s="1" t="e">
        <f t="shared" si="533"/>
        <v>#VALUE!</v>
      </c>
      <c r="AX190" s="14"/>
      <c r="AY190" s="14"/>
      <c r="AZ190" s="1" t="s">
        <v>271</v>
      </c>
      <c r="BA190" s="2"/>
    </row>
    <row r="191" spans="1:53" ht="14.25" hidden="1" customHeight="1">
      <c r="A191" s="2">
        <v>29</v>
      </c>
      <c r="B191" s="2" t="s">
        <v>5</v>
      </c>
      <c r="C191" s="1" t="s">
        <v>85</v>
      </c>
      <c r="D191" s="1">
        <v>1999</v>
      </c>
      <c r="E191" s="1">
        <v>1995</v>
      </c>
      <c r="F191" s="1" t="s">
        <v>116</v>
      </c>
      <c r="G191" s="1" t="s">
        <v>117</v>
      </c>
      <c r="H191" s="1">
        <v>64.700007999999997</v>
      </c>
      <c r="I191" s="1">
        <v>14.549446</v>
      </c>
      <c r="J191" s="1" t="s">
        <v>135</v>
      </c>
      <c r="K191" s="1" t="s">
        <v>177</v>
      </c>
      <c r="L191" s="1" t="s">
        <v>183</v>
      </c>
      <c r="M191" s="1" t="s">
        <v>237</v>
      </c>
      <c r="N191" s="1" t="s">
        <v>239</v>
      </c>
      <c r="O191" s="1" t="s">
        <v>86</v>
      </c>
      <c r="Q191" s="1" t="s">
        <v>93</v>
      </c>
      <c r="R191" s="1">
        <v>1982</v>
      </c>
      <c r="S191" s="1">
        <v>13</v>
      </c>
      <c r="V191" s="1">
        <v>10</v>
      </c>
      <c r="W191" s="1">
        <v>10</v>
      </c>
      <c r="X191" s="1" t="s">
        <v>134</v>
      </c>
      <c r="Y191" s="1" t="s">
        <v>2</v>
      </c>
      <c r="AA191" s="1" t="s">
        <v>98</v>
      </c>
      <c r="AB191" s="1" t="s">
        <v>222</v>
      </c>
      <c r="AC191" s="12"/>
      <c r="AD191" s="12" t="s">
        <v>100</v>
      </c>
      <c r="AE191" s="12" t="s">
        <v>308</v>
      </c>
      <c r="AF191" s="12" t="s">
        <v>321</v>
      </c>
      <c r="AG191" s="12">
        <v>17.3</v>
      </c>
      <c r="AH191" s="12">
        <f t="shared" ref="AH191" si="534">AI191*SQRT(W191)</f>
        <v>23.40085468524601</v>
      </c>
      <c r="AI191" s="12">
        <v>7.4</v>
      </c>
      <c r="AJ191" s="12">
        <v>17.2</v>
      </c>
      <c r="AK191" s="12">
        <f t="shared" ref="AK191" si="535">AL191*SQRT(V191)</f>
        <v>12.332882874656679</v>
      </c>
      <c r="AL191" s="12">
        <v>3.9</v>
      </c>
      <c r="AM191" s="12">
        <f t="shared" si="527"/>
        <v>0.10000000000000142</v>
      </c>
      <c r="AN191" s="1">
        <f t="shared" si="528"/>
        <v>18.704277585621959</v>
      </c>
      <c r="AO191" s="1">
        <f t="shared" si="529"/>
        <v>5.3463706118685788E-3</v>
      </c>
      <c r="AP191" s="1">
        <f t="shared" si="530"/>
        <v>0.200000714591968</v>
      </c>
      <c r="AQ191" s="1">
        <f t="shared" si="531"/>
        <v>0.95774647887323949</v>
      </c>
      <c r="AR191" s="21">
        <f t="shared" si="532"/>
        <v>5.1204676282684981E-3</v>
      </c>
      <c r="AS191" s="21">
        <f>AP191*(AQ191^2)</f>
        <v>0.18345631903853601</v>
      </c>
      <c r="AT191" s="21">
        <f t="shared" si="533"/>
        <v>0.4283180115738025</v>
      </c>
      <c r="AU191" s="20">
        <f>1/AS191</f>
        <v>5.4508888286913928</v>
      </c>
      <c r="AV191" s="20">
        <f>AR191/AS191</f>
        <v>2.7911099792604668E-2</v>
      </c>
      <c r="AW191" s="20">
        <f>((AR191)^2)/AS191</f>
        <v>1.4291788295740378E-4</v>
      </c>
      <c r="AX191" s="14"/>
      <c r="AY191" s="14"/>
      <c r="AZ191" s="1" t="s">
        <v>271</v>
      </c>
      <c r="BA191" s="2"/>
    </row>
    <row r="192" spans="1:53" ht="14.25" hidden="1" customHeight="1">
      <c r="A192" s="2">
        <v>29</v>
      </c>
      <c r="B192" s="2" t="s">
        <v>5</v>
      </c>
      <c r="C192" s="1" t="s">
        <v>85</v>
      </c>
      <c r="D192" s="1">
        <v>1999</v>
      </c>
      <c r="E192" s="1">
        <v>1995</v>
      </c>
      <c r="F192" s="1" t="s">
        <v>116</v>
      </c>
      <c r="G192" s="1" t="s">
        <v>117</v>
      </c>
      <c r="H192" s="1">
        <v>64.700007999999997</v>
      </c>
      <c r="I192" s="1">
        <v>14.549446</v>
      </c>
      <c r="J192" s="1" t="s">
        <v>135</v>
      </c>
      <c r="K192" s="1" t="s">
        <v>177</v>
      </c>
      <c r="L192" s="1" t="s">
        <v>183</v>
      </c>
      <c r="M192" s="1" t="s">
        <v>237</v>
      </c>
      <c r="N192" s="1" t="s">
        <v>239</v>
      </c>
      <c r="O192" s="1" t="s">
        <v>86</v>
      </c>
      <c r="Q192" s="1" t="s">
        <v>93</v>
      </c>
      <c r="R192" s="1">
        <v>1982</v>
      </c>
      <c r="S192" s="1">
        <v>13</v>
      </c>
      <c r="V192" s="1">
        <v>10</v>
      </c>
      <c r="W192" s="1">
        <v>10</v>
      </c>
      <c r="X192" s="1" t="s">
        <v>134</v>
      </c>
      <c r="Y192" s="1" t="s">
        <v>2</v>
      </c>
      <c r="AA192" s="1" t="s">
        <v>98</v>
      </c>
      <c r="AB192" s="1" t="s">
        <v>222</v>
      </c>
      <c r="AC192" s="12"/>
      <c r="AD192" s="12" t="s">
        <v>100</v>
      </c>
      <c r="AE192" s="12" t="s">
        <v>223</v>
      </c>
      <c r="AF192" s="12" t="s">
        <v>329</v>
      </c>
      <c r="AG192" s="12">
        <v>24</v>
      </c>
      <c r="AH192" s="7" t="s">
        <v>2</v>
      </c>
      <c r="AI192" s="7" t="s">
        <v>2</v>
      </c>
      <c r="AJ192" s="12">
        <v>23</v>
      </c>
      <c r="AK192" s="7" t="s">
        <v>2</v>
      </c>
      <c r="AL192" s="7" t="s">
        <v>2</v>
      </c>
      <c r="AM192" s="12">
        <f t="shared" si="527"/>
        <v>1</v>
      </c>
      <c r="AN192" s="1" t="e">
        <f t="shared" si="528"/>
        <v>#VALUE!</v>
      </c>
      <c r="AO192" s="1" t="e">
        <f t="shared" si="529"/>
        <v>#VALUE!</v>
      </c>
      <c r="AP192" s="1" t="e">
        <f t="shared" si="530"/>
        <v>#VALUE!</v>
      </c>
      <c r="AQ192" s="1">
        <f t="shared" si="531"/>
        <v>0.95774647887323949</v>
      </c>
      <c r="AR192" s="1" t="e">
        <f t="shared" si="532"/>
        <v>#VALUE!</v>
      </c>
      <c r="AT192" s="1" t="e">
        <f t="shared" si="533"/>
        <v>#VALUE!</v>
      </c>
      <c r="AX192" s="14"/>
      <c r="AY192" s="14"/>
      <c r="AZ192" s="1" t="s">
        <v>271</v>
      </c>
      <c r="BA192" s="2"/>
    </row>
    <row r="193" spans="1:53" ht="14.25" hidden="1" customHeight="1">
      <c r="A193" s="2">
        <v>29</v>
      </c>
      <c r="B193" s="2" t="s">
        <v>5</v>
      </c>
      <c r="C193" s="1" t="s">
        <v>85</v>
      </c>
      <c r="D193" s="1">
        <v>1999</v>
      </c>
      <c r="E193" s="1">
        <v>1995</v>
      </c>
      <c r="F193" s="1" t="s">
        <v>116</v>
      </c>
      <c r="G193" s="1" t="s">
        <v>117</v>
      </c>
      <c r="H193" s="1">
        <v>64.700007999999997</v>
      </c>
      <c r="I193" s="1">
        <v>14.549446</v>
      </c>
      <c r="J193" s="1" t="s">
        <v>135</v>
      </c>
      <c r="K193" s="1" t="s">
        <v>177</v>
      </c>
      <c r="L193" s="1" t="s">
        <v>183</v>
      </c>
      <c r="M193" s="1" t="s">
        <v>237</v>
      </c>
      <c r="N193" s="1" t="s">
        <v>239</v>
      </c>
      <c r="O193" s="1" t="s">
        <v>86</v>
      </c>
      <c r="Q193" s="1" t="s">
        <v>93</v>
      </c>
      <c r="R193" s="1">
        <v>1982</v>
      </c>
      <c r="S193" s="1">
        <v>13</v>
      </c>
      <c r="V193" s="1">
        <v>10</v>
      </c>
      <c r="W193" s="1">
        <v>10</v>
      </c>
      <c r="X193" s="1" t="s">
        <v>134</v>
      </c>
      <c r="Y193" s="1" t="s">
        <v>2</v>
      </c>
      <c r="Z193" s="1" t="s">
        <v>2</v>
      </c>
      <c r="AA193" s="1" t="s">
        <v>98</v>
      </c>
      <c r="AB193" s="1" t="s">
        <v>222</v>
      </c>
      <c r="AC193" s="12"/>
      <c r="AD193" s="12" t="s">
        <v>100</v>
      </c>
      <c r="AE193" s="12" t="s">
        <v>254</v>
      </c>
      <c r="AF193" s="12" t="s">
        <v>329</v>
      </c>
      <c r="AG193" s="12">
        <v>18</v>
      </c>
      <c r="AH193" s="7" t="s">
        <v>2</v>
      </c>
      <c r="AI193" s="7" t="s">
        <v>2</v>
      </c>
      <c r="AJ193" s="12">
        <v>20</v>
      </c>
      <c r="AK193" s="7" t="s">
        <v>2</v>
      </c>
      <c r="AL193" s="7" t="s">
        <v>2</v>
      </c>
      <c r="AM193" s="12">
        <f t="shared" si="527"/>
        <v>-2</v>
      </c>
      <c r="AN193" s="1" t="e">
        <f t="shared" si="528"/>
        <v>#VALUE!</v>
      </c>
      <c r="AO193" s="1" t="e">
        <f t="shared" si="529"/>
        <v>#VALUE!</v>
      </c>
      <c r="AP193" s="1" t="e">
        <f t="shared" si="530"/>
        <v>#VALUE!</v>
      </c>
      <c r="AQ193" s="1">
        <f t="shared" si="531"/>
        <v>0.95774647887323949</v>
      </c>
      <c r="AR193" s="1" t="e">
        <f t="shared" si="532"/>
        <v>#VALUE!</v>
      </c>
      <c r="AT193" s="1" t="e">
        <f t="shared" si="533"/>
        <v>#VALUE!</v>
      </c>
      <c r="AX193" s="14"/>
      <c r="AY193" s="14"/>
      <c r="AZ193" s="1" t="s">
        <v>271</v>
      </c>
      <c r="BA193" s="2"/>
    </row>
    <row r="194" spans="1:53" ht="14.25" hidden="1" customHeight="1">
      <c r="A194" s="2">
        <v>208</v>
      </c>
      <c r="B194" s="2" t="s">
        <v>32</v>
      </c>
      <c r="C194" s="1" t="s">
        <v>85</v>
      </c>
      <c r="D194" s="1">
        <v>2020</v>
      </c>
      <c r="E194" s="1">
        <v>2003</v>
      </c>
      <c r="F194" s="1" t="s">
        <v>154</v>
      </c>
      <c r="G194" s="1" t="s">
        <v>117</v>
      </c>
      <c r="H194" s="1">
        <v>63.166666999999997</v>
      </c>
      <c r="I194" s="1">
        <v>30.694683999999999</v>
      </c>
      <c r="J194" s="1" t="s">
        <v>126</v>
      </c>
      <c r="K194" s="1" t="s">
        <v>177</v>
      </c>
      <c r="L194" s="1" t="s">
        <v>183</v>
      </c>
      <c r="M194" s="12" t="s">
        <v>237</v>
      </c>
      <c r="N194" s="1" t="s">
        <v>239</v>
      </c>
      <c r="O194" s="1" t="s">
        <v>121</v>
      </c>
      <c r="Q194" s="1" t="s">
        <v>93</v>
      </c>
      <c r="R194" s="1">
        <v>2001</v>
      </c>
      <c r="S194" s="1">
        <v>3</v>
      </c>
      <c r="V194" s="1">
        <v>8</v>
      </c>
      <c r="W194" s="1">
        <v>8</v>
      </c>
      <c r="X194" s="1" t="s">
        <v>114</v>
      </c>
      <c r="Y194" s="1" t="s">
        <v>2</v>
      </c>
      <c r="Z194" s="1" t="s">
        <v>2</v>
      </c>
      <c r="AA194" s="1" t="s">
        <v>113</v>
      </c>
      <c r="AB194" s="12" t="s">
        <v>2</v>
      </c>
      <c r="AC194" s="12" t="s">
        <v>2</v>
      </c>
      <c r="AD194" s="12" t="s">
        <v>2</v>
      </c>
      <c r="AE194" s="1" t="s">
        <v>150</v>
      </c>
      <c r="AF194" s="1" t="s">
        <v>322</v>
      </c>
      <c r="AG194" s="12">
        <v>11.93</v>
      </c>
      <c r="AH194" s="12">
        <f>AI194*SQRT(W194)</f>
        <v>5.6002857069974583</v>
      </c>
      <c r="AI194" s="12">
        <f>13.91-AG194</f>
        <v>1.9800000000000004</v>
      </c>
      <c r="AJ194" s="12">
        <v>13.42</v>
      </c>
      <c r="AK194" s="12">
        <f>AL194*SQRT(V194)</f>
        <v>7.0144992693705532</v>
      </c>
      <c r="AL194" s="12">
        <f>15.9-AJ194</f>
        <v>2.4800000000000004</v>
      </c>
      <c r="AM194" s="12">
        <f t="shared" si="459"/>
        <v>-1.4900000000000002</v>
      </c>
      <c r="AN194" s="1">
        <f t="shared" si="379"/>
        <v>6.3469047574388586</v>
      </c>
      <c r="AO194" s="1">
        <f t="shared" si="525"/>
        <v>-0.23476010070162989</v>
      </c>
      <c r="AP194" s="1">
        <f t="shared" si="380"/>
        <v>0.25172225952754496</v>
      </c>
      <c r="AQ194" s="1">
        <f t="shared" si="381"/>
        <v>0.94545454545454544</v>
      </c>
      <c r="AR194" s="21">
        <f t="shared" si="526"/>
        <v>-0.22195500429972281</v>
      </c>
      <c r="AS194" s="21">
        <f t="shared" ref="AS194:AS199" si="536">AP194*(AQ194^2)</f>
        <v>0.22501057512809308</v>
      </c>
      <c r="AT194" s="21">
        <f t="shared" si="256"/>
        <v>0.47435279605805325</v>
      </c>
      <c r="AU194" s="20">
        <f t="shared" ref="AU194:AU199" si="537">1/AS194</f>
        <v>4.4442355628428762</v>
      </c>
      <c r="AV194" s="20">
        <f t="shared" ref="AV194:AV199" si="538">AR194/AS194</f>
        <v>-0.9864203234597716</v>
      </c>
      <c r="AW194" s="20">
        <f t="shared" ref="AW194:AW199" si="539">((AR194)^2)/AS194</f>
        <v>0.21894092713484756</v>
      </c>
      <c r="AX194" s="14"/>
      <c r="AY194" s="14"/>
      <c r="AZ194" s="1" t="s">
        <v>271</v>
      </c>
      <c r="BA194" s="2"/>
    </row>
    <row r="195" spans="1:53" ht="14.25" hidden="1" customHeight="1">
      <c r="A195" s="2">
        <v>208</v>
      </c>
      <c r="B195" s="2" t="s">
        <v>32</v>
      </c>
      <c r="C195" s="1" t="s">
        <v>85</v>
      </c>
      <c r="D195" s="1">
        <v>2020</v>
      </c>
      <c r="E195" s="1">
        <v>2003</v>
      </c>
      <c r="F195" s="1" t="s">
        <v>154</v>
      </c>
      <c r="G195" s="1" t="s">
        <v>117</v>
      </c>
      <c r="H195" s="1">
        <v>63.166666999999997</v>
      </c>
      <c r="I195" s="1">
        <v>30.694683999999999</v>
      </c>
      <c r="J195" s="1" t="s">
        <v>126</v>
      </c>
      <c r="K195" s="1" t="s">
        <v>177</v>
      </c>
      <c r="L195" s="1" t="s">
        <v>183</v>
      </c>
      <c r="M195" s="12" t="s">
        <v>237</v>
      </c>
      <c r="N195" s="1" t="s">
        <v>239</v>
      </c>
      <c r="O195" s="1" t="s">
        <v>121</v>
      </c>
      <c r="Q195" s="1" t="s">
        <v>93</v>
      </c>
      <c r="R195" s="1">
        <v>2001</v>
      </c>
      <c r="S195" s="1">
        <v>3</v>
      </c>
      <c r="V195" s="1">
        <v>8</v>
      </c>
      <c r="W195" s="1">
        <v>8</v>
      </c>
      <c r="X195" s="1" t="s">
        <v>114</v>
      </c>
      <c r="Y195" s="1" t="s">
        <v>2</v>
      </c>
      <c r="Z195" s="1" t="s">
        <v>2</v>
      </c>
      <c r="AA195" s="1" t="s">
        <v>113</v>
      </c>
      <c r="AB195" s="12" t="s">
        <v>2</v>
      </c>
      <c r="AC195" s="12" t="s">
        <v>2</v>
      </c>
      <c r="AD195" s="12" t="s">
        <v>2</v>
      </c>
      <c r="AE195" s="1" t="s">
        <v>151</v>
      </c>
      <c r="AF195" s="1" t="s">
        <v>322</v>
      </c>
      <c r="AG195" s="12">
        <v>8.41</v>
      </c>
      <c r="AH195" s="12">
        <f t="shared" ref="AH195:AH199" si="540">AI195*SQRT(W195)</f>
        <v>1.5556349186104066</v>
      </c>
      <c r="AI195" s="12">
        <f>8.96-AG195</f>
        <v>0.55000000000000071</v>
      </c>
      <c r="AJ195" s="12">
        <v>22.68</v>
      </c>
      <c r="AK195" s="12">
        <f t="shared" ref="AK195:AK199" si="541">AL195*SQRT(V195)</f>
        <v>10.804591616530448</v>
      </c>
      <c r="AL195" s="12">
        <f>26.5-AJ195</f>
        <v>3.8200000000000003</v>
      </c>
      <c r="AM195" s="12">
        <f t="shared" ref="AM195:AM196" si="542">AG195-AJ195</f>
        <v>-14.27</v>
      </c>
      <c r="AN195" s="1">
        <f t="shared" ref="AN195:AN196" si="543">SQRT((((W195-1)*AH195^2)+((V195-1)*AK195^2))/(W195+V195-2))</f>
        <v>7.7187822873818659</v>
      </c>
      <c r="AO195" s="1">
        <f t="shared" ref="AO195:AO196" si="544">AM195/AN195</f>
        <v>-1.8487372060393015</v>
      </c>
      <c r="AP195" s="1">
        <f t="shared" ref="AP195:AP196" si="545">1/W195+1/V195+(AO195^2)/(2*(W195+V195))</f>
        <v>0.35680716428106257</v>
      </c>
      <c r="AQ195" s="1">
        <f t="shared" ref="AQ195:AQ196" si="546">1-(3/(4*(W195+V195-2)-1))</f>
        <v>0.94545454545454544</v>
      </c>
      <c r="AR195" s="21">
        <f t="shared" ref="AR195:AR196" si="547">AO195*AQ195</f>
        <v>-1.7478969948007941</v>
      </c>
      <c r="AS195" s="21">
        <f t="shared" si="536"/>
        <v>0.31894432139371676</v>
      </c>
      <c r="AT195" s="21">
        <f t="shared" ref="AT195:AT196" si="548">SQRT(AP195*AQ195^2)</f>
        <v>0.56475155723000603</v>
      </c>
      <c r="AU195" s="20">
        <f t="shared" si="537"/>
        <v>3.1353434844998</v>
      </c>
      <c r="AV195" s="20">
        <f t="shared" si="538"/>
        <v>-5.4802574542254501</v>
      </c>
      <c r="AW195" s="20">
        <f t="shared" si="539"/>
        <v>9.5789255349753155</v>
      </c>
      <c r="AX195" s="14"/>
      <c r="AY195" s="14"/>
      <c r="AZ195" s="1" t="s">
        <v>271</v>
      </c>
      <c r="BA195" s="2"/>
    </row>
    <row r="196" spans="1:53" ht="14.25" hidden="1" customHeight="1">
      <c r="A196" s="2">
        <v>208</v>
      </c>
      <c r="B196" s="2" t="s">
        <v>32</v>
      </c>
      <c r="C196" s="1" t="s">
        <v>85</v>
      </c>
      <c r="D196" s="1">
        <v>2020</v>
      </c>
      <c r="E196" s="1">
        <v>2003</v>
      </c>
      <c r="F196" s="1" t="s">
        <v>154</v>
      </c>
      <c r="G196" s="1" t="s">
        <v>117</v>
      </c>
      <c r="H196" s="1">
        <v>63.166666999999997</v>
      </c>
      <c r="I196" s="1">
        <v>30.694683999999999</v>
      </c>
      <c r="J196" s="1" t="s">
        <v>126</v>
      </c>
      <c r="K196" s="1" t="s">
        <v>177</v>
      </c>
      <c r="L196" s="1" t="s">
        <v>183</v>
      </c>
      <c r="M196" s="12" t="s">
        <v>237</v>
      </c>
      <c r="N196" s="1" t="s">
        <v>239</v>
      </c>
      <c r="O196" s="1" t="s">
        <v>121</v>
      </c>
      <c r="Q196" s="1" t="s">
        <v>93</v>
      </c>
      <c r="R196" s="1">
        <v>2002</v>
      </c>
      <c r="S196" s="1">
        <v>2</v>
      </c>
      <c r="V196" s="1">
        <v>8</v>
      </c>
      <c r="W196" s="1">
        <v>8</v>
      </c>
      <c r="X196" s="1" t="s">
        <v>114</v>
      </c>
      <c r="Y196" s="1" t="s">
        <v>2</v>
      </c>
      <c r="Z196" s="1" t="s">
        <v>2</v>
      </c>
      <c r="AA196" s="1" t="s">
        <v>113</v>
      </c>
      <c r="AB196" s="12" t="s">
        <v>2</v>
      </c>
      <c r="AC196" s="12" t="s">
        <v>2</v>
      </c>
      <c r="AD196" s="12" t="s">
        <v>2</v>
      </c>
      <c r="AE196" s="1" t="s">
        <v>150</v>
      </c>
      <c r="AF196" s="1" t="s">
        <v>322</v>
      </c>
      <c r="AG196" s="12">
        <v>19.5</v>
      </c>
      <c r="AH196" s="12">
        <f t="shared" si="540"/>
        <v>4.8931789258109104</v>
      </c>
      <c r="AI196" s="12">
        <f>21.23-AG196</f>
        <v>1.7300000000000004</v>
      </c>
      <c r="AJ196" s="12">
        <v>7.65</v>
      </c>
      <c r="AK196" s="12">
        <f t="shared" si="541"/>
        <v>4.2143564158718245</v>
      </c>
      <c r="AL196" s="12">
        <f>9.14-AJ196</f>
        <v>1.4900000000000002</v>
      </c>
      <c r="AM196" s="12">
        <f t="shared" si="542"/>
        <v>11.85</v>
      </c>
      <c r="AN196" s="1">
        <f t="shared" si="543"/>
        <v>4.5663990189207091</v>
      </c>
      <c r="AO196" s="1">
        <f t="shared" si="544"/>
        <v>2.5950426037891026</v>
      </c>
      <c r="AP196" s="1">
        <f t="shared" si="545"/>
        <v>0.46044519110876642</v>
      </c>
      <c r="AQ196" s="1">
        <f t="shared" si="546"/>
        <v>0.94545454545454544</v>
      </c>
      <c r="AR196" s="21">
        <f t="shared" si="547"/>
        <v>2.4534948254006061</v>
      </c>
      <c r="AS196" s="21">
        <f t="shared" si="536"/>
        <v>0.41158472620102621</v>
      </c>
      <c r="AT196" s="21">
        <f t="shared" si="548"/>
        <v>0.6415486935541419</v>
      </c>
      <c r="AU196" s="20">
        <f t="shared" si="537"/>
        <v>2.4296334055690396</v>
      </c>
      <c r="AV196" s="20">
        <f t="shared" si="538"/>
        <v>5.9610929881840908</v>
      </c>
      <c r="AW196" s="20">
        <f t="shared" si="539"/>
        <v>14.625510800241504</v>
      </c>
      <c r="AX196" s="14"/>
      <c r="AY196" s="14"/>
      <c r="AZ196" s="1" t="s">
        <v>271</v>
      </c>
      <c r="BA196" s="2"/>
    </row>
    <row r="197" spans="1:53" ht="14.25" hidden="1" customHeight="1">
      <c r="A197" s="2">
        <v>208</v>
      </c>
      <c r="B197" s="2" t="s">
        <v>32</v>
      </c>
      <c r="C197" s="1" t="s">
        <v>85</v>
      </c>
      <c r="D197" s="1">
        <v>2020</v>
      </c>
      <c r="E197" s="1">
        <v>2003</v>
      </c>
      <c r="F197" s="1" t="s">
        <v>154</v>
      </c>
      <c r="G197" s="1" t="s">
        <v>117</v>
      </c>
      <c r="H197" s="1">
        <v>63.166666999999997</v>
      </c>
      <c r="I197" s="1">
        <v>30.694683999999999</v>
      </c>
      <c r="J197" s="1" t="s">
        <v>126</v>
      </c>
      <c r="K197" s="1" t="s">
        <v>177</v>
      </c>
      <c r="L197" s="1" t="s">
        <v>183</v>
      </c>
      <c r="M197" s="12" t="s">
        <v>237</v>
      </c>
      <c r="N197" s="1" t="s">
        <v>239</v>
      </c>
      <c r="O197" s="1" t="s">
        <v>121</v>
      </c>
      <c r="Q197" s="1" t="s">
        <v>93</v>
      </c>
      <c r="R197" s="1">
        <v>2002</v>
      </c>
      <c r="S197" s="1">
        <v>2</v>
      </c>
      <c r="V197" s="1">
        <v>8</v>
      </c>
      <c r="W197" s="1">
        <v>8</v>
      </c>
      <c r="X197" s="1" t="s">
        <v>114</v>
      </c>
      <c r="Y197" s="1" t="s">
        <v>2</v>
      </c>
      <c r="Z197" s="1" t="s">
        <v>2</v>
      </c>
      <c r="AA197" s="1" t="s">
        <v>113</v>
      </c>
      <c r="AB197" s="12" t="s">
        <v>2</v>
      </c>
      <c r="AC197" s="12" t="s">
        <v>2</v>
      </c>
      <c r="AD197" s="12" t="s">
        <v>2</v>
      </c>
      <c r="AE197" s="1" t="s">
        <v>151</v>
      </c>
      <c r="AF197" s="1" t="s">
        <v>322</v>
      </c>
      <c r="AG197" s="12">
        <v>7.59</v>
      </c>
      <c r="AH197" s="12">
        <f t="shared" si="540"/>
        <v>4.1860721446243625</v>
      </c>
      <c r="AI197" s="12">
        <f>9.07-AG197</f>
        <v>1.4800000000000004</v>
      </c>
      <c r="AJ197" s="12">
        <v>1.85</v>
      </c>
      <c r="AK197" s="12">
        <f t="shared" si="541"/>
        <v>4.1860721446243616</v>
      </c>
      <c r="AL197" s="12">
        <f>3.33-AJ197</f>
        <v>1.48</v>
      </c>
      <c r="AM197" s="12">
        <f t="shared" ref="AM197:AM198" si="549">AG197-AJ197</f>
        <v>5.74</v>
      </c>
      <c r="AN197" s="1">
        <f t="shared" ref="AN197:AN198" si="550">SQRT((((W197-1)*AH197^2)+((V197-1)*AK197^2))/(W197+V197-2))</f>
        <v>4.1860721446243625</v>
      </c>
      <c r="AO197" s="1">
        <f t="shared" ref="AO197:AO198" si="551">AM197/AN197</f>
        <v>1.3712138256793183</v>
      </c>
      <c r="AP197" s="1">
        <f t="shared" ref="AP197:AP198" si="552">1/W197+1/V197+(AO197^2)/(2*(W197+V197))</f>
        <v>0.308757104866691</v>
      </c>
      <c r="AQ197" s="1">
        <f t="shared" ref="AQ197:AQ198" si="553">1-(3/(4*(W197+V197-2)-1))</f>
        <v>0.94545454545454544</v>
      </c>
      <c r="AR197" s="21">
        <f t="shared" ref="AR197:AR198" si="554">AO197*AQ197</f>
        <v>1.2964203442786282</v>
      </c>
      <c r="AS197" s="21">
        <f t="shared" si="536"/>
        <v>0.27599312778827517</v>
      </c>
      <c r="AT197" s="21">
        <f t="shared" ref="AT197:AT198" si="555">SQRT(AP197*AQ197^2)</f>
        <v>0.52535048090610437</v>
      </c>
      <c r="AU197" s="20">
        <f t="shared" si="537"/>
        <v>3.6232786229631704</v>
      </c>
      <c r="AV197" s="20">
        <f t="shared" si="538"/>
        <v>4.6972921197993074</v>
      </c>
      <c r="AW197" s="20">
        <f t="shared" si="539"/>
        <v>6.0896650671275045</v>
      </c>
      <c r="AX197" s="14"/>
      <c r="AY197" s="14"/>
      <c r="AZ197" s="1" t="s">
        <v>271</v>
      </c>
      <c r="BA197" s="2"/>
    </row>
    <row r="198" spans="1:53" ht="14.25" hidden="1" customHeight="1">
      <c r="A198" s="2">
        <v>208</v>
      </c>
      <c r="B198" s="2" t="s">
        <v>32</v>
      </c>
      <c r="C198" s="1" t="s">
        <v>85</v>
      </c>
      <c r="D198" s="1">
        <v>2020</v>
      </c>
      <c r="E198" s="1">
        <v>2003</v>
      </c>
      <c r="F198" s="1" t="s">
        <v>154</v>
      </c>
      <c r="G198" s="1" t="s">
        <v>117</v>
      </c>
      <c r="H198" s="1">
        <v>63.166666999999997</v>
      </c>
      <c r="I198" s="1">
        <v>30.694683999999999</v>
      </c>
      <c r="J198" s="1" t="s">
        <v>126</v>
      </c>
      <c r="K198" s="1" t="s">
        <v>177</v>
      </c>
      <c r="L198" s="1" t="s">
        <v>183</v>
      </c>
      <c r="M198" s="12" t="s">
        <v>237</v>
      </c>
      <c r="N198" s="1" t="s">
        <v>239</v>
      </c>
      <c r="O198" s="1" t="s">
        <v>121</v>
      </c>
      <c r="Q198" s="1" t="s">
        <v>93</v>
      </c>
      <c r="R198" s="1">
        <v>2003</v>
      </c>
      <c r="S198" s="1">
        <v>1</v>
      </c>
      <c r="V198" s="1">
        <v>8</v>
      </c>
      <c r="W198" s="1">
        <v>8</v>
      </c>
      <c r="X198" s="1" t="s">
        <v>114</v>
      </c>
      <c r="Y198" s="1" t="s">
        <v>2</v>
      </c>
      <c r="Z198" s="1" t="s">
        <v>2</v>
      </c>
      <c r="AA198" s="1" t="s">
        <v>113</v>
      </c>
      <c r="AB198" s="12" t="s">
        <v>2</v>
      </c>
      <c r="AC198" s="12" t="s">
        <v>2</v>
      </c>
      <c r="AD198" s="12" t="s">
        <v>2</v>
      </c>
      <c r="AE198" s="1" t="s">
        <v>150</v>
      </c>
      <c r="AF198" s="1" t="s">
        <v>322</v>
      </c>
      <c r="AG198" s="12">
        <v>33.299999999999997</v>
      </c>
      <c r="AH198" s="12">
        <f t="shared" si="540"/>
        <v>13.293607486307103</v>
      </c>
      <c r="AI198" s="12">
        <f>38-AG198</f>
        <v>4.7000000000000028</v>
      </c>
      <c r="AJ198" s="12">
        <v>23.7</v>
      </c>
      <c r="AK198" s="12">
        <f t="shared" si="541"/>
        <v>46.103362133362907</v>
      </c>
      <c r="AL198" s="12">
        <f>40-AJ198</f>
        <v>16.3</v>
      </c>
      <c r="AM198" s="12">
        <f t="shared" si="549"/>
        <v>9.5999999999999979</v>
      </c>
      <c r="AN198" s="1">
        <f t="shared" si="550"/>
        <v>33.928159395994363</v>
      </c>
      <c r="AO198" s="1">
        <f t="shared" si="551"/>
        <v>0.28295080460902916</v>
      </c>
      <c r="AP198" s="1">
        <f t="shared" si="552"/>
        <v>0.25250191118215304</v>
      </c>
      <c r="AQ198" s="1">
        <f t="shared" si="553"/>
        <v>0.94545454545454544</v>
      </c>
      <c r="AR198" s="21">
        <f t="shared" si="554"/>
        <v>0.26751712435762759</v>
      </c>
      <c r="AS198" s="21">
        <f t="shared" si="536"/>
        <v>0.22570749349968325</v>
      </c>
      <c r="AT198" s="21">
        <f t="shared" si="555"/>
        <v>0.4750868273270511</v>
      </c>
      <c r="AU198" s="20">
        <f t="shared" si="537"/>
        <v>4.4305130702335473</v>
      </c>
      <c r="AV198" s="20">
        <f t="shared" si="538"/>
        <v>1.1852381159777623</v>
      </c>
      <c r="AW198" s="20">
        <f t="shared" si="539"/>
        <v>0.31707149246542327</v>
      </c>
      <c r="AX198" s="14"/>
      <c r="AY198" s="14"/>
      <c r="AZ198" s="1" t="s">
        <v>271</v>
      </c>
      <c r="BA198" s="2"/>
    </row>
    <row r="199" spans="1:53" ht="14.25" hidden="1" customHeight="1">
      <c r="A199" s="2">
        <v>208</v>
      </c>
      <c r="B199" s="2" t="s">
        <v>32</v>
      </c>
      <c r="C199" s="1" t="s">
        <v>85</v>
      </c>
      <c r="D199" s="1">
        <v>2020</v>
      </c>
      <c r="E199" s="1">
        <v>2003</v>
      </c>
      <c r="F199" s="1" t="s">
        <v>154</v>
      </c>
      <c r="G199" s="1" t="s">
        <v>117</v>
      </c>
      <c r="H199" s="1">
        <v>63.166666999999997</v>
      </c>
      <c r="I199" s="1">
        <v>30.694683999999999</v>
      </c>
      <c r="J199" s="1" t="s">
        <v>126</v>
      </c>
      <c r="K199" s="1" t="s">
        <v>177</v>
      </c>
      <c r="L199" s="1" t="s">
        <v>183</v>
      </c>
      <c r="M199" s="12" t="s">
        <v>237</v>
      </c>
      <c r="N199" s="1" t="s">
        <v>239</v>
      </c>
      <c r="O199" s="1" t="s">
        <v>121</v>
      </c>
      <c r="Q199" s="1" t="s">
        <v>93</v>
      </c>
      <c r="R199" s="1">
        <v>2003</v>
      </c>
      <c r="S199" s="1">
        <v>1</v>
      </c>
      <c r="V199" s="1">
        <v>8</v>
      </c>
      <c r="W199" s="1">
        <v>8</v>
      </c>
      <c r="X199" s="1" t="s">
        <v>114</v>
      </c>
      <c r="Y199" s="1" t="s">
        <v>2</v>
      </c>
      <c r="Z199" s="1" t="s">
        <v>2</v>
      </c>
      <c r="AA199" s="1" t="s">
        <v>113</v>
      </c>
      <c r="AB199" s="12" t="s">
        <v>2</v>
      </c>
      <c r="AC199" s="12" t="s">
        <v>2</v>
      </c>
      <c r="AD199" s="12" t="s">
        <v>2</v>
      </c>
      <c r="AE199" s="1" t="s">
        <v>151</v>
      </c>
      <c r="AF199" s="1" t="s">
        <v>322</v>
      </c>
      <c r="AG199" s="12">
        <v>23.1</v>
      </c>
      <c r="AH199" s="12">
        <f t="shared" si="540"/>
        <v>8.4569971029911049</v>
      </c>
      <c r="AI199" s="12">
        <f>26.09-AG199</f>
        <v>2.9899999999999984</v>
      </c>
      <c r="AJ199" s="12">
        <v>14.9</v>
      </c>
      <c r="AK199" s="12">
        <f t="shared" si="541"/>
        <v>3.1112698372208083</v>
      </c>
      <c r="AL199" s="12">
        <f>16-AJ199</f>
        <v>1.0999999999999996</v>
      </c>
      <c r="AM199" s="12">
        <f t="shared" ref="AM199" si="556">AG199-AJ199</f>
        <v>8.2000000000000011</v>
      </c>
      <c r="AN199" s="1">
        <f t="shared" ref="AN199" si="557">SQRT((((W199-1)*AH199^2)+((V199-1)*AK199^2))/(W199+V199-2))</f>
        <v>6.3718443169933119</v>
      </c>
      <c r="AO199" s="1">
        <f t="shared" ref="AO199" si="558">AM199/AN199</f>
        <v>1.2869115427272935</v>
      </c>
      <c r="AP199" s="1">
        <f t="shared" ref="AP199" si="559">1/W199+1/V199+(AO199^2)/(2*(W199+V199))</f>
        <v>0.3017544162126482</v>
      </c>
      <c r="AQ199" s="1">
        <f t="shared" ref="AQ199" si="560">1-(3/(4*(W199+V199-2)-1))</f>
        <v>0.94545454545454544</v>
      </c>
      <c r="AR199" s="21">
        <f t="shared" ref="AR199" si="561">AO199*AQ199</f>
        <v>1.216716367669441</v>
      </c>
      <c r="AS199" s="21">
        <f t="shared" si="536"/>
        <v>0.26973353436000025</v>
      </c>
      <c r="AT199" s="21">
        <f t="shared" ref="AT199" si="562">SQRT(AP199*AQ199^2)</f>
        <v>0.51935877229522198</v>
      </c>
      <c r="AU199" s="20">
        <f t="shared" si="537"/>
        <v>3.7073625360402853</v>
      </c>
      <c r="AV199" s="20">
        <f t="shared" si="538"/>
        <v>4.510808678484703</v>
      </c>
      <c r="AW199" s="20">
        <f t="shared" si="539"/>
        <v>5.4883747505376999</v>
      </c>
      <c r="AX199" s="14"/>
      <c r="AY199" s="14"/>
      <c r="AZ199" s="1" t="s">
        <v>271</v>
      </c>
      <c r="BA199" s="2"/>
    </row>
    <row r="200" spans="1:53" s="12" customFormat="1" ht="14.25" hidden="1" customHeight="1">
      <c r="A200" s="2">
        <v>271</v>
      </c>
      <c r="B200" s="2" t="s">
        <v>42</v>
      </c>
      <c r="C200" s="12" t="s">
        <v>85</v>
      </c>
      <c r="D200" s="12">
        <v>2012</v>
      </c>
      <c r="E200" s="12">
        <v>2009</v>
      </c>
      <c r="F200" s="12" t="s">
        <v>136</v>
      </c>
      <c r="G200" s="12" t="s">
        <v>162</v>
      </c>
      <c r="H200" s="12">
        <v>55.345132999999997</v>
      </c>
      <c r="I200" s="12">
        <v>21.021471999999999</v>
      </c>
      <c r="J200" s="12" t="s">
        <v>126</v>
      </c>
      <c r="K200" s="12" t="s">
        <v>177</v>
      </c>
      <c r="L200" s="12" t="s">
        <v>194</v>
      </c>
      <c r="M200" s="12" t="s">
        <v>237</v>
      </c>
      <c r="N200" s="12" t="s">
        <v>314</v>
      </c>
      <c r="O200" s="12" t="s">
        <v>86</v>
      </c>
      <c r="P200" s="12" t="s">
        <v>129</v>
      </c>
      <c r="Q200" s="12" t="s">
        <v>93</v>
      </c>
      <c r="R200" s="12">
        <v>2006</v>
      </c>
      <c r="S200" s="12">
        <v>3</v>
      </c>
      <c r="U200" s="12">
        <v>230</v>
      </c>
      <c r="V200" s="12">
        <v>3</v>
      </c>
      <c r="W200" s="12">
        <v>3</v>
      </c>
      <c r="X200" s="12" t="s">
        <v>114</v>
      </c>
      <c r="Y200" s="12" t="s">
        <v>2</v>
      </c>
      <c r="Z200" s="12" t="s">
        <v>1</v>
      </c>
      <c r="AA200" s="12" t="s">
        <v>113</v>
      </c>
      <c r="AB200" s="12" t="s">
        <v>2</v>
      </c>
      <c r="AC200" s="12" t="s">
        <v>2</v>
      </c>
      <c r="AD200" s="12" t="s">
        <v>2</v>
      </c>
      <c r="AE200" s="12" t="s">
        <v>223</v>
      </c>
      <c r="AF200" s="12" t="s">
        <v>323</v>
      </c>
      <c r="AG200" s="12">
        <v>135</v>
      </c>
      <c r="AH200" s="7" t="s">
        <v>2</v>
      </c>
      <c r="AI200" s="7" t="s">
        <v>2</v>
      </c>
      <c r="AJ200" s="12">
        <v>261</v>
      </c>
      <c r="AK200" s="7" t="s">
        <v>2</v>
      </c>
      <c r="AL200" s="7" t="s">
        <v>2</v>
      </c>
      <c r="AM200" s="12">
        <f t="shared" ref="AM200" si="563">AG200-AJ200</f>
        <v>-126</v>
      </c>
      <c r="AN200" s="12" t="e">
        <f t="shared" ref="AN200" si="564">SQRT((((W200-1)*AH200^2)+((V200-1)*AK200^2))/(W200+V200-2))</f>
        <v>#VALUE!</v>
      </c>
      <c r="AO200" s="12" t="e">
        <f t="shared" ref="AO200" si="565">AM200/AN200</f>
        <v>#VALUE!</v>
      </c>
      <c r="AP200" s="12" t="e">
        <f t="shared" ref="AP200" si="566">1/W200+1/V200+(AO200^2)/(2*(W200+V200))</f>
        <v>#VALUE!</v>
      </c>
      <c r="AQ200" s="12">
        <f t="shared" ref="AQ200" si="567">1-(3/(4*(W200+V200-2)-1))</f>
        <v>0.8</v>
      </c>
      <c r="AR200" s="12" t="e">
        <f t="shared" ref="AR200" si="568">AO200*AQ200</f>
        <v>#VALUE!</v>
      </c>
      <c r="AT200" s="12" t="e">
        <f t="shared" ref="AT200" si="569">SQRT(AP200*AQ200^2)</f>
        <v>#VALUE!</v>
      </c>
      <c r="AX200" s="14"/>
      <c r="AY200" s="14"/>
      <c r="AZ200" s="12" t="s">
        <v>271</v>
      </c>
      <c r="BA200" s="2"/>
    </row>
    <row r="201" spans="1:53" s="12" customFormat="1" ht="14.25" hidden="1" customHeight="1">
      <c r="A201" s="2">
        <v>271</v>
      </c>
      <c r="B201" s="2" t="s">
        <v>42</v>
      </c>
      <c r="C201" s="12" t="s">
        <v>85</v>
      </c>
      <c r="D201" s="12">
        <v>2012</v>
      </c>
      <c r="E201" s="12">
        <v>2009</v>
      </c>
      <c r="F201" s="12" t="s">
        <v>136</v>
      </c>
      <c r="G201" s="12" t="s">
        <v>162</v>
      </c>
      <c r="H201" s="12">
        <v>55.345132999999997</v>
      </c>
      <c r="I201" s="12">
        <v>21.021471999999999</v>
      </c>
      <c r="J201" s="12" t="s">
        <v>126</v>
      </c>
      <c r="K201" s="12" t="s">
        <v>177</v>
      </c>
      <c r="L201" s="12" t="s">
        <v>194</v>
      </c>
      <c r="M201" s="12" t="s">
        <v>237</v>
      </c>
      <c r="N201" s="12" t="s">
        <v>314</v>
      </c>
      <c r="O201" s="12" t="s">
        <v>86</v>
      </c>
      <c r="P201" s="12" t="s">
        <v>129</v>
      </c>
      <c r="Q201" s="12" t="s">
        <v>93</v>
      </c>
      <c r="R201" s="12">
        <v>2006</v>
      </c>
      <c r="S201" s="12">
        <v>3</v>
      </c>
      <c r="U201" s="12">
        <v>230</v>
      </c>
      <c r="V201" s="12">
        <v>3</v>
      </c>
      <c r="W201" s="12">
        <v>3</v>
      </c>
      <c r="X201" s="12" t="s">
        <v>114</v>
      </c>
      <c r="Y201" s="12" t="s">
        <v>2</v>
      </c>
      <c r="Z201" s="12" t="s">
        <v>1</v>
      </c>
      <c r="AA201" s="12" t="s">
        <v>113</v>
      </c>
      <c r="AB201" s="12" t="s">
        <v>2</v>
      </c>
      <c r="AC201" s="12" t="s">
        <v>2</v>
      </c>
      <c r="AD201" s="12" t="s">
        <v>2</v>
      </c>
      <c r="AE201" s="12" t="s">
        <v>257</v>
      </c>
      <c r="AF201" s="12" t="s">
        <v>319</v>
      </c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2" t="s">
        <v>286</v>
      </c>
    </row>
    <row r="202" spans="1:53" ht="14.25" hidden="1" customHeight="1">
      <c r="A202" s="2">
        <v>35</v>
      </c>
      <c r="B202" s="2" t="s">
        <v>6</v>
      </c>
      <c r="C202" s="1" t="s">
        <v>85</v>
      </c>
      <c r="D202" s="1">
        <v>2005</v>
      </c>
      <c r="E202" s="1">
        <v>2000</v>
      </c>
      <c r="F202" s="1" t="s">
        <v>153</v>
      </c>
      <c r="G202" s="1" t="s">
        <v>117</v>
      </c>
      <c r="H202" s="1">
        <v>56.733333000000002</v>
      </c>
      <c r="I202" s="1">
        <v>-118.333333</v>
      </c>
      <c r="J202" s="1" t="s">
        <v>135</v>
      </c>
      <c r="K202" s="1" t="s">
        <v>103</v>
      </c>
      <c r="L202" s="1" t="s">
        <v>196</v>
      </c>
      <c r="M202" s="1" t="s">
        <v>237</v>
      </c>
      <c r="N202" s="16" t="s">
        <v>239</v>
      </c>
      <c r="O202" s="1" t="s">
        <v>121</v>
      </c>
      <c r="P202" s="1" t="s">
        <v>2</v>
      </c>
      <c r="Q202" s="1" t="s">
        <v>93</v>
      </c>
      <c r="R202" s="1">
        <v>1999</v>
      </c>
      <c r="S202" s="1">
        <v>1</v>
      </c>
      <c r="U202" s="1" t="s">
        <v>2</v>
      </c>
      <c r="V202" s="1">
        <v>15</v>
      </c>
      <c r="W202" s="1">
        <v>15</v>
      </c>
      <c r="X202" s="1" t="s">
        <v>134</v>
      </c>
      <c r="Y202" s="1" t="s">
        <v>155</v>
      </c>
      <c r="Z202" s="1" t="s">
        <v>0</v>
      </c>
      <c r="AA202" s="1" t="s">
        <v>148</v>
      </c>
      <c r="AB202" s="1" t="s">
        <v>2</v>
      </c>
      <c r="AC202" s="12" t="s">
        <v>2</v>
      </c>
      <c r="AD202" s="12" t="s">
        <v>2</v>
      </c>
      <c r="AE202" s="12" t="s">
        <v>223</v>
      </c>
      <c r="AF202" s="12" t="s">
        <v>323</v>
      </c>
      <c r="AG202" s="12">
        <v>2.3199999999999998</v>
      </c>
      <c r="AH202" s="12">
        <f>AI202*SQRT(W202)</f>
        <v>1.2006248373242996</v>
      </c>
      <c r="AI202" s="12">
        <f>2.63-AG202</f>
        <v>0.31000000000000005</v>
      </c>
      <c r="AJ202" s="12">
        <v>11.31</v>
      </c>
      <c r="AK202" s="12">
        <f>AL202*SQRT(V202)</f>
        <v>3.6018745119728965</v>
      </c>
      <c r="AL202" s="12">
        <f>12.24-AJ202</f>
        <v>0.92999999999999972</v>
      </c>
      <c r="AM202" s="12">
        <f t="shared" ref="AM202:AM216" si="570">AG202-AJ202</f>
        <v>-8.99</v>
      </c>
      <c r="AN202" s="1">
        <f t="shared" ref="AN202:AN216" si="571">SQRT((((W202-1)*AH202^2)+((V202-1)*AK202^2))/(W202+V202-2))</f>
        <v>2.6846787517317594</v>
      </c>
      <c r="AO202" s="1">
        <f t="shared" ref="AO202:AO216" si="572">AM202/AN202</f>
        <v>-3.3486315612998299</v>
      </c>
      <c r="AP202" s="1">
        <f t="shared" ref="AP202:AP216" si="573">1/W202+1/V202+(AO202^2)/(2*(W202+V202))</f>
        <v>0.3202222222222223</v>
      </c>
      <c r="AQ202" s="1">
        <f t="shared" ref="AQ202:AQ216" si="574">1-(3/(4*(W202+V202-2)-1))</f>
        <v>0.97297297297297303</v>
      </c>
      <c r="AR202" s="21">
        <f t="shared" ref="AR202:AR216" si="575">AO202*AQ202</f>
        <v>-3.258128005589024</v>
      </c>
      <c r="AS202" s="21">
        <f t="shared" ref="AS202:AS203" si="576">AP202*(AQ202^2)</f>
        <v>0.30314682249817393</v>
      </c>
      <c r="AT202" s="21">
        <f t="shared" ref="AT202:AT216" si="577">SQRT(AP202*AQ202^2)</f>
        <v>0.5505877064539072</v>
      </c>
      <c r="AU202" s="20">
        <f t="shared" ref="AU202:AU203" si="578">1/AS202</f>
        <v>3.2987315907163226</v>
      </c>
      <c r="AV202" s="20">
        <f t="shared" ref="AV202:AV203" si="579">AR202/AS202</f>
        <v>-10.747689778634081</v>
      </c>
      <c r="AW202" s="20">
        <f t="shared" ref="AW202:AW203" si="580">((AR202)^2)/AS202</f>
        <v>35.017349063150597</v>
      </c>
      <c r="AX202" s="14"/>
      <c r="AY202" s="14"/>
      <c r="AZ202" s="1" t="s">
        <v>271</v>
      </c>
      <c r="BA202" s="2" t="s">
        <v>385</v>
      </c>
    </row>
    <row r="203" spans="1:53" ht="14.25" hidden="1" customHeight="1">
      <c r="A203" s="2">
        <v>35</v>
      </c>
      <c r="B203" s="2" t="s">
        <v>6</v>
      </c>
      <c r="C203" s="1" t="s">
        <v>85</v>
      </c>
      <c r="D203" s="1">
        <v>2005</v>
      </c>
      <c r="E203" s="1">
        <v>2000</v>
      </c>
      <c r="F203" s="1" t="s">
        <v>153</v>
      </c>
      <c r="G203" s="1" t="s">
        <v>117</v>
      </c>
      <c r="H203" s="1">
        <v>56.733333000000002</v>
      </c>
      <c r="I203" s="1">
        <v>-118.333333</v>
      </c>
      <c r="J203" s="1" t="s">
        <v>135</v>
      </c>
      <c r="K203" s="1" t="s">
        <v>103</v>
      </c>
      <c r="L203" s="1" t="s">
        <v>196</v>
      </c>
      <c r="M203" s="1" t="s">
        <v>237</v>
      </c>
      <c r="N203" s="16" t="s">
        <v>239</v>
      </c>
      <c r="O203" s="1" t="s">
        <v>121</v>
      </c>
      <c r="P203" s="1" t="s">
        <v>2</v>
      </c>
      <c r="Q203" s="1" t="s">
        <v>93</v>
      </c>
      <c r="R203" s="1">
        <v>1999</v>
      </c>
      <c r="S203" s="1">
        <v>1</v>
      </c>
      <c r="U203" s="1" t="s">
        <v>2</v>
      </c>
      <c r="V203" s="1">
        <v>15</v>
      </c>
      <c r="W203" s="1">
        <v>15</v>
      </c>
      <c r="X203" s="1" t="s">
        <v>134</v>
      </c>
      <c r="Y203" s="1" t="s">
        <v>155</v>
      </c>
      <c r="Z203" s="1" t="s">
        <v>0</v>
      </c>
      <c r="AA203" s="1" t="s">
        <v>148</v>
      </c>
      <c r="AB203" s="1" t="s">
        <v>2</v>
      </c>
      <c r="AC203" s="12" t="s">
        <v>2</v>
      </c>
      <c r="AD203" s="12" t="s">
        <v>2</v>
      </c>
      <c r="AE203" s="12" t="s">
        <v>149</v>
      </c>
      <c r="AF203" s="12" t="s">
        <v>323</v>
      </c>
      <c r="AG203" s="12">
        <v>0.15</v>
      </c>
      <c r="AH203" s="12">
        <f>AI203*SQRT(W203)</f>
        <v>0.6196773353931867</v>
      </c>
      <c r="AI203" s="12">
        <f>0.31-AG203</f>
        <v>0.16</v>
      </c>
      <c r="AJ203" s="12">
        <v>1.78</v>
      </c>
      <c r="AK203" s="12">
        <f>AL203*SQRT(V203)</f>
        <v>0.58094750193111222</v>
      </c>
      <c r="AL203" s="12">
        <f>1.93-AJ203</f>
        <v>0.14999999999999991</v>
      </c>
      <c r="AM203" s="12">
        <f t="shared" ref="AM203" si="581">AG203-AJ203</f>
        <v>-1.6300000000000001</v>
      </c>
      <c r="AN203" s="1">
        <f t="shared" ref="AN203" si="582">SQRT((((W203-1)*AH203^2)+((V203-1)*AK203^2))/(W203+V203-2))</f>
        <v>0.6006246748178099</v>
      </c>
      <c r="AO203" s="1">
        <f t="shared" ref="AO203" si="583">AM203/AN203</f>
        <v>-2.71384121955102</v>
      </c>
      <c r="AP203" s="1">
        <f t="shared" ref="AP203" si="584">1/W203+1/V203+(AO203^2)/(2*(W203+V203))</f>
        <v>0.25608223608223613</v>
      </c>
      <c r="AQ203" s="1">
        <f t="shared" ref="AQ203" si="585">1-(3/(4*(W203+V203-2)-1))</f>
        <v>0.97297297297297303</v>
      </c>
      <c r="AR203" s="21">
        <f t="shared" ref="AR203" si="586">AO203*AQ203</f>
        <v>-2.6404941595631546</v>
      </c>
      <c r="AS203" s="21">
        <f t="shared" si="576"/>
        <v>0.24242701092956762</v>
      </c>
      <c r="AT203" s="21">
        <f t="shared" ref="AT203" si="587">SQRT(AP203*AQ203^2)</f>
        <v>0.49236877533975243</v>
      </c>
      <c r="AU203" s="20">
        <f t="shared" si="578"/>
        <v>4.1249528926895458</v>
      </c>
      <c r="AV203" s="20">
        <f t="shared" si="579"/>
        <v>-10.891914021619884</v>
      </c>
      <c r="AW203" s="20">
        <f t="shared" si="580"/>
        <v>28.760035360551335</v>
      </c>
      <c r="AX203" s="14"/>
      <c r="AY203" s="14"/>
      <c r="AZ203" s="1" t="s">
        <v>271</v>
      </c>
      <c r="BA203" s="2"/>
    </row>
    <row r="204" spans="1:53" ht="14.25" hidden="1" customHeight="1">
      <c r="A204" s="2">
        <v>35</v>
      </c>
      <c r="B204" s="2" t="s">
        <v>6</v>
      </c>
      <c r="C204" s="1" t="s">
        <v>85</v>
      </c>
      <c r="D204" s="1">
        <v>2005</v>
      </c>
      <c r="E204" s="1">
        <v>2000</v>
      </c>
      <c r="F204" s="1" t="s">
        <v>153</v>
      </c>
      <c r="G204" s="1" t="s">
        <v>117</v>
      </c>
      <c r="H204" s="1">
        <v>56.733333000000002</v>
      </c>
      <c r="I204" s="1">
        <v>-118.333333</v>
      </c>
      <c r="J204" s="1" t="s">
        <v>135</v>
      </c>
      <c r="K204" s="1" t="s">
        <v>103</v>
      </c>
      <c r="L204" s="1" t="s">
        <v>196</v>
      </c>
      <c r="M204" s="1" t="s">
        <v>237</v>
      </c>
      <c r="N204" s="16" t="s">
        <v>239</v>
      </c>
      <c r="O204" s="1" t="s">
        <v>121</v>
      </c>
      <c r="P204" s="1" t="s">
        <v>2</v>
      </c>
      <c r="Q204" s="1" t="s">
        <v>93</v>
      </c>
      <c r="R204" s="1">
        <v>1999</v>
      </c>
      <c r="S204" s="1">
        <v>1</v>
      </c>
      <c r="U204" s="1" t="s">
        <v>2</v>
      </c>
      <c r="V204" s="1">
        <v>15</v>
      </c>
      <c r="W204" s="1">
        <v>15</v>
      </c>
      <c r="X204" s="1" t="s">
        <v>134</v>
      </c>
      <c r="Y204" s="1" t="s">
        <v>155</v>
      </c>
      <c r="Z204" s="1" t="s">
        <v>0</v>
      </c>
      <c r="AA204" s="1" t="s">
        <v>148</v>
      </c>
      <c r="AB204" s="1" t="s">
        <v>2</v>
      </c>
      <c r="AC204" s="12" t="s">
        <v>2</v>
      </c>
      <c r="AD204" s="12" t="s">
        <v>2</v>
      </c>
      <c r="AE204" s="12" t="s">
        <v>251</v>
      </c>
      <c r="AF204" s="12" t="s">
        <v>319</v>
      </c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4"/>
      <c r="AY204" s="14"/>
      <c r="AZ204" s="1" t="s">
        <v>286</v>
      </c>
    </row>
    <row r="205" spans="1:53" ht="14.25" hidden="1" customHeight="1">
      <c r="A205" s="2">
        <v>96</v>
      </c>
      <c r="B205" s="2" t="s">
        <v>13</v>
      </c>
      <c r="C205" s="1" t="s">
        <v>85</v>
      </c>
      <c r="D205" s="1">
        <v>2011</v>
      </c>
      <c r="E205" s="1">
        <v>2006</v>
      </c>
      <c r="F205" s="1" t="s">
        <v>165</v>
      </c>
      <c r="G205" s="1" t="s">
        <v>162</v>
      </c>
      <c r="H205" s="1">
        <v>-41.255277999999997</v>
      </c>
      <c r="I205" s="1">
        <v>-71.281389000000004</v>
      </c>
      <c r="J205" s="1" t="s">
        <v>135</v>
      </c>
      <c r="K205" s="1" t="s">
        <v>197</v>
      </c>
      <c r="L205" s="1" t="s">
        <v>198</v>
      </c>
      <c r="M205" s="1" t="s">
        <v>238</v>
      </c>
      <c r="N205" s="1" t="s">
        <v>239</v>
      </c>
      <c r="O205" s="1" t="s">
        <v>86</v>
      </c>
      <c r="Q205" s="1" t="s">
        <v>93</v>
      </c>
      <c r="R205" s="1">
        <v>1996</v>
      </c>
      <c r="S205" s="19">
        <v>10</v>
      </c>
      <c r="T205" s="9"/>
      <c r="V205" s="1">
        <v>30</v>
      </c>
      <c r="W205" s="1">
        <v>30</v>
      </c>
      <c r="X205" s="1" t="s">
        <v>134</v>
      </c>
      <c r="Y205" s="1" t="s">
        <v>155</v>
      </c>
      <c r="Z205" s="1" t="s">
        <v>1</v>
      </c>
      <c r="AA205" s="1" t="s">
        <v>148</v>
      </c>
      <c r="AB205" s="1" t="s">
        <v>2</v>
      </c>
      <c r="AC205" s="12" t="s">
        <v>2</v>
      </c>
      <c r="AD205" s="12" t="s">
        <v>2</v>
      </c>
      <c r="AE205" s="12" t="s">
        <v>351</v>
      </c>
      <c r="AF205" s="12" t="s">
        <v>322</v>
      </c>
      <c r="AG205" s="12">
        <v>52.8</v>
      </c>
      <c r="AH205" s="12">
        <f>AI205*SQRT(W205)</f>
        <v>7.1203932475671827</v>
      </c>
      <c r="AI205" s="12">
        <f>54.1-AG205</f>
        <v>1.3000000000000043</v>
      </c>
      <c r="AJ205" s="12">
        <v>54.4</v>
      </c>
      <c r="AK205" s="12">
        <f>AL205*SQRT(V205)</f>
        <v>7.1203932475671827</v>
      </c>
      <c r="AL205" s="12">
        <f>55.7-AJ205</f>
        <v>1.3000000000000043</v>
      </c>
      <c r="AM205" s="12">
        <f t="shared" si="570"/>
        <v>-1.6000000000000014</v>
      </c>
      <c r="AN205" s="1">
        <f t="shared" si="571"/>
        <v>7.1203932475671827</v>
      </c>
      <c r="AO205" s="1">
        <f t="shared" si="572"/>
        <v>-0.22470669025852916</v>
      </c>
      <c r="AP205" s="1">
        <f t="shared" si="573"/>
        <v>6.7087442472057848E-2</v>
      </c>
      <c r="AQ205" s="1">
        <f t="shared" si="574"/>
        <v>0.98701298701298701</v>
      </c>
      <c r="AR205" s="21">
        <f t="shared" si="575"/>
        <v>-0.22178842155387293</v>
      </c>
      <c r="AS205" s="21">
        <f t="shared" ref="AS205:AS217" si="588">AP205*(AQ205^2)</f>
        <v>6.5356226634947903E-2</v>
      </c>
      <c r="AT205" s="21">
        <f t="shared" si="577"/>
        <v>0.2556486390242434</v>
      </c>
      <c r="AU205" s="20">
        <f t="shared" ref="AU205:AU217" si="589">1/AS205</f>
        <v>15.300760944868724</v>
      </c>
      <c r="AV205" s="20">
        <f t="shared" ref="AV205:AV217" si="590">AR205/AS205</f>
        <v>-3.3935316185355799</v>
      </c>
      <c r="AW205" s="20">
        <f t="shared" ref="AW205:AW217" si="591">((AR205)^2)/AS205</f>
        <v>0.75264602116816592</v>
      </c>
      <c r="AX205" s="14"/>
      <c r="AY205" s="14"/>
      <c r="AZ205" s="1" t="s">
        <v>271</v>
      </c>
      <c r="BA205" s="2"/>
    </row>
    <row r="206" spans="1:53" ht="14.25" hidden="1" customHeight="1">
      <c r="A206" s="2">
        <v>96</v>
      </c>
      <c r="B206" s="2" t="s">
        <v>13</v>
      </c>
      <c r="C206" s="1" t="s">
        <v>85</v>
      </c>
      <c r="D206" s="1">
        <v>2011</v>
      </c>
      <c r="E206" s="1">
        <v>2006</v>
      </c>
      <c r="F206" s="1" t="s">
        <v>165</v>
      </c>
      <c r="G206" s="1" t="s">
        <v>162</v>
      </c>
      <c r="H206" s="1">
        <v>-41.255277999999997</v>
      </c>
      <c r="I206" s="1">
        <v>-71.281389000000004</v>
      </c>
      <c r="J206" s="1" t="s">
        <v>135</v>
      </c>
      <c r="K206" s="1" t="s">
        <v>197</v>
      </c>
      <c r="L206" s="1" t="s">
        <v>198</v>
      </c>
      <c r="M206" s="1" t="s">
        <v>238</v>
      </c>
      <c r="N206" s="1" t="s">
        <v>239</v>
      </c>
      <c r="O206" s="1" t="s">
        <v>86</v>
      </c>
      <c r="Q206" s="1" t="s">
        <v>93</v>
      </c>
      <c r="R206" s="1">
        <v>1996</v>
      </c>
      <c r="S206" s="19">
        <v>10</v>
      </c>
      <c r="T206" s="9"/>
      <c r="V206" s="1">
        <v>30</v>
      </c>
      <c r="W206" s="1">
        <v>30</v>
      </c>
      <c r="X206" s="1" t="s">
        <v>134</v>
      </c>
      <c r="Y206" s="1" t="s">
        <v>155</v>
      </c>
      <c r="Z206" s="1" t="s">
        <v>1</v>
      </c>
      <c r="AA206" s="1" t="s">
        <v>148</v>
      </c>
      <c r="AB206" s="1" t="s">
        <v>2</v>
      </c>
      <c r="AC206" s="12" t="s">
        <v>2</v>
      </c>
      <c r="AD206" s="12" t="s">
        <v>2</v>
      </c>
      <c r="AE206" s="12" t="s">
        <v>149</v>
      </c>
      <c r="AF206" s="12" t="s">
        <v>322</v>
      </c>
      <c r="AG206" s="12">
        <v>3.2</v>
      </c>
      <c r="AH206" s="12">
        <f t="shared" ref="AH206:AH216" si="592">AI206*SQRT(W206)</f>
        <v>1.0954451150103308</v>
      </c>
      <c r="AI206" s="12">
        <f>3.4-AG206</f>
        <v>0.19999999999999973</v>
      </c>
      <c r="AJ206" s="12">
        <v>3.7</v>
      </c>
      <c r="AK206" s="12">
        <f t="shared" ref="AK206:AK216" si="593">AL206*SQRT(V206)</f>
        <v>0.54772255750516419</v>
      </c>
      <c r="AL206" s="12">
        <f>3.8-AJ206</f>
        <v>9.9999999999999645E-2</v>
      </c>
      <c r="AM206" s="12">
        <f t="shared" si="570"/>
        <v>-0.5</v>
      </c>
      <c r="AN206" s="1">
        <f t="shared" si="571"/>
        <v>0.86602540378443715</v>
      </c>
      <c r="AO206" s="1">
        <f t="shared" si="572"/>
        <v>-0.57735026918962673</v>
      </c>
      <c r="AP206" s="1">
        <f t="shared" si="573"/>
        <v>6.9444444444444448E-2</v>
      </c>
      <c r="AQ206" s="1">
        <f t="shared" si="574"/>
        <v>0.98701298701298701</v>
      </c>
      <c r="AR206" s="21">
        <f t="shared" si="575"/>
        <v>-0.56985221374560557</v>
      </c>
      <c r="AS206" s="21">
        <f t="shared" si="588"/>
        <v>6.765240531474298E-2</v>
      </c>
      <c r="AT206" s="21">
        <f t="shared" si="577"/>
        <v>0.26010075992726928</v>
      </c>
      <c r="AU206" s="20">
        <f t="shared" si="589"/>
        <v>14.781440443213295</v>
      </c>
      <c r="AV206" s="20">
        <f t="shared" si="590"/>
        <v>-8.4232365589139224</v>
      </c>
      <c r="AW206" s="20">
        <f t="shared" si="591"/>
        <v>4.8000000000000149</v>
      </c>
      <c r="AX206" s="14"/>
      <c r="AY206" s="14"/>
      <c r="AZ206" s="1" t="s">
        <v>271</v>
      </c>
      <c r="BA206" s="2"/>
    </row>
    <row r="207" spans="1:53" ht="14.25" hidden="1" customHeight="1">
      <c r="A207" s="2">
        <v>96</v>
      </c>
      <c r="B207" s="2" t="s">
        <v>13</v>
      </c>
      <c r="C207" s="1" t="s">
        <v>85</v>
      </c>
      <c r="D207" s="1">
        <v>2011</v>
      </c>
      <c r="E207" s="1">
        <v>2006</v>
      </c>
      <c r="F207" s="1" t="s">
        <v>165</v>
      </c>
      <c r="G207" s="1" t="s">
        <v>162</v>
      </c>
      <c r="H207" s="1">
        <v>-41.255277999999997</v>
      </c>
      <c r="I207" s="1">
        <v>-71.281389000000004</v>
      </c>
      <c r="J207" s="1" t="s">
        <v>135</v>
      </c>
      <c r="K207" s="1" t="s">
        <v>197</v>
      </c>
      <c r="L207" s="1" t="s">
        <v>198</v>
      </c>
      <c r="M207" s="1" t="s">
        <v>238</v>
      </c>
      <c r="N207" s="1" t="s">
        <v>239</v>
      </c>
      <c r="O207" s="1" t="s">
        <v>86</v>
      </c>
      <c r="Q207" s="1" t="s">
        <v>93</v>
      </c>
      <c r="R207" s="1">
        <v>1996</v>
      </c>
      <c r="S207" s="19">
        <v>10</v>
      </c>
      <c r="T207" s="9"/>
      <c r="V207" s="1">
        <v>30</v>
      </c>
      <c r="W207" s="1">
        <v>30</v>
      </c>
      <c r="X207" s="1" t="s">
        <v>134</v>
      </c>
      <c r="Y207" s="1" t="s">
        <v>155</v>
      </c>
      <c r="Z207" s="1" t="s">
        <v>1</v>
      </c>
      <c r="AA207" s="1" t="s">
        <v>148</v>
      </c>
      <c r="AB207" s="1" t="s">
        <v>2</v>
      </c>
      <c r="AC207" s="12" t="s">
        <v>2</v>
      </c>
      <c r="AD207" s="12" t="s">
        <v>2</v>
      </c>
      <c r="AE207" s="12" t="s">
        <v>254</v>
      </c>
      <c r="AF207" s="12" t="s">
        <v>322</v>
      </c>
      <c r="AG207" s="12">
        <v>0.28999999999999998</v>
      </c>
      <c r="AH207" s="12">
        <f t="shared" si="592"/>
        <v>0.54772255750516619</v>
      </c>
      <c r="AI207" s="12">
        <v>0.1</v>
      </c>
      <c r="AJ207" s="12">
        <v>0.25</v>
      </c>
      <c r="AK207" s="12">
        <f t="shared" si="593"/>
        <v>0.27386127875258309</v>
      </c>
      <c r="AL207" s="12">
        <v>0.05</v>
      </c>
      <c r="AM207" s="12">
        <f t="shared" si="570"/>
        <v>3.999999999999998E-2</v>
      </c>
      <c r="AN207" s="1">
        <f t="shared" si="571"/>
        <v>0.43301270189221941</v>
      </c>
      <c r="AO207" s="1">
        <f t="shared" si="572"/>
        <v>9.2376043070340058E-2</v>
      </c>
      <c r="AP207" s="1">
        <f t="shared" si="573"/>
        <v>6.6737777777777771E-2</v>
      </c>
      <c r="AQ207" s="1">
        <f t="shared" si="574"/>
        <v>0.98701298701298701</v>
      </c>
      <c r="AR207" s="21">
        <f t="shared" si="575"/>
        <v>9.1176354199296678E-2</v>
      </c>
      <c r="AS207" s="21">
        <f t="shared" si="588"/>
        <v>6.5015585165195552E-2</v>
      </c>
      <c r="AT207" s="21">
        <f t="shared" si="577"/>
        <v>0.25498153887133779</v>
      </c>
      <c r="AU207" s="20">
        <f t="shared" si="589"/>
        <v>15.38092747237665</v>
      </c>
      <c r="AV207" s="20">
        <f t="shared" si="590"/>
        <v>1.4023768911351064</v>
      </c>
      <c r="AW207" s="20">
        <f t="shared" si="591"/>
        <v>0.12786361214704298</v>
      </c>
      <c r="AX207" s="14"/>
      <c r="AY207" s="14"/>
      <c r="AZ207" s="1" t="s">
        <v>271</v>
      </c>
      <c r="BA207" s="2"/>
    </row>
    <row r="208" spans="1:53" ht="14.25" hidden="1" customHeight="1">
      <c r="A208" s="2">
        <v>96</v>
      </c>
      <c r="B208" s="2" t="s">
        <v>13</v>
      </c>
      <c r="C208" s="1" t="s">
        <v>85</v>
      </c>
      <c r="D208" s="1">
        <v>2011</v>
      </c>
      <c r="E208" s="1">
        <v>2006</v>
      </c>
      <c r="F208" s="1" t="s">
        <v>165</v>
      </c>
      <c r="G208" s="1" t="s">
        <v>162</v>
      </c>
      <c r="H208" s="1">
        <v>-41.255277999999997</v>
      </c>
      <c r="I208" s="1">
        <v>-71.281389000000004</v>
      </c>
      <c r="J208" s="1" t="s">
        <v>135</v>
      </c>
      <c r="K208" s="1" t="s">
        <v>197</v>
      </c>
      <c r="L208" s="1" t="s">
        <v>198</v>
      </c>
      <c r="M208" s="1" t="s">
        <v>238</v>
      </c>
      <c r="N208" s="1" t="s">
        <v>239</v>
      </c>
      <c r="O208" s="1" t="s">
        <v>86</v>
      </c>
      <c r="Q208" s="1" t="s">
        <v>93</v>
      </c>
      <c r="R208" s="1">
        <v>1996</v>
      </c>
      <c r="S208" s="19">
        <v>10</v>
      </c>
      <c r="T208" s="9"/>
      <c r="V208" s="1">
        <v>30</v>
      </c>
      <c r="W208" s="1">
        <v>30</v>
      </c>
      <c r="X208" s="1" t="s">
        <v>134</v>
      </c>
      <c r="Y208" s="1" t="s">
        <v>155</v>
      </c>
      <c r="Z208" s="1" t="s">
        <v>1</v>
      </c>
      <c r="AA208" s="1" t="s">
        <v>148</v>
      </c>
      <c r="AB208" s="1" t="s">
        <v>2</v>
      </c>
      <c r="AC208" s="12" t="s">
        <v>2</v>
      </c>
      <c r="AD208" s="12" t="s">
        <v>2</v>
      </c>
      <c r="AE208" s="12" t="s">
        <v>223</v>
      </c>
      <c r="AF208" s="12" t="s">
        <v>322</v>
      </c>
      <c r="AG208" s="12">
        <v>7.3</v>
      </c>
      <c r="AH208" s="12">
        <f t="shared" si="592"/>
        <v>4.9295030175464918</v>
      </c>
      <c r="AI208" s="12">
        <f>8.2-AG208</f>
        <v>0.89999999999999947</v>
      </c>
      <c r="AJ208" s="12">
        <v>8.1</v>
      </c>
      <c r="AK208" s="12">
        <f t="shared" si="593"/>
        <v>0</v>
      </c>
      <c r="AL208" s="12">
        <v>0</v>
      </c>
      <c r="AM208" s="12">
        <f t="shared" si="570"/>
        <v>-0.79999999999999982</v>
      </c>
      <c r="AN208" s="1">
        <f t="shared" si="571"/>
        <v>3.4856850115866731</v>
      </c>
      <c r="AO208" s="1">
        <f t="shared" si="572"/>
        <v>-0.22951012421969885</v>
      </c>
      <c r="AP208" s="1">
        <f t="shared" si="573"/>
        <v>6.7105624142661177E-2</v>
      </c>
      <c r="AQ208" s="1">
        <f t="shared" si="574"/>
        <v>0.98701298701298701</v>
      </c>
      <c r="AR208" s="21">
        <f t="shared" si="575"/>
        <v>-0.22652947325580666</v>
      </c>
      <c r="AS208" s="21">
        <f t="shared" si="588"/>
        <v>6.5373939120932867E-2</v>
      </c>
      <c r="AT208" s="21">
        <f t="shared" si="577"/>
        <v>0.25568327892322734</v>
      </c>
      <c r="AU208" s="20">
        <f t="shared" si="589"/>
        <v>15.296615340099615</v>
      </c>
      <c r="AV208" s="20">
        <f t="shared" si="590"/>
        <v>-3.4651342155894578</v>
      </c>
      <c r="AW208" s="20">
        <f t="shared" si="591"/>
        <v>0.78495502861815269</v>
      </c>
      <c r="AX208" s="14"/>
      <c r="AY208" s="14"/>
      <c r="AZ208" s="1" t="s">
        <v>271</v>
      </c>
      <c r="BA208" s="2"/>
    </row>
    <row r="209" spans="1:53" ht="14.25" hidden="1" customHeight="1">
      <c r="A209" s="2">
        <v>96</v>
      </c>
      <c r="B209" s="2" t="s">
        <v>13</v>
      </c>
      <c r="C209" s="1" t="s">
        <v>85</v>
      </c>
      <c r="D209" s="1">
        <v>2011</v>
      </c>
      <c r="E209" s="1">
        <v>2006</v>
      </c>
      <c r="F209" s="1" t="s">
        <v>165</v>
      </c>
      <c r="G209" s="1" t="s">
        <v>162</v>
      </c>
      <c r="H209" s="1">
        <v>-41.255277999999997</v>
      </c>
      <c r="I209" s="1">
        <v>-71.281389000000004</v>
      </c>
      <c r="J209" s="1" t="s">
        <v>135</v>
      </c>
      <c r="K209" s="1" t="s">
        <v>197</v>
      </c>
      <c r="L209" s="1" t="s">
        <v>198</v>
      </c>
      <c r="M209" s="1" t="s">
        <v>238</v>
      </c>
      <c r="N209" s="1" t="s">
        <v>239</v>
      </c>
      <c r="O209" s="1" t="s">
        <v>86</v>
      </c>
      <c r="Q209" s="1" t="s">
        <v>93</v>
      </c>
      <c r="R209" s="1">
        <v>1998</v>
      </c>
      <c r="S209" s="19">
        <v>8</v>
      </c>
      <c r="T209" s="9"/>
      <c r="V209" s="1">
        <v>30</v>
      </c>
      <c r="W209" s="1">
        <v>30</v>
      </c>
      <c r="X209" s="1" t="s">
        <v>134</v>
      </c>
      <c r="Y209" s="1" t="s">
        <v>155</v>
      </c>
      <c r="Z209" s="1" t="s">
        <v>1</v>
      </c>
      <c r="AA209" s="1" t="s">
        <v>148</v>
      </c>
      <c r="AB209" s="1" t="s">
        <v>2</v>
      </c>
      <c r="AC209" s="12" t="s">
        <v>2</v>
      </c>
      <c r="AD209" s="12" t="s">
        <v>2</v>
      </c>
      <c r="AE209" s="12" t="s">
        <v>351</v>
      </c>
      <c r="AF209" s="12" t="s">
        <v>322</v>
      </c>
      <c r="AG209" s="12">
        <v>45.8</v>
      </c>
      <c r="AH209" s="12">
        <f t="shared" si="592"/>
        <v>26.838405317753171</v>
      </c>
      <c r="AI209" s="12">
        <f>50.7-AG209</f>
        <v>4.9000000000000057</v>
      </c>
      <c r="AJ209" s="12">
        <v>60.4</v>
      </c>
      <c r="AK209" s="12">
        <f t="shared" si="593"/>
        <v>21.36117974270147</v>
      </c>
      <c r="AL209" s="12">
        <f>64.3-AJ209</f>
        <v>3.8999999999999986</v>
      </c>
      <c r="AM209" s="12">
        <f t="shared" si="570"/>
        <v>-14.600000000000001</v>
      </c>
      <c r="AN209" s="1">
        <f t="shared" si="571"/>
        <v>24.254896412889515</v>
      </c>
      <c r="AO209" s="1">
        <f t="shared" si="572"/>
        <v>-0.60194031553320848</v>
      </c>
      <c r="AP209" s="1">
        <f t="shared" si="573"/>
        <v>6.9686101195535158E-2</v>
      </c>
      <c r="AQ209" s="1">
        <f t="shared" si="574"/>
        <v>0.98701298701298701</v>
      </c>
      <c r="AR209" s="21">
        <f t="shared" si="575"/>
        <v>-0.59412290883797203</v>
      </c>
      <c r="AS209" s="21">
        <f t="shared" si="588"/>
        <v>6.7887826025537376E-2</v>
      </c>
      <c r="AT209" s="21">
        <f t="shared" si="577"/>
        <v>0.26055292365570831</v>
      </c>
      <c r="AU209" s="20">
        <f t="shared" si="589"/>
        <v>14.730181514780423</v>
      </c>
      <c r="AV209" s="20">
        <f t="shared" si="590"/>
        <v>-8.7515382892726699</v>
      </c>
      <c r="AW209" s="20">
        <f t="shared" si="591"/>
        <v>5.1994893852295689</v>
      </c>
      <c r="AX209" s="14"/>
      <c r="AY209" s="14"/>
      <c r="AZ209" s="1" t="s">
        <v>271</v>
      </c>
      <c r="BA209" s="2"/>
    </row>
    <row r="210" spans="1:53" ht="14.25" hidden="1" customHeight="1">
      <c r="A210" s="2">
        <v>96</v>
      </c>
      <c r="B210" s="2" t="s">
        <v>13</v>
      </c>
      <c r="C210" s="1" t="s">
        <v>85</v>
      </c>
      <c r="D210" s="1">
        <v>2011</v>
      </c>
      <c r="E210" s="1">
        <v>2006</v>
      </c>
      <c r="F210" s="1" t="s">
        <v>165</v>
      </c>
      <c r="G210" s="1" t="s">
        <v>162</v>
      </c>
      <c r="H210" s="1">
        <v>-41.255277999999997</v>
      </c>
      <c r="I210" s="1">
        <v>-71.281389000000004</v>
      </c>
      <c r="J210" s="1" t="s">
        <v>135</v>
      </c>
      <c r="K210" s="1" t="s">
        <v>197</v>
      </c>
      <c r="L210" s="1" t="s">
        <v>198</v>
      </c>
      <c r="M210" s="1" t="s">
        <v>238</v>
      </c>
      <c r="N210" s="1" t="s">
        <v>239</v>
      </c>
      <c r="O210" s="1" t="s">
        <v>86</v>
      </c>
      <c r="Q210" s="1" t="s">
        <v>93</v>
      </c>
      <c r="R210" s="1">
        <v>1998</v>
      </c>
      <c r="S210" s="19">
        <v>8</v>
      </c>
      <c r="T210" s="9"/>
      <c r="V210" s="1">
        <v>30</v>
      </c>
      <c r="W210" s="1">
        <v>30</v>
      </c>
      <c r="X210" s="1" t="s">
        <v>134</v>
      </c>
      <c r="Y210" s="1" t="s">
        <v>155</v>
      </c>
      <c r="Z210" s="1" t="s">
        <v>1</v>
      </c>
      <c r="AA210" s="1" t="s">
        <v>148</v>
      </c>
      <c r="AB210" s="1" t="s">
        <v>2</v>
      </c>
      <c r="AC210" s="12" t="s">
        <v>2</v>
      </c>
      <c r="AD210" s="12" t="s">
        <v>2</v>
      </c>
      <c r="AE210" s="12" t="s">
        <v>149</v>
      </c>
      <c r="AF210" s="12" t="s">
        <v>322</v>
      </c>
      <c r="AG210" s="12">
        <v>4.4000000000000004</v>
      </c>
      <c r="AH210" s="12">
        <f t="shared" si="592"/>
        <v>3.8340579025361587</v>
      </c>
      <c r="AI210" s="12">
        <f>5.1-AG210</f>
        <v>0.69999999999999929</v>
      </c>
      <c r="AJ210" s="12">
        <v>3.6</v>
      </c>
      <c r="AK210" s="12">
        <f t="shared" si="593"/>
        <v>1.0954451150103308</v>
      </c>
      <c r="AL210" s="12">
        <f>3.8-AJ210</f>
        <v>0.19999999999999973</v>
      </c>
      <c r="AM210" s="12">
        <f t="shared" si="570"/>
        <v>0.80000000000000027</v>
      </c>
      <c r="AN210" s="1">
        <f t="shared" si="571"/>
        <v>2.8195744359743338</v>
      </c>
      <c r="AO210" s="1">
        <f t="shared" si="572"/>
        <v>0.28373076085276389</v>
      </c>
      <c r="AP210" s="1">
        <f t="shared" si="573"/>
        <v>6.7337526205450735E-2</v>
      </c>
      <c r="AQ210" s="1">
        <f t="shared" si="574"/>
        <v>0.98701298701298701</v>
      </c>
      <c r="AR210" s="21">
        <f t="shared" si="575"/>
        <v>0.28004594577675396</v>
      </c>
      <c r="AS210" s="21">
        <f t="shared" si="588"/>
        <v>6.5599856866703235E-2</v>
      </c>
      <c r="AT210" s="21">
        <f t="shared" si="577"/>
        <v>0.25612469007634392</v>
      </c>
      <c r="AU210" s="20">
        <f t="shared" si="589"/>
        <v>15.243935699920311</v>
      </c>
      <c r="AV210" s="20">
        <f t="shared" si="590"/>
        <v>4.2690023904442072</v>
      </c>
      <c r="AW210" s="20">
        <f t="shared" si="591"/>
        <v>1.1955168119551716</v>
      </c>
      <c r="AX210" s="14"/>
      <c r="AY210" s="14"/>
      <c r="AZ210" s="1" t="s">
        <v>271</v>
      </c>
      <c r="BA210" s="2"/>
    </row>
    <row r="211" spans="1:53" ht="14.25" hidden="1" customHeight="1">
      <c r="A211" s="2">
        <v>96</v>
      </c>
      <c r="B211" s="2" t="s">
        <v>13</v>
      </c>
      <c r="C211" s="1" t="s">
        <v>85</v>
      </c>
      <c r="D211" s="1">
        <v>2011</v>
      </c>
      <c r="E211" s="1">
        <v>2006</v>
      </c>
      <c r="F211" s="1" t="s">
        <v>165</v>
      </c>
      <c r="G211" s="1" t="s">
        <v>162</v>
      </c>
      <c r="H211" s="1">
        <v>-41.255277999999997</v>
      </c>
      <c r="I211" s="1">
        <v>-71.281389000000004</v>
      </c>
      <c r="J211" s="1" t="s">
        <v>135</v>
      </c>
      <c r="K211" s="1" t="s">
        <v>197</v>
      </c>
      <c r="L211" s="1" t="s">
        <v>198</v>
      </c>
      <c r="M211" s="1" t="s">
        <v>238</v>
      </c>
      <c r="N211" s="1" t="s">
        <v>239</v>
      </c>
      <c r="O211" s="1" t="s">
        <v>86</v>
      </c>
      <c r="Q211" s="1" t="s">
        <v>93</v>
      </c>
      <c r="R211" s="1">
        <v>1998</v>
      </c>
      <c r="S211" s="19">
        <v>8</v>
      </c>
      <c r="T211" s="9"/>
      <c r="V211" s="1">
        <v>30</v>
      </c>
      <c r="W211" s="1">
        <v>30</v>
      </c>
      <c r="X211" s="1" t="s">
        <v>134</v>
      </c>
      <c r="Y211" s="1" t="s">
        <v>155</v>
      </c>
      <c r="Z211" s="1" t="s">
        <v>1</v>
      </c>
      <c r="AA211" s="1" t="s">
        <v>148</v>
      </c>
      <c r="AB211" s="1" t="s">
        <v>2</v>
      </c>
      <c r="AC211" s="12" t="s">
        <v>2</v>
      </c>
      <c r="AD211" s="12" t="s">
        <v>2</v>
      </c>
      <c r="AE211" s="12" t="s">
        <v>254</v>
      </c>
      <c r="AF211" s="12" t="s">
        <v>322</v>
      </c>
      <c r="AG211" s="12">
        <v>0.22</v>
      </c>
      <c r="AH211" s="12">
        <f t="shared" si="592"/>
        <v>1.6431676725154982</v>
      </c>
      <c r="AI211" s="12">
        <v>0.3</v>
      </c>
      <c r="AJ211" s="12">
        <v>0.26</v>
      </c>
      <c r="AK211" s="12">
        <f t="shared" si="593"/>
        <v>0.54772255750516619</v>
      </c>
      <c r="AL211" s="12">
        <v>0.1</v>
      </c>
      <c r="AM211" s="12">
        <f t="shared" si="570"/>
        <v>-4.0000000000000008E-2</v>
      </c>
      <c r="AN211" s="1">
        <f t="shared" si="571"/>
        <v>1.2247448713915889</v>
      </c>
      <c r="AO211" s="1">
        <f t="shared" si="572"/>
        <v>-3.2659863237109052E-2</v>
      </c>
      <c r="AP211" s="1">
        <f t="shared" si="573"/>
        <v>6.6675555555555557E-2</v>
      </c>
      <c r="AQ211" s="1">
        <f t="shared" si="574"/>
        <v>0.98701298701298701</v>
      </c>
      <c r="AR211" s="21">
        <f t="shared" si="575"/>
        <v>-3.2235709169094649E-2</v>
      </c>
      <c r="AS211" s="21">
        <f t="shared" si="588"/>
        <v>6.4954968610033553E-2</v>
      </c>
      <c r="AT211" s="21">
        <f t="shared" si="577"/>
        <v>0.2548626465569907</v>
      </c>
      <c r="AU211" s="20">
        <f t="shared" si="589"/>
        <v>15.3952810908684</v>
      </c>
      <c r="AV211" s="20">
        <f t="shared" si="590"/>
        <v>-0.49627780382169595</v>
      </c>
      <c r="AW211" s="20">
        <f t="shared" si="591"/>
        <v>1.5997866951073202E-2</v>
      </c>
      <c r="AX211" s="14"/>
      <c r="AY211" s="14"/>
      <c r="AZ211" s="1" t="s">
        <v>271</v>
      </c>
      <c r="BA211" s="2"/>
    </row>
    <row r="212" spans="1:53" ht="14.25" hidden="1" customHeight="1">
      <c r="A212" s="2">
        <v>96</v>
      </c>
      <c r="B212" s="2" t="s">
        <v>13</v>
      </c>
      <c r="C212" s="1" t="s">
        <v>85</v>
      </c>
      <c r="D212" s="1">
        <v>2011</v>
      </c>
      <c r="E212" s="1">
        <v>2006</v>
      </c>
      <c r="F212" s="1" t="s">
        <v>165</v>
      </c>
      <c r="G212" s="1" t="s">
        <v>162</v>
      </c>
      <c r="H212" s="1">
        <v>-41.255277999999997</v>
      </c>
      <c r="I212" s="1">
        <v>-71.281389000000004</v>
      </c>
      <c r="J212" s="1" t="s">
        <v>135</v>
      </c>
      <c r="K212" s="1" t="s">
        <v>197</v>
      </c>
      <c r="L212" s="1" t="s">
        <v>198</v>
      </c>
      <c r="M212" s="1" t="s">
        <v>238</v>
      </c>
      <c r="N212" s="1" t="s">
        <v>239</v>
      </c>
      <c r="O212" s="1" t="s">
        <v>86</v>
      </c>
      <c r="Q212" s="1" t="s">
        <v>93</v>
      </c>
      <c r="R212" s="1">
        <v>1998</v>
      </c>
      <c r="S212" s="19">
        <v>8</v>
      </c>
      <c r="T212" s="9"/>
      <c r="V212" s="1">
        <v>30</v>
      </c>
      <c r="W212" s="1">
        <v>30</v>
      </c>
      <c r="X212" s="1" t="s">
        <v>134</v>
      </c>
      <c r="Y212" s="1" t="s">
        <v>155</v>
      </c>
      <c r="Z212" s="1" t="s">
        <v>1</v>
      </c>
      <c r="AA212" s="1" t="s">
        <v>148</v>
      </c>
      <c r="AB212" s="1" t="s">
        <v>2</v>
      </c>
      <c r="AC212" s="12" t="s">
        <v>2</v>
      </c>
      <c r="AD212" s="12" t="s">
        <v>2</v>
      </c>
      <c r="AE212" s="12" t="s">
        <v>223</v>
      </c>
      <c r="AF212" s="12" t="s">
        <v>322</v>
      </c>
      <c r="AG212" s="12">
        <v>7.7</v>
      </c>
      <c r="AH212" s="12">
        <f t="shared" si="592"/>
        <v>3.8340579025361636</v>
      </c>
      <c r="AI212" s="12">
        <f>8.4-AG212</f>
        <v>0.70000000000000018</v>
      </c>
      <c r="AJ212" s="12">
        <v>8.4</v>
      </c>
      <c r="AK212" s="12">
        <f t="shared" si="593"/>
        <v>1.6431676725154925</v>
      </c>
      <c r="AL212" s="12">
        <f>8.7-AJ212</f>
        <v>0.29999999999999893</v>
      </c>
      <c r="AM212" s="12">
        <f t="shared" si="570"/>
        <v>-0.70000000000000018</v>
      </c>
      <c r="AN212" s="1">
        <f t="shared" si="571"/>
        <v>2.9495762407505239</v>
      </c>
      <c r="AO212" s="1">
        <f t="shared" si="572"/>
        <v>-0.2373222262672838</v>
      </c>
      <c r="AP212" s="1">
        <f t="shared" si="573"/>
        <v>6.7136015325670498E-2</v>
      </c>
      <c r="AQ212" s="1">
        <f t="shared" si="574"/>
        <v>0.98701298701298701</v>
      </c>
      <c r="AR212" s="21">
        <f t="shared" si="575"/>
        <v>-0.23424011943264375</v>
      </c>
      <c r="AS212" s="21">
        <f t="shared" si="588"/>
        <v>6.5403546048418415E-2</v>
      </c>
      <c r="AT212" s="21">
        <f t="shared" si="577"/>
        <v>0.25574117003020536</v>
      </c>
      <c r="AU212" s="20">
        <f t="shared" si="589"/>
        <v>15.289690856512541</v>
      </c>
      <c r="AV212" s="20">
        <f t="shared" si="590"/>
        <v>-3.581459012317699</v>
      </c>
      <c r="AW212" s="20">
        <f t="shared" si="591"/>
        <v>0.8389213867884161</v>
      </c>
      <c r="AX212" s="14"/>
      <c r="AY212" s="14"/>
      <c r="AZ212" s="1" t="s">
        <v>271</v>
      </c>
      <c r="BA212" s="2"/>
    </row>
    <row r="213" spans="1:53" ht="14.25" hidden="1" customHeight="1">
      <c r="A213" s="2">
        <v>96</v>
      </c>
      <c r="B213" s="2" t="s">
        <v>13</v>
      </c>
      <c r="C213" s="1" t="s">
        <v>85</v>
      </c>
      <c r="D213" s="1">
        <v>2011</v>
      </c>
      <c r="E213" s="1">
        <v>2006</v>
      </c>
      <c r="F213" s="1" t="s">
        <v>165</v>
      </c>
      <c r="G213" s="1" t="s">
        <v>162</v>
      </c>
      <c r="H213" s="1">
        <v>-41.255277999999997</v>
      </c>
      <c r="I213" s="1">
        <v>-71.281389000000004</v>
      </c>
      <c r="J213" s="1" t="s">
        <v>135</v>
      </c>
      <c r="K213" s="1" t="s">
        <v>197</v>
      </c>
      <c r="L213" s="1" t="s">
        <v>198</v>
      </c>
      <c r="M213" s="1" t="s">
        <v>238</v>
      </c>
      <c r="N213" s="1" t="s">
        <v>239</v>
      </c>
      <c r="O213" s="1" t="s">
        <v>86</v>
      </c>
      <c r="Q213" s="1" t="s">
        <v>93</v>
      </c>
      <c r="R213" s="1">
        <v>1999</v>
      </c>
      <c r="S213" s="19">
        <v>7</v>
      </c>
      <c r="T213" s="9"/>
      <c r="V213" s="1">
        <v>30</v>
      </c>
      <c r="W213" s="1">
        <v>30</v>
      </c>
      <c r="X213" s="1" t="s">
        <v>134</v>
      </c>
      <c r="Y213" s="1" t="s">
        <v>155</v>
      </c>
      <c r="Z213" s="1" t="s">
        <v>1</v>
      </c>
      <c r="AA213" s="1" t="s">
        <v>148</v>
      </c>
      <c r="AB213" s="1" t="s">
        <v>2</v>
      </c>
      <c r="AC213" s="12" t="s">
        <v>2</v>
      </c>
      <c r="AD213" s="12" t="s">
        <v>2</v>
      </c>
      <c r="AE213" s="12" t="s">
        <v>351</v>
      </c>
      <c r="AF213" s="12" t="s">
        <v>322</v>
      </c>
      <c r="AG213" s="12">
        <v>57.8</v>
      </c>
      <c r="AH213" s="12">
        <f t="shared" si="592"/>
        <v>20.265734627691163</v>
      </c>
      <c r="AI213" s="12">
        <f>61.5-AG213</f>
        <v>3.7000000000000028</v>
      </c>
      <c r="AJ213" s="12">
        <v>74.8</v>
      </c>
      <c r="AK213" s="12">
        <f t="shared" si="593"/>
        <v>7.1203932475671436</v>
      </c>
      <c r="AL213" s="12">
        <f>76.1-AJ213</f>
        <v>1.2999999999999972</v>
      </c>
      <c r="AM213" s="12">
        <f t="shared" si="570"/>
        <v>-17</v>
      </c>
      <c r="AN213" s="1">
        <f t="shared" si="571"/>
        <v>15.18881167175366</v>
      </c>
      <c r="AO213" s="1">
        <f t="shared" si="572"/>
        <v>-1.1192448999558386</v>
      </c>
      <c r="AP213" s="1">
        <f t="shared" si="573"/>
        <v>7.7105909550642962E-2</v>
      </c>
      <c r="AQ213" s="1">
        <f t="shared" si="574"/>
        <v>0.98701298701298701</v>
      </c>
      <c r="AR213" s="21">
        <f t="shared" si="575"/>
        <v>-1.1047092519044641</v>
      </c>
      <c r="AS213" s="21">
        <f t="shared" si="588"/>
        <v>7.5116163529180935E-2</v>
      </c>
      <c r="AT213" s="21">
        <f t="shared" si="577"/>
        <v>0.27407328131209896</v>
      </c>
      <c r="AU213" s="20">
        <f t="shared" si="589"/>
        <v>13.312713975488412</v>
      </c>
      <c r="AV213" s="20">
        <f t="shared" si="590"/>
        <v>-14.706678296679907</v>
      </c>
      <c r="AW213" s="20">
        <f t="shared" si="591"/>
        <v>16.24660357912488</v>
      </c>
      <c r="AX213" s="14"/>
      <c r="AY213" s="14"/>
      <c r="AZ213" s="1" t="s">
        <v>271</v>
      </c>
      <c r="BA213" s="2"/>
    </row>
    <row r="214" spans="1:53" ht="14.25" hidden="1" customHeight="1">
      <c r="A214" s="2">
        <v>96</v>
      </c>
      <c r="B214" s="2" t="s">
        <v>13</v>
      </c>
      <c r="C214" s="1" t="s">
        <v>85</v>
      </c>
      <c r="D214" s="1">
        <v>2011</v>
      </c>
      <c r="E214" s="1">
        <v>2006</v>
      </c>
      <c r="F214" s="1" t="s">
        <v>165</v>
      </c>
      <c r="G214" s="1" t="s">
        <v>162</v>
      </c>
      <c r="H214" s="1">
        <v>-41.255277999999997</v>
      </c>
      <c r="I214" s="1">
        <v>-71.281389000000004</v>
      </c>
      <c r="J214" s="1" t="s">
        <v>135</v>
      </c>
      <c r="K214" s="1" t="s">
        <v>197</v>
      </c>
      <c r="L214" s="1" t="s">
        <v>198</v>
      </c>
      <c r="M214" s="1" t="s">
        <v>238</v>
      </c>
      <c r="N214" s="1" t="s">
        <v>239</v>
      </c>
      <c r="O214" s="1" t="s">
        <v>86</v>
      </c>
      <c r="Q214" s="1" t="s">
        <v>93</v>
      </c>
      <c r="R214" s="1">
        <v>1999</v>
      </c>
      <c r="S214" s="19">
        <v>7</v>
      </c>
      <c r="T214" s="9"/>
      <c r="V214" s="1">
        <v>30</v>
      </c>
      <c r="W214" s="1">
        <v>30</v>
      </c>
      <c r="X214" s="1" t="s">
        <v>134</v>
      </c>
      <c r="Y214" s="1" t="s">
        <v>155</v>
      </c>
      <c r="Z214" s="1" t="s">
        <v>1</v>
      </c>
      <c r="AA214" s="1" t="s">
        <v>148</v>
      </c>
      <c r="AB214" s="1" t="s">
        <v>2</v>
      </c>
      <c r="AC214" s="12" t="s">
        <v>2</v>
      </c>
      <c r="AD214" s="12" t="s">
        <v>2</v>
      </c>
      <c r="AE214" s="12" t="s">
        <v>149</v>
      </c>
      <c r="AF214" s="12" t="s">
        <v>322</v>
      </c>
      <c r="AG214" s="12">
        <v>3.8</v>
      </c>
      <c r="AH214" s="12">
        <f t="shared" si="592"/>
        <v>3.2863353450309996</v>
      </c>
      <c r="AI214" s="12">
        <f>4.4-AG214</f>
        <v>0.60000000000000053</v>
      </c>
      <c r="AJ214" s="12">
        <v>2.9</v>
      </c>
      <c r="AK214" s="12">
        <f t="shared" si="593"/>
        <v>1.6431676725154998</v>
      </c>
      <c r="AL214" s="12">
        <f>3.2-AJ214</f>
        <v>0.30000000000000027</v>
      </c>
      <c r="AM214" s="12">
        <f t="shared" si="570"/>
        <v>0.89999999999999991</v>
      </c>
      <c r="AN214" s="1">
        <f t="shared" si="571"/>
        <v>2.5980762113533182</v>
      </c>
      <c r="AO214" s="1">
        <f t="shared" si="572"/>
        <v>0.34641016151377513</v>
      </c>
      <c r="AP214" s="1">
        <f t="shared" si="573"/>
        <v>6.7666666666666667E-2</v>
      </c>
      <c r="AQ214" s="1">
        <f t="shared" si="574"/>
        <v>0.98701298701298701</v>
      </c>
      <c r="AR214" s="21">
        <f t="shared" si="575"/>
        <v>0.34191132824736248</v>
      </c>
      <c r="AS214" s="21">
        <f t="shared" si="588"/>
        <v>6.5920503738685562E-2</v>
      </c>
      <c r="AT214" s="21">
        <f t="shared" si="577"/>
        <v>0.25674988556703499</v>
      </c>
      <c r="AU214" s="20">
        <f t="shared" si="589"/>
        <v>15.169786990161427</v>
      </c>
      <c r="AV214" s="20">
        <f t="shared" si="590"/>
        <v>5.1867220190356527</v>
      </c>
      <c r="AW214" s="20">
        <f t="shared" si="591"/>
        <v>1.7733990147783218</v>
      </c>
      <c r="AX214" s="14"/>
      <c r="AY214" s="14"/>
      <c r="AZ214" s="1" t="s">
        <v>271</v>
      </c>
      <c r="BA214" s="2"/>
    </row>
    <row r="215" spans="1:53" ht="14.25" hidden="1" customHeight="1">
      <c r="A215" s="2">
        <v>96</v>
      </c>
      <c r="B215" s="2" t="s">
        <v>13</v>
      </c>
      <c r="C215" s="1" t="s">
        <v>85</v>
      </c>
      <c r="D215" s="1">
        <v>2011</v>
      </c>
      <c r="E215" s="1">
        <v>2006</v>
      </c>
      <c r="F215" s="1" t="s">
        <v>165</v>
      </c>
      <c r="G215" s="1" t="s">
        <v>162</v>
      </c>
      <c r="H215" s="1">
        <v>-41.255277999999997</v>
      </c>
      <c r="I215" s="1">
        <v>-71.281389000000004</v>
      </c>
      <c r="J215" s="1" t="s">
        <v>135</v>
      </c>
      <c r="K215" s="1" t="s">
        <v>197</v>
      </c>
      <c r="L215" s="1" t="s">
        <v>198</v>
      </c>
      <c r="M215" s="1" t="s">
        <v>238</v>
      </c>
      <c r="N215" s="1" t="s">
        <v>239</v>
      </c>
      <c r="O215" s="1" t="s">
        <v>86</v>
      </c>
      <c r="Q215" s="1" t="s">
        <v>93</v>
      </c>
      <c r="R215" s="1">
        <v>1999</v>
      </c>
      <c r="S215" s="19">
        <v>7</v>
      </c>
      <c r="T215" s="9"/>
      <c r="V215" s="1">
        <v>30</v>
      </c>
      <c r="W215" s="1">
        <v>30</v>
      </c>
      <c r="X215" s="1" t="s">
        <v>134</v>
      </c>
      <c r="Y215" s="1" t="s">
        <v>155</v>
      </c>
      <c r="Z215" s="1" t="s">
        <v>1</v>
      </c>
      <c r="AA215" s="1" t="s">
        <v>148</v>
      </c>
      <c r="AB215" s="1" t="s">
        <v>2</v>
      </c>
      <c r="AC215" s="12" t="s">
        <v>2</v>
      </c>
      <c r="AD215" s="12" t="s">
        <v>2</v>
      </c>
      <c r="AE215" s="12" t="s">
        <v>254</v>
      </c>
      <c r="AF215" s="12" t="s">
        <v>322</v>
      </c>
      <c r="AG215" s="12">
        <v>0.26</v>
      </c>
      <c r="AH215" s="12">
        <f t="shared" si="592"/>
        <v>1.6431676725154982</v>
      </c>
      <c r="AI215" s="12">
        <v>0.3</v>
      </c>
      <c r="AJ215" s="12">
        <v>0.34</v>
      </c>
      <c r="AK215" s="12">
        <f t="shared" si="593"/>
        <v>0.27386127875258298</v>
      </c>
      <c r="AL215" s="12">
        <f>0.39-AJ215</f>
        <v>4.9999999999999989E-2</v>
      </c>
      <c r="AM215" s="12">
        <f t="shared" si="570"/>
        <v>-8.0000000000000016E-2</v>
      </c>
      <c r="AN215" s="1">
        <f t="shared" si="571"/>
        <v>1.1779218989389746</v>
      </c>
      <c r="AO215" s="1">
        <f t="shared" si="572"/>
        <v>-6.7916217596481435E-2</v>
      </c>
      <c r="AP215" s="1">
        <f t="shared" si="573"/>
        <v>6.6705105105105106E-2</v>
      </c>
      <c r="AQ215" s="1">
        <f t="shared" si="574"/>
        <v>0.98701298701298701</v>
      </c>
      <c r="AR215" s="21">
        <f t="shared" si="575"/>
        <v>-6.703418879652713E-2</v>
      </c>
      <c r="AS215" s="21">
        <f t="shared" si="588"/>
        <v>6.498375562271666E-2</v>
      </c>
      <c r="AT215" s="21">
        <f t="shared" si="577"/>
        <v>0.2549191158440588</v>
      </c>
      <c r="AU215" s="20">
        <f t="shared" si="589"/>
        <v>15.38846116875439</v>
      </c>
      <c r="AV215" s="20">
        <f t="shared" si="590"/>
        <v>-1.0315530112743083</v>
      </c>
      <c r="AW215" s="20">
        <f t="shared" si="591"/>
        <v>6.9149319311388055E-2</v>
      </c>
      <c r="AX215" s="14"/>
      <c r="AY215" s="14"/>
      <c r="AZ215" s="1" t="s">
        <v>271</v>
      </c>
      <c r="BA215" s="2"/>
    </row>
    <row r="216" spans="1:53" ht="14.25" hidden="1" customHeight="1">
      <c r="A216" s="2">
        <v>96</v>
      </c>
      <c r="B216" s="2" t="s">
        <v>13</v>
      </c>
      <c r="C216" s="1" t="s">
        <v>85</v>
      </c>
      <c r="D216" s="1">
        <v>2011</v>
      </c>
      <c r="E216" s="1">
        <v>2006</v>
      </c>
      <c r="F216" s="1" t="s">
        <v>165</v>
      </c>
      <c r="G216" s="1" t="s">
        <v>162</v>
      </c>
      <c r="H216" s="1">
        <v>-41.255277999999997</v>
      </c>
      <c r="I216" s="1">
        <v>-71.281389000000004</v>
      </c>
      <c r="J216" s="1" t="s">
        <v>135</v>
      </c>
      <c r="K216" s="1" t="s">
        <v>197</v>
      </c>
      <c r="L216" s="1" t="s">
        <v>198</v>
      </c>
      <c r="M216" s="1" t="s">
        <v>238</v>
      </c>
      <c r="N216" s="1" t="s">
        <v>239</v>
      </c>
      <c r="O216" s="1" t="s">
        <v>86</v>
      </c>
      <c r="Q216" s="1" t="s">
        <v>93</v>
      </c>
      <c r="R216" s="1">
        <v>1999</v>
      </c>
      <c r="S216" s="19">
        <v>7</v>
      </c>
      <c r="T216" s="9"/>
      <c r="V216" s="1">
        <v>30</v>
      </c>
      <c r="W216" s="1">
        <v>30</v>
      </c>
      <c r="X216" s="1" t="s">
        <v>134</v>
      </c>
      <c r="Y216" s="1" t="s">
        <v>155</v>
      </c>
      <c r="Z216" s="1" t="s">
        <v>1</v>
      </c>
      <c r="AA216" s="1" t="s">
        <v>148</v>
      </c>
      <c r="AB216" s="1" t="s">
        <v>2</v>
      </c>
      <c r="AC216" s="12" t="s">
        <v>2</v>
      </c>
      <c r="AD216" s="12" t="s">
        <v>2</v>
      </c>
      <c r="AE216" s="12" t="s">
        <v>223</v>
      </c>
      <c r="AF216" s="12" t="s">
        <v>322</v>
      </c>
      <c r="AG216" s="12">
        <v>10</v>
      </c>
      <c r="AH216" s="12">
        <f t="shared" si="592"/>
        <v>3.2863353450309964</v>
      </c>
      <c r="AI216" s="12">
        <v>0.6</v>
      </c>
      <c r="AJ216" s="12">
        <v>9.1</v>
      </c>
      <c r="AK216" s="12">
        <f t="shared" si="593"/>
        <v>6.0249481325568253</v>
      </c>
      <c r="AL216" s="12">
        <f>10.2-AJ216</f>
        <v>1.0999999999999996</v>
      </c>
      <c r="AM216" s="12">
        <f t="shared" si="570"/>
        <v>0.90000000000000036</v>
      </c>
      <c r="AN216" s="1">
        <f t="shared" si="571"/>
        <v>4.8528342234203707</v>
      </c>
      <c r="AO216" s="1">
        <f t="shared" si="572"/>
        <v>0.18545863274217991</v>
      </c>
      <c r="AP216" s="1">
        <f t="shared" si="573"/>
        <v>6.6953290870488319E-2</v>
      </c>
      <c r="AQ216" s="1">
        <f t="shared" si="574"/>
        <v>0.98701298701298701</v>
      </c>
      <c r="AR216" s="21">
        <f t="shared" si="575"/>
        <v>0.18305007907020354</v>
      </c>
      <c r="AS216" s="21">
        <f t="shared" si="588"/>
        <v>6.5225536864216657E-2</v>
      </c>
      <c r="AT216" s="21">
        <f t="shared" si="577"/>
        <v>0.25539290684006216</v>
      </c>
      <c r="AU216" s="20">
        <f t="shared" si="589"/>
        <v>15.331418460866811</v>
      </c>
      <c r="AV216" s="20">
        <f t="shared" si="590"/>
        <v>2.8064173615200483</v>
      </c>
      <c r="AW216" s="20">
        <f t="shared" si="591"/>
        <v>0.51371491993023688</v>
      </c>
      <c r="AX216" s="14"/>
      <c r="AY216" s="14"/>
      <c r="AZ216" s="1" t="s">
        <v>271</v>
      </c>
      <c r="BA216" s="2"/>
    </row>
    <row r="217" spans="1:53" ht="14.25" hidden="1" customHeight="1">
      <c r="A217" s="2">
        <v>480</v>
      </c>
      <c r="B217" s="2" t="s">
        <v>63</v>
      </c>
      <c r="C217" s="1" t="s">
        <v>85</v>
      </c>
      <c r="D217" s="1">
        <v>2023</v>
      </c>
      <c r="E217" s="1">
        <v>2021</v>
      </c>
      <c r="F217" s="1" t="s">
        <v>215</v>
      </c>
      <c r="G217" s="1" t="s">
        <v>162</v>
      </c>
      <c r="H217" s="1">
        <v>52.037222</v>
      </c>
      <c r="I217" s="1">
        <v>124.083611</v>
      </c>
      <c r="J217" s="1" t="s">
        <v>128</v>
      </c>
      <c r="K217" s="1" t="s">
        <v>173</v>
      </c>
      <c r="L217" s="1" t="s">
        <v>174</v>
      </c>
      <c r="M217" s="1" t="s">
        <v>237</v>
      </c>
      <c r="N217" s="1" t="s">
        <v>239</v>
      </c>
      <c r="O217" s="1" t="s">
        <v>86</v>
      </c>
      <c r="Q217" s="1" t="s">
        <v>93</v>
      </c>
      <c r="R217" s="1">
        <v>2020</v>
      </c>
      <c r="S217" s="1">
        <v>1</v>
      </c>
      <c r="V217" s="1">
        <v>6</v>
      </c>
      <c r="W217" s="1">
        <v>6</v>
      </c>
      <c r="X217" s="1" t="s">
        <v>97</v>
      </c>
      <c r="Y217" s="1" t="s">
        <v>2</v>
      </c>
      <c r="Z217" s="1" t="s">
        <v>1</v>
      </c>
      <c r="AA217" s="1" t="s">
        <v>98</v>
      </c>
      <c r="AB217" s="1" t="s">
        <v>203</v>
      </c>
      <c r="AC217" s="12" t="s">
        <v>99</v>
      </c>
      <c r="AD217" s="12" t="s">
        <v>111</v>
      </c>
      <c r="AE217" s="12" t="s">
        <v>262</v>
      </c>
      <c r="AF217" s="12" t="s">
        <v>325</v>
      </c>
      <c r="AG217" s="12">
        <v>754.1</v>
      </c>
      <c r="AH217" s="12">
        <f>849.2-560.7</f>
        <v>288.5</v>
      </c>
      <c r="AI217" s="12"/>
      <c r="AJ217" s="12">
        <v>678.7</v>
      </c>
      <c r="AK217" s="12">
        <f>734.4-636.1</f>
        <v>98.299999999999955</v>
      </c>
      <c r="AL217" s="12"/>
      <c r="AM217" s="12">
        <f t="shared" si="459"/>
        <v>75.399999999999977</v>
      </c>
      <c r="AN217" s="1">
        <f t="shared" si="379"/>
        <v>215.51698308950037</v>
      </c>
      <c r="AO217" s="1">
        <f t="shared" si="525"/>
        <v>0.34985641929057487</v>
      </c>
      <c r="AP217" s="1">
        <f t="shared" si="380"/>
        <v>0.33843331308828423</v>
      </c>
      <c r="AQ217" s="1">
        <f t="shared" si="381"/>
        <v>0.92307692307692313</v>
      </c>
      <c r="AR217" s="21">
        <f t="shared" si="526"/>
        <v>0.32294438703745376</v>
      </c>
      <c r="AS217" s="21">
        <f t="shared" si="588"/>
        <v>0.28836921351901146</v>
      </c>
      <c r="AT217" s="21">
        <f t="shared" ref="AT217:AT399" si="594">SQRT(AP217*AQ217^2)</f>
        <v>0.53700019880723648</v>
      </c>
      <c r="AU217" s="20">
        <f t="shared" si="589"/>
        <v>3.4677765625423551</v>
      </c>
      <c r="AV217" s="20">
        <f t="shared" si="590"/>
        <v>1.1198989763730893</v>
      </c>
      <c r="AW217" s="20">
        <f t="shared" si="591"/>
        <v>0.36166508846867923</v>
      </c>
      <c r="AX217" s="14"/>
      <c r="AY217" s="14"/>
      <c r="AZ217" s="1" t="s">
        <v>271</v>
      </c>
      <c r="BA217" s="2"/>
    </row>
    <row r="218" spans="1:53" ht="14.25" hidden="1" customHeight="1">
      <c r="A218" s="2">
        <v>480</v>
      </c>
      <c r="B218" s="2" t="s">
        <v>63</v>
      </c>
      <c r="C218" s="1" t="s">
        <v>85</v>
      </c>
      <c r="D218" s="1">
        <v>2023</v>
      </c>
      <c r="E218" s="1">
        <v>2021</v>
      </c>
      <c r="F218" s="1" t="s">
        <v>215</v>
      </c>
      <c r="G218" s="1" t="s">
        <v>162</v>
      </c>
      <c r="H218" s="1">
        <v>52.037222</v>
      </c>
      <c r="I218" s="1">
        <v>124.083611</v>
      </c>
      <c r="J218" s="1" t="s">
        <v>128</v>
      </c>
      <c r="K218" s="1" t="s">
        <v>173</v>
      </c>
      <c r="L218" s="1" t="s">
        <v>174</v>
      </c>
      <c r="M218" s="1" t="s">
        <v>237</v>
      </c>
      <c r="N218" s="1" t="s">
        <v>239</v>
      </c>
      <c r="O218" s="1" t="s">
        <v>86</v>
      </c>
      <c r="Q218" s="1" t="s">
        <v>93</v>
      </c>
      <c r="R218" s="1">
        <v>2020</v>
      </c>
      <c r="S218" s="1">
        <v>1</v>
      </c>
      <c r="V218" s="1">
        <v>6</v>
      </c>
      <c r="W218" s="1">
        <v>6</v>
      </c>
      <c r="X218" s="1" t="s">
        <v>97</v>
      </c>
      <c r="Y218" s="1" t="s">
        <v>2</v>
      </c>
      <c r="Z218" s="1" t="s">
        <v>1</v>
      </c>
      <c r="AA218" s="1" t="s">
        <v>98</v>
      </c>
      <c r="AB218" s="1" t="s">
        <v>203</v>
      </c>
      <c r="AC218" s="12" t="s">
        <v>99</v>
      </c>
      <c r="AD218" s="12" t="s">
        <v>111</v>
      </c>
      <c r="AE218" s="12" t="s">
        <v>257</v>
      </c>
      <c r="AF218" s="12" t="s">
        <v>352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" t="s">
        <v>286</v>
      </c>
    </row>
    <row r="219" spans="1:53" ht="14.25" hidden="1" customHeight="1">
      <c r="A219" s="2">
        <v>480</v>
      </c>
      <c r="B219" s="2" t="s">
        <v>63</v>
      </c>
      <c r="C219" s="1" t="s">
        <v>85</v>
      </c>
      <c r="D219" s="1">
        <v>2023</v>
      </c>
      <c r="E219" s="1">
        <v>2021</v>
      </c>
      <c r="F219" s="1" t="s">
        <v>215</v>
      </c>
      <c r="G219" s="1" t="s">
        <v>162</v>
      </c>
      <c r="H219" s="1">
        <v>52.037222</v>
      </c>
      <c r="I219" s="1">
        <v>124.083611</v>
      </c>
      <c r="J219" s="1" t="s">
        <v>128</v>
      </c>
      <c r="K219" s="1" t="s">
        <v>173</v>
      </c>
      <c r="L219" s="1" t="s">
        <v>174</v>
      </c>
      <c r="M219" s="1" t="s">
        <v>237</v>
      </c>
      <c r="N219" s="1" t="s">
        <v>239</v>
      </c>
      <c r="O219" s="1" t="s">
        <v>86</v>
      </c>
      <c r="Q219" s="1" t="s">
        <v>93</v>
      </c>
      <c r="R219" s="1">
        <v>2017</v>
      </c>
      <c r="S219" s="1">
        <v>4</v>
      </c>
      <c r="V219" s="1">
        <v>6</v>
      </c>
      <c r="W219" s="1">
        <v>6</v>
      </c>
      <c r="X219" s="1" t="s">
        <v>97</v>
      </c>
      <c r="Y219" s="1" t="s">
        <v>2</v>
      </c>
      <c r="Z219" s="1" t="s">
        <v>1</v>
      </c>
      <c r="AA219" s="1" t="s">
        <v>98</v>
      </c>
      <c r="AB219" s="1" t="s">
        <v>203</v>
      </c>
      <c r="AC219" s="12" t="s">
        <v>99</v>
      </c>
      <c r="AD219" s="12" t="s">
        <v>111</v>
      </c>
      <c r="AE219" s="12" t="s">
        <v>262</v>
      </c>
      <c r="AF219" s="12" t="s">
        <v>325</v>
      </c>
      <c r="AG219" s="12">
        <v>642.6</v>
      </c>
      <c r="AH219" s="12">
        <f>849.2-452.5</f>
        <v>396.70000000000005</v>
      </c>
      <c r="AI219" s="12"/>
      <c r="AJ219" s="12">
        <v>678.7</v>
      </c>
      <c r="AK219" s="12">
        <f>734.4-636.1</f>
        <v>98.299999999999955</v>
      </c>
      <c r="AL219" s="12"/>
      <c r="AM219" s="12">
        <f t="shared" si="459"/>
        <v>-36.100000000000023</v>
      </c>
      <c r="AN219" s="1">
        <f t="shared" si="379"/>
        <v>288.99288918587604</v>
      </c>
      <c r="AO219" s="1">
        <f t="shared" si="525"/>
        <v>-0.12491656836850759</v>
      </c>
      <c r="AP219" s="1">
        <f t="shared" si="380"/>
        <v>0.33398350621054013</v>
      </c>
      <c r="AQ219" s="1">
        <f t="shared" si="381"/>
        <v>0.92307692307692313</v>
      </c>
      <c r="AR219" s="21">
        <f t="shared" si="526"/>
        <v>-0.11530760157093009</v>
      </c>
      <c r="AS219" s="21">
        <f>AP219*(AQ219^2)</f>
        <v>0.28457766209655494</v>
      </c>
      <c r="AT219" s="21">
        <f t="shared" si="594"/>
        <v>0.53345821026257989</v>
      </c>
      <c r="AU219" s="20">
        <f>1/AS219</f>
        <v>3.5139792513324815</v>
      </c>
      <c r="AV219" s="20">
        <f>AR219/AS219</f>
        <v>-0.40518851944116097</v>
      </c>
      <c r="AW219" s="20">
        <f>((AR219)^2)/AS219</f>
        <v>4.672131636083645E-2</v>
      </c>
      <c r="AX219" s="14"/>
      <c r="AY219" s="14"/>
      <c r="AZ219" s="1" t="s">
        <v>271</v>
      </c>
      <c r="BA219" s="2"/>
    </row>
    <row r="220" spans="1:53" ht="14.25" hidden="1" customHeight="1">
      <c r="A220" s="2">
        <v>480</v>
      </c>
      <c r="B220" s="2" t="s">
        <v>63</v>
      </c>
      <c r="C220" s="1" t="s">
        <v>85</v>
      </c>
      <c r="D220" s="1">
        <v>2023</v>
      </c>
      <c r="E220" s="1">
        <v>2021</v>
      </c>
      <c r="F220" s="1" t="s">
        <v>215</v>
      </c>
      <c r="G220" s="1" t="s">
        <v>162</v>
      </c>
      <c r="H220" s="1">
        <v>52.037222</v>
      </c>
      <c r="I220" s="1">
        <v>124.083611</v>
      </c>
      <c r="J220" s="1" t="s">
        <v>128</v>
      </c>
      <c r="K220" s="1" t="s">
        <v>173</v>
      </c>
      <c r="L220" s="1" t="s">
        <v>174</v>
      </c>
      <c r="M220" s="1" t="s">
        <v>237</v>
      </c>
      <c r="N220" s="1" t="s">
        <v>239</v>
      </c>
      <c r="O220" s="1" t="s">
        <v>86</v>
      </c>
      <c r="Q220" s="1" t="s">
        <v>93</v>
      </c>
      <c r="R220" s="1">
        <v>2017</v>
      </c>
      <c r="S220" s="1">
        <v>4</v>
      </c>
      <c r="V220" s="1">
        <v>6</v>
      </c>
      <c r="W220" s="1">
        <v>6</v>
      </c>
      <c r="X220" s="1" t="s">
        <v>97</v>
      </c>
      <c r="Y220" s="1" t="s">
        <v>2</v>
      </c>
      <c r="Z220" s="1" t="s">
        <v>1</v>
      </c>
      <c r="AA220" s="1" t="s">
        <v>98</v>
      </c>
      <c r="AB220" s="1" t="s">
        <v>203</v>
      </c>
      <c r="AC220" s="12" t="s">
        <v>99</v>
      </c>
      <c r="AD220" s="12" t="s">
        <v>111</v>
      </c>
      <c r="AE220" s="12" t="s">
        <v>257</v>
      </c>
      <c r="AF220" s="12" t="s">
        <v>352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" t="s">
        <v>286</v>
      </c>
    </row>
    <row r="221" spans="1:53" ht="14.25" hidden="1" customHeight="1">
      <c r="A221" s="2">
        <v>480</v>
      </c>
      <c r="B221" s="2" t="s">
        <v>63</v>
      </c>
      <c r="C221" s="1" t="s">
        <v>85</v>
      </c>
      <c r="D221" s="1">
        <v>2023</v>
      </c>
      <c r="E221" s="1">
        <v>2021</v>
      </c>
      <c r="F221" s="1" t="s">
        <v>215</v>
      </c>
      <c r="G221" s="1" t="s">
        <v>162</v>
      </c>
      <c r="H221" s="1">
        <v>52.037222</v>
      </c>
      <c r="I221" s="1">
        <v>124.083611</v>
      </c>
      <c r="J221" s="1" t="s">
        <v>128</v>
      </c>
      <c r="K221" s="1" t="s">
        <v>173</v>
      </c>
      <c r="L221" s="1" t="s">
        <v>174</v>
      </c>
      <c r="M221" s="1" t="s">
        <v>237</v>
      </c>
      <c r="N221" s="1" t="s">
        <v>239</v>
      </c>
      <c r="O221" s="1" t="s">
        <v>86</v>
      </c>
      <c r="Q221" s="1" t="s">
        <v>93</v>
      </c>
      <c r="R221" s="1">
        <v>2012</v>
      </c>
      <c r="S221" s="1">
        <v>9</v>
      </c>
      <c r="V221" s="1">
        <v>6</v>
      </c>
      <c r="W221" s="1">
        <v>6</v>
      </c>
      <c r="X221" s="1" t="s">
        <v>97</v>
      </c>
      <c r="Y221" s="1" t="s">
        <v>2</v>
      </c>
      <c r="Z221" s="1" t="s">
        <v>1</v>
      </c>
      <c r="AA221" s="1" t="s">
        <v>98</v>
      </c>
      <c r="AB221" s="1" t="s">
        <v>203</v>
      </c>
      <c r="AC221" s="12" t="s">
        <v>99</v>
      </c>
      <c r="AD221" s="12" t="s">
        <v>111</v>
      </c>
      <c r="AE221" s="12" t="s">
        <v>262</v>
      </c>
      <c r="AF221" s="12" t="s">
        <v>325</v>
      </c>
      <c r="AG221" s="12">
        <v>1016.4</v>
      </c>
      <c r="AH221" s="12">
        <f>1108.2-675.4</f>
        <v>432.80000000000007</v>
      </c>
      <c r="AI221" s="12"/>
      <c r="AJ221" s="12">
        <v>678.7</v>
      </c>
      <c r="AK221" s="12">
        <f>734.4-636.1</f>
        <v>98.299999999999955</v>
      </c>
      <c r="AL221" s="12"/>
      <c r="AM221" s="12">
        <f t="shared" si="459"/>
        <v>337.69999999999993</v>
      </c>
      <c r="AN221" s="1">
        <f t="shared" si="379"/>
        <v>313.83015310833343</v>
      </c>
      <c r="AO221" s="1">
        <f t="shared" si="525"/>
        <v>1.0760597624391646</v>
      </c>
      <c r="AP221" s="1">
        <f t="shared" si="380"/>
        <v>0.38157935884752631</v>
      </c>
      <c r="AQ221" s="1">
        <f t="shared" si="381"/>
        <v>0.92307692307692313</v>
      </c>
      <c r="AR221" s="21">
        <f t="shared" si="526"/>
        <v>0.99328593455922887</v>
      </c>
      <c r="AS221" s="21">
        <f>AP221*(AQ221^2)</f>
        <v>0.32513270813043665</v>
      </c>
      <c r="AT221" s="21">
        <f t="shared" si="594"/>
        <v>0.57020409340028122</v>
      </c>
      <c r="AU221" s="20">
        <f>1/AS221</f>
        <v>3.075667181410799</v>
      </c>
      <c r="AV221" s="20">
        <f>AR221/AS221</f>
        <v>3.0550169506807747</v>
      </c>
      <c r="AW221" s="20">
        <f>((AR221)^2)/AS221</f>
        <v>3.0345053669512385</v>
      </c>
      <c r="AX221" s="14"/>
      <c r="AY221" s="14"/>
      <c r="AZ221" s="1" t="s">
        <v>271</v>
      </c>
      <c r="BA221" s="2"/>
    </row>
    <row r="222" spans="1:53" ht="14.25" hidden="1" customHeight="1">
      <c r="A222" s="2">
        <v>480</v>
      </c>
      <c r="B222" s="2" t="s">
        <v>63</v>
      </c>
      <c r="C222" s="1" t="s">
        <v>85</v>
      </c>
      <c r="D222" s="1">
        <v>2023</v>
      </c>
      <c r="E222" s="1">
        <v>2021</v>
      </c>
      <c r="F222" s="1" t="s">
        <v>215</v>
      </c>
      <c r="G222" s="1" t="s">
        <v>162</v>
      </c>
      <c r="H222" s="1">
        <v>52.037222</v>
      </c>
      <c r="I222" s="1">
        <v>124.083611</v>
      </c>
      <c r="J222" s="1" t="s">
        <v>128</v>
      </c>
      <c r="K222" s="1" t="s">
        <v>173</v>
      </c>
      <c r="L222" s="1" t="s">
        <v>174</v>
      </c>
      <c r="M222" s="1" t="s">
        <v>237</v>
      </c>
      <c r="N222" s="1" t="s">
        <v>239</v>
      </c>
      <c r="O222" s="1" t="s">
        <v>86</v>
      </c>
      <c r="Q222" s="1" t="s">
        <v>93</v>
      </c>
      <c r="R222" s="1">
        <v>2012</v>
      </c>
      <c r="S222" s="1">
        <v>9</v>
      </c>
      <c r="V222" s="1">
        <v>6</v>
      </c>
      <c r="W222" s="1">
        <v>6</v>
      </c>
      <c r="X222" s="1" t="s">
        <v>97</v>
      </c>
      <c r="Y222" s="1" t="s">
        <v>2</v>
      </c>
      <c r="Z222" s="1" t="s">
        <v>1</v>
      </c>
      <c r="AA222" s="1" t="s">
        <v>98</v>
      </c>
      <c r="AB222" s="1" t="s">
        <v>203</v>
      </c>
      <c r="AC222" s="12" t="s">
        <v>99</v>
      </c>
      <c r="AD222" s="12" t="s">
        <v>111</v>
      </c>
      <c r="AE222" s="12" t="s">
        <v>257</v>
      </c>
      <c r="AF222" s="12" t="s">
        <v>352</v>
      </c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" t="s">
        <v>286</v>
      </c>
    </row>
    <row r="223" spans="1:53" ht="14.25" hidden="1" customHeight="1">
      <c r="A223" s="2">
        <v>480</v>
      </c>
      <c r="B223" s="2" t="s">
        <v>63</v>
      </c>
      <c r="C223" s="1" t="s">
        <v>85</v>
      </c>
      <c r="D223" s="1">
        <v>2023</v>
      </c>
      <c r="E223" s="1">
        <v>2021</v>
      </c>
      <c r="F223" s="1" t="s">
        <v>215</v>
      </c>
      <c r="G223" s="1" t="s">
        <v>162</v>
      </c>
      <c r="H223" s="1">
        <v>52.037222</v>
      </c>
      <c r="I223" s="1">
        <v>124.083611</v>
      </c>
      <c r="J223" s="1" t="s">
        <v>128</v>
      </c>
      <c r="K223" s="1" t="s">
        <v>173</v>
      </c>
      <c r="L223" s="1" t="s">
        <v>174</v>
      </c>
      <c r="M223" s="1" t="s">
        <v>237</v>
      </c>
      <c r="N223" s="1" t="s">
        <v>239</v>
      </c>
      <c r="O223" s="1" t="s">
        <v>86</v>
      </c>
      <c r="Q223" s="1" t="s">
        <v>93</v>
      </c>
      <c r="R223" s="1">
        <v>2004</v>
      </c>
      <c r="S223" s="1">
        <v>17</v>
      </c>
      <c r="V223" s="1">
        <v>6</v>
      </c>
      <c r="W223" s="1">
        <v>6</v>
      </c>
      <c r="X223" s="1" t="s">
        <v>97</v>
      </c>
      <c r="Y223" s="1" t="s">
        <v>2</v>
      </c>
      <c r="Z223" s="1" t="s">
        <v>1</v>
      </c>
      <c r="AA223" s="1" t="s">
        <v>98</v>
      </c>
      <c r="AB223" s="1" t="s">
        <v>203</v>
      </c>
      <c r="AC223" s="12" t="s">
        <v>99</v>
      </c>
      <c r="AD223" s="12" t="s">
        <v>111</v>
      </c>
      <c r="AE223" s="12" t="s">
        <v>262</v>
      </c>
      <c r="AF223" s="12" t="s">
        <v>325</v>
      </c>
      <c r="AG223" s="12">
        <v>741</v>
      </c>
      <c r="AH223" s="12">
        <f>888.5-534.4</f>
        <v>354.1</v>
      </c>
      <c r="AI223" s="12"/>
      <c r="AJ223" s="12">
        <v>678.7</v>
      </c>
      <c r="AK223" s="12">
        <f>734.4-636.1</f>
        <v>98.299999999999955</v>
      </c>
      <c r="AL223" s="12"/>
      <c r="AM223" s="12">
        <f t="shared" si="459"/>
        <v>62.299999999999955</v>
      </c>
      <c r="AN223" s="1">
        <f t="shared" si="379"/>
        <v>259.85544058187429</v>
      </c>
      <c r="AO223" s="1">
        <f t="shared" si="525"/>
        <v>0.23974868434732927</v>
      </c>
      <c r="AP223" s="1">
        <f t="shared" si="380"/>
        <v>0.33572830965192813</v>
      </c>
      <c r="AQ223" s="1">
        <f t="shared" si="381"/>
        <v>0.92307692307692313</v>
      </c>
      <c r="AR223" s="21">
        <f t="shared" si="526"/>
        <v>0.22130647785907318</v>
      </c>
      <c r="AS223" s="21">
        <f>AP223*(AQ223^2)</f>
        <v>0.28606435851998613</v>
      </c>
      <c r="AT223" s="21">
        <f t="shared" si="594"/>
        <v>0.53484984670464863</v>
      </c>
      <c r="AU223" s="20">
        <f>1/AS223</f>
        <v>3.495716856072911</v>
      </c>
      <c r="AV223" s="20">
        <f>AR223/AS223</f>
        <v>0.77362478501008858</v>
      </c>
      <c r="AW223" s="20">
        <f>((AR223)^2)/AS223</f>
        <v>0.17120817635506541</v>
      </c>
      <c r="AX223" s="14"/>
      <c r="AY223" s="14"/>
      <c r="AZ223" s="1" t="s">
        <v>271</v>
      </c>
      <c r="BA223" s="2"/>
    </row>
    <row r="224" spans="1:53" ht="14.25" hidden="1" customHeight="1">
      <c r="A224" s="2">
        <v>480</v>
      </c>
      <c r="B224" s="2" t="s">
        <v>63</v>
      </c>
      <c r="C224" s="1" t="s">
        <v>85</v>
      </c>
      <c r="D224" s="1">
        <v>2023</v>
      </c>
      <c r="E224" s="1">
        <v>2021</v>
      </c>
      <c r="F224" s="1" t="s">
        <v>215</v>
      </c>
      <c r="G224" s="1" t="s">
        <v>162</v>
      </c>
      <c r="H224" s="1">
        <v>52.037222</v>
      </c>
      <c r="I224" s="1">
        <v>124.083611</v>
      </c>
      <c r="J224" s="1" t="s">
        <v>128</v>
      </c>
      <c r="K224" s="1" t="s">
        <v>173</v>
      </c>
      <c r="L224" s="1" t="s">
        <v>174</v>
      </c>
      <c r="M224" s="1" t="s">
        <v>237</v>
      </c>
      <c r="N224" s="1" t="s">
        <v>239</v>
      </c>
      <c r="O224" s="1" t="s">
        <v>86</v>
      </c>
      <c r="Q224" s="1" t="s">
        <v>93</v>
      </c>
      <c r="R224" s="1">
        <v>2004</v>
      </c>
      <c r="S224" s="1">
        <v>17</v>
      </c>
      <c r="V224" s="1">
        <v>6</v>
      </c>
      <c r="W224" s="1">
        <v>6</v>
      </c>
      <c r="X224" s="1" t="s">
        <v>97</v>
      </c>
      <c r="Y224" s="1" t="s">
        <v>2</v>
      </c>
      <c r="Z224" s="1" t="s">
        <v>1</v>
      </c>
      <c r="AA224" s="1" t="s">
        <v>98</v>
      </c>
      <c r="AB224" s="1" t="s">
        <v>203</v>
      </c>
      <c r="AC224" s="12" t="s">
        <v>99</v>
      </c>
      <c r="AD224" s="12" t="s">
        <v>111</v>
      </c>
      <c r="AE224" s="12" t="s">
        <v>257</v>
      </c>
      <c r="AF224" s="12" t="s">
        <v>352</v>
      </c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" t="s">
        <v>286</v>
      </c>
    </row>
    <row r="225" spans="1:53" ht="14.25" hidden="1" customHeight="1">
      <c r="A225" s="2">
        <v>477</v>
      </c>
      <c r="B225" s="2" t="s">
        <v>62</v>
      </c>
      <c r="C225" s="1" t="s">
        <v>85</v>
      </c>
      <c r="D225" s="1">
        <v>2014</v>
      </c>
      <c r="E225" s="1">
        <v>2012</v>
      </c>
      <c r="F225" s="1" t="s">
        <v>125</v>
      </c>
      <c r="G225" s="1" t="s">
        <v>124</v>
      </c>
      <c r="H225" s="1">
        <v>0.33003500000000002</v>
      </c>
      <c r="I225" s="1">
        <v>117.53198</v>
      </c>
      <c r="J225" s="1" t="s">
        <v>126</v>
      </c>
      <c r="K225" s="1" t="s">
        <v>216</v>
      </c>
      <c r="M225" s="1" t="s">
        <v>238</v>
      </c>
      <c r="N225" s="1" t="s">
        <v>239</v>
      </c>
      <c r="O225" s="1" t="s">
        <v>86</v>
      </c>
      <c r="Q225" s="1" t="s">
        <v>93</v>
      </c>
      <c r="R225" s="1" t="s">
        <v>127</v>
      </c>
      <c r="S225" s="1">
        <v>14</v>
      </c>
      <c r="V225" s="1">
        <v>4</v>
      </c>
      <c r="W225" s="1">
        <v>4</v>
      </c>
      <c r="X225" s="1" t="s">
        <v>114</v>
      </c>
      <c r="Y225" s="1" t="s">
        <v>2</v>
      </c>
      <c r="Z225" s="12" t="s">
        <v>0</v>
      </c>
      <c r="AA225" s="12" t="s">
        <v>113</v>
      </c>
      <c r="AB225" s="1" t="s">
        <v>2</v>
      </c>
      <c r="AC225" s="12" t="s">
        <v>2</v>
      </c>
      <c r="AD225" s="12" t="s">
        <v>2</v>
      </c>
      <c r="AE225" s="12" t="s">
        <v>149</v>
      </c>
      <c r="AF225" s="12" t="s">
        <v>335</v>
      </c>
      <c r="AG225" s="7">
        <v>0.35820000000000002</v>
      </c>
      <c r="AH225" s="7" t="s">
        <v>2</v>
      </c>
      <c r="AI225" s="7" t="s">
        <v>2</v>
      </c>
      <c r="AJ225" s="7">
        <v>0.65590000000000004</v>
      </c>
      <c r="AK225" s="7" t="s">
        <v>2</v>
      </c>
      <c r="AL225" s="7" t="s">
        <v>2</v>
      </c>
      <c r="AM225" s="7">
        <f t="shared" si="459"/>
        <v>-0.29770000000000002</v>
      </c>
      <c r="AN225" s="1" t="e">
        <f t="shared" si="379"/>
        <v>#VALUE!</v>
      </c>
      <c r="AO225" s="1" t="e">
        <f t="shared" si="525"/>
        <v>#VALUE!</v>
      </c>
      <c r="AP225" s="1" t="e">
        <f t="shared" si="380"/>
        <v>#VALUE!</v>
      </c>
      <c r="AQ225" s="1">
        <f t="shared" si="381"/>
        <v>0.86956521739130432</v>
      </c>
      <c r="AR225" s="1" t="e">
        <f t="shared" si="526"/>
        <v>#VALUE!</v>
      </c>
      <c r="AT225" s="1" t="e">
        <f t="shared" si="594"/>
        <v>#VALUE!</v>
      </c>
      <c r="AX225" s="14"/>
      <c r="AY225" s="14"/>
      <c r="AZ225" s="1" t="s">
        <v>271</v>
      </c>
      <c r="BA225" s="2"/>
    </row>
    <row r="226" spans="1:53" ht="14.25" hidden="1" customHeight="1">
      <c r="A226" s="2">
        <v>477</v>
      </c>
      <c r="B226" s="2" t="s">
        <v>62</v>
      </c>
      <c r="C226" s="1" t="s">
        <v>85</v>
      </c>
      <c r="D226" s="1">
        <v>2014</v>
      </c>
      <c r="E226" s="1">
        <v>2012</v>
      </c>
      <c r="F226" s="1" t="s">
        <v>125</v>
      </c>
      <c r="G226" s="1" t="s">
        <v>124</v>
      </c>
      <c r="H226" s="1">
        <v>0.33003500000000002</v>
      </c>
      <c r="I226" s="1">
        <v>117.53198</v>
      </c>
      <c r="J226" s="1" t="s">
        <v>126</v>
      </c>
      <c r="K226" s="1" t="s">
        <v>216</v>
      </c>
      <c r="M226" s="1" t="s">
        <v>238</v>
      </c>
      <c r="N226" s="1" t="s">
        <v>239</v>
      </c>
      <c r="O226" s="1" t="s">
        <v>86</v>
      </c>
      <c r="Q226" s="1" t="s">
        <v>93</v>
      </c>
      <c r="R226" s="1" t="s">
        <v>127</v>
      </c>
      <c r="S226" s="1">
        <v>14</v>
      </c>
      <c r="V226" s="1">
        <v>4</v>
      </c>
      <c r="W226" s="1">
        <v>4</v>
      </c>
      <c r="X226" s="1" t="s">
        <v>114</v>
      </c>
      <c r="Y226" s="1" t="s">
        <v>2</v>
      </c>
      <c r="Z226" s="12" t="s">
        <v>0</v>
      </c>
      <c r="AA226" s="12" t="s">
        <v>113</v>
      </c>
      <c r="AB226" s="1" t="s">
        <v>2</v>
      </c>
      <c r="AC226" s="12" t="s">
        <v>2</v>
      </c>
      <c r="AD226" s="12" t="s">
        <v>2</v>
      </c>
      <c r="AE226" s="12" t="s">
        <v>254</v>
      </c>
      <c r="AF226" s="12" t="s">
        <v>329</v>
      </c>
      <c r="AG226" s="7"/>
      <c r="AH226" s="7" t="s">
        <v>2</v>
      </c>
      <c r="AI226" s="7" t="s">
        <v>2</v>
      </c>
      <c r="AJ226" s="7"/>
      <c r="AK226" s="7" t="s">
        <v>2</v>
      </c>
      <c r="AL226" s="7" t="s">
        <v>2</v>
      </c>
      <c r="AM226" s="7">
        <f t="shared" ref="AM226" si="595">AG226-AJ226</f>
        <v>0</v>
      </c>
      <c r="AN226" s="1" t="e">
        <f t="shared" ref="AN226" si="596">SQRT((((W226-1)*AH226^2)+((V226-1)*AK226^2))/(W226+V226-2))</f>
        <v>#VALUE!</v>
      </c>
      <c r="AO226" s="1" t="e">
        <f t="shared" ref="AO226" si="597">AM226/AN226</f>
        <v>#VALUE!</v>
      </c>
      <c r="AP226" s="1" t="e">
        <f t="shared" ref="AP226" si="598">1/W226+1/V226+(AO226^2)/(2*(W226+V226))</f>
        <v>#VALUE!</v>
      </c>
      <c r="AQ226" s="1">
        <f t="shared" ref="AQ226" si="599">1-(3/(4*(W226+V226-2)-1))</f>
        <v>0.86956521739130432</v>
      </c>
      <c r="AR226" s="1" t="e">
        <f t="shared" ref="AR226" si="600">AO226*AQ226</f>
        <v>#VALUE!</v>
      </c>
      <c r="AT226" s="1" t="e">
        <f t="shared" ref="AT226" si="601">SQRT(AP226*AQ226^2)</f>
        <v>#VALUE!</v>
      </c>
      <c r="AX226" s="14"/>
      <c r="AY226" s="14"/>
      <c r="AZ226" s="1" t="s">
        <v>271</v>
      </c>
      <c r="BA226" s="2"/>
    </row>
    <row r="227" spans="1:53" s="12" customFormat="1" ht="14.25" hidden="1" customHeight="1">
      <c r="A227" s="2">
        <v>257</v>
      </c>
      <c r="B227" s="2" t="s">
        <v>40</v>
      </c>
      <c r="C227" s="12" t="s">
        <v>85</v>
      </c>
      <c r="D227" s="12">
        <v>2006</v>
      </c>
      <c r="E227" s="12">
        <v>2003</v>
      </c>
      <c r="F227" s="12" t="s">
        <v>120</v>
      </c>
      <c r="G227" s="12" t="s">
        <v>109</v>
      </c>
      <c r="H227" s="12">
        <v>41.831111</v>
      </c>
      <c r="I227" s="12">
        <v>-6.5036110000000003</v>
      </c>
      <c r="J227" s="12" t="s">
        <v>126</v>
      </c>
      <c r="K227" s="12" t="s">
        <v>177</v>
      </c>
      <c r="L227" s="12" t="s">
        <v>178</v>
      </c>
      <c r="M227" s="12" t="s">
        <v>237</v>
      </c>
      <c r="N227" s="12" t="s">
        <v>239</v>
      </c>
      <c r="O227" s="12" t="s">
        <v>86</v>
      </c>
      <c r="Q227" s="1" t="s">
        <v>93</v>
      </c>
      <c r="R227" s="12">
        <v>2002</v>
      </c>
      <c r="S227" s="12">
        <v>1</v>
      </c>
      <c r="U227" s="12">
        <v>1427</v>
      </c>
      <c r="V227" s="12">
        <v>6</v>
      </c>
      <c r="W227" s="12">
        <v>6</v>
      </c>
      <c r="X227" s="12" t="s">
        <v>114</v>
      </c>
      <c r="Y227" s="1" t="s">
        <v>2</v>
      </c>
      <c r="Z227" s="12" t="s">
        <v>2</v>
      </c>
      <c r="AA227" s="12" t="s">
        <v>113</v>
      </c>
      <c r="AB227" s="1" t="s">
        <v>2</v>
      </c>
      <c r="AC227" s="12" t="s">
        <v>2</v>
      </c>
      <c r="AD227" s="12" t="s">
        <v>2</v>
      </c>
      <c r="AE227" s="12" t="s">
        <v>149</v>
      </c>
      <c r="AF227" s="12" t="s">
        <v>329</v>
      </c>
      <c r="AG227" s="12">
        <v>1.65</v>
      </c>
      <c r="AH227" s="12">
        <f>AI227*SQRT(W227)</f>
        <v>0.44090815370097203</v>
      </c>
      <c r="AI227" s="12">
        <v>0.18</v>
      </c>
      <c r="AJ227" s="12">
        <v>1.92</v>
      </c>
      <c r="AK227" s="12">
        <f>AL227*SQRT(V227)</f>
        <v>0.44090815370097203</v>
      </c>
      <c r="AL227" s="12">
        <v>0.18</v>
      </c>
      <c r="AM227" s="12">
        <f t="shared" si="459"/>
        <v>-0.27</v>
      </c>
      <c r="AN227" s="12">
        <f t="shared" si="379"/>
        <v>0.44090815370097203</v>
      </c>
      <c r="AO227" s="12">
        <f t="shared" si="525"/>
        <v>-0.61237243569579458</v>
      </c>
      <c r="AP227" s="12">
        <f t="shared" si="380"/>
        <v>0.34895833333333331</v>
      </c>
      <c r="AQ227" s="12">
        <f t="shared" si="381"/>
        <v>0.92307692307692313</v>
      </c>
      <c r="AR227" s="21">
        <f t="shared" si="526"/>
        <v>-0.56526686371919499</v>
      </c>
      <c r="AS227" s="21">
        <f t="shared" ref="AS227:AS230" si="602">AP227*(AQ227^2)</f>
        <v>0.2973372781065089</v>
      </c>
      <c r="AT227" s="21">
        <f t="shared" si="594"/>
        <v>0.54528641841376257</v>
      </c>
      <c r="AU227" s="20">
        <f t="shared" ref="AU227:AU230" si="603">1/AS227</f>
        <v>3.3631840796019898</v>
      </c>
      <c r="AV227" s="20">
        <f t="shared" ref="AV227:AV230" si="604">AR227/AS227</f>
        <v>-1.9010965167869442</v>
      </c>
      <c r="AW227" s="20">
        <f t="shared" ref="AW227:AW230" si="605">((AR227)^2)/AS227</f>
        <v>1.0746268656716418</v>
      </c>
      <c r="AX227" s="14"/>
      <c r="AY227" s="14"/>
      <c r="AZ227" s="12" t="s">
        <v>271</v>
      </c>
      <c r="BA227" s="2"/>
    </row>
    <row r="228" spans="1:53" s="12" customFormat="1" ht="14.25" hidden="1" customHeight="1">
      <c r="A228" s="2">
        <v>257</v>
      </c>
      <c r="B228" s="2" t="s">
        <v>40</v>
      </c>
      <c r="C228" s="12" t="s">
        <v>85</v>
      </c>
      <c r="D228" s="12">
        <v>2006</v>
      </c>
      <c r="E228" s="12">
        <v>2003</v>
      </c>
      <c r="F228" s="12" t="s">
        <v>120</v>
      </c>
      <c r="G228" s="12" t="s">
        <v>109</v>
      </c>
      <c r="H228" s="12">
        <v>41.831111</v>
      </c>
      <c r="I228" s="12">
        <v>-6.5036110000000003</v>
      </c>
      <c r="J228" s="12" t="s">
        <v>126</v>
      </c>
      <c r="K228" s="12" t="s">
        <v>177</v>
      </c>
      <c r="L228" s="12" t="s">
        <v>178</v>
      </c>
      <c r="M228" s="12" t="s">
        <v>237</v>
      </c>
      <c r="N228" s="12" t="s">
        <v>239</v>
      </c>
      <c r="O228" s="12" t="s">
        <v>86</v>
      </c>
      <c r="Q228" s="1" t="s">
        <v>93</v>
      </c>
      <c r="R228" s="12">
        <v>2002</v>
      </c>
      <c r="S228" s="12">
        <v>1</v>
      </c>
      <c r="U228" s="12">
        <v>1427</v>
      </c>
      <c r="V228" s="12">
        <v>6</v>
      </c>
      <c r="W228" s="12">
        <v>6</v>
      </c>
      <c r="X228" s="12" t="s">
        <v>114</v>
      </c>
      <c r="Y228" s="1" t="s">
        <v>2</v>
      </c>
      <c r="Z228" s="12" t="s">
        <v>2</v>
      </c>
      <c r="AA228" s="12" t="s">
        <v>113</v>
      </c>
      <c r="AB228" s="1" t="s">
        <v>2</v>
      </c>
      <c r="AC228" s="12" t="s">
        <v>2</v>
      </c>
      <c r="AD228" s="12" t="s">
        <v>2</v>
      </c>
      <c r="AE228" s="12" t="s">
        <v>353</v>
      </c>
      <c r="AF228" s="12" t="s">
        <v>329</v>
      </c>
      <c r="AG228" s="12">
        <v>0.76</v>
      </c>
      <c r="AH228" s="12">
        <f>AI228*SQRT(W228)</f>
        <v>0.1224744871391589</v>
      </c>
      <c r="AI228" s="12">
        <v>0.05</v>
      </c>
      <c r="AJ228" s="12">
        <v>0.62</v>
      </c>
      <c r="AK228" s="12">
        <f>AL228*SQRT(V228)</f>
        <v>0.1224744871391589</v>
      </c>
      <c r="AL228" s="12">
        <v>0.05</v>
      </c>
      <c r="AM228" s="12">
        <f t="shared" ref="AM228" si="606">AG228-AJ228</f>
        <v>0.14000000000000001</v>
      </c>
      <c r="AN228" s="12">
        <f t="shared" ref="AN228" si="607">SQRT((((W228-1)*AH228^2)+((V228-1)*AK228^2))/(W228+V228-2))</f>
        <v>0.1224744871391589</v>
      </c>
      <c r="AO228" s="12">
        <f t="shared" ref="AO228" si="608">AM228/AN228</f>
        <v>1.1430952132988166</v>
      </c>
      <c r="AP228" s="12">
        <f t="shared" ref="AP228" si="609">1/W228+1/V228+(AO228^2)/(2*(W228+V228))</f>
        <v>0.38777777777777778</v>
      </c>
      <c r="AQ228" s="12">
        <f t="shared" ref="AQ228" si="610">1-(3/(4*(W228+V228-2)-1))</f>
        <v>0.92307692307692313</v>
      </c>
      <c r="AR228" s="21">
        <f t="shared" ref="AR228" si="611">AO228*AQ228</f>
        <v>1.0551648122758308</v>
      </c>
      <c r="AS228" s="21">
        <f t="shared" si="602"/>
        <v>0.33041420118343201</v>
      </c>
      <c r="AT228" s="21">
        <f t="shared" ref="AT228" si="612">SQRT(AP228*AQ228^2)</f>
        <v>0.57481666745444326</v>
      </c>
      <c r="AU228" s="20">
        <f t="shared" si="603"/>
        <v>3.0265042979942689</v>
      </c>
      <c r="AV228" s="20">
        <f t="shared" si="604"/>
        <v>3.1934608394451178</v>
      </c>
      <c r="AW228" s="20">
        <f t="shared" si="605"/>
        <v>3.369627507163325</v>
      </c>
      <c r="AX228" s="14"/>
      <c r="AY228" s="14"/>
      <c r="AZ228" s="12" t="s">
        <v>271</v>
      </c>
      <c r="BA228" s="2"/>
    </row>
    <row r="229" spans="1:53" s="12" customFormat="1" ht="14.25" hidden="1" customHeight="1">
      <c r="A229" s="2">
        <v>257</v>
      </c>
      <c r="B229" s="2" t="s">
        <v>40</v>
      </c>
      <c r="C229" s="12" t="s">
        <v>85</v>
      </c>
      <c r="D229" s="12">
        <v>2006</v>
      </c>
      <c r="E229" s="12">
        <v>2003</v>
      </c>
      <c r="F229" s="12" t="s">
        <v>120</v>
      </c>
      <c r="G229" s="12" t="s">
        <v>109</v>
      </c>
      <c r="H229" s="12">
        <v>41.831111</v>
      </c>
      <c r="I229" s="12">
        <v>-6.5036110000000003</v>
      </c>
      <c r="J229" s="12" t="s">
        <v>126</v>
      </c>
      <c r="K229" s="12" t="s">
        <v>185</v>
      </c>
      <c r="L229" s="12" t="s">
        <v>186</v>
      </c>
      <c r="M229" s="12" t="s">
        <v>238</v>
      </c>
      <c r="N229" s="12" t="s">
        <v>239</v>
      </c>
      <c r="O229" s="12" t="s">
        <v>86</v>
      </c>
      <c r="Q229" s="1" t="s">
        <v>93</v>
      </c>
      <c r="R229" s="12">
        <v>2002</v>
      </c>
      <c r="S229" s="12">
        <v>1</v>
      </c>
      <c r="U229" s="12">
        <v>1427</v>
      </c>
      <c r="V229" s="12">
        <v>6</v>
      </c>
      <c r="W229" s="12">
        <v>6</v>
      </c>
      <c r="X229" s="12" t="s">
        <v>114</v>
      </c>
      <c r="Y229" s="1" t="s">
        <v>2</v>
      </c>
      <c r="Z229" s="12" t="s">
        <v>2</v>
      </c>
      <c r="AA229" s="12" t="s">
        <v>113</v>
      </c>
      <c r="AB229" s="1" t="s">
        <v>2</v>
      </c>
      <c r="AC229" s="12" t="s">
        <v>2</v>
      </c>
      <c r="AD229" s="12" t="s">
        <v>2</v>
      </c>
      <c r="AE229" s="12" t="s">
        <v>149</v>
      </c>
      <c r="AF229" s="12" t="s">
        <v>329</v>
      </c>
      <c r="AG229" s="12">
        <v>1.55</v>
      </c>
      <c r="AH229" s="12">
        <f t="shared" ref="AH229:AH230" si="613">AI229*SQRT(W229)</f>
        <v>0.46540305112880381</v>
      </c>
      <c r="AI229" s="12">
        <v>0.19</v>
      </c>
      <c r="AJ229" s="12">
        <v>2.02</v>
      </c>
      <c r="AK229" s="12">
        <f t="shared" ref="AK229:AK230" si="614">AL229*SQRT(V229)</f>
        <v>7.29947943349387</v>
      </c>
      <c r="AL229" s="12">
        <v>2.98</v>
      </c>
      <c r="AM229" s="12">
        <f t="shared" ref="AM229" si="615">AG229-AJ229</f>
        <v>-0.47</v>
      </c>
      <c r="AN229" s="12">
        <f t="shared" ref="AN229" si="616">SQRT((((W229-1)*AH229^2)+((V229-1)*AK229^2))/(W229+V229-2))</f>
        <v>5.1719918793439721</v>
      </c>
      <c r="AO229" s="12">
        <f t="shared" ref="AO229" si="617">AM229/AN229</f>
        <v>-9.0874079264721491E-2</v>
      </c>
      <c r="AP229" s="12">
        <f t="shared" ref="AP229" si="618">1/W229+1/V229+(AO229^2)/(2*(W229+V229))</f>
        <v>0.33367742076175877</v>
      </c>
      <c r="AQ229" s="12">
        <f t="shared" ref="AQ229" si="619">1-(3/(4*(W229+V229-2)-1))</f>
        <v>0.92307692307692313</v>
      </c>
      <c r="AR229" s="21">
        <f t="shared" ref="AR229" si="620">AO229*AQ229</f>
        <v>-8.3883765475127534E-2</v>
      </c>
      <c r="AS229" s="21">
        <f t="shared" si="602"/>
        <v>0.28431685556031522</v>
      </c>
      <c r="AT229" s="21">
        <f t="shared" ref="AT229" si="621">SQRT(AP229*AQ229^2)</f>
        <v>0.53321370533803347</v>
      </c>
      <c r="AU229" s="20">
        <f t="shared" si="603"/>
        <v>3.5172026576801358</v>
      </c>
      <c r="AV229" s="20">
        <f t="shared" si="604"/>
        <v>-0.29503620286533577</v>
      </c>
      <c r="AW229" s="20">
        <f t="shared" si="605"/>
        <v>2.4748747647827977E-2</v>
      </c>
      <c r="AX229" s="14"/>
      <c r="AY229" s="14"/>
      <c r="AZ229" s="12" t="s">
        <v>271</v>
      </c>
      <c r="BA229" s="2"/>
    </row>
    <row r="230" spans="1:53" s="12" customFormat="1" ht="14.25" hidden="1" customHeight="1">
      <c r="A230" s="2">
        <v>257</v>
      </c>
      <c r="B230" s="2" t="s">
        <v>40</v>
      </c>
      <c r="C230" s="12" t="s">
        <v>85</v>
      </c>
      <c r="D230" s="12">
        <v>2006</v>
      </c>
      <c r="E230" s="12">
        <v>2003</v>
      </c>
      <c r="F230" s="12" t="s">
        <v>120</v>
      </c>
      <c r="G230" s="12" t="s">
        <v>109</v>
      </c>
      <c r="H230" s="12">
        <v>41.831111</v>
      </c>
      <c r="I230" s="12">
        <v>-6.5036110000000003</v>
      </c>
      <c r="J230" s="12" t="s">
        <v>126</v>
      </c>
      <c r="K230" s="12" t="s">
        <v>185</v>
      </c>
      <c r="L230" s="12" t="s">
        <v>186</v>
      </c>
      <c r="M230" s="12" t="s">
        <v>238</v>
      </c>
      <c r="N230" s="12" t="s">
        <v>239</v>
      </c>
      <c r="O230" s="12" t="s">
        <v>86</v>
      </c>
      <c r="Q230" s="1" t="s">
        <v>93</v>
      </c>
      <c r="R230" s="12">
        <v>2002</v>
      </c>
      <c r="S230" s="12">
        <v>1</v>
      </c>
      <c r="U230" s="12">
        <v>1427</v>
      </c>
      <c r="V230" s="12">
        <v>6</v>
      </c>
      <c r="W230" s="12">
        <v>6</v>
      </c>
      <c r="X230" s="12" t="s">
        <v>114</v>
      </c>
      <c r="Y230" s="1" t="s">
        <v>2</v>
      </c>
      <c r="Z230" s="12" t="s">
        <v>2</v>
      </c>
      <c r="AA230" s="12" t="s">
        <v>113</v>
      </c>
      <c r="AB230" s="1" t="s">
        <v>2</v>
      </c>
      <c r="AC230" s="12" t="s">
        <v>2</v>
      </c>
      <c r="AD230" s="12" t="s">
        <v>2</v>
      </c>
      <c r="AE230" s="12" t="s">
        <v>353</v>
      </c>
      <c r="AF230" s="12" t="s">
        <v>329</v>
      </c>
      <c r="AG230" s="12">
        <v>0.63</v>
      </c>
      <c r="AH230" s="12">
        <f t="shared" si="613"/>
        <v>0.17146428199482247</v>
      </c>
      <c r="AI230" s="12">
        <v>7.0000000000000007E-2</v>
      </c>
      <c r="AJ230" s="12">
        <v>0.62</v>
      </c>
      <c r="AK230" s="12">
        <f t="shared" si="614"/>
        <v>0.17146428199482247</v>
      </c>
      <c r="AL230" s="12">
        <v>7.0000000000000007E-2</v>
      </c>
      <c r="AM230" s="12">
        <f t="shared" ref="AM230" si="622">AG230-AJ230</f>
        <v>1.0000000000000009E-2</v>
      </c>
      <c r="AN230" s="12">
        <f t="shared" ref="AN230" si="623">SQRT((((W230-1)*AH230^2)+((V230-1)*AK230^2))/(W230+V230-2))</f>
        <v>0.17146428199482247</v>
      </c>
      <c r="AO230" s="12">
        <f t="shared" ref="AO230" si="624">AM230/AN230</f>
        <v>5.8321184351980485E-2</v>
      </c>
      <c r="AP230" s="12">
        <f t="shared" ref="AP230" si="625">1/W230+1/V230+(AO230^2)/(2*(W230+V230))</f>
        <v>0.33347505668934241</v>
      </c>
      <c r="AQ230" s="12">
        <f t="shared" ref="AQ230" si="626">1-(3/(4*(W230+V230-2)-1))</f>
        <v>0.92307692307692313</v>
      </c>
      <c r="AR230" s="21">
        <f t="shared" ref="AR230" si="627">AO230*AQ230</f>
        <v>5.3834939401828145E-2</v>
      </c>
      <c r="AS230" s="21">
        <f t="shared" si="602"/>
        <v>0.28414442700156989</v>
      </c>
      <c r="AT230" s="21">
        <f t="shared" ref="AT230" si="628">SQRT(AP230*AQ230^2)</f>
        <v>0.53305199277516058</v>
      </c>
      <c r="AU230" s="20">
        <f t="shared" si="603"/>
        <v>3.5193370165745854</v>
      </c>
      <c r="AV230" s="20">
        <f t="shared" si="604"/>
        <v>0.18946329502190346</v>
      </c>
      <c r="AW230" s="20">
        <f t="shared" si="605"/>
        <v>1.019974500637486E-2</v>
      </c>
      <c r="AX230" s="14"/>
      <c r="AY230" s="14"/>
      <c r="AZ230" s="12" t="s">
        <v>271</v>
      </c>
      <c r="BA230" s="2"/>
    </row>
    <row r="231" spans="1:53" s="12" customFormat="1" ht="14.25" hidden="1" customHeight="1">
      <c r="A231" s="2">
        <v>467</v>
      </c>
      <c r="B231" s="2" t="s">
        <v>60</v>
      </c>
      <c r="C231" s="12" t="s">
        <v>85</v>
      </c>
      <c r="D231" s="12">
        <v>2023</v>
      </c>
      <c r="E231" s="12">
        <v>2014</v>
      </c>
      <c r="F231" s="12" t="s">
        <v>120</v>
      </c>
      <c r="G231" s="12" t="s">
        <v>109</v>
      </c>
      <c r="H231" s="12">
        <v>41.696944000000002</v>
      </c>
      <c r="I231" s="12">
        <v>-6.2241109999999997</v>
      </c>
      <c r="J231" s="12" t="s">
        <v>128</v>
      </c>
      <c r="K231" s="12" t="s">
        <v>185</v>
      </c>
      <c r="L231" s="12" t="s">
        <v>186</v>
      </c>
      <c r="M231" s="12" t="s">
        <v>238</v>
      </c>
      <c r="N231" s="12" t="s">
        <v>239</v>
      </c>
      <c r="O231" s="1" t="s">
        <v>121</v>
      </c>
      <c r="Q231" s="12" t="s">
        <v>93</v>
      </c>
      <c r="R231" s="12">
        <v>2010</v>
      </c>
      <c r="S231" s="12">
        <v>4</v>
      </c>
      <c r="V231" s="12">
        <v>3</v>
      </c>
      <c r="W231" s="12">
        <v>3</v>
      </c>
      <c r="X231" s="12" t="s">
        <v>97</v>
      </c>
      <c r="Y231" s="12" t="s">
        <v>376</v>
      </c>
      <c r="Z231" s="12" t="s">
        <v>0</v>
      </c>
      <c r="AA231" s="12" t="s">
        <v>98</v>
      </c>
      <c r="AB231" s="12" t="s">
        <v>203</v>
      </c>
      <c r="AC231" s="12" t="s">
        <v>377</v>
      </c>
      <c r="AD231" s="12" t="s">
        <v>102</v>
      </c>
      <c r="AE231" s="12" t="s">
        <v>257</v>
      </c>
      <c r="AF231" s="12" t="s">
        <v>322</v>
      </c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2" t="s">
        <v>286</v>
      </c>
    </row>
    <row r="232" spans="1:53" s="12" customFormat="1" ht="14.25" hidden="1" customHeight="1">
      <c r="A232" s="2">
        <v>467</v>
      </c>
      <c r="B232" s="2" t="s">
        <v>60</v>
      </c>
      <c r="C232" s="12" t="s">
        <v>85</v>
      </c>
      <c r="D232" s="12">
        <v>2023</v>
      </c>
      <c r="E232" s="12">
        <v>2014</v>
      </c>
      <c r="F232" s="12" t="s">
        <v>120</v>
      </c>
      <c r="G232" s="12" t="s">
        <v>109</v>
      </c>
      <c r="H232" s="12">
        <v>41.696944000000002</v>
      </c>
      <c r="I232" s="12">
        <v>-6.2241109999999997</v>
      </c>
      <c r="J232" s="12" t="s">
        <v>128</v>
      </c>
      <c r="K232" s="12" t="s">
        <v>185</v>
      </c>
      <c r="L232" s="12" t="s">
        <v>186</v>
      </c>
      <c r="M232" s="12" t="s">
        <v>238</v>
      </c>
      <c r="N232" s="12" t="s">
        <v>239</v>
      </c>
      <c r="O232" s="1" t="s">
        <v>86</v>
      </c>
      <c r="Q232" s="12" t="s">
        <v>93</v>
      </c>
      <c r="R232" s="12">
        <v>2006</v>
      </c>
      <c r="S232" s="12">
        <v>8</v>
      </c>
      <c r="V232" s="12">
        <v>3</v>
      </c>
      <c r="W232" s="12">
        <v>3</v>
      </c>
      <c r="X232" s="12" t="s">
        <v>97</v>
      </c>
      <c r="Y232" s="12" t="s">
        <v>376</v>
      </c>
      <c r="Z232" s="12" t="s">
        <v>0</v>
      </c>
      <c r="AA232" s="12" t="s">
        <v>98</v>
      </c>
      <c r="AB232" s="12" t="s">
        <v>203</v>
      </c>
      <c r="AC232" s="12" t="s">
        <v>377</v>
      </c>
      <c r="AD232" s="12" t="s">
        <v>102</v>
      </c>
      <c r="AE232" s="12" t="s">
        <v>257</v>
      </c>
      <c r="AF232" s="12" t="s">
        <v>322</v>
      </c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2" t="s">
        <v>286</v>
      </c>
    </row>
    <row r="233" spans="1:53" s="16" customFormat="1" ht="14.25" hidden="1">
      <c r="A233" s="17">
        <v>224</v>
      </c>
      <c r="B233" s="17" t="s">
        <v>242</v>
      </c>
      <c r="C233" s="16" t="s">
        <v>85</v>
      </c>
      <c r="D233" s="16">
        <v>2025</v>
      </c>
      <c r="E233" s="16">
        <v>2023</v>
      </c>
      <c r="F233" s="16" t="s">
        <v>120</v>
      </c>
      <c r="G233" s="16" t="s">
        <v>109</v>
      </c>
      <c r="H233" s="16">
        <v>41.897781999999999</v>
      </c>
      <c r="I233" s="16">
        <v>-6.3337250000000003</v>
      </c>
      <c r="J233" s="16" t="s">
        <v>128</v>
      </c>
      <c r="K233" s="16" t="s">
        <v>177</v>
      </c>
      <c r="L233" s="16" t="s">
        <v>178</v>
      </c>
      <c r="M233" s="16" t="s">
        <v>237</v>
      </c>
      <c r="N233" s="16" t="s">
        <v>239</v>
      </c>
      <c r="O233" s="16" t="s">
        <v>86</v>
      </c>
      <c r="P233" s="16" t="s">
        <v>129</v>
      </c>
      <c r="Q233" s="16" t="s">
        <v>93</v>
      </c>
      <c r="R233" s="16">
        <v>2022</v>
      </c>
      <c r="S233" s="16">
        <v>1</v>
      </c>
      <c r="U233" s="16">
        <v>56000</v>
      </c>
      <c r="V233" s="16">
        <v>9</v>
      </c>
      <c r="W233" s="16">
        <v>9</v>
      </c>
      <c r="X233" s="16" t="s">
        <v>97</v>
      </c>
      <c r="Y233" s="16" t="s">
        <v>133</v>
      </c>
      <c r="Z233" s="16" t="s">
        <v>0</v>
      </c>
      <c r="AA233" s="16" t="s">
        <v>98</v>
      </c>
      <c r="AB233" s="16" t="s">
        <v>203</v>
      </c>
      <c r="AC233" s="16" t="s">
        <v>99</v>
      </c>
      <c r="AD233" s="16" t="s">
        <v>111</v>
      </c>
      <c r="AE233" s="16" t="s">
        <v>223</v>
      </c>
      <c r="AF233" s="16" t="s">
        <v>323</v>
      </c>
      <c r="AG233" s="16">
        <v>506.3</v>
      </c>
      <c r="AH233" s="16">
        <f>540.67-503.17</f>
        <v>37.499999999999943</v>
      </c>
      <c r="AJ233" s="16">
        <v>616.72</v>
      </c>
      <c r="AK233" s="16">
        <f>676.41-548.06</f>
        <v>128.35000000000002</v>
      </c>
      <c r="AM233" s="12">
        <f t="shared" ref="AM233:AM235" si="629">AG233-AJ233</f>
        <v>-110.42000000000002</v>
      </c>
      <c r="AN233" s="1">
        <f t="shared" ref="AN233:AN235" si="630">SQRT((((W233-1)*AH233^2)+((V233-1)*AK233^2))/(W233+V233-2))</f>
        <v>94.551500516914075</v>
      </c>
      <c r="AO233" s="1">
        <f t="shared" ref="AO233:AO235" si="631">AM233/AN233</f>
        <v>-1.1678291660770341</v>
      </c>
      <c r="AP233" s="1">
        <f t="shared" ref="AP233:AP235" si="632">1/W233+1/V233+(AO233^2)/(2*(W233+V233))</f>
        <v>0.26010624892056056</v>
      </c>
      <c r="AQ233" s="1">
        <f t="shared" ref="AQ233:AQ235" si="633">1-(3/(4*(W233+V233-2)-1))</f>
        <v>0.95238095238095233</v>
      </c>
      <c r="AR233" s="21">
        <f t="shared" ref="AR233:AR235" si="634">AO233*AQ233</f>
        <v>-1.1122182534066991</v>
      </c>
      <c r="AS233" s="21">
        <f t="shared" ref="AS233:AS236" si="635">AP233*(AQ233^2)</f>
        <v>0.23592403530209571</v>
      </c>
      <c r="AT233" s="21">
        <f t="shared" ref="AT233:AT235" si="636">SQRT(AP233*AQ233^2)</f>
        <v>0.485720120338962</v>
      </c>
      <c r="AU233" s="20">
        <f t="shared" ref="AU233:AU236" si="637">1/AS233</f>
        <v>4.2386524913390922</v>
      </c>
      <c r="AV233" s="20">
        <f t="shared" ref="AV233:AV236" si="638">AR233/AS233</f>
        <v>-4.7143066707151196</v>
      </c>
      <c r="AW233" s="20">
        <f t="shared" ref="AW233:AW236" si="639">((AR233)^2)/AS233</f>
        <v>5.2433379313263213</v>
      </c>
      <c r="AX233" s="14"/>
      <c r="AY233" s="14"/>
      <c r="AZ233" s="1" t="s">
        <v>271</v>
      </c>
      <c r="BA233" s="17"/>
    </row>
    <row r="234" spans="1:53" s="16" customFormat="1" ht="14.25" hidden="1">
      <c r="A234" s="17">
        <v>224</v>
      </c>
      <c r="B234" s="17" t="s">
        <v>242</v>
      </c>
      <c r="C234" s="16" t="s">
        <v>85</v>
      </c>
      <c r="D234" s="16">
        <v>2025</v>
      </c>
      <c r="E234" s="16">
        <v>2023</v>
      </c>
      <c r="F234" s="16" t="s">
        <v>120</v>
      </c>
      <c r="G234" s="16" t="s">
        <v>109</v>
      </c>
      <c r="H234" s="16">
        <v>41.897781999999999</v>
      </c>
      <c r="I234" s="16">
        <v>-6.3337250000000003</v>
      </c>
      <c r="J234" s="16" t="s">
        <v>128</v>
      </c>
      <c r="K234" s="16" t="s">
        <v>177</v>
      </c>
      <c r="L234" s="16" t="s">
        <v>178</v>
      </c>
      <c r="M234" s="16" t="s">
        <v>237</v>
      </c>
      <c r="N234" s="16" t="s">
        <v>239</v>
      </c>
      <c r="O234" s="16" t="s">
        <v>86</v>
      </c>
      <c r="P234" s="16" t="s">
        <v>129</v>
      </c>
      <c r="Q234" s="16" t="s">
        <v>93</v>
      </c>
      <c r="R234" s="16">
        <v>2022</v>
      </c>
      <c r="S234" s="16">
        <v>1</v>
      </c>
      <c r="U234" s="16">
        <v>56000</v>
      </c>
      <c r="V234" s="16">
        <v>9</v>
      </c>
      <c r="W234" s="16">
        <v>9</v>
      </c>
      <c r="X234" s="16" t="s">
        <v>97</v>
      </c>
      <c r="Y234" s="16" t="s">
        <v>133</v>
      </c>
      <c r="Z234" s="16" t="s">
        <v>0</v>
      </c>
      <c r="AA234" s="16" t="s">
        <v>98</v>
      </c>
      <c r="AB234" s="16" t="s">
        <v>203</v>
      </c>
      <c r="AC234" s="16" t="s">
        <v>99</v>
      </c>
      <c r="AD234" s="16" t="s">
        <v>111</v>
      </c>
      <c r="AE234" s="16" t="s">
        <v>149</v>
      </c>
      <c r="AF234" s="16" t="s">
        <v>323</v>
      </c>
      <c r="AG234" s="16">
        <v>2.33</v>
      </c>
      <c r="AH234" s="16">
        <f>2.42-2.27</f>
        <v>0.14999999999999991</v>
      </c>
      <c r="AJ234" s="16">
        <v>2.73</v>
      </c>
      <c r="AK234" s="16">
        <f>2.84-2.64</f>
        <v>0.19999999999999973</v>
      </c>
      <c r="AM234" s="12">
        <f t="shared" si="629"/>
        <v>-0.39999999999999991</v>
      </c>
      <c r="AN234" s="1">
        <f t="shared" si="630"/>
        <v>0.1767766952966367</v>
      </c>
      <c r="AO234" s="1">
        <f t="shared" si="631"/>
        <v>-2.2627416997969538</v>
      </c>
      <c r="AP234" s="1">
        <f t="shared" si="632"/>
        <v>0.36444444444444468</v>
      </c>
      <c r="AQ234" s="1">
        <f t="shared" si="633"/>
        <v>0.95238095238095233</v>
      </c>
      <c r="AR234" s="21">
        <f t="shared" si="634"/>
        <v>-2.1549920950447179</v>
      </c>
      <c r="AS234" s="21">
        <f t="shared" si="635"/>
        <v>0.33056185437137836</v>
      </c>
      <c r="AT234" s="21">
        <f t="shared" si="636"/>
        <v>0.5749450881357091</v>
      </c>
      <c r="AU234" s="20">
        <f t="shared" si="637"/>
        <v>3.0251524390243887</v>
      </c>
      <c r="AV234" s="20">
        <f t="shared" si="638"/>
        <v>-6.5191795924028053</v>
      </c>
      <c r="AW234" s="20">
        <f t="shared" si="639"/>
        <v>14.048780487804892</v>
      </c>
      <c r="AX234" s="14"/>
      <c r="AY234" s="14"/>
      <c r="AZ234" s="1" t="s">
        <v>271</v>
      </c>
      <c r="BA234" s="17"/>
    </row>
    <row r="235" spans="1:53" s="16" customFormat="1" ht="14.25" hidden="1">
      <c r="A235" s="17">
        <v>224</v>
      </c>
      <c r="B235" s="17" t="s">
        <v>242</v>
      </c>
      <c r="C235" s="16" t="s">
        <v>85</v>
      </c>
      <c r="D235" s="16">
        <v>2025</v>
      </c>
      <c r="E235" s="16">
        <v>2023</v>
      </c>
      <c r="F235" s="16" t="s">
        <v>120</v>
      </c>
      <c r="G235" s="16" t="s">
        <v>109</v>
      </c>
      <c r="H235" s="16">
        <v>41.897781999999999</v>
      </c>
      <c r="I235" s="16">
        <v>-6.3337250000000003</v>
      </c>
      <c r="J235" s="16" t="s">
        <v>128</v>
      </c>
      <c r="K235" s="16" t="s">
        <v>177</v>
      </c>
      <c r="L235" s="16" t="s">
        <v>178</v>
      </c>
      <c r="M235" s="16" t="s">
        <v>237</v>
      </c>
      <c r="N235" s="16" t="s">
        <v>239</v>
      </c>
      <c r="O235" s="16" t="s">
        <v>86</v>
      </c>
      <c r="P235" s="16" t="s">
        <v>129</v>
      </c>
      <c r="Q235" s="16" t="s">
        <v>93</v>
      </c>
      <c r="R235" s="16">
        <v>2022</v>
      </c>
      <c r="S235" s="16">
        <v>1</v>
      </c>
      <c r="U235" s="16">
        <v>56000</v>
      </c>
      <c r="V235" s="16">
        <v>9</v>
      </c>
      <c r="W235" s="16">
        <v>9</v>
      </c>
      <c r="X235" s="16" t="s">
        <v>97</v>
      </c>
      <c r="Y235" s="16" t="s">
        <v>133</v>
      </c>
      <c r="Z235" s="16" t="s">
        <v>0</v>
      </c>
      <c r="AA235" s="16" t="s">
        <v>98</v>
      </c>
      <c r="AB235" s="16" t="s">
        <v>203</v>
      </c>
      <c r="AC235" s="16" t="s">
        <v>99</v>
      </c>
      <c r="AD235" s="16" t="s">
        <v>111</v>
      </c>
      <c r="AE235" s="16" t="s">
        <v>353</v>
      </c>
      <c r="AF235" s="16" t="s">
        <v>323</v>
      </c>
      <c r="AG235" s="16">
        <v>0.37</v>
      </c>
      <c r="AH235" s="16">
        <f>0.38-0.37</f>
        <v>1.0000000000000009E-2</v>
      </c>
      <c r="AJ235" s="16">
        <v>0.43</v>
      </c>
      <c r="AK235" s="16">
        <f>0.44-0.41</f>
        <v>3.0000000000000027E-2</v>
      </c>
      <c r="AM235" s="12">
        <f t="shared" si="629"/>
        <v>-0.06</v>
      </c>
      <c r="AN235" s="1">
        <f t="shared" si="630"/>
        <v>2.2360679774997918E-2</v>
      </c>
      <c r="AO235" s="1">
        <f t="shared" si="631"/>
        <v>-2.683281572999745</v>
      </c>
      <c r="AP235" s="1">
        <f t="shared" si="632"/>
        <v>0.42222222222222183</v>
      </c>
      <c r="AQ235" s="1">
        <f t="shared" si="633"/>
        <v>0.95238095238095233</v>
      </c>
      <c r="AR235" s="21">
        <f t="shared" si="634"/>
        <v>-2.5555062599997571</v>
      </c>
      <c r="AS235" s="21">
        <f t="shared" si="635"/>
        <v>0.3829680020156207</v>
      </c>
      <c r="AT235" s="21">
        <f t="shared" si="636"/>
        <v>0.61884408538469582</v>
      </c>
      <c r="AU235" s="20">
        <f t="shared" si="637"/>
        <v>2.6111842105263183</v>
      </c>
      <c r="AV235" s="20">
        <f t="shared" si="638"/>
        <v>-6.6728975960125299</v>
      </c>
      <c r="AW235" s="20">
        <f t="shared" si="639"/>
        <v>17.052631578947349</v>
      </c>
      <c r="AX235" s="14"/>
      <c r="AY235" s="14"/>
      <c r="AZ235" s="1" t="s">
        <v>271</v>
      </c>
      <c r="BA235" s="17"/>
    </row>
    <row r="236" spans="1:53" s="16" customFormat="1" ht="14.25" hidden="1">
      <c r="A236" s="17">
        <v>224</v>
      </c>
      <c r="B236" s="17" t="s">
        <v>242</v>
      </c>
      <c r="C236" s="16" t="s">
        <v>85</v>
      </c>
      <c r="D236" s="16">
        <v>2025</v>
      </c>
      <c r="E236" s="16">
        <v>2023</v>
      </c>
      <c r="F236" s="16" t="s">
        <v>120</v>
      </c>
      <c r="G236" s="16" t="s">
        <v>109</v>
      </c>
      <c r="H236" s="16">
        <v>41.897781999999999</v>
      </c>
      <c r="I236" s="16">
        <v>-6.3337250000000003</v>
      </c>
      <c r="J236" s="16" t="s">
        <v>128</v>
      </c>
      <c r="K236" s="16" t="s">
        <v>177</v>
      </c>
      <c r="L236" s="16" t="s">
        <v>178</v>
      </c>
      <c r="M236" s="16" t="s">
        <v>237</v>
      </c>
      <c r="N236" s="16" t="s">
        <v>239</v>
      </c>
      <c r="O236" s="16" t="s">
        <v>86</v>
      </c>
      <c r="P236" s="16" t="s">
        <v>129</v>
      </c>
      <c r="Q236" s="16" t="s">
        <v>93</v>
      </c>
      <c r="R236" s="16">
        <v>2022</v>
      </c>
      <c r="S236" s="16">
        <v>1</v>
      </c>
      <c r="U236" s="16">
        <v>56000</v>
      </c>
      <c r="V236" s="16">
        <v>9</v>
      </c>
      <c r="W236" s="16">
        <v>9</v>
      </c>
      <c r="X236" s="16" t="s">
        <v>97</v>
      </c>
      <c r="Y236" s="16" t="s">
        <v>133</v>
      </c>
      <c r="Z236" s="16" t="s">
        <v>0</v>
      </c>
      <c r="AA236" s="16" t="s">
        <v>98</v>
      </c>
      <c r="AB236" s="16" t="s">
        <v>203</v>
      </c>
      <c r="AC236" s="16" t="s">
        <v>99</v>
      </c>
      <c r="AD236" s="16" t="s">
        <v>111</v>
      </c>
      <c r="AE236" s="16" t="s">
        <v>302</v>
      </c>
      <c r="AF236" s="16" t="s">
        <v>334</v>
      </c>
      <c r="AG236" s="16">
        <v>1736.11</v>
      </c>
      <c r="AH236" s="16">
        <f>2951.4-520.8</f>
        <v>2430.6000000000004</v>
      </c>
      <c r="AJ236" s="16">
        <v>15451</v>
      </c>
      <c r="AK236" s="16">
        <f>20658.7-9548.6</f>
        <v>11110.1</v>
      </c>
      <c r="AM236" s="12">
        <f t="shared" ref="AM236" si="640">AG236-AJ236</f>
        <v>-13714.89</v>
      </c>
      <c r="AN236" s="1">
        <f t="shared" ref="AN236" si="641">SQRT((((W236-1)*AH236^2)+((V236-1)*AK236^2))/(W236+V236-2))</f>
        <v>8041.8324519353173</v>
      </c>
      <c r="AO236" s="1">
        <f t="shared" ref="AO236" si="642">AM236/AN236</f>
        <v>-1.7054433901690436</v>
      </c>
      <c r="AP236" s="1">
        <f t="shared" ref="AP236" si="643">1/W236+1/V236+(AO236^2)/(2*(W236+V236))</f>
        <v>0.3030149210297578</v>
      </c>
      <c r="AQ236" s="1">
        <f t="shared" ref="AQ236" si="644">1-(3/(4*(W236+V236-2)-1))</f>
        <v>0.95238095238095233</v>
      </c>
      <c r="AR236" s="21">
        <f t="shared" ref="AR236" si="645">AO236*AQ236</f>
        <v>-1.6242318001609937</v>
      </c>
      <c r="AS236" s="21">
        <f t="shared" si="635"/>
        <v>0.27484346578662838</v>
      </c>
      <c r="AT236" s="21">
        <f t="shared" ref="AT236" si="646">SQRT(AP236*AQ236^2)</f>
        <v>0.52425515332386419</v>
      </c>
      <c r="AU236" s="20">
        <f t="shared" si="637"/>
        <v>3.6384346891344279</v>
      </c>
      <c r="AV236" s="20">
        <f t="shared" si="638"/>
        <v>-5.909661324901017</v>
      </c>
      <c r="AW236" s="20">
        <f t="shared" si="639"/>
        <v>9.5986598520857829</v>
      </c>
      <c r="AX236" s="14"/>
      <c r="AY236" s="14"/>
      <c r="AZ236" s="1" t="s">
        <v>271</v>
      </c>
      <c r="BA236" s="17"/>
    </row>
    <row r="237" spans="1:53" s="16" customFormat="1" ht="14.25" hidden="1">
      <c r="A237" s="17">
        <v>224</v>
      </c>
      <c r="B237" s="17" t="s">
        <v>242</v>
      </c>
      <c r="C237" s="16" t="s">
        <v>85</v>
      </c>
      <c r="D237" s="16">
        <v>2025</v>
      </c>
      <c r="E237" s="16">
        <v>2023</v>
      </c>
      <c r="F237" s="16" t="s">
        <v>120</v>
      </c>
      <c r="G237" s="16" t="s">
        <v>109</v>
      </c>
      <c r="H237" s="16">
        <v>41.897781999999999</v>
      </c>
      <c r="I237" s="16">
        <v>-6.3337250000000003</v>
      </c>
      <c r="J237" s="16" t="s">
        <v>128</v>
      </c>
      <c r="K237" s="16" t="s">
        <v>177</v>
      </c>
      <c r="L237" s="16" t="s">
        <v>178</v>
      </c>
      <c r="M237" s="16" t="s">
        <v>237</v>
      </c>
      <c r="N237" s="16" t="s">
        <v>239</v>
      </c>
      <c r="O237" s="16" t="s">
        <v>86</v>
      </c>
      <c r="P237" s="16" t="s">
        <v>129</v>
      </c>
      <c r="Q237" s="16" t="s">
        <v>93</v>
      </c>
      <c r="R237" s="16">
        <v>2022</v>
      </c>
      <c r="S237" s="16">
        <v>1</v>
      </c>
      <c r="U237" s="16">
        <v>56000</v>
      </c>
      <c r="V237" s="16">
        <v>9</v>
      </c>
      <c r="W237" s="16">
        <v>9</v>
      </c>
      <c r="X237" s="16" t="s">
        <v>97</v>
      </c>
      <c r="Y237" s="16" t="s">
        <v>133</v>
      </c>
      <c r="Z237" s="16" t="s">
        <v>0</v>
      </c>
      <c r="AA237" s="16" t="s">
        <v>98</v>
      </c>
      <c r="AB237" s="16" t="s">
        <v>203</v>
      </c>
      <c r="AC237" s="16" t="s">
        <v>99</v>
      </c>
      <c r="AD237" s="16" t="s">
        <v>111</v>
      </c>
      <c r="AE237" s="16" t="s">
        <v>257</v>
      </c>
      <c r="AF237" s="16" t="s">
        <v>320</v>
      </c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4"/>
      <c r="AY237" s="14"/>
      <c r="AZ237" s="16" t="s">
        <v>286</v>
      </c>
    </row>
    <row r="238" spans="1:53" ht="14.25" hidden="1" customHeight="1">
      <c r="A238" s="2">
        <v>138</v>
      </c>
      <c r="B238" s="2" t="s">
        <v>20</v>
      </c>
      <c r="C238" s="1" t="s">
        <v>85</v>
      </c>
      <c r="D238" s="1">
        <v>2014</v>
      </c>
      <c r="E238" s="1">
        <v>2007</v>
      </c>
      <c r="F238" s="1" t="s">
        <v>120</v>
      </c>
      <c r="G238" s="1" t="s">
        <v>109</v>
      </c>
      <c r="H238" s="1">
        <v>42.673546999999999</v>
      </c>
      <c r="I238" s="1">
        <v>-4.5904389999999999</v>
      </c>
      <c r="J238" s="1" t="s">
        <v>126</v>
      </c>
      <c r="K238" s="1" t="s">
        <v>177</v>
      </c>
      <c r="L238" s="1" t="s">
        <v>192</v>
      </c>
      <c r="M238" s="1" t="s">
        <v>237</v>
      </c>
      <c r="N238" s="1" t="s">
        <v>239</v>
      </c>
      <c r="O238" s="1" t="s">
        <v>86</v>
      </c>
      <c r="Q238" s="1" t="s">
        <v>93</v>
      </c>
      <c r="R238" s="1">
        <v>2002</v>
      </c>
      <c r="S238" s="1">
        <v>5</v>
      </c>
      <c r="U238" s="1">
        <v>118.03</v>
      </c>
      <c r="V238" s="1">
        <v>3</v>
      </c>
      <c r="W238" s="1">
        <v>3</v>
      </c>
      <c r="X238" s="1" t="s">
        <v>114</v>
      </c>
      <c r="Y238" s="1" t="s">
        <v>2</v>
      </c>
      <c r="Z238" s="1" t="s">
        <v>0</v>
      </c>
      <c r="AA238" s="1" t="s">
        <v>113</v>
      </c>
      <c r="AB238" s="1" t="s">
        <v>2</v>
      </c>
      <c r="AC238" s="1" t="s">
        <v>2</v>
      </c>
      <c r="AD238" s="1" t="s">
        <v>2</v>
      </c>
      <c r="AE238" s="1" t="s">
        <v>308</v>
      </c>
      <c r="AF238" s="1" t="s">
        <v>335</v>
      </c>
      <c r="AG238" s="1">
        <f>((25*100)/44)/100</f>
        <v>0.56818181818181823</v>
      </c>
      <c r="AH238" s="14"/>
      <c r="AI238" s="14"/>
      <c r="AJ238" s="1">
        <f>((23*100)/59)/100</f>
        <v>0.38983050847457629</v>
      </c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2">
        <f t="shared" ref="AX238:AX242" si="647">LOG(AG238/AJ238)</f>
        <v>0.16361150781040154</v>
      </c>
      <c r="AY238" s="12">
        <f t="shared" ref="AY238:AY241" si="648">((1-AG238)/(AG238*W238))+((1-AJ238)/(V238*AJ238))</f>
        <v>0.77507246376811589</v>
      </c>
      <c r="AZ238" s="1" t="s">
        <v>284</v>
      </c>
    </row>
    <row r="239" spans="1:53" ht="14.25" hidden="1" customHeight="1">
      <c r="A239" s="2">
        <v>138</v>
      </c>
      <c r="B239" s="2" t="s">
        <v>20</v>
      </c>
      <c r="C239" s="1" t="s">
        <v>85</v>
      </c>
      <c r="D239" s="1">
        <v>2014</v>
      </c>
      <c r="E239" s="1">
        <v>2007</v>
      </c>
      <c r="F239" s="1" t="s">
        <v>120</v>
      </c>
      <c r="G239" s="1" t="s">
        <v>109</v>
      </c>
      <c r="H239" s="1">
        <v>42.673546999999999</v>
      </c>
      <c r="I239" s="1">
        <v>-4.5904389999999999</v>
      </c>
      <c r="J239" s="1" t="s">
        <v>126</v>
      </c>
      <c r="K239" s="1" t="s">
        <v>177</v>
      </c>
      <c r="L239" s="1" t="s">
        <v>192</v>
      </c>
      <c r="M239" s="1" t="s">
        <v>237</v>
      </c>
      <c r="N239" s="1" t="s">
        <v>239</v>
      </c>
      <c r="O239" s="1" t="s">
        <v>86</v>
      </c>
      <c r="Q239" s="1" t="s">
        <v>93</v>
      </c>
      <c r="R239" s="1">
        <v>2002</v>
      </c>
      <c r="S239" s="1">
        <v>5</v>
      </c>
      <c r="U239" s="1">
        <v>118.03</v>
      </c>
      <c r="V239" s="1">
        <v>3</v>
      </c>
      <c r="W239" s="1">
        <v>3</v>
      </c>
      <c r="X239" s="1" t="s">
        <v>114</v>
      </c>
      <c r="Y239" s="1" t="s">
        <v>2</v>
      </c>
      <c r="Z239" s="1" t="s">
        <v>0</v>
      </c>
      <c r="AA239" s="1" t="s">
        <v>113</v>
      </c>
      <c r="AB239" s="1" t="s">
        <v>2</v>
      </c>
      <c r="AC239" s="1" t="s">
        <v>2</v>
      </c>
      <c r="AD239" s="1" t="s">
        <v>2</v>
      </c>
      <c r="AE239" s="1" t="s">
        <v>309</v>
      </c>
      <c r="AF239" s="1" t="s">
        <v>335</v>
      </c>
      <c r="AG239" s="1">
        <f>((19*100)/44)/100</f>
        <v>0.43181818181818182</v>
      </c>
      <c r="AH239" s="14"/>
      <c r="AI239" s="14"/>
      <c r="AJ239" s="1">
        <f>((36*100)/59)/100</f>
        <v>0.61016949152542377</v>
      </c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2">
        <f t="shared" si="647"/>
        <v>-0.1501495646585016</v>
      </c>
      <c r="AY239" s="12">
        <f t="shared" si="648"/>
        <v>0.65155945419103312</v>
      </c>
      <c r="AZ239" s="1" t="s">
        <v>284</v>
      </c>
    </row>
    <row r="240" spans="1:53" ht="14.25" hidden="1" customHeight="1">
      <c r="A240" s="2">
        <v>138</v>
      </c>
      <c r="B240" s="2" t="s">
        <v>20</v>
      </c>
      <c r="C240" s="1" t="s">
        <v>85</v>
      </c>
      <c r="D240" s="1">
        <v>2014</v>
      </c>
      <c r="E240" s="1">
        <v>2007</v>
      </c>
      <c r="F240" s="1" t="s">
        <v>120</v>
      </c>
      <c r="G240" s="1" t="s">
        <v>109</v>
      </c>
      <c r="H240" s="1">
        <v>42.673546999999999</v>
      </c>
      <c r="I240" s="1">
        <v>-4.5904389999999999</v>
      </c>
      <c r="J240" s="1" t="s">
        <v>126</v>
      </c>
      <c r="K240" s="1" t="s">
        <v>177</v>
      </c>
      <c r="L240" s="1" t="s">
        <v>192</v>
      </c>
      <c r="M240" s="1" t="s">
        <v>237</v>
      </c>
      <c r="N240" s="1" t="s">
        <v>239</v>
      </c>
      <c r="O240" s="1" t="s">
        <v>86</v>
      </c>
      <c r="Q240" s="1" t="s">
        <v>93</v>
      </c>
      <c r="R240" s="1">
        <v>2002</v>
      </c>
      <c r="S240" s="1">
        <v>5</v>
      </c>
      <c r="U240" s="1">
        <v>118.03</v>
      </c>
      <c r="V240" s="1">
        <v>3</v>
      </c>
      <c r="W240" s="1">
        <v>3</v>
      </c>
      <c r="X240" s="1" t="s">
        <v>114</v>
      </c>
      <c r="Y240" s="1" t="s">
        <v>2</v>
      </c>
      <c r="Z240" s="1" t="s">
        <v>0</v>
      </c>
      <c r="AA240" s="1" t="s">
        <v>113</v>
      </c>
      <c r="AB240" s="1" t="s">
        <v>2</v>
      </c>
      <c r="AC240" s="1" t="s">
        <v>2</v>
      </c>
      <c r="AD240" s="1" t="s">
        <v>2</v>
      </c>
      <c r="AE240" s="1" t="s">
        <v>251</v>
      </c>
      <c r="AF240" s="1" t="s">
        <v>323</v>
      </c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" t="s">
        <v>286</v>
      </c>
    </row>
    <row r="241" spans="1:53" ht="14.25" hidden="1" customHeight="1">
      <c r="A241" s="2">
        <v>138</v>
      </c>
      <c r="B241" s="2" t="s">
        <v>20</v>
      </c>
      <c r="C241" s="1" t="s">
        <v>85</v>
      </c>
      <c r="D241" s="1">
        <v>2014</v>
      </c>
      <c r="E241" s="1">
        <v>2007</v>
      </c>
      <c r="F241" s="1" t="s">
        <v>120</v>
      </c>
      <c r="G241" s="1" t="s">
        <v>109</v>
      </c>
      <c r="H241" s="1">
        <v>42.673546999999999</v>
      </c>
      <c r="I241" s="1">
        <v>-4.5904389999999999</v>
      </c>
      <c r="J241" s="1" t="s">
        <v>126</v>
      </c>
      <c r="K241" s="1" t="s">
        <v>177</v>
      </c>
      <c r="L241" s="1" t="s">
        <v>192</v>
      </c>
      <c r="M241" s="1" t="s">
        <v>237</v>
      </c>
      <c r="N241" s="1" t="s">
        <v>239</v>
      </c>
      <c r="O241" s="1" t="s">
        <v>86</v>
      </c>
      <c r="Q241" s="1" t="s">
        <v>93</v>
      </c>
      <c r="R241" s="1">
        <v>2006</v>
      </c>
      <c r="S241" s="1">
        <v>1</v>
      </c>
      <c r="U241" s="1">
        <v>135.37</v>
      </c>
      <c r="V241" s="1">
        <v>3</v>
      </c>
      <c r="W241" s="1">
        <v>3</v>
      </c>
      <c r="X241" s="1" t="s">
        <v>114</v>
      </c>
      <c r="Y241" s="1" t="s">
        <v>2</v>
      </c>
      <c r="Z241" s="1" t="s">
        <v>0</v>
      </c>
      <c r="AA241" s="1" t="s">
        <v>113</v>
      </c>
      <c r="AB241" s="1" t="s">
        <v>2</v>
      </c>
      <c r="AC241" s="1" t="s">
        <v>2</v>
      </c>
      <c r="AD241" s="1" t="s">
        <v>2</v>
      </c>
      <c r="AE241" s="1" t="s">
        <v>308</v>
      </c>
      <c r="AF241" s="1" t="s">
        <v>335</v>
      </c>
      <c r="AG241" s="1">
        <f>((5*100)/13)/100</f>
        <v>0.38461538461538458</v>
      </c>
      <c r="AH241" s="14"/>
      <c r="AI241" s="14"/>
      <c r="AJ241" s="1">
        <f>((23*100)/59)/100</f>
        <v>0.38983050847457629</v>
      </c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2">
        <f t="shared" si="647"/>
        <v>-5.8491723462666982E-3</v>
      </c>
      <c r="AY241" s="12">
        <f t="shared" si="648"/>
        <v>1.0550724637681159</v>
      </c>
      <c r="AZ241" s="1" t="s">
        <v>284</v>
      </c>
    </row>
    <row r="242" spans="1:53" ht="14.25" hidden="1" customHeight="1">
      <c r="A242" s="2">
        <v>138</v>
      </c>
      <c r="B242" s="2" t="s">
        <v>20</v>
      </c>
      <c r="C242" s="1" t="s">
        <v>85</v>
      </c>
      <c r="D242" s="1">
        <v>2014</v>
      </c>
      <c r="E242" s="1">
        <v>2007</v>
      </c>
      <c r="F242" s="1" t="s">
        <v>120</v>
      </c>
      <c r="G242" s="1" t="s">
        <v>109</v>
      </c>
      <c r="H242" s="1">
        <v>42.673546999999999</v>
      </c>
      <c r="I242" s="1">
        <v>-4.5904389999999999</v>
      </c>
      <c r="J242" s="1" t="s">
        <v>126</v>
      </c>
      <c r="K242" s="1" t="s">
        <v>177</v>
      </c>
      <c r="L242" s="1" t="s">
        <v>192</v>
      </c>
      <c r="M242" s="1" t="s">
        <v>237</v>
      </c>
      <c r="N242" s="1" t="s">
        <v>239</v>
      </c>
      <c r="O242" s="1" t="s">
        <v>86</v>
      </c>
      <c r="Q242" s="1" t="s">
        <v>93</v>
      </c>
      <c r="R242" s="1">
        <v>2006</v>
      </c>
      <c r="S242" s="1">
        <v>1</v>
      </c>
      <c r="U242" s="1">
        <v>135.37</v>
      </c>
      <c r="V242" s="1">
        <v>3</v>
      </c>
      <c r="W242" s="1">
        <v>3</v>
      </c>
      <c r="X242" s="1" t="s">
        <v>114</v>
      </c>
      <c r="Y242" s="1" t="s">
        <v>2</v>
      </c>
      <c r="Z242" s="1" t="s">
        <v>0</v>
      </c>
      <c r="AA242" s="1" t="s">
        <v>113</v>
      </c>
      <c r="AB242" s="1" t="s">
        <v>2</v>
      </c>
      <c r="AC242" s="1" t="s">
        <v>2</v>
      </c>
      <c r="AD242" s="1" t="s">
        <v>2</v>
      </c>
      <c r="AE242" s="1" t="s">
        <v>309</v>
      </c>
      <c r="AF242" s="1" t="s">
        <v>335</v>
      </c>
      <c r="AG242" s="1">
        <f>((8*100)/13)/100</f>
        <v>0.61538461538461542</v>
      </c>
      <c r="AH242" s="14"/>
      <c r="AI242" s="14"/>
      <c r="AJ242" s="1">
        <f>((36*100)/59)/100</f>
        <v>0.61016949152542377</v>
      </c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2">
        <f t="shared" si="647"/>
        <v>3.6961455599637287E-3</v>
      </c>
      <c r="AY242" s="12">
        <f t="shared" ref="AY242" si="649">((1-AG242)/(AG242*W242))+((1-AJ242)/(V242*AJ242))</f>
        <v>0.42129629629629628</v>
      </c>
      <c r="AZ242" s="1" t="s">
        <v>284</v>
      </c>
    </row>
    <row r="243" spans="1:53" ht="14.25" hidden="1" customHeight="1">
      <c r="A243" s="2">
        <v>138</v>
      </c>
      <c r="B243" s="2" t="s">
        <v>20</v>
      </c>
      <c r="C243" s="1" t="s">
        <v>85</v>
      </c>
      <c r="D243" s="1">
        <v>2014</v>
      </c>
      <c r="E243" s="1">
        <v>2007</v>
      </c>
      <c r="F243" s="1" t="s">
        <v>120</v>
      </c>
      <c r="G243" s="1" t="s">
        <v>109</v>
      </c>
      <c r="H243" s="1">
        <v>42.673546999999999</v>
      </c>
      <c r="I243" s="1">
        <v>-4.5904389999999999</v>
      </c>
      <c r="J243" s="1" t="s">
        <v>126</v>
      </c>
      <c r="K243" s="1" t="s">
        <v>177</v>
      </c>
      <c r="L243" s="1" t="s">
        <v>192</v>
      </c>
      <c r="M243" s="1" t="s">
        <v>237</v>
      </c>
      <c r="N243" s="1" t="s">
        <v>239</v>
      </c>
      <c r="O243" s="1" t="s">
        <v>86</v>
      </c>
      <c r="Q243" s="1" t="s">
        <v>93</v>
      </c>
      <c r="R243" s="1">
        <v>2006</v>
      </c>
      <c r="S243" s="1">
        <v>1</v>
      </c>
      <c r="U243" s="1">
        <v>135.37</v>
      </c>
      <c r="V243" s="1">
        <v>3</v>
      </c>
      <c r="W243" s="1">
        <v>3</v>
      </c>
      <c r="X243" s="1" t="s">
        <v>114</v>
      </c>
      <c r="Y243" s="1" t="s">
        <v>2</v>
      </c>
      <c r="Z243" s="1" t="s">
        <v>0</v>
      </c>
      <c r="AA243" s="1" t="s">
        <v>113</v>
      </c>
      <c r="AB243" s="1" t="s">
        <v>2</v>
      </c>
      <c r="AC243" s="1" t="s">
        <v>2</v>
      </c>
      <c r="AD243" s="1" t="s">
        <v>2</v>
      </c>
      <c r="AE243" s="1" t="s">
        <v>251</v>
      </c>
      <c r="AF243" s="1" t="s">
        <v>323</v>
      </c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" t="s">
        <v>286</v>
      </c>
    </row>
    <row r="244" spans="1:53" ht="14.1" hidden="1" customHeight="1">
      <c r="A244" s="2">
        <v>137</v>
      </c>
      <c r="B244" s="2" t="s">
        <v>19</v>
      </c>
      <c r="C244" s="1" t="s">
        <v>85</v>
      </c>
      <c r="D244" s="1">
        <v>2021</v>
      </c>
      <c r="E244" s="1">
        <v>2019</v>
      </c>
      <c r="F244" s="1" t="s">
        <v>164</v>
      </c>
      <c r="G244" s="1" t="s">
        <v>117</v>
      </c>
      <c r="H244" s="1">
        <v>53.832859999999997</v>
      </c>
      <c r="I244" s="1">
        <v>127.168154</v>
      </c>
      <c r="J244" s="1" t="s">
        <v>135</v>
      </c>
      <c r="K244" s="1" t="s">
        <v>173</v>
      </c>
      <c r="L244" s="1" t="s">
        <v>174</v>
      </c>
      <c r="M244" s="1" t="s">
        <v>237</v>
      </c>
      <c r="N244" s="1" t="s">
        <v>239</v>
      </c>
      <c r="O244" s="1" t="s">
        <v>86</v>
      </c>
      <c r="Q244" s="1" t="s">
        <v>93</v>
      </c>
      <c r="R244" s="1">
        <v>2003</v>
      </c>
      <c r="S244" s="1">
        <v>16</v>
      </c>
      <c r="U244" s="1">
        <v>24500</v>
      </c>
      <c r="V244" s="1">
        <v>1</v>
      </c>
      <c r="W244" s="1">
        <v>1</v>
      </c>
      <c r="X244" s="1" t="s">
        <v>134</v>
      </c>
      <c r="Y244" s="1" t="s">
        <v>133</v>
      </c>
      <c r="Z244" s="1" t="s">
        <v>1</v>
      </c>
      <c r="AA244" s="1" t="s">
        <v>98</v>
      </c>
      <c r="AB244" s="1" t="s">
        <v>159</v>
      </c>
      <c r="AC244" s="1" t="s">
        <v>204</v>
      </c>
      <c r="AD244" s="1" t="s">
        <v>100</v>
      </c>
      <c r="AE244" s="1" t="s">
        <v>223</v>
      </c>
      <c r="AF244" s="1" t="s">
        <v>335</v>
      </c>
      <c r="AG244" s="7">
        <v>3.68</v>
      </c>
      <c r="AH244" s="7">
        <f>AI244*SQRT(W244)</f>
        <v>0.22</v>
      </c>
      <c r="AI244" s="7">
        <v>0.22</v>
      </c>
      <c r="AJ244" s="7">
        <v>6.85</v>
      </c>
      <c r="AK244" s="7">
        <f>AL244*SQRT(V244)</f>
        <v>0.31</v>
      </c>
      <c r="AL244" s="7">
        <v>0.31</v>
      </c>
      <c r="AM244" s="12">
        <f t="shared" ref="AM244:AM246" si="650">AG244-AJ244</f>
        <v>-3.1699999999999995</v>
      </c>
      <c r="AN244" s="1" t="e">
        <f>SQRT((((W244-1)*AH244^2)+((V244-1)*AK244^2))/(W244+V244-2))</f>
        <v>#DIV/0!</v>
      </c>
      <c r="AO244" s="1" t="e">
        <f t="shared" ref="AO244:AO246" si="651">AM244/AN244</f>
        <v>#DIV/0!</v>
      </c>
      <c r="AP244" s="1" t="e">
        <f t="shared" ref="AP244:AP246" si="652">1/W244+1/V244+(AO244^2)/(2*(W244+V244))</f>
        <v>#DIV/0!</v>
      </c>
      <c r="AQ244" s="1">
        <f t="shared" ref="AQ244:AQ246" si="653">1-(3/(4*(W244+V244-2)-1))</f>
        <v>4</v>
      </c>
      <c r="AR244" s="1" t="e">
        <f t="shared" ref="AR244:AR246" si="654">AO244*AQ244</f>
        <v>#DIV/0!</v>
      </c>
      <c r="AT244" s="1" t="e">
        <f t="shared" ref="AT244:AT246" si="655">SQRT(AP244*AQ244^2)</f>
        <v>#DIV/0!</v>
      </c>
      <c r="AX244" s="14"/>
      <c r="AY244" s="14"/>
      <c r="AZ244" s="1" t="s">
        <v>271</v>
      </c>
      <c r="BA244" s="2"/>
    </row>
    <row r="245" spans="1:53" ht="14.1" hidden="1" customHeight="1">
      <c r="A245" s="2">
        <v>137</v>
      </c>
      <c r="B245" s="2" t="s">
        <v>19</v>
      </c>
      <c r="C245" s="1" t="s">
        <v>85</v>
      </c>
      <c r="D245" s="1">
        <v>2021</v>
      </c>
      <c r="E245" s="1">
        <v>2019</v>
      </c>
      <c r="F245" s="1" t="s">
        <v>164</v>
      </c>
      <c r="G245" s="1" t="s">
        <v>117</v>
      </c>
      <c r="H245" s="1">
        <v>53.832859999999997</v>
      </c>
      <c r="I245" s="1">
        <v>127.168154</v>
      </c>
      <c r="J245" s="1" t="s">
        <v>135</v>
      </c>
      <c r="K245" s="1" t="s">
        <v>173</v>
      </c>
      <c r="L245" s="1" t="s">
        <v>174</v>
      </c>
      <c r="M245" s="1" t="s">
        <v>237</v>
      </c>
      <c r="N245" s="1" t="s">
        <v>239</v>
      </c>
      <c r="O245" s="1" t="s">
        <v>86</v>
      </c>
      <c r="Q245" s="1" t="s">
        <v>93</v>
      </c>
      <c r="R245" s="1">
        <v>2003</v>
      </c>
      <c r="S245" s="1">
        <v>16</v>
      </c>
      <c r="U245" s="1">
        <v>24500</v>
      </c>
      <c r="V245" s="1">
        <v>1</v>
      </c>
      <c r="W245" s="1">
        <v>1</v>
      </c>
      <c r="X245" s="1" t="s">
        <v>134</v>
      </c>
      <c r="Y245" s="1" t="s">
        <v>133</v>
      </c>
      <c r="Z245" s="1" t="s">
        <v>1</v>
      </c>
      <c r="AA245" s="1" t="s">
        <v>98</v>
      </c>
      <c r="AB245" s="1" t="s">
        <v>159</v>
      </c>
      <c r="AC245" s="1" t="s">
        <v>204</v>
      </c>
      <c r="AD245" s="1" t="s">
        <v>100</v>
      </c>
      <c r="AE245" s="1" t="s">
        <v>149</v>
      </c>
      <c r="AF245" s="1" t="s">
        <v>335</v>
      </c>
      <c r="AG245" s="7"/>
      <c r="AH245" s="7" t="s">
        <v>2</v>
      </c>
      <c r="AI245" s="7" t="s">
        <v>2</v>
      </c>
      <c r="AJ245" s="7"/>
      <c r="AK245" s="7" t="s">
        <v>2</v>
      </c>
      <c r="AL245" s="7" t="s">
        <v>2</v>
      </c>
      <c r="AM245" s="12">
        <f t="shared" si="650"/>
        <v>0</v>
      </c>
      <c r="AN245" s="1" t="e">
        <f t="shared" ref="AN245:AN246" si="656">SQRT((((W245-1)*AH245^2)+((V245-1)*AK245^2))/(W245+V245-2))</f>
        <v>#VALUE!</v>
      </c>
      <c r="AO245" s="1" t="e">
        <f t="shared" si="651"/>
        <v>#VALUE!</v>
      </c>
      <c r="AP245" s="1" t="e">
        <f t="shared" si="652"/>
        <v>#VALUE!</v>
      </c>
      <c r="AQ245" s="1">
        <f t="shared" si="653"/>
        <v>4</v>
      </c>
      <c r="AR245" s="1" t="e">
        <f t="shared" si="654"/>
        <v>#VALUE!</v>
      </c>
      <c r="AT245" s="1" t="e">
        <f t="shared" si="655"/>
        <v>#VALUE!</v>
      </c>
      <c r="AX245" s="14"/>
      <c r="AY245" s="14"/>
      <c r="AZ245" s="1" t="s">
        <v>271</v>
      </c>
      <c r="BA245" s="2"/>
    </row>
    <row r="246" spans="1:53" ht="14.1" hidden="1" customHeight="1">
      <c r="A246" s="2">
        <v>137</v>
      </c>
      <c r="B246" s="2" t="s">
        <v>19</v>
      </c>
      <c r="C246" s="1" t="s">
        <v>85</v>
      </c>
      <c r="D246" s="1">
        <v>2021</v>
      </c>
      <c r="E246" s="1">
        <v>2019</v>
      </c>
      <c r="F246" s="1" t="s">
        <v>164</v>
      </c>
      <c r="G246" s="1" t="s">
        <v>117</v>
      </c>
      <c r="H246" s="1">
        <v>53.832859999999997</v>
      </c>
      <c r="I246" s="1">
        <v>127.168154</v>
      </c>
      <c r="J246" s="1" t="s">
        <v>135</v>
      </c>
      <c r="K246" s="1" t="s">
        <v>173</v>
      </c>
      <c r="L246" s="1" t="s">
        <v>174</v>
      </c>
      <c r="M246" s="1" t="s">
        <v>237</v>
      </c>
      <c r="N246" s="1" t="s">
        <v>239</v>
      </c>
      <c r="O246" s="1" t="s">
        <v>86</v>
      </c>
      <c r="Q246" s="1" t="s">
        <v>93</v>
      </c>
      <c r="R246" s="1">
        <v>2003</v>
      </c>
      <c r="S246" s="1">
        <v>16</v>
      </c>
      <c r="U246" s="1">
        <v>24500</v>
      </c>
      <c r="V246" s="1">
        <v>1</v>
      </c>
      <c r="W246" s="1">
        <v>1</v>
      </c>
      <c r="X246" s="1" t="s">
        <v>134</v>
      </c>
      <c r="Y246" s="1" t="s">
        <v>133</v>
      </c>
      <c r="Z246" s="1" t="s">
        <v>1</v>
      </c>
      <c r="AA246" s="1" t="s">
        <v>98</v>
      </c>
      <c r="AB246" s="1" t="s">
        <v>159</v>
      </c>
      <c r="AC246" s="1" t="s">
        <v>204</v>
      </c>
      <c r="AD246" s="1" t="s">
        <v>100</v>
      </c>
      <c r="AE246" s="1" t="s">
        <v>254</v>
      </c>
      <c r="AF246" s="1" t="s">
        <v>335</v>
      </c>
      <c r="AG246" s="7"/>
      <c r="AH246" s="7" t="s">
        <v>2</v>
      </c>
      <c r="AI246" s="7" t="s">
        <v>2</v>
      </c>
      <c r="AJ246" s="7"/>
      <c r="AK246" s="7" t="s">
        <v>2</v>
      </c>
      <c r="AL246" s="7" t="s">
        <v>2</v>
      </c>
      <c r="AM246" s="12">
        <f t="shared" si="650"/>
        <v>0</v>
      </c>
      <c r="AN246" s="1" t="e">
        <f t="shared" si="656"/>
        <v>#VALUE!</v>
      </c>
      <c r="AO246" s="1" t="e">
        <f t="shared" si="651"/>
        <v>#VALUE!</v>
      </c>
      <c r="AP246" s="1" t="e">
        <f t="shared" si="652"/>
        <v>#VALUE!</v>
      </c>
      <c r="AQ246" s="1">
        <f t="shared" si="653"/>
        <v>4</v>
      </c>
      <c r="AR246" s="1" t="e">
        <f t="shared" si="654"/>
        <v>#VALUE!</v>
      </c>
      <c r="AT246" s="1" t="e">
        <f t="shared" si="655"/>
        <v>#VALUE!</v>
      </c>
      <c r="AX246" s="14"/>
      <c r="AY246" s="14"/>
      <c r="AZ246" s="1" t="s">
        <v>271</v>
      </c>
      <c r="BA246" s="2"/>
    </row>
    <row r="247" spans="1:53" ht="14.1" hidden="1" customHeight="1">
      <c r="A247" s="2">
        <v>137</v>
      </c>
      <c r="B247" s="2" t="s">
        <v>19</v>
      </c>
      <c r="C247" s="1" t="s">
        <v>85</v>
      </c>
      <c r="D247" s="1">
        <v>2021</v>
      </c>
      <c r="E247" s="1">
        <v>2019</v>
      </c>
      <c r="F247" s="1" t="s">
        <v>164</v>
      </c>
      <c r="G247" s="1" t="s">
        <v>117</v>
      </c>
      <c r="H247" s="1">
        <v>53.832859999999997</v>
      </c>
      <c r="I247" s="1">
        <v>127.168154</v>
      </c>
      <c r="J247" s="1" t="s">
        <v>135</v>
      </c>
      <c r="K247" s="1" t="s">
        <v>173</v>
      </c>
      <c r="L247" s="1" t="s">
        <v>174</v>
      </c>
      <c r="M247" s="1" t="s">
        <v>237</v>
      </c>
      <c r="N247" s="1" t="s">
        <v>239</v>
      </c>
      <c r="O247" s="1" t="s">
        <v>86</v>
      </c>
      <c r="Q247" s="1" t="s">
        <v>93</v>
      </c>
      <c r="R247" s="1">
        <v>2003</v>
      </c>
      <c r="S247" s="1">
        <v>16</v>
      </c>
      <c r="U247" s="1">
        <v>24500</v>
      </c>
      <c r="V247" s="1">
        <v>1</v>
      </c>
      <c r="W247" s="1">
        <v>1</v>
      </c>
      <c r="X247" s="1" t="s">
        <v>134</v>
      </c>
      <c r="Y247" s="1" t="s">
        <v>133</v>
      </c>
      <c r="Z247" s="1" t="s">
        <v>1</v>
      </c>
      <c r="AA247" s="1" t="s">
        <v>98</v>
      </c>
      <c r="AB247" s="1" t="s">
        <v>159</v>
      </c>
      <c r="AC247" s="1" t="s">
        <v>204</v>
      </c>
      <c r="AD247" s="1" t="s">
        <v>100</v>
      </c>
      <c r="AE247" s="1" t="s">
        <v>257</v>
      </c>
      <c r="AF247" s="12" t="s">
        <v>319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" t="s">
        <v>286</v>
      </c>
    </row>
    <row r="248" spans="1:53" s="12" customFormat="1" ht="14.1" hidden="1" customHeight="1">
      <c r="A248" s="2">
        <v>121</v>
      </c>
      <c r="B248" s="2" t="s">
        <v>17</v>
      </c>
      <c r="C248" s="12" t="s">
        <v>85</v>
      </c>
      <c r="D248" s="12">
        <v>2014</v>
      </c>
      <c r="E248" s="12">
        <v>2009</v>
      </c>
      <c r="F248" s="12" t="s">
        <v>136</v>
      </c>
      <c r="G248" s="12" t="s">
        <v>162</v>
      </c>
      <c r="H248" s="12">
        <v>55.345132999999997</v>
      </c>
      <c r="I248" s="12">
        <v>21.021471999999999</v>
      </c>
      <c r="J248" s="12" t="s">
        <v>126</v>
      </c>
      <c r="K248" s="12" t="s">
        <v>177</v>
      </c>
      <c r="L248" s="12" t="s">
        <v>194</v>
      </c>
      <c r="M248" s="12" t="s">
        <v>237</v>
      </c>
      <c r="N248" s="12" t="s">
        <v>314</v>
      </c>
      <c r="O248" s="12" t="s">
        <v>86</v>
      </c>
      <c r="P248" s="12" t="s">
        <v>129</v>
      </c>
      <c r="Q248" s="12" t="s">
        <v>93</v>
      </c>
      <c r="R248" s="12">
        <v>2006</v>
      </c>
      <c r="S248" s="12">
        <v>3</v>
      </c>
      <c r="U248" s="12">
        <v>230</v>
      </c>
      <c r="V248" s="12">
        <v>3</v>
      </c>
      <c r="W248" s="12">
        <v>3</v>
      </c>
      <c r="X248" s="12" t="s">
        <v>114</v>
      </c>
      <c r="Y248" s="12" t="s">
        <v>2</v>
      </c>
      <c r="Z248" s="12" t="s">
        <v>0</v>
      </c>
      <c r="AA248" s="12" t="s">
        <v>2</v>
      </c>
      <c r="AB248" s="12" t="s">
        <v>2</v>
      </c>
      <c r="AC248" s="12" t="s">
        <v>2</v>
      </c>
      <c r="AD248" s="12" t="s">
        <v>2</v>
      </c>
      <c r="AE248" s="12" t="s">
        <v>223</v>
      </c>
      <c r="AF248" s="12" t="s">
        <v>319</v>
      </c>
      <c r="AG248" s="12">
        <v>44.44</v>
      </c>
      <c r="AH248" s="12">
        <f>46.38-AG248</f>
        <v>1.9400000000000048</v>
      </c>
      <c r="AJ248" s="12">
        <v>84.36</v>
      </c>
      <c r="AK248" s="12">
        <f>88.76-AJ248</f>
        <v>4.4000000000000057</v>
      </c>
      <c r="AM248" s="12">
        <f t="shared" ref="AM248:AM249" si="657">AG248-AJ248</f>
        <v>-39.92</v>
      </c>
      <c r="AN248" s="12">
        <f t="shared" ref="AN248:AN249" si="658">SQRT((((W248-1)*AH248^2)+((V248-1)*AK248^2))/(W248+V248-2))</f>
        <v>3.4002646955788651</v>
      </c>
      <c r="AO248" s="12">
        <f t="shared" ref="AO248:AO252" si="659">AM248/AN248</f>
        <v>-11.740262471890876</v>
      </c>
      <c r="AP248" s="12">
        <f t="shared" ref="AP248:AP252" si="660">1/W248+1/V248+(AO248^2)/(2*(W248+V248))</f>
        <v>12.152813575740772</v>
      </c>
      <c r="AQ248" s="12">
        <f t="shared" ref="AQ248:AQ252" si="661">1-(3/(4*(W248+V248-2)-1))</f>
        <v>0.8</v>
      </c>
      <c r="AR248" s="21">
        <f t="shared" ref="AR248:AR252" si="662">AO248*AQ248</f>
        <v>-9.3922099775127013</v>
      </c>
      <c r="AS248" s="21">
        <f t="shared" ref="AS248:AS249" si="663">AP248*(AQ248^2)</f>
        <v>7.7778006884740956</v>
      </c>
      <c r="AT248" s="21">
        <f t="shared" ref="AT248:AT252" si="664">SQRT(AP248*AQ248^2)</f>
        <v>2.788870862638515</v>
      </c>
      <c r="AU248" s="20">
        <f t="shared" ref="AU248:AU249" si="665">1/AS248</f>
        <v>0.12857104984470707</v>
      </c>
      <c r="AV248" s="20">
        <f t="shared" ref="AV248:AV249" si="666">AR248/AS248</f>
        <v>-1.2075662971707406</v>
      </c>
      <c r="AW248" s="20">
        <f t="shared" ref="AW248:AW249" si="667">((AR248)^2)/AS248</f>
        <v>11.341716224795098</v>
      </c>
      <c r="AX248" s="14"/>
      <c r="AY248" s="14"/>
      <c r="AZ248" s="12" t="s">
        <v>271</v>
      </c>
      <c r="BA248" s="2"/>
    </row>
    <row r="249" spans="1:53" s="12" customFormat="1" ht="14.1" hidden="1" customHeight="1">
      <c r="A249" s="2">
        <v>121</v>
      </c>
      <c r="B249" s="2" t="s">
        <v>17</v>
      </c>
      <c r="C249" s="12" t="s">
        <v>85</v>
      </c>
      <c r="D249" s="12">
        <v>2014</v>
      </c>
      <c r="E249" s="12">
        <v>2007</v>
      </c>
      <c r="F249" s="12" t="s">
        <v>136</v>
      </c>
      <c r="G249" s="12" t="s">
        <v>162</v>
      </c>
      <c r="H249" s="12">
        <v>55.345132999999997</v>
      </c>
      <c r="I249" s="12">
        <v>21.021471999999999</v>
      </c>
      <c r="J249" s="12" t="s">
        <v>126</v>
      </c>
      <c r="K249" s="12" t="s">
        <v>177</v>
      </c>
      <c r="L249" s="12" t="s">
        <v>194</v>
      </c>
      <c r="M249" s="12" t="s">
        <v>237</v>
      </c>
      <c r="N249" s="12" t="s">
        <v>314</v>
      </c>
      <c r="O249" s="12" t="s">
        <v>86</v>
      </c>
      <c r="P249" s="12" t="s">
        <v>129</v>
      </c>
      <c r="Q249" s="12" t="s">
        <v>93</v>
      </c>
      <c r="R249" s="12">
        <v>2006</v>
      </c>
      <c r="S249" s="12">
        <v>1</v>
      </c>
      <c r="U249" s="12">
        <v>230</v>
      </c>
      <c r="V249" s="12">
        <v>3</v>
      </c>
      <c r="W249" s="12">
        <v>3</v>
      </c>
      <c r="X249" s="12" t="s">
        <v>114</v>
      </c>
      <c r="Y249" s="12" t="s">
        <v>2</v>
      </c>
      <c r="Z249" s="12" t="s">
        <v>0</v>
      </c>
      <c r="AA249" s="12" t="s">
        <v>2</v>
      </c>
      <c r="AB249" s="12" t="s">
        <v>2</v>
      </c>
      <c r="AC249" s="12" t="s">
        <v>2</v>
      </c>
      <c r="AD249" s="12" t="s">
        <v>2</v>
      </c>
      <c r="AE249" s="12" t="s">
        <v>223</v>
      </c>
      <c r="AF249" s="12" t="s">
        <v>319</v>
      </c>
      <c r="AG249" s="12">
        <v>23.12</v>
      </c>
      <c r="AH249" s="12">
        <f>25.7-AG249</f>
        <v>2.5799999999999983</v>
      </c>
      <c r="AJ249" s="12">
        <v>70.73</v>
      </c>
      <c r="AK249" s="12">
        <f>72.66-AJ249</f>
        <v>1.9299999999999926</v>
      </c>
      <c r="AM249" s="12">
        <f t="shared" si="657"/>
        <v>-47.61</v>
      </c>
      <c r="AN249" s="12">
        <f t="shared" si="658"/>
        <v>2.2782998046789147</v>
      </c>
      <c r="AO249" s="12">
        <f t="shared" si="659"/>
        <v>-20.897161954815587</v>
      </c>
      <c r="AP249" s="12">
        <f t="shared" si="660"/>
        <v>37.057614813816002</v>
      </c>
      <c r="AQ249" s="12">
        <f t="shared" si="661"/>
        <v>0.8</v>
      </c>
      <c r="AR249" s="21">
        <f t="shared" si="662"/>
        <v>-16.717729563852469</v>
      </c>
      <c r="AS249" s="21">
        <f t="shared" si="663"/>
        <v>23.716873480842246</v>
      </c>
      <c r="AT249" s="21">
        <f t="shared" si="664"/>
        <v>4.8699972772931037</v>
      </c>
      <c r="AU249" s="20">
        <f t="shared" si="665"/>
        <v>4.2164073641821675E-2</v>
      </c>
      <c r="AV249" s="20">
        <f t="shared" si="666"/>
        <v>-0.70488758045433486</v>
      </c>
      <c r="AW249" s="20">
        <f t="shared" si="667"/>
        <v>11.78411994295387</v>
      </c>
      <c r="AX249" s="14"/>
      <c r="AY249" s="14"/>
      <c r="AZ249" s="12" t="s">
        <v>271</v>
      </c>
      <c r="BA249" s="2"/>
    </row>
    <row r="250" spans="1:53" s="12" customFormat="1" ht="14.1" hidden="1" customHeight="1">
      <c r="A250" s="2">
        <v>121</v>
      </c>
      <c r="B250" s="2" t="s">
        <v>17</v>
      </c>
      <c r="C250" s="12" t="s">
        <v>85</v>
      </c>
      <c r="D250" s="12">
        <v>2014</v>
      </c>
      <c r="E250" s="12">
        <v>2009</v>
      </c>
      <c r="F250" s="12" t="s">
        <v>136</v>
      </c>
      <c r="G250" s="12" t="s">
        <v>162</v>
      </c>
      <c r="H250" s="12">
        <v>55.345132999999997</v>
      </c>
      <c r="I250" s="12">
        <v>21.021471999999999</v>
      </c>
      <c r="J250" s="12" t="s">
        <v>126</v>
      </c>
      <c r="K250" s="12" t="s">
        <v>177</v>
      </c>
      <c r="L250" s="12" t="s">
        <v>194</v>
      </c>
      <c r="M250" s="12" t="s">
        <v>237</v>
      </c>
      <c r="N250" s="12" t="s">
        <v>314</v>
      </c>
      <c r="O250" s="12" t="s">
        <v>86</v>
      </c>
      <c r="P250" s="12" t="s">
        <v>129</v>
      </c>
      <c r="Q250" s="12" t="s">
        <v>93</v>
      </c>
      <c r="R250" s="12">
        <v>2006</v>
      </c>
      <c r="S250" s="12">
        <v>3</v>
      </c>
      <c r="U250" s="12">
        <v>230</v>
      </c>
      <c r="V250" s="12">
        <v>3</v>
      </c>
      <c r="W250" s="12">
        <v>3</v>
      </c>
      <c r="X250" s="12" t="s">
        <v>114</v>
      </c>
      <c r="Y250" s="12" t="s">
        <v>2</v>
      </c>
      <c r="Z250" s="12" t="s">
        <v>0</v>
      </c>
      <c r="AA250" s="12" t="s">
        <v>2</v>
      </c>
      <c r="AB250" s="12" t="s">
        <v>2</v>
      </c>
      <c r="AC250" s="12" t="s">
        <v>2</v>
      </c>
      <c r="AD250" s="12" t="s">
        <v>2</v>
      </c>
      <c r="AE250" s="12" t="s">
        <v>257</v>
      </c>
      <c r="AF250" s="12" t="s">
        <v>334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2" t="s">
        <v>286</v>
      </c>
    </row>
    <row r="251" spans="1:53" s="12" customFormat="1" ht="14.1" hidden="1" customHeight="1">
      <c r="A251" s="2">
        <v>121</v>
      </c>
      <c r="B251" s="2" t="s">
        <v>17</v>
      </c>
      <c r="C251" s="12" t="s">
        <v>85</v>
      </c>
      <c r="D251" s="12">
        <v>2014</v>
      </c>
      <c r="E251" s="12">
        <v>2009</v>
      </c>
      <c r="F251" s="12" t="s">
        <v>136</v>
      </c>
      <c r="G251" s="12" t="s">
        <v>162</v>
      </c>
      <c r="H251" s="12">
        <v>55.345132999999997</v>
      </c>
      <c r="I251" s="12">
        <v>21.021471999999999</v>
      </c>
      <c r="J251" s="12" t="s">
        <v>126</v>
      </c>
      <c r="K251" s="12" t="s">
        <v>177</v>
      </c>
      <c r="L251" s="12" t="s">
        <v>183</v>
      </c>
      <c r="M251" s="12" t="s">
        <v>237</v>
      </c>
      <c r="N251" s="12" t="s">
        <v>239</v>
      </c>
      <c r="O251" s="12" t="s">
        <v>86</v>
      </c>
      <c r="P251" s="12" t="s">
        <v>146</v>
      </c>
      <c r="Q251" s="12" t="s">
        <v>93</v>
      </c>
      <c r="R251" s="12">
        <v>2006</v>
      </c>
      <c r="S251" s="12">
        <v>3</v>
      </c>
      <c r="U251" s="12">
        <v>230</v>
      </c>
      <c r="V251" s="12">
        <v>2</v>
      </c>
      <c r="W251" s="12">
        <v>3</v>
      </c>
      <c r="X251" s="12" t="s">
        <v>114</v>
      </c>
      <c r="Y251" s="12" t="s">
        <v>2</v>
      </c>
      <c r="Z251" s="12" t="s">
        <v>0</v>
      </c>
      <c r="AA251" s="12" t="s">
        <v>2</v>
      </c>
      <c r="AB251" s="12" t="s">
        <v>2</v>
      </c>
      <c r="AC251" s="12" t="s">
        <v>2</v>
      </c>
      <c r="AD251" s="12" t="s">
        <v>2</v>
      </c>
      <c r="AE251" s="12" t="s">
        <v>223</v>
      </c>
      <c r="AF251" s="12" t="s">
        <v>319</v>
      </c>
      <c r="AG251" s="12">
        <v>69.430000000000007</v>
      </c>
      <c r="AH251" s="12">
        <f>74.1-AG251</f>
        <v>4.6699999999999875</v>
      </c>
      <c r="AJ251" s="12">
        <v>85.86</v>
      </c>
      <c r="AK251" s="12">
        <f>90.67-AJ251</f>
        <v>4.8100000000000023</v>
      </c>
      <c r="AM251" s="12">
        <f t="shared" ref="AM251" si="668">AG251-AJ251</f>
        <v>-16.429999999999993</v>
      </c>
      <c r="AN251" s="12">
        <f t="shared" ref="AN251" si="669">SQRT((((W251-1)*AH251^2)+((V251-1)*AK251^2))/(W251+V251-2))</f>
        <v>4.717128363739949</v>
      </c>
      <c r="AO251" s="12">
        <f t="shared" ref="AO251" si="670">AM251/AN251</f>
        <v>-3.4830512831271689</v>
      </c>
      <c r="AP251" s="12">
        <f t="shared" ref="AP251" si="671">1/W251+1/V251+(AO251^2)/(2*(W251+V251))</f>
        <v>2.0464979574227149</v>
      </c>
      <c r="AQ251" s="12">
        <f t="shared" ref="AQ251" si="672">1-(3/(4*(W251+V251-2)-1))</f>
        <v>0.72727272727272729</v>
      </c>
      <c r="AR251" s="21">
        <f t="shared" ref="AR251" si="673">AO251*AQ251</f>
        <v>-2.5331282059106686</v>
      </c>
      <c r="AS251" s="21">
        <f t="shared" ref="AS251:AS252" si="674">AP251*(AQ251^2)</f>
        <v>1.0824452006202789</v>
      </c>
      <c r="AT251" s="21">
        <f t="shared" ref="AT251" si="675">SQRT(AP251*AQ251^2)</f>
        <v>1.0404062670996743</v>
      </c>
      <c r="AU251" s="20">
        <f t="shared" ref="AU251:AU252" si="676">1/AS251</f>
        <v>0.9238342961167596</v>
      </c>
      <c r="AV251" s="20">
        <f t="shared" ref="AV251:AV252" si="677">AR251/AS251</f>
        <v>-2.3401907130809927</v>
      </c>
      <c r="AW251" s="20">
        <f t="shared" ref="AW251:AW252" si="678">((AR251)^2)/AS251</f>
        <v>5.928003102515663</v>
      </c>
      <c r="AX251" s="14"/>
      <c r="AY251" s="14"/>
      <c r="AZ251" s="12" t="s">
        <v>271</v>
      </c>
      <c r="BA251" s="2"/>
    </row>
    <row r="252" spans="1:53" s="12" customFormat="1" ht="14.1" hidden="1" customHeight="1">
      <c r="A252" s="2">
        <v>121</v>
      </c>
      <c r="B252" s="2" t="s">
        <v>17</v>
      </c>
      <c r="C252" s="12" t="s">
        <v>85</v>
      </c>
      <c r="D252" s="12">
        <v>2014</v>
      </c>
      <c r="E252" s="12">
        <v>2007</v>
      </c>
      <c r="F252" s="12" t="s">
        <v>136</v>
      </c>
      <c r="G252" s="12" t="s">
        <v>162</v>
      </c>
      <c r="H252" s="12">
        <v>55.345132999999997</v>
      </c>
      <c r="I252" s="12">
        <v>21.021471999999999</v>
      </c>
      <c r="J252" s="12" t="s">
        <v>126</v>
      </c>
      <c r="K252" s="12" t="s">
        <v>177</v>
      </c>
      <c r="L252" s="12" t="s">
        <v>183</v>
      </c>
      <c r="M252" s="12" t="s">
        <v>237</v>
      </c>
      <c r="N252" s="12" t="s">
        <v>239</v>
      </c>
      <c r="O252" s="12" t="s">
        <v>86</v>
      </c>
      <c r="P252" s="12" t="s">
        <v>146</v>
      </c>
      <c r="Q252" s="12" t="s">
        <v>93</v>
      </c>
      <c r="R252" s="12">
        <v>2006</v>
      </c>
      <c r="S252" s="12">
        <v>1</v>
      </c>
      <c r="U252" s="12">
        <v>230</v>
      </c>
      <c r="V252" s="12">
        <v>2</v>
      </c>
      <c r="W252" s="12">
        <v>3</v>
      </c>
      <c r="X252" s="12" t="s">
        <v>114</v>
      </c>
      <c r="Y252" s="12" t="s">
        <v>2</v>
      </c>
      <c r="Z252" s="12" t="s">
        <v>0</v>
      </c>
      <c r="AA252" s="12" t="s">
        <v>2</v>
      </c>
      <c r="AB252" s="12" t="s">
        <v>2</v>
      </c>
      <c r="AC252" s="12" t="s">
        <v>2</v>
      </c>
      <c r="AD252" s="12" t="s">
        <v>2</v>
      </c>
      <c r="AE252" s="12" t="s">
        <v>223</v>
      </c>
      <c r="AF252" s="12" t="s">
        <v>319</v>
      </c>
      <c r="AG252" s="12">
        <v>42.06</v>
      </c>
      <c r="AH252" s="12">
        <f>45.67-AG252</f>
        <v>3.6099999999999994</v>
      </c>
      <c r="AJ252" s="12">
        <v>71.040000000000006</v>
      </c>
      <c r="AK252" s="12">
        <f>75.04-AJ252</f>
        <v>4</v>
      </c>
      <c r="AM252" s="12">
        <f>AG252-AG251</f>
        <v>-27.370000000000005</v>
      </c>
      <c r="AN252" s="12">
        <f>SQRT((((W252-1)*AH252^2)+((V252-1)*AH251^2))/(W252+V252-2))</f>
        <v>3.9947090006657504</v>
      </c>
      <c r="AO252" s="12">
        <f t="shared" si="659"/>
        <v>-6.8515629036904997</v>
      </c>
      <c r="AP252" s="12">
        <f t="shared" si="660"/>
        <v>5.527724755656112</v>
      </c>
      <c r="AQ252" s="12">
        <f t="shared" si="661"/>
        <v>0.72727272727272729</v>
      </c>
      <c r="AR252" s="21">
        <f t="shared" si="662"/>
        <v>-4.9829548390476361</v>
      </c>
      <c r="AS252" s="21">
        <f t="shared" si="674"/>
        <v>2.923755242661084</v>
      </c>
      <c r="AT252" s="21">
        <f t="shared" si="664"/>
        <v>1.7098991907890606</v>
      </c>
      <c r="AU252" s="20">
        <f t="shared" si="676"/>
        <v>0.34202589375772796</v>
      </c>
      <c r="AV252" s="20">
        <f t="shared" si="677"/>
        <v>-1.7042995823796632</v>
      </c>
      <c r="AW252" s="20">
        <f t="shared" si="678"/>
        <v>8.4924478512056076</v>
      </c>
      <c r="AX252" s="14"/>
      <c r="AY252" s="14"/>
      <c r="AZ252" s="12" t="s">
        <v>271</v>
      </c>
      <c r="BA252" s="2"/>
    </row>
    <row r="253" spans="1:53" s="12" customFormat="1" ht="14.1" hidden="1" customHeight="1">
      <c r="A253" s="2">
        <v>121</v>
      </c>
      <c r="B253" s="2" t="s">
        <v>17</v>
      </c>
      <c r="C253" s="12" t="s">
        <v>85</v>
      </c>
      <c r="D253" s="12">
        <v>2014</v>
      </c>
      <c r="E253" s="12">
        <v>2009</v>
      </c>
      <c r="F253" s="12" t="s">
        <v>136</v>
      </c>
      <c r="G253" s="12" t="s">
        <v>162</v>
      </c>
      <c r="H253" s="12">
        <v>55.345132999999997</v>
      </c>
      <c r="I253" s="12">
        <v>21.021471999999999</v>
      </c>
      <c r="J253" s="12" t="s">
        <v>126</v>
      </c>
      <c r="K253" s="12" t="s">
        <v>177</v>
      </c>
      <c r="L253" s="12" t="s">
        <v>183</v>
      </c>
      <c r="M253" s="12" t="s">
        <v>237</v>
      </c>
      <c r="N253" s="12" t="s">
        <v>239</v>
      </c>
      <c r="O253" s="12" t="s">
        <v>86</v>
      </c>
      <c r="P253" s="12" t="s">
        <v>146</v>
      </c>
      <c r="Q253" s="12" t="s">
        <v>93</v>
      </c>
      <c r="R253" s="12">
        <v>2006</v>
      </c>
      <c r="S253" s="12">
        <v>3</v>
      </c>
      <c r="U253" s="12">
        <v>230</v>
      </c>
      <c r="V253" s="12">
        <v>2</v>
      </c>
      <c r="W253" s="12">
        <v>3</v>
      </c>
      <c r="X253" s="12" t="s">
        <v>114</v>
      </c>
      <c r="Y253" s="12" t="s">
        <v>2</v>
      </c>
      <c r="Z253" s="12" t="s">
        <v>0</v>
      </c>
      <c r="AA253" s="12" t="s">
        <v>2</v>
      </c>
      <c r="AB253" s="12" t="s">
        <v>2</v>
      </c>
      <c r="AC253" s="12" t="s">
        <v>2</v>
      </c>
      <c r="AD253" s="12" t="s">
        <v>2</v>
      </c>
      <c r="AE253" s="12" t="s">
        <v>257</v>
      </c>
      <c r="AF253" s="12" t="s">
        <v>334</v>
      </c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2" t="s">
        <v>286</v>
      </c>
    </row>
    <row r="254" spans="1:53" ht="14.25" hidden="1" customHeight="1">
      <c r="A254" s="2">
        <v>457</v>
      </c>
      <c r="B254" s="2" t="s">
        <v>59</v>
      </c>
      <c r="C254" s="1" t="s">
        <v>85</v>
      </c>
      <c r="D254" s="1">
        <v>2022</v>
      </c>
      <c r="E254" s="1">
        <v>2019</v>
      </c>
      <c r="F254" s="1" t="s">
        <v>143</v>
      </c>
      <c r="G254" s="1" t="s">
        <v>162</v>
      </c>
      <c r="H254" s="1">
        <v>40.990662999999998</v>
      </c>
      <c r="I254" s="1">
        <v>-106.195426</v>
      </c>
      <c r="J254" s="1" t="s">
        <v>128</v>
      </c>
      <c r="K254" s="1" t="s">
        <v>177</v>
      </c>
      <c r="L254" s="1" t="s">
        <v>187</v>
      </c>
      <c r="M254" s="1" t="s">
        <v>237</v>
      </c>
      <c r="N254" s="1" t="s">
        <v>239</v>
      </c>
      <c r="O254" s="1" t="s">
        <v>86</v>
      </c>
      <c r="P254" s="1" t="s">
        <v>146</v>
      </c>
      <c r="Q254" s="1" t="s">
        <v>93</v>
      </c>
      <c r="R254" s="1">
        <v>2018</v>
      </c>
      <c r="S254" s="1">
        <v>1</v>
      </c>
      <c r="V254" s="1">
        <v>16</v>
      </c>
      <c r="W254" s="1">
        <v>24</v>
      </c>
      <c r="X254" s="1" t="s">
        <v>97</v>
      </c>
      <c r="Y254" s="1" t="s">
        <v>130</v>
      </c>
      <c r="Z254" s="1" t="s">
        <v>1</v>
      </c>
      <c r="AA254" s="1" t="s">
        <v>98</v>
      </c>
      <c r="AB254" s="1" t="s">
        <v>203</v>
      </c>
      <c r="AC254" s="1" t="s">
        <v>99</v>
      </c>
      <c r="AD254" s="1" t="s">
        <v>100</v>
      </c>
      <c r="AE254" s="1" t="s">
        <v>149</v>
      </c>
      <c r="AF254" s="1" t="s">
        <v>322</v>
      </c>
      <c r="AG254" s="1">
        <v>2.54</v>
      </c>
      <c r="AH254" s="1">
        <f>2.93-2.2</f>
        <v>0.73</v>
      </c>
      <c r="AJ254" s="1">
        <v>3.53</v>
      </c>
      <c r="AK254" s="1">
        <f>4.04-2.84</f>
        <v>1.2000000000000002</v>
      </c>
      <c r="AM254" s="12">
        <f t="shared" si="459"/>
        <v>-0.98999999999999977</v>
      </c>
      <c r="AN254" s="1">
        <f t="shared" ref="AN254:AN406" si="679">SQRT((((W254-1)*AH254^2)+((V254-1)*AK254^2))/(W254+V254-2))</f>
        <v>0.94390984181418747</v>
      </c>
      <c r="AO254" s="1">
        <f t="shared" si="525"/>
        <v>-1.048828983599988</v>
      </c>
      <c r="AP254" s="1">
        <f t="shared" ref="AP254:AP406" si="680">1/W254+1/V254+(AO254^2)/(2*(W254+V254))</f>
        <v>0.11791719462715895</v>
      </c>
      <c r="AQ254" s="1">
        <f t="shared" ref="AQ254:AQ406" si="681">1-(3/(4*(W254+V254-2)-1))</f>
        <v>0.98013245033112584</v>
      </c>
      <c r="AR254" s="21">
        <f t="shared" si="526"/>
        <v>-1.0279913216741605</v>
      </c>
      <c r="AS254" s="21">
        <f>AP254*(AQ254^2)</f>
        <v>0.11327828740464409</v>
      </c>
      <c r="AT254" s="21">
        <f t="shared" si="594"/>
        <v>0.336568399295959</v>
      </c>
      <c r="AU254" s="20">
        <f>1/AS254</f>
        <v>8.8278170769644149</v>
      </c>
      <c r="AV254" s="20">
        <f>AR254/AS254</f>
        <v>-9.0749193444463732</v>
      </c>
      <c r="AW254" s="20">
        <f>((AR254)^2)/AS254</f>
        <v>9.3289383309838332</v>
      </c>
      <c r="AX254" s="14"/>
      <c r="AY254" s="14"/>
      <c r="AZ254" s="1" t="s">
        <v>271</v>
      </c>
      <c r="BA254" s="2"/>
    </row>
    <row r="255" spans="1:53" ht="14.25" hidden="1" customHeight="1">
      <c r="A255" s="2">
        <v>457</v>
      </c>
      <c r="B255" s="2" t="s">
        <v>59</v>
      </c>
      <c r="C255" s="1" t="s">
        <v>85</v>
      </c>
      <c r="D255" s="1">
        <v>2022</v>
      </c>
      <c r="E255" s="1">
        <v>2019</v>
      </c>
      <c r="F255" s="1" t="s">
        <v>143</v>
      </c>
      <c r="G255" s="1" t="s">
        <v>162</v>
      </c>
      <c r="H255" s="1">
        <v>40.990662999999998</v>
      </c>
      <c r="I255" s="1">
        <v>-106.195426</v>
      </c>
      <c r="J255" s="1" t="s">
        <v>128</v>
      </c>
      <c r="K255" s="1" t="s">
        <v>177</v>
      </c>
      <c r="L255" s="1" t="s">
        <v>187</v>
      </c>
      <c r="M255" s="1" t="s">
        <v>237</v>
      </c>
      <c r="N255" s="1" t="s">
        <v>239</v>
      </c>
      <c r="O255" s="1" t="s">
        <v>86</v>
      </c>
      <c r="P255" s="1" t="s">
        <v>146</v>
      </c>
      <c r="Q255" s="1" t="s">
        <v>93</v>
      </c>
      <c r="R255" s="1">
        <v>2018</v>
      </c>
      <c r="S255" s="1">
        <v>1</v>
      </c>
      <c r="V255" s="1">
        <v>16</v>
      </c>
      <c r="W255" s="1">
        <v>24</v>
      </c>
      <c r="X255" s="1" t="s">
        <v>97</v>
      </c>
      <c r="Y255" s="1" t="s">
        <v>130</v>
      </c>
      <c r="Z255" s="1" t="s">
        <v>1</v>
      </c>
      <c r="AA255" s="1" t="s">
        <v>98</v>
      </c>
      <c r="AB255" s="1" t="s">
        <v>203</v>
      </c>
      <c r="AC255" s="1" t="s">
        <v>99</v>
      </c>
      <c r="AD255" s="1" t="s">
        <v>100</v>
      </c>
      <c r="AE255" s="1" t="s">
        <v>257</v>
      </c>
      <c r="AF255" s="1" t="s">
        <v>322</v>
      </c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2" t="s">
        <v>286</v>
      </c>
    </row>
    <row r="256" spans="1:53" ht="14.25" hidden="1" customHeight="1">
      <c r="A256" s="2">
        <v>457</v>
      </c>
      <c r="B256" s="2" t="s">
        <v>59</v>
      </c>
      <c r="C256" s="1" t="s">
        <v>85</v>
      </c>
      <c r="D256" s="1">
        <v>2022</v>
      </c>
      <c r="E256" s="1">
        <v>2019</v>
      </c>
      <c r="F256" s="1" t="s">
        <v>143</v>
      </c>
      <c r="G256" s="1" t="s">
        <v>162</v>
      </c>
      <c r="H256" s="1">
        <v>40.990662999999998</v>
      </c>
      <c r="I256" s="1">
        <v>-106.195426</v>
      </c>
      <c r="J256" s="1" t="s">
        <v>128</v>
      </c>
      <c r="K256" s="1" t="s">
        <v>177</v>
      </c>
      <c r="L256" s="1" t="s">
        <v>187</v>
      </c>
      <c r="M256" s="1" t="s">
        <v>237</v>
      </c>
      <c r="N256" s="1" t="s">
        <v>239</v>
      </c>
      <c r="O256" s="1" t="s">
        <v>86</v>
      </c>
      <c r="P256" s="1" t="s">
        <v>146</v>
      </c>
      <c r="Q256" s="1" t="s">
        <v>93</v>
      </c>
      <c r="R256" s="1">
        <v>2018</v>
      </c>
      <c r="S256" s="1">
        <v>1</v>
      </c>
      <c r="V256" s="1">
        <v>16</v>
      </c>
      <c r="W256" s="1">
        <v>24</v>
      </c>
      <c r="X256" s="1" t="s">
        <v>97</v>
      </c>
      <c r="Y256" s="1" t="s">
        <v>233</v>
      </c>
      <c r="Z256" s="1" t="s">
        <v>1</v>
      </c>
      <c r="AA256" s="1" t="s">
        <v>98</v>
      </c>
      <c r="AB256" s="1" t="s">
        <v>203</v>
      </c>
      <c r="AC256" s="1" t="s">
        <v>99</v>
      </c>
      <c r="AD256" s="1" t="s">
        <v>100</v>
      </c>
      <c r="AE256" s="1" t="s">
        <v>149</v>
      </c>
      <c r="AF256" s="1" t="s">
        <v>322</v>
      </c>
      <c r="AG256" s="1">
        <v>2.67</v>
      </c>
      <c r="AH256" s="1">
        <f>2.88-2.17</f>
        <v>0.71</v>
      </c>
      <c r="AJ256" s="1">
        <v>2.67</v>
      </c>
      <c r="AK256" s="1">
        <f>3.2-2.38</f>
        <v>0.82000000000000028</v>
      </c>
      <c r="AM256" s="12">
        <f t="shared" ref="AM256" si="682">AG256-AJ256</f>
        <v>0</v>
      </c>
      <c r="AN256" s="1">
        <f t="shared" ref="AN256" si="683">SQRT((((W256-1)*AH256^2)+((V256-1)*AK256^2))/(W256+V256-2))</f>
        <v>0.75533715023578452</v>
      </c>
      <c r="AO256" s="1">
        <f t="shared" ref="AO256" si="684">AM256/AN256</f>
        <v>0</v>
      </c>
      <c r="AP256" s="1">
        <f t="shared" ref="AP256" si="685">1/W256+1/V256+(AO256^2)/(2*(W256+V256))</f>
        <v>0.10416666666666666</v>
      </c>
      <c r="AQ256" s="1">
        <f t="shared" ref="AQ256" si="686">1-(3/(4*(W256+V256-2)-1))</f>
        <v>0.98013245033112584</v>
      </c>
      <c r="AR256" s="21">
        <f t="shared" ref="AR256" si="687">AO256*AQ256</f>
        <v>0</v>
      </c>
      <c r="AS256" s="21">
        <f>AP256*(AQ256^2)</f>
        <v>0.10006871043667674</v>
      </c>
      <c r="AT256" s="21">
        <f t="shared" ref="AT256" si="688">SQRT(AP256*AQ256^2)</f>
        <v>0.31633638810082654</v>
      </c>
      <c r="AU256" s="20">
        <f>1/AS256</f>
        <v>9.9931336742147572</v>
      </c>
      <c r="AV256" s="20">
        <f>AR256/AS256</f>
        <v>0</v>
      </c>
      <c r="AW256" s="20">
        <f>((AR256)^2)/AS256</f>
        <v>0</v>
      </c>
      <c r="AX256" s="14"/>
      <c r="AY256" s="14"/>
      <c r="AZ256" s="1" t="s">
        <v>271</v>
      </c>
      <c r="BA256" s="2"/>
    </row>
    <row r="257" spans="1:53" ht="14.25" hidden="1" customHeight="1">
      <c r="A257" s="2">
        <v>457</v>
      </c>
      <c r="B257" s="2" t="s">
        <v>59</v>
      </c>
      <c r="C257" s="1" t="s">
        <v>85</v>
      </c>
      <c r="D257" s="1">
        <v>2022</v>
      </c>
      <c r="E257" s="1">
        <v>2019</v>
      </c>
      <c r="F257" s="1" t="s">
        <v>143</v>
      </c>
      <c r="G257" s="1" t="s">
        <v>162</v>
      </c>
      <c r="H257" s="1">
        <v>40.990662999999998</v>
      </c>
      <c r="I257" s="1">
        <v>-106.195426</v>
      </c>
      <c r="J257" s="1" t="s">
        <v>128</v>
      </c>
      <c r="K257" s="1" t="s">
        <v>177</v>
      </c>
      <c r="L257" s="1" t="s">
        <v>187</v>
      </c>
      <c r="M257" s="1" t="s">
        <v>237</v>
      </c>
      <c r="N257" s="1" t="s">
        <v>239</v>
      </c>
      <c r="O257" s="1" t="s">
        <v>86</v>
      </c>
      <c r="P257" s="1" t="s">
        <v>146</v>
      </c>
      <c r="Q257" s="1" t="s">
        <v>93</v>
      </c>
      <c r="R257" s="1">
        <v>2018</v>
      </c>
      <c r="S257" s="1">
        <v>1</v>
      </c>
      <c r="V257" s="1">
        <v>16</v>
      </c>
      <c r="W257" s="1">
        <v>24</v>
      </c>
      <c r="X257" s="1" t="s">
        <v>97</v>
      </c>
      <c r="Y257" s="1" t="s">
        <v>233</v>
      </c>
      <c r="Z257" s="1" t="s">
        <v>1</v>
      </c>
      <c r="AA257" s="1" t="s">
        <v>98</v>
      </c>
      <c r="AB257" s="1" t="s">
        <v>203</v>
      </c>
      <c r="AC257" s="1" t="s">
        <v>99</v>
      </c>
      <c r="AD257" s="1" t="s">
        <v>100</v>
      </c>
      <c r="AE257" s="1" t="s">
        <v>257</v>
      </c>
      <c r="AF257" s="1" t="s">
        <v>322</v>
      </c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2" t="s">
        <v>286</v>
      </c>
    </row>
    <row r="258" spans="1:53" ht="14.25" hidden="1" customHeight="1">
      <c r="A258" s="2">
        <v>457</v>
      </c>
      <c r="B258" s="2" t="s">
        <v>59</v>
      </c>
      <c r="C258" s="1" t="s">
        <v>85</v>
      </c>
      <c r="D258" s="1">
        <v>2022</v>
      </c>
      <c r="E258" s="1">
        <v>2019</v>
      </c>
      <c r="F258" s="1" t="s">
        <v>143</v>
      </c>
      <c r="G258" s="1" t="s">
        <v>162</v>
      </c>
      <c r="H258" s="1">
        <v>40.990662999999998</v>
      </c>
      <c r="I258" s="1">
        <v>-106.195426</v>
      </c>
      <c r="J258" s="1" t="s">
        <v>128</v>
      </c>
      <c r="K258" s="1" t="s">
        <v>177</v>
      </c>
      <c r="L258" s="1" t="s">
        <v>187</v>
      </c>
      <c r="M258" s="1" t="s">
        <v>237</v>
      </c>
      <c r="N258" s="1" t="s">
        <v>239</v>
      </c>
      <c r="O258" s="1" t="s">
        <v>86</v>
      </c>
      <c r="P258" s="1" t="s">
        <v>211</v>
      </c>
      <c r="Q258" s="1" t="s">
        <v>93</v>
      </c>
      <c r="R258" s="1">
        <v>2018</v>
      </c>
      <c r="S258" s="1">
        <v>1</v>
      </c>
      <c r="V258" s="1">
        <v>16</v>
      </c>
      <c r="W258" s="1">
        <v>24</v>
      </c>
      <c r="X258" s="1" t="s">
        <v>97</v>
      </c>
      <c r="Y258" s="1" t="s">
        <v>130</v>
      </c>
      <c r="Z258" s="1" t="s">
        <v>1</v>
      </c>
      <c r="AA258" s="1" t="s">
        <v>98</v>
      </c>
      <c r="AB258" s="1" t="s">
        <v>203</v>
      </c>
      <c r="AC258" s="1" t="s">
        <v>99</v>
      </c>
      <c r="AD258" s="1" t="s">
        <v>100</v>
      </c>
      <c r="AE258" s="1" t="s">
        <v>149</v>
      </c>
      <c r="AF258" s="1" t="s">
        <v>322</v>
      </c>
      <c r="AG258" s="1">
        <v>2.2400000000000002</v>
      </c>
      <c r="AH258" s="1">
        <f>2.42-2.05</f>
        <v>0.37000000000000011</v>
      </c>
      <c r="AJ258" s="1">
        <v>3.53</v>
      </c>
      <c r="AK258" s="1">
        <f>4.04-2.84</f>
        <v>1.2000000000000002</v>
      </c>
      <c r="AM258" s="12">
        <f t="shared" ref="AM258:AM260" si="689">AG258-AJ258</f>
        <v>-1.2899999999999996</v>
      </c>
      <c r="AN258" s="1">
        <f t="shared" ref="AN258:AN260" si="690">SQRT((((W258-1)*AH258^2)+((V258-1)*AK258^2))/(W258+V258-2))</f>
        <v>0.8070201849689812</v>
      </c>
      <c r="AO258" s="1">
        <f t="shared" ref="AO258:AO260" si="691">AM258/AN258</f>
        <v>-1.5984730295805207</v>
      </c>
      <c r="AP258" s="1">
        <f t="shared" ref="AP258:AP260" si="692">1/W258+1/V258+(AO258^2)/(2*(W258+V258))</f>
        <v>0.13610561699537077</v>
      </c>
      <c r="AQ258" s="1">
        <f t="shared" ref="AQ258:AQ260" si="693">1-(3/(4*(W258+V258-2)-1))</f>
        <v>0.98013245033112584</v>
      </c>
      <c r="AR258" s="21">
        <f t="shared" ref="AR258:AR260" si="694">AO258*AQ258</f>
        <v>-1.566715287270974</v>
      </c>
      <c r="AS258" s="21">
        <f>AP258*(AQ258^2)</f>
        <v>0.13075117032878389</v>
      </c>
      <c r="AT258" s="21">
        <f t="shared" ref="AT258:AT260" si="695">SQRT(AP258*AQ258^2)</f>
        <v>0.36159531292424668</v>
      </c>
      <c r="AU258" s="20">
        <f>1/AS258</f>
        <v>7.6481150989732862</v>
      </c>
      <c r="AV258" s="20">
        <f>AR258/AS258</f>
        <v>-11.982418844369406</v>
      </c>
      <c r="AW258" s="20">
        <f>((AR258)^2)/AS258</f>
        <v>18.773038781957347</v>
      </c>
      <c r="AX258" s="14"/>
      <c r="AY258" s="14"/>
      <c r="AZ258" s="12" t="s">
        <v>271</v>
      </c>
      <c r="BA258" s="2"/>
    </row>
    <row r="259" spans="1:53" ht="14.25" hidden="1" customHeight="1">
      <c r="A259" s="2">
        <v>457</v>
      </c>
      <c r="B259" s="2" t="s">
        <v>59</v>
      </c>
      <c r="C259" s="1" t="s">
        <v>85</v>
      </c>
      <c r="D259" s="1">
        <v>2022</v>
      </c>
      <c r="E259" s="1">
        <v>2019</v>
      </c>
      <c r="F259" s="1" t="s">
        <v>143</v>
      </c>
      <c r="G259" s="1" t="s">
        <v>162</v>
      </c>
      <c r="H259" s="1">
        <v>40.990662999999998</v>
      </c>
      <c r="I259" s="1">
        <v>-106.195426</v>
      </c>
      <c r="J259" s="1" t="s">
        <v>128</v>
      </c>
      <c r="K259" s="1" t="s">
        <v>177</v>
      </c>
      <c r="L259" s="1" t="s">
        <v>187</v>
      </c>
      <c r="M259" s="1" t="s">
        <v>237</v>
      </c>
      <c r="N259" s="1" t="s">
        <v>239</v>
      </c>
      <c r="O259" s="1" t="s">
        <v>86</v>
      </c>
      <c r="P259" s="1" t="s">
        <v>211</v>
      </c>
      <c r="Q259" s="1" t="s">
        <v>93</v>
      </c>
      <c r="R259" s="1">
        <v>2018</v>
      </c>
      <c r="S259" s="1">
        <v>1</v>
      </c>
      <c r="V259" s="1">
        <v>16</v>
      </c>
      <c r="W259" s="1">
        <v>24</v>
      </c>
      <c r="X259" s="1" t="s">
        <v>97</v>
      </c>
      <c r="Y259" s="1" t="s">
        <v>130</v>
      </c>
      <c r="Z259" s="1" t="s">
        <v>1</v>
      </c>
      <c r="AA259" s="1" t="s">
        <v>98</v>
      </c>
      <c r="AB259" s="1" t="s">
        <v>203</v>
      </c>
      <c r="AC259" s="1" t="s">
        <v>99</v>
      </c>
      <c r="AD259" s="1" t="s">
        <v>100</v>
      </c>
      <c r="AE259" s="1" t="s">
        <v>257</v>
      </c>
      <c r="AF259" s="1" t="s">
        <v>322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2" t="s">
        <v>286</v>
      </c>
    </row>
    <row r="260" spans="1:53" ht="14.25" hidden="1" customHeight="1">
      <c r="A260" s="2">
        <v>457</v>
      </c>
      <c r="B260" s="2" t="s">
        <v>59</v>
      </c>
      <c r="C260" s="1" t="s">
        <v>85</v>
      </c>
      <c r="D260" s="1">
        <v>2022</v>
      </c>
      <c r="E260" s="1">
        <v>2019</v>
      </c>
      <c r="F260" s="1" t="s">
        <v>143</v>
      </c>
      <c r="G260" s="1" t="s">
        <v>162</v>
      </c>
      <c r="H260" s="1">
        <v>40.990662999999998</v>
      </c>
      <c r="I260" s="1">
        <v>-106.195426</v>
      </c>
      <c r="J260" s="1" t="s">
        <v>128</v>
      </c>
      <c r="K260" s="1" t="s">
        <v>177</v>
      </c>
      <c r="L260" s="1" t="s">
        <v>187</v>
      </c>
      <c r="M260" s="1" t="s">
        <v>237</v>
      </c>
      <c r="N260" s="1" t="s">
        <v>239</v>
      </c>
      <c r="O260" s="1" t="s">
        <v>86</v>
      </c>
      <c r="P260" s="1" t="s">
        <v>211</v>
      </c>
      <c r="Q260" s="1" t="s">
        <v>93</v>
      </c>
      <c r="R260" s="1">
        <v>2018</v>
      </c>
      <c r="S260" s="1">
        <v>1</v>
      </c>
      <c r="V260" s="1">
        <v>16</v>
      </c>
      <c r="W260" s="1">
        <v>24</v>
      </c>
      <c r="X260" s="1" t="s">
        <v>97</v>
      </c>
      <c r="Y260" s="1" t="s">
        <v>233</v>
      </c>
      <c r="Z260" s="1" t="s">
        <v>1</v>
      </c>
      <c r="AA260" s="1" t="s">
        <v>98</v>
      </c>
      <c r="AB260" s="1" t="s">
        <v>203</v>
      </c>
      <c r="AC260" s="1" t="s">
        <v>99</v>
      </c>
      <c r="AD260" s="1" t="s">
        <v>100</v>
      </c>
      <c r="AE260" s="1" t="s">
        <v>149</v>
      </c>
      <c r="AF260" s="1" t="s">
        <v>322</v>
      </c>
      <c r="AG260" s="1">
        <v>2.36</v>
      </c>
      <c r="AH260" s="1">
        <f>2.78-2.01</f>
        <v>0.77</v>
      </c>
      <c r="AJ260" s="1">
        <v>2.67</v>
      </c>
      <c r="AK260" s="1">
        <f>3.2-2.38</f>
        <v>0.82000000000000028</v>
      </c>
      <c r="AM260" s="12">
        <f t="shared" si="689"/>
        <v>-0.31000000000000005</v>
      </c>
      <c r="AN260" s="1">
        <f t="shared" si="690"/>
        <v>0.79011491502652231</v>
      </c>
      <c r="AO260" s="1">
        <f t="shared" si="691"/>
        <v>-0.39234799154448829</v>
      </c>
      <c r="AP260" s="1">
        <f t="shared" si="692"/>
        <v>0.10609087849752909</v>
      </c>
      <c r="AQ260" s="1">
        <f t="shared" si="693"/>
        <v>0.98013245033112584</v>
      </c>
      <c r="AR260" s="21">
        <f t="shared" si="694"/>
        <v>-0.38455299833499518</v>
      </c>
      <c r="AS260" s="21">
        <f>AP260*(AQ260^2)</f>
        <v>0.10191722304328218</v>
      </c>
      <c r="AT260" s="21">
        <f t="shared" si="695"/>
        <v>0.31924476979784994</v>
      </c>
      <c r="AU260" s="20">
        <f>1/AS260</f>
        <v>9.8118842933477524</v>
      </c>
      <c r="AV260" s="20">
        <f>AR260/AS260</f>
        <v>-3.7731895243229232</v>
      </c>
      <c r="AW260" s="20">
        <f>((AR260)^2)/AS260</f>
        <v>1.4509913448645744</v>
      </c>
      <c r="AX260" s="14"/>
      <c r="AY260" s="14"/>
      <c r="AZ260" s="12" t="s">
        <v>271</v>
      </c>
      <c r="BA260" s="2"/>
    </row>
    <row r="261" spans="1:53" ht="14.25" hidden="1" customHeight="1">
      <c r="A261" s="2">
        <v>457</v>
      </c>
      <c r="B261" s="2" t="s">
        <v>59</v>
      </c>
      <c r="C261" s="1" t="s">
        <v>85</v>
      </c>
      <c r="D261" s="1">
        <v>2022</v>
      </c>
      <c r="E261" s="1">
        <v>2019</v>
      </c>
      <c r="F261" s="1" t="s">
        <v>143</v>
      </c>
      <c r="G261" s="1" t="s">
        <v>162</v>
      </c>
      <c r="H261" s="1">
        <v>40.990662999999998</v>
      </c>
      <c r="I261" s="1">
        <v>-106.195426</v>
      </c>
      <c r="J261" s="1" t="s">
        <v>128</v>
      </c>
      <c r="K261" s="1" t="s">
        <v>177</v>
      </c>
      <c r="L261" s="1" t="s">
        <v>187</v>
      </c>
      <c r="M261" s="1" t="s">
        <v>237</v>
      </c>
      <c r="N261" s="1" t="s">
        <v>239</v>
      </c>
      <c r="O261" s="1" t="s">
        <v>86</v>
      </c>
      <c r="P261" s="1" t="s">
        <v>211</v>
      </c>
      <c r="Q261" s="1" t="s">
        <v>93</v>
      </c>
      <c r="R261" s="1">
        <v>2018</v>
      </c>
      <c r="S261" s="1">
        <v>1</v>
      </c>
      <c r="V261" s="1">
        <v>16</v>
      </c>
      <c r="W261" s="1">
        <v>24</v>
      </c>
      <c r="X261" s="1" t="s">
        <v>97</v>
      </c>
      <c r="Y261" s="1" t="s">
        <v>233</v>
      </c>
      <c r="Z261" s="1" t="s">
        <v>1</v>
      </c>
      <c r="AA261" s="1" t="s">
        <v>98</v>
      </c>
      <c r="AB261" s="1" t="s">
        <v>203</v>
      </c>
      <c r="AC261" s="1" t="s">
        <v>99</v>
      </c>
      <c r="AD261" s="1" t="s">
        <v>100</v>
      </c>
      <c r="AE261" s="1" t="s">
        <v>257</v>
      </c>
      <c r="AF261" s="1" t="s">
        <v>322</v>
      </c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2" t="s">
        <v>286</v>
      </c>
    </row>
    <row r="262" spans="1:53" ht="14.25" hidden="1" customHeight="1">
      <c r="A262" s="2">
        <v>457</v>
      </c>
      <c r="B262" s="2" t="s">
        <v>59</v>
      </c>
      <c r="C262" s="1" t="s">
        <v>85</v>
      </c>
      <c r="D262" s="1">
        <v>2022</v>
      </c>
      <c r="E262" s="1">
        <v>2019</v>
      </c>
      <c r="F262" s="1" t="s">
        <v>143</v>
      </c>
      <c r="G262" s="1" t="s">
        <v>162</v>
      </c>
      <c r="H262" s="1">
        <v>40.990662999999998</v>
      </c>
      <c r="I262" s="1">
        <v>-106.195426</v>
      </c>
      <c r="J262" s="1" t="s">
        <v>128</v>
      </c>
      <c r="K262" s="1" t="s">
        <v>177</v>
      </c>
      <c r="L262" s="1" t="s">
        <v>187</v>
      </c>
      <c r="M262" s="1" t="s">
        <v>237</v>
      </c>
      <c r="N262" s="1" t="s">
        <v>239</v>
      </c>
      <c r="O262" s="1" t="s">
        <v>86</v>
      </c>
      <c r="P262" s="1" t="s">
        <v>129</v>
      </c>
      <c r="Q262" s="1" t="s">
        <v>93</v>
      </c>
      <c r="R262" s="1">
        <v>2018</v>
      </c>
      <c r="S262" s="1">
        <v>1</v>
      </c>
      <c r="V262" s="1">
        <v>16</v>
      </c>
      <c r="W262" s="1">
        <v>24</v>
      </c>
      <c r="X262" s="1" t="s">
        <v>97</v>
      </c>
      <c r="Y262" s="1" t="s">
        <v>130</v>
      </c>
      <c r="Z262" s="1" t="s">
        <v>1</v>
      </c>
      <c r="AA262" s="1" t="s">
        <v>98</v>
      </c>
      <c r="AB262" s="1" t="s">
        <v>203</v>
      </c>
      <c r="AC262" s="1" t="s">
        <v>99</v>
      </c>
      <c r="AD262" s="1" t="s">
        <v>100</v>
      </c>
      <c r="AE262" s="1" t="s">
        <v>149</v>
      </c>
      <c r="AF262" s="1" t="s">
        <v>322</v>
      </c>
      <c r="AG262" s="1">
        <v>2.0099999999999998</v>
      </c>
      <c r="AH262" s="1">
        <f>2.36-1.66</f>
        <v>0.7</v>
      </c>
      <c r="AJ262" s="1">
        <v>3.53</v>
      </c>
      <c r="AK262" s="1">
        <f>4.04-2.84</f>
        <v>1.2000000000000002</v>
      </c>
      <c r="AM262" s="12">
        <f t="shared" ref="AM262:AM264" si="696">AG262-AJ262</f>
        <v>-1.52</v>
      </c>
      <c r="AN262" s="1">
        <f t="shared" ref="AN262:AN264" si="697">SQRT((((W262-1)*AH262^2)+((V262-1)*AK262^2))/(W262+V262-2))</f>
        <v>0.9300537618869138</v>
      </c>
      <c r="AO262" s="1">
        <f t="shared" ref="AO262:AO264" si="698">AM262/AN262</f>
        <v>-1.6343141249342297</v>
      </c>
      <c r="AP262" s="1">
        <f t="shared" ref="AP262:AP264" si="699">1/W262+1/V262+(AO262^2)/(2*(W262+V262))</f>
        <v>0.13755394990366088</v>
      </c>
      <c r="AQ262" s="1">
        <f t="shared" ref="AQ262:AQ264" si="700">1-(3/(4*(W262+V262-2)-1))</f>
        <v>0.98013245033112584</v>
      </c>
      <c r="AR262" s="21">
        <f t="shared" ref="AR262:AR264" si="701">AO262*AQ262</f>
        <v>-1.6018443078825562</v>
      </c>
      <c r="AS262" s="21">
        <f>AP262*(AQ262^2)</f>
        <v>0.13214252527037357</v>
      </c>
      <c r="AT262" s="21">
        <f t="shared" ref="AT262:AT264" si="702">SQRT(AP262*AQ262^2)</f>
        <v>0.36351413352216932</v>
      </c>
      <c r="AU262" s="20">
        <f>1/AS262</f>
        <v>7.5675865733148706</v>
      </c>
      <c r="AV262" s="20">
        <f>AR262/AS262</f>
        <v>-12.122095476872884</v>
      </c>
      <c r="AW262" s="20">
        <f>((AR262)^2)/AS262</f>
        <v>19.41770963923771</v>
      </c>
      <c r="AX262" s="14"/>
      <c r="AY262" s="14"/>
      <c r="AZ262" s="12" t="s">
        <v>271</v>
      </c>
      <c r="BA262" s="2"/>
    </row>
    <row r="263" spans="1:53" ht="14.25" hidden="1" customHeight="1">
      <c r="A263" s="2">
        <v>457</v>
      </c>
      <c r="B263" s="2" t="s">
        <v>59</v>
      </c>
      <c r="C263" s="1" t="s">
        <v>85</v>
      </c>
      <c r="D263" s="1">
        <v>2022</v>
      </c>
      <c r="E263" s="1">
        <v>2019</v>
      </c>
      <c r="F263" s="1" t="s">
        <v>143</v>
      </c>
      <c r="G263" s="1" t="s">
        <v>162</v>
      </c>
      <c r="H263" s="1">
        <v>40.990662999999998</v>
      </c>
      <c r="I263" s="1">
        <v>-106.195426</v>
      </c>
      <c r="J263" s="1" t="s">
        <v>128</v>
      </c>
      <c r="K263" s="1" t="s">
        <v>177</v>
      </c>
      <c r="L263" s="1" t="s">
        <v>187</v>
      </c>
      <c r="M263" s="1" t="s">
        <v>237</v>
      </c>
      <c r="N263" s="1" t="s">
        <v>239</v>
      </c>
      <c r="O263" s="1" t="s">
        <v>86</v>
      </c>
      <c r="P263" s="1" t="s">
        <v>129</v>
      </c>
      <c r="Q263" s="1" t="s">
        <v>93</v>
      </c>
      <c r="R263" s="1">
        <v>2018</v>
      </c>
      <c r="S263" s="1">
        <v>1</v>
      </c>
      <c r="V263" s="1">
        <v>16</v>
      </c>
      <c r="W263" s="1">
        <v>24</v>
      </c>
      <c r="X263" s="1" t="s">
        <v>97</v>
      </c>
      <c r="Y263" s="1" t="s">
        <v>130</v>
      </c>
      <c r="Z263" s="1" t="s">
        <v>1</v>
      </c>
      <c r="AA263" s="1" t="s">
        <v>98</v>
      </c>
      <c r="AB263" s="1" t="s">
        <v>203</v>
      </c>
      <c r="AC263" s="1" t="s">
        <v>99</v>
      </c>
      <c r="AD263" s="1" t="s">
        <v>100</v>
      </c>
      <c r="AE263" s="1" t="s">
        <v>257</v>
      </c>
      <c r="AF263" s="1" t="s">
        <v>322</v>
      </c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2" t="s">
        <v>286</v>
      </c>
    </row>
    <row r="264" spans="1:53" ht="14.25" hidden="1" customHeight="1">
      <c r="A264" s="2">
        <v>457</v>
      </c>
      <c r="B264" s="2" t="s">
        <v>59</v>
      </c>
      <c r="C264" s="1" t="s">
        <v>85</v>
      </c>
      <c r="D264" s="1">
        <v>2022</v>
      </c>
      <c r="E264" s="1">
        <v>2019</v>
      </c>
      <c r="F264" s="1" t="s">
        <v>143</v>
      </c>
      <c r="G264" s="1" t="s">
        <v>162</v>
      </c>
      <c r="H264" s="1">
        <v>40.990662999999998</v>
      </c>
      <c r="I264" s="1">
        <v>-106.195426</v>
      </c>
      <c r="J264" s="1" t="s">
        <v>128</v>
      </c>
      <c r="K264" s="1" t="s">
        <v>177</v>
      </c>
      <c r="L264" s="1" t="s">
        <v>187</v>
      </c>
      <c r="M264" s="1" t="s">
        <v>237</v>
      </c>
      <c r="N264" s="1" t="s">
        <v>239</v>
      </c>
      <c r="O264" s="1" t="s">
        <v>86</v>
      </c>
      <c r="P264" s="1" t="s">
        <v>129</v>
      </c>
      <c r="Q264" s="1" t="s">
        <v>93</v>
      </c>
      <c r="R264" s="1">
        <v>2018</v>
      </c>
      <c r="S264" s="1">
        <v>1</v>
      </c>
      <c r="V264" s="1">
        <v>16</v>
      </c>
      <c r="W264" s="1">
        <v>24</v>
      </c>
      <c r="X264" s="1" t="s">
        <v>97</v>
      </c>
      <c r="Y264" s="1" t="s">
        <v>233</v>
      </c>
      <c r="Z264" s="1" t="s">
        <v>1</v>
      </c>
      <c r="AA264" s="1" t="s">
        <v>98</v>
      </c>
      <c r="AB264" s="1" t="s">
        <v>203</v>
      </c>
      <c r="AC264" s="1" t="s">
        <v>99</v>
      </c>
      <c r="AD264" s="1" t="s">
        <v>100</v>
      </c>
      <c r="AE264" s="1" t="s">
        <v>149</v>
      </c>
      <c r="AF264" s="1" t="s">
        <v>322</v>
      </c>
      <c r="AG264" s="1">
        <v>2.38</v>
      </c>
      <c r="AH264" s="1">
        <f>2.88-1.96</f>
        <v>0.91999999999999993</v>
      </c>
      <c r="AJ264" s="1">
        <v>2.67</v>
      </c>
      <c r="AK264" s="1">
        <f>3.2-2.38</f>
        <v>0.82000000000000028</v>
      </c>
      <c r="AM264" s="12">
        <f t="shared" si="696"/>
        <v>-0.29000000000000004</v>
      </c>
      <c r="AN264" s="1">
        <f t="shared" si="697"/>
        <v>0.881881958922896</v>
      </c>
      <c r="AO264" s="1">
        <f t="shared" si="698"/>
        <v>-0.32884219601702397</v>
      </c>
      <c r="AP264" s="1">
        <f t="shared" si="699"/>
        <v>0.10551838154018289</v>
      </c>
      <c r="AQ264" s="1">
        <f t="shared" si="700"/>
        <v>0.98013245033112584</v>
      </c>
      <c r="AR264" s="21">
        <f t="shared" si="701"/>
        <v>-0.32230890735443407</v>
      </c>
      <c r="AS264" s="21">
        <f>AP264*(AQ264^2)</f>
        <v>0.10136724833367686</v>
      </c>
      <c r="AT264" s="21">
        <f t="shared" si="702"/>
        <v>0.31838223620936651</v>
      </c>
      <c r="AU264" s="20">
        <f>1/AS264</f>
        <v>9.8651193204755643</v>
      </c>
      <c r="AV264" s="20">
        <f>AR264/AS264</f>
        <v>-3.1796158291035961</v>
      </c>
      <c r="AW264" s="20">
        <f>((AR264)^2)/AS264</f>
        <v>1.0248185036852431</v>
      </c>
      <c r="AX264" s="14"/>
      <c r="AY264" s="14"/>
      <c r="AZ264" s="1" t="s">
        <v>271</v>
      </c>
      <c r="BA264" s="2"/>
    </row>
    <row r="265" spans="1:53" ht="14.25" hidden="1" customHeight="1">
      <c r="A265" s="2">
        <v>457</v>
      </c>
      <c r="B265" s="2" t="s">
        <v>59</v>
      </c>
      <c r="C265" s="1" t="s">
        <v>85</v>
      </c>
      <c r="D265" s="1">
        <v>2022</v>
      </c>
      <c r="E265" s="1">
        <v>2019</v>
      </c>
      <c r="F265" s="1" t="s">
        <v>143</v>
      </c>
      <c r="G265" s="1" t="s">
        <v>162</v>
      </c>
      <c r="H265" s="1">
        <v>40.990662999999998</v>
      </c>
      <c r="I265" s="1">
        <v>-106.195426</v>
      </c>
      <c r="J265" s="1" t="s">
        <v>128</v>
      </c>
      <c r="K265" s="1" t="s">
        <v>177</v>
      </c>
      <c r="L265" s="1" t="s">
        <v>187</v>
      </c>
      <c r="M265" s="1" t="s">
        <v>237</v>
      </c>
      <c r="N265" s="1" t="s">
        <v>239</v>
      </c>
      <c r="O265" s="1" t="s">
        <v>86</v>
      </c>
      <c r="P265" s="1" t="s">
        <v>129</v>
      </c>
      <c r="Q265" s="1" t="s">
        <v>93</v>
      </c>
      <c r="R265" s="1">
        <v>2018</v>
      </c>
      <c r="S265" s="1">
        <v>1</v>
      </c>
      <c r="V265" s="1">
        <v>16</v>
      </c>
      <c r="W265" s="1">
        <v>24</v>
      </c>
      <c r="X265" s="1" t="s">
        <v>97</v>
      </c>
      <c r="Y265" s="1" t="s">
        <v>233</v>
      </c>
      <c r="Z265" s="1" t="s">
        <v>1</v>
      </c>
      <c r="AA265" s="1" t="s">
        <v>98</v>
      </c>
      <c r="AB265" s="1" t="s">
        <v>203</v>
      </c>
      <c r="AC265" s="1" t="s">
        <v>99</v>
      </c>
      <c r="AD265" s="1" t="s">
        <v>100</v>
      </c>
      <c r="AE265" s="1" t="s">
        <v>257</v>
      </c>
      <c r="AF265" s="1" t="s">
        <v>322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" t="s">
        <v>286</v>
      </c>
    </row>
    <row r="266" spans="1:53" ht="14.25" hidden="1" customHeight="1">
      <c r="A266" s="2">
        <v>70</v>
      </c>
      <c r="B266" s="2" t="s">
        <v>12</v>
      </c>
      <c r="C266" s="1" t="s">
        <v>85</v>
      </c>
      <c r="D266" s="1">
        <v>2021</v>
      </c>
      <c r="E266" s="1">
        <v>2019</v>
      </c>
      <c r="F266" s="1" t="s">
        <v>161</v>
      </c>
      <c r="G266" s="1" t="s">
        <v>162</v>
      </c>
      <c r="H266" s="1">
        <v>53.366832000000002</v>
      </c>
      <c r="I266" s="1">
        <v>21.324096999999998</v>
      </c>
      <c r="J266" s="1" t="s">
        <v>135</v>
      </c>
      <c r="K266" s="1" t="s">
        <v>177</v>
      </c>
      <c r="L266" s="1" t="s">
        <v>183</v>
      </c>
      <c r="M266" s="1" t="s">
        <v>237</v>
      </c>
      <c r="N266" s="1" t="s">
        <v>239</v>
      </c>
      <c r="O266" s="1" t="s">
        <v>86</v>
      </c>
      <c r="P266" s="1" t="s">
        <v>129</v>
      </c>
      <c r="Q266" s="1" t="s">
        <v>93</v>
      </c>
      <c r="R266" s="1">
        <v>2014</v>
      </c>
      <c r="S266" s="1">
        <v>5</v>
      </c>
      <c r="U266" s="1">
        <v>96</v>
      </c>
      <c r="V266" s="1">
        <v>8</v>
      </c>
      <c r="W266" s="1">
        <v>8</v>
      </c>
      <c r="X266" s="1" t="s">
        <v>134</v>
      </c>
      <c r="Y266" s="1" t="s">
        <v>155</v>
      </c>
      <c r="Z266" s="1" t="s">
        <v>1</v>
      </c>
      <c r="AA266" s="1" t="s">
        <v>98</v>
      </c>
      <c r="AB266" s="1" t="s">
        <v>159</v>
      </c>
      <c r="AD266" s="1" t="s">
        <v>100</v>
      </c>
      <c r="AE266" s="1" t="s">
        <v>262</v>
      </c>
      <c r="AF266" s="1" t="s">
        <v>335</v>
      </c>
      <c r="AG266" s="1">
        <v>3.2</v>
      </c>
      <c r="AH266" s="7" t="s">
        <v>2</v>
      </c>
      <c r="AI266" s="7" t="s">
        <v>2</v>
      </c>
      <c r="AJ266" s="1">
        <v>3.2</v>
      </c>
      <c r="AK266" s="7" t="s">
        <v>2</v>
      </c>
      <c r="AL266" s="7" t="s">
        <v>2</v>
      </c>
      <c r="AM266" s="12">
        <f t="shared" ref="AM266:AM267" si="703">AG266-AJ266</f>
        <v>0</v>
      </c>
      <c r="AN266" s="1" t="e">
        <f t="shared" ref="AN266:AN267" si="704">SQRT((((W266-1)*AH266^2)+((V266-1)*AK266^2))/(W266+V266-2))</f>
        <v>#VALUE!</v>
      </c>
      <c r="AO266" s="1" t="e">
        <f t="shared" ref="AO266:AO267" si="705">AM266/AN266</f>
        <v>#VALUE!</v>
      </c>
      <c r="AP266" s="1" t="e">
        <f t="shared" ref="AP266:AP267" si="706">1/W266+1/V266+(AO266^2)/(2*(W266+V266))</f>
        <v>#VALUE!</v>
      </c>
      <c r="AQ266" s="1">
        <f t="shared" ref="AQ266:AQ267" si="707">1-(3/(4*(W266+V266-2)-1))</f>
        <v>0.94545454545454544</v>
      </c>
      <c r="AR266" s="1" t="e">
        <f t="shared" ref="AR266:AR267" si="708">AO266*AQ266</f>
        <v>#VALUE!</v>
      </c>
      <c r="AT266" s="1" t="e">
        <f t="shared" ref="AT266:AT267" si="709">SQRT(AP266*AQ266^2)</f>
        <v>#VALUE!</v>
      </c>
      <c r="AX266" s="14"/>
      <c r="AY266" s="14"/>
      <c r="AZ266" s="1" t="s">
        <v>271</v>
      </c>
      <c r="BA266" s="2"/>
    </row>
    <row r="267" spans="1:53" ht="14.25" hidden="1" customHeight="1">
      <c r="A267" s="2">
        <v>70</v>
      </c>
      <c r="B267" s="2" t="s">
        <v>12</v>
      </c>
      <c r="C267" s="1" t="s">
        <v>85</v>
      </c>
      <c r="D267" s="1">
        <v>2021</v>
      </c>
      <c r="E267" s="1">
        <v>2019</v>
      </c>
      <c r="F267" s="1" t="s">
        <v>161</v>
      </c>
      <c r="G267" s="1" t="s">
        <v>162</v>
      </c>
      <c r="H267" s="1">
        <v>53.366832000000002</v>
      </c>
      <c r="I267" s="1">
        <v>21.324096999999998</v>
      </c>
      <c r="J267" s="1" t="s">
        <v>135</v>
      </c>
      <c r="K267" s="1" t="s">
        <v>177</v>
      </c>
      <c r="L267" s="1" t="s">
        <v>183</v>
      </c>
      <c r="M267" s="1" t="s">
        <v>237</v>
      </c>
      <c r="N267" s="1" t="s">
        <v>239</v>
      </c>
      <c r="O267" s="1" t="s">
        <v>86</v>
      </c>
      <c r="P267" s="1" t="s">
        <v>129</v>
      </c>
      <c r="Q267" s="1" t="s">
        <v>93</v>
      </c>
      <c r="R267" s="1">
        <v>2014</v>
      </c>
      <c r="S267" s="1">
        <v>5</v>
      </c>
      <c r="U267" s="1">
        <v>96</v>
      </c>
      <c r="V267" s="1">
        <v>8</v>
      </c>
      <c r="W267" s="1">
        <v>8</v>
      </c>
      <c r="X267" s="1" t="s">
        <v>134</v>
      </c>
      <c r="Y267" s="1" t="s">
        <v>155</v>
      </c>
      <c r="Z267" s="1" t="s">
        <v>1</v>
      </c>
      <c r="AA267" s="1" t="s">
        <v>98</v>
      </c>
      <c r="AB267" s="1" t="s">
        <v>159</v>
      </c>
      <c r="AD267" s="1" t="s">
        <v>100</v>
      </c>
      <c r="AE267" s="1" t="s">
        <v>149</v>
      </c>
      <c r="AF267" s="1" t="s">
        <v>335</v>
      </c>
      <c r="AG267" s="1">
        <v>0.7</v>
      </c>
      <c r="AH267" s="7" t="s">
        <v>2</v>
      </c>
      <c r="AI267" s="7" t="s">
        <v>2</v>
      </c>
      <c r="AJ267" s="1">
        <v>0.8</v>
      </c>
      <c r="AK267" s="7" t="s">
        <v>2</v>
      </c>
      <c r="AL267" s="7" t="s">
        <v>2</v>
      </c>
      <c r="AM267" s="12">
        <f t="shared" si="703"/>
        <v>-0.10000000000000009</v>
      </c>
      <c r="AN267" s="1" t="e">
        <f t="shared" si="704"/>
        <v>#VALUE!</v>
      </c>
      <c r="AO267" s="1" t="e">
        <f t="shared" si="705"/>
        <v>#VALUE!</v>
      </c>
      <c r="AP267" s="1" t="e">
        <f t="shared" si="706"/>
        <v>#VALUE!</v>
      </c>
      <c r="AQ267" s="1">
        <f t="shared" si="707"/>
        <v>0.94545454545454544</v>
      </c>
      <c r="AR267" s="1" t="e">
        <f t="shared" si="708"/>
        <v>#VALUE!</v>
      </c>
      <c r="AT267" s="1" t="e">
        <f t="shared" si="709"/>
        <v>#VALUE!</v>
      </c>
      <c r="AX267" s="14"/>
      <c r="AY267" s="14"/>
      <c r="AZ267" s="1" t="s">
        <v>271</v>
      </c>
      <c r="BA267" s="2"/>
    </row>
    <row r="268" spans="1:53" ht="14.25" hidden="1" customHeight="1">
      <c r="A268" s="2">
        <v>70</v>
      </c>
      <c r="B268" s="2" t="s">
        <v>12</v>
      </c>
      <c r="C268" s="1" t="s">
        <v>85</v>
      </c>
      <c r="D268" s="1">
        <v>2021</v>
      </c>
      <c r="E268" s="1">
        <v>2019</v>
      </c>
      <c r="F268" s="1" t="s">
        <v>161</v>
      </c>
      <c r="G268" s="1" t="s">
        <v>162</v>
      </c>
      <c r="H268" s="1">
        <v>53.366832000000002</v>
      </c>
      <c r="I268" s="1">
        <v>21.324096999999998</v>
      </c>
      <c r="J268" s="1" t="s">
        <v>135</v>
      </c>
      <c r="K268" s="1" t="s">
        <v>177</v>
      </c>
      <c r="L268" s="1" t="s">
        <v>183</v>
      </c>
      <c r="M268" s="1" t="s">
        <v>237</v>
      </c>
      <c r="N268" s="1" t="s">
        <v>239</v>
      </c>
      <c r="O268" s="1" t="s">
        <v>86</v>
      </c>
      <c r="P268" s="1" t="s">
        <v>129</v>
      </c>
      <c r="Q268" s="1" t="s">
        <v>93</v>
      </c>
      <c r="R268" s="1">
        <v>2014</v>
      </c>
      <c r="S268" s="1">
        <v>5</v>
      </c>
      <c r="U268" s="1">
        <v>96</v>
      </c>
      <c r="V268" s="1">
        <v>8</v>
      </c>
      <c r="W268" s="1">
        <v>8</v>
      </c>
      <c r="X268" s="1" t="s">
        <v>134</v>
      </c>
      <c r="Y268" s="1" t="s">
        <v>155</v>
      </c>
      <c r="Z268" s="1" t="s">
        <v>1</v>
      </c>
      <c r="AA268" s="1" t="s">
        <v>98</v>
      </c>
      <c r="AB268" s="1" t="s">
        <v>159</v>
      </c>
      <c r="AD268" s="1" t="s">
        <v>100</v>
      </c>
      <c r="AE268" s="1" t="s">
        <v>257</v>
      </c>
      <c r="AF268" s="1" t="s">
        <v>319</v>
      </c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" t="s">
        <v>286</v>
      </c>
    </row>
    <row r="269" spans="1:53" ht="14.25" hidden="1" customHeight="1">
      <c r="A269" s="2">
        <v>279</v>
      </c>
      <c r="B269" s="2" t="s">
        <v>43</v>
      </c>
      <c r="C269" s="1" t="s">
        <v>85</v>
      </c>
      <c r="D269" s="1">
        <v>2015</v>
      </c>
      <c r="E269" s="1">
        <v>2011</v>
      </c>
      <c r="F269" s="1" t="s">
        <v>143</v>
      </c>
      <c r="G269" s="1" t="s">
        <v>142</v>
      </c>
      <c r="H269" s="1">
        <v>33.056356000000001</v>
      </c>
      <c r="I269" s="1">
        <v>-83.680222000000001</v>
      </c>
      <c r="J269" s="1" t="s">
        <v>128</v>
      </c>
      <c r="K269" s="1" t="s">
        <v>177</v>
      </c>
      <c r="L269" s="1" t="s">
        <v>209</v>
      </c>
      <c r="M269" s="1" t="s">
        <v>237</v>
      </c>
      <c r="N269" s="1" t="s">
        <v>239</v>
      </c>
      <c r="O269" s="1" t="s">
        <v>121</v>
      </c>
      <c r="P269" s="1" t="s">
        <v>146</v>
      </c>
      <c r="Q269" s="1" t="s">
        <v>93</v>
      </c>
      <c r="R269" s="1">
        <v>2008</v>
      </c>
      <c r="S269" s="1">
        <v>3</v>
      </c>
      <c r="T269" s="1" t="s">
        <v>355</v>
      </c>
      <c r="V269" s="1">
        <v>4</v>
      </c>
      <c r="W269" s="1">
        <v>4</v>
      </c>
      <c r="X269" s="1" t="s">
        <v>97</v>
      </c>
      <c r="Y269" s="1" t="s">
        <v>133</v>
      </c>
      <c r="Z269" s="1" t="s">
        <v>1</v>
      </c>
      <c r="AA269" s="1" t="s">
        <v>98</v>
      </c>
      <c r="AB269" s="1" t="s">
        <v>203</v>
      </c>
      <c r="AC269" s="1" t="s">
        <v>99</v>
      </c>
      <c r="AD269" s="1" t="s">
        <v>102</v>
      </c>
      <c r="AE269" s="1" t="s">
        <v>223</v>
      </c>
      <c r="AF269" s="1" t="s">
        <v>335</v>
      </c>
      <c r="AG269" s="1">
        <v>656.5</v>
      </c>
      <c r="AH269" s="1">
        <v>59.8</v>
      </c>
      <c r="AJ269" s="1">
        <v>668</v>
      </c>
      <c r="AK269" s="1">
        <v>77.42</v>
      </c>
      <c r="AM269" s="12">
        <f t="shared" si="459"/>
        <v>-11.5</v>
      </c>
      <c r="AN269" s="1">
        <f t="shared" si="679"/>
        <v>69.173320001283727</v>
      </c>
      <c r="AO269" s="1">
        <f t="shared" si="525"/>
        <v>-0.16624906827931032</v>
      </c>
      <c r="AP269" s="1">
        <f t="shared" si="680"/>
        <v>0.50172742204398368</v>
      </c>
      <c r="AQ269" s="1">
        <f t="shared" si="681"/>
        <v>0.86956521739130432</v>
      </c>
      <c r="AR269" s="21">
        <f t="shared" si="526"/>
        <v>-0.14456440719940028</v>
      </c>
      <c r="AS269" s="21">
        <f t="shared" ref="AS269:AS272" si="710">AP269*(AQ269^2)</f>
        <v>0.37937801288770034</v>
      </c>
      <c r="AT269" s="21">
        <f t="shared" si="594"/>
        <v>0.61593669551967789</v>
      </c>
      <c r="AU269" s="20">
        <f t="shared" ref="AU269:AU272" si="711">1/AS269</f>
        <v>2.6358933992730091</v>
      </c>
      <c r="AV269" s="20">
        <f t="shared" ref="AV269:AV272" si="712">AR269/AS269</f>
        <v>-0.38105636670671472</v>
      </c>
      <c r="AW269" s="20">
        <f t="shared" ref="AW269:AW272" si="713">((AR269)^2)/AS269</f>
        <v>5.50871877625135E-2</v>
      </c>
      <c r="AX269" s="14"/>
      <c r="AY269" s="14"/>
      <c r="AZ269" s="1" t="s">
        <v>271</v>
      </c>
      <c r="BA269" s="2"/>
    </row>
    <row r="270" spans="1:53" ht="14.25" hidden="1" customHeight="1">
      <c r="A270" s="2">
        <v>279</v>
      </c>
      <c r="B270" s="2" t="s">
        <v>43</v>
      </c>
      <c r="C270" s="1" t="s">
        <v>85</v>
      </c>
      <c r="D270" s="1">
        <v>2015</v>
      </c>
      <c r="E270" s="1">
        <v>2011</v>
      </c>
      <c r="F270" s="1" t="s">
        <v>143</v>
      </c>
      <c r="G270" s="1" t="s">
        <v>142</v>
      </c>
      <c r="H270" s="1">
        <v>33.056356000000001</v>
      </c>
      <c r="I270" s="1">
        <v>-83.680222000000001</v>
      </c>
      <c r="J270" s="1" t="s">
        <v>128</v>
      </c>
      <c r="K270" s="1" t="s">
        <v>177</v>
      </c>
      <c r="L270" s="1" t="s">
        <v>209</v>
      </c>
      <c r="M270" s="1" t="s">
        <v>237</v>
      </c>
      <c r="N270" s="1" t="s">
        <v>239</v>
      </c>
      <c r="O270" s="1" t="s">
        <v>121</v>
      </c>
      <c r="P270" s="1" t="s">
        <v>146</v>
      </c>
      <c r="Q270" s="1" t="s">
        <v>93</v>
      </c>
      <c r="R270" s="1">
        <v>2008</v>
      </c>
      <c r="S270" s="1">
        <v>3</v>
      </c>
      <c r="T270" s="1" t="s">
        <v>355</v>
      </c>
      <c r="V270" s="1">
        <v>4</v>
      </c>
      <c r="W270" s="1">
        <v>4</v>
      </c>
      <c r="X270" s="1" t="s">
        <v>97</v>
      </c>
      <c r="Y270" s="1" t="s">
        <v>133</v>
      </c>
      <c r="Z270" s="1" t="s">
        <v>1</v>
      </c>
      <c r="AA270" s="1" t="s">
        <v>98</v>
      </c>
      <c r="AB270" s="1" t="s">
        <v>203</v>
      </c>
      <c r="AC270" s="1" t="s">
        <v>99</v>
      </c>
      <c r="AD270" s="1" t="s">
        <v>102</v>
      </c>
      <c r="AE270" s="1" t="s">
        <v>262</v>
      </c>
      <c r="AF270" s="1" t="s">
        <v>335</v>
      </c>
      <c r="AG270" s="1">
        <v>899.16</v>
      </c>
      <c r="AH270" s="1">
        <v>71.569999999999993</v>
      </c>
      <c r="AJ270" s="1">
        <v>902.71</v>
      </c>
      <c r="AK270" s="1">
        <v>142.05000000000001</v>
      </c>
      <c r="AM270" s="12">
        <f t="shared" ref="AM270:AM271" si="714">AG270-AJ270</f>
        <v>-3.5500000000000682</v>
      </c>
      <c r="AN270" s="1">
        <f t="shared" ref="AN270:AN271" si="715">SQRT((((W270-1)*AH270^2)+((V270-1)*AK270^2))/(W270+V270-2))</f>
        <v>112.47325771044423</v>
      </c>
      <c r="AO270" s="1">
        <f t="shared" ref="AO270:AO271" si="716">AM270/AN270</f>
        <v>-3.1563058386192867E-2</v>
      </c>
      <c r="AP270" s="1">
        <f t="shared" ref="AP270:AP271" si="717">1/W270+1/V270+(AO270^2)/(2*(W270+V270))</f>
        <v>0.50006226416591815</v>
      </c>
      <c r="AQ270" s="1">
        <f t="shared" ref="AQ270:AQ271" si="718">1-(3/(4*(W270+V270-2)-1))</f>
        <v>0.86956521739130432</v>
      </c>
      <c r="AR270" s="21">
        <f t="shared" ref="AR270:AR271" si="719">AO270*AQ270</f>
        <v>-2.7446137727124231E-2</v>
      </c>
      <c r="AS270" s="21">
        <f t="shared" si="710"/>
        <v>0.3781189143031517</v>
      </c>
      <c r="AT270" s="21">
        <f t="shared" ref="AT270:AT271" si="720">SQRT(AP270*AQ270^2)</f>
        <v>0.61491374541731603</v>
      </c>
      <c r="AU270" s="20">
        <f t="shared" si="711"/>
        <v>2.6446706635740087</v>
      </c>
      <c r="AV270" s="20">
        <f t="shared" si="712"/>
        <v>-7.2585995275337281E-2</v>
      </c>
      <c r="AW270" s="20">
        <f t="shared" si="713"/>
        <v>1.992205223387296E-3</v>
      </c>
      <c r="AX270" s="14"/>
      <c r="AY270" s="14"/>
      <c r="AZ270" s="1" t="s">
        <v>271</v>
      </c>
      <c r="BA270" s="2"/>
    </row>
    <row r="271" spans="1:53" ht="14.25" hidden="1" customHeight="1">
      <c r="A271" s="2">
        <v>279</v>
      </c>
      <c r="B271" s="2" t="s">
        <v>43</v>
      </c>
      <c r="C271" s="1" t="s">
        <v>85</v>
      </c>
      <c r="D271" s="1">
        <v>2015</v>
      </c>
      <c r="E271" s="1">
        <v>2011</v>
      </c>
      <c r="F271" s="1" t="s">
        <v>143</v>
      </c>
      <c r="G271" s="1" t="s">
        <v>142</v>
      </c>
      <c r="H271" s="1">
        <v>33.056356000000001</v>
      </c>
      <c r="I271" s="1">
        <v>-83.680222000000001</v>
      </c>
      <c r="J271" s="1" t="s">
        <v>128</v>
      </c>
      <c r="K271" s="1" t="s">
        <v>177</v>
      </c>
      <c r="L271" s="1" t="s">
        <v>209</v>
      </c>
      <c r="M271" s="1" t="s">
        <v>237</v>
      </c>
      <c r="N271" s="1" t="s">
        <v>239</v>
      </c>
      <c r="O271" s="1" t="s">
        <v>121</v>
      </c>
      <c r="P271" s="1" t="s">
        <v>146</v>
      </c>
      <c r="Q271" s="1" t="s">
        <v>93</v>
      </c>
      <c r="R271" s="1">
        <v>2008</v>
      </c>
      <c r="S271" s="1">
        <v>3</v>
      </c>
      <c r="T271" s="1" t="s">
        <v>355</v>
      </c>
      <c r="V271" s="1">
        <v>4</v>
      </c>
      <c r="W271" s="1">
        <v>4</v>
      </c>
      <c r="X271" s="1" t="s">
        <v>97</v>
      </c>
      <c r="Y271" s="1" t="s">
        <v>133</v>
      </c>
      <c r="Z271" s="1" t="s">
        <v>1</v>
      </c>
      <c r="AA271" s="1" t="s">
        <v>98</v>
      </c>
      <c r="AB271" s="1" t="s">
        <v>203</v>
      </c>
      <c r="AC271" s="1" t="s">
        <v>99</v>
      </c>
      <c r="AD271" s="1" t="s">
        <v>102</v>
      </c>
      <c r="AE271" s="1" t="s">
        <v>254</v>
      </c>
      <c r="AF271" s="1" t="s">
        <v>335</v>
      </c>
      <c r="AG271" s="1">
        <v>0.97</v>
      </c>
      <c r="AH271" s="1">
        <v>7.0000000000000001E-3</v>
      </c>
      <c r="AJ271" s="1">
        <v>0.98</v>
      </c>
      <c r="AK271" s="1">
        <v>1E-3</v>
      </c>
      <c r="AM271" s="12">
        <f t="shared" si="714"/>
        <v>-1.0000000000000009E-2</v>
      </c>
      <c r="AN271" s="1">
        <f t="shared" si="715"/>
        <v>5.0000000000000001E-3</v>
      </c>
      <c r="AO271" s="1">
        <f t="shared" si="716"/>
        <v>-2.0000000000000018</v>
      </c>
      <c r="AP271" s="1">
        <f t="shared" si="717"/>
        <v>0.75000000000000044</v>
      </c>
      <c r="AQ271" s="1">
        <f t="shared" si="718"/>
        <v>0.86956521739130432</v>
      </c>
      <c r="AR271" s="21">
        <f t="shared" si="719"/>
        <v>-1.7391304347826102</v>
      </c>
      <c r="AS271" s="21">
        <f t="shared" si="710"/>
        <v>0.5671077504725901</v>
      </c>
      <c r="AT271" s="21">
        <f t="shared" si="720"/>
        <v>0.75306556850820772</v>
      </c>
      <c r="AU271" s="20">
        <f t="shared" si="711"/>
        <v>1.7633333333333323</v>
      </c>
      <c r="AV271" s="20">
        <f t="shared" si="712"/>
        <v>-3.0666666666666678</v>
      </c>
      <c r="AW271" s="20">
        <f t="shared" si="713"/>
        <v>5.3333333333333401</v>
      </c>
      <c r="AX271" s="14"/>
      <c r="AY271" s="14"/>
      <c r="AZ271" s="1" t="s">
        <v>271</v>
      </c>
      <c r="BA271" s="2"/>
    </row>
    <row r="272" spans="1:53" ht="14.25" hidden="1" customHeight="1">
      <c r="A272" s="2">
        <v>279</v>
      </c>
      <c r="B272" s="2" t="s">
        <v>43</v>
      </c>
      <c r="C272" s="1" t="s">
        <v>85</v>
      </c>
      <c r="D272" s="1">
        <v>2015</v>
      </c>
      <c r="E272" s="1">
        <v>2011</v>
      </c>
      <c r="F272" s="1" t="s">
        <v>143</v>
      </c>
      <c r="G272" s="1" t="s">
        <v>142</v>
      </c>
      <c r="H272" s="1">
        <v>33.056356000000001</v>
      </c>
      <c r="I272" s="1">
        <v>-83.680222000000001</v>
      </c>
      <c r="J272" s="1" t="s">
        <v>128</v>
      </c>
      <c r="K272" s="1" t="s">
        <v>177</v>
      </c>
      <c r="L272" s="1" t="s">
        <v>209</v>
      </c>
      <c r="M272" s="1" t="s">
        <v>237</v>
      </c>
      <c r="N272" s="1" t="s">
        <v>239</v>
      </c>
      <c r="O272" s="1" t="s">
        <v>121</v>
      </c>
      <c r="P272" s="1" t="s">
        <v>146</v>
      </c>
      <c r="Q272" s="1" t="s">
        <v>93</v>
      </c>
      <c r="R272" s="1">
        <v>2008</v>
      </c>
      <c r="S272" s="1">
        <v>3</v>
      </c>
      <c r="T272" s="1" t="s">
        <v>355</v>
      </c>
      <c r="V272" s="1">
        <v>4</v>
      </c>
      <c r="W272" s="1">
        <v>4</v>
      </c>
      <c r="X272" s="1" t="s">
        <v>97</v>
      </c>
      <c r="Y272" s="1" t="s">
        <v>133</v>
      </c>
      <c r="Z272" s="1" t="s">
        <v>1</v>
      </c>
      <c r="AA272" s="1" t="s">
        <v>98</v>
      </c>
      <c r="AB272" s="1" t="s">
        <v>203</v>
      </c>
      <c r="AC272" s="1" t="s">
        <v>99</v>
      </c>
      <c r="AD272" s="1" t="s">
        <v>102</v>
      </c>
      <c r="AE272" s="1" t="s">
        <v>353</v>
      </c>
      <c r="AF272" s="1" t="s">
        <v>335</v>
      </c>
      <c r="AG272" s="1">
        <v>0.06</v>
      </c>
      <c r="AH272" s="1">
        <v>0.01</v>
      </c>
      <c r="AJ272" s="1">
        <v>7.0000000000000007E-2</v>
      </c>
      <c r="AK272" s="1">
        <v>3.0000000000000001E-3</v>
      </c>
      <c r="AM272" s="12">
        <f t="shared" ref="AM272" si="721">AG272-AJ272</f>
        <v>-1.0000000000000009E-2</v>
      </c>
      <c r="AN272" s="1">
        <f t="shared" ref="AN272" si="722">SQRT((((W272-1)*AH272^2)+((V272-1)*AK272^2))/(W272+V272-2))</f>
        <v>7.3824115301167007E-3</v>
      </c>
      <c r="AO272" s="1">
        <f t="shared" ref="AO272" si="723">AM272/AN272</f>
        <v>-1.3545709229571938</v>
      </c>
      <c r="AP272" s="1">
        <f t="shared" ref="AP272" si="724">1/W272+1/V272+(AO272^2)/(2*(W272+V272))</f>
        <v>0.61467889908256901</v>
      </c>
      <c r="AQ272" s="1">
        <f t="shared" ref="AQ272" si="725">1-(3/(4*(W272+V272-2)-1))</f>
        <v>0.86956521739130432</v>
      </c>
      <c r="AR272" s="21">
        <f t="shared" ref="AR272" si="726">AO272*AQ272</f>
        <v>-1.177887759093212</v>
      </c>
      <c r="AS272" s="21">
        <f t="shared" si="710"/>
        <v>0.46478555696224499</v>
      </c>
      <c r="AT272" s="21">
        <f t="shared" ref="AT272" si="727">SQRT(AP272*AQ272^2)</f>
        <v>0.68175182945280388</v>
      </c>
      <c r="AU272" s="20">
        <f t="shared" si="711"/>
        <v>2.1515298507462681</v>
      </c>
      <c r="AV272" s="20">
        <f t="shared" si="712"/>
        <v>-2.5342606745176743</v>
      </c>
      <c r="AW272" s="20">
        <f t="shared" si="713"/>
        <v>2.9850746268656754</v>
      </c>
      <c r="AX272" s="14"/>
      <c r="AY272" s="14"/>
      <c r="AZ272" s="1" t="s">
        <v>271</v>
      </c>
      <c r="BA272" s="2"/>
    </row>
    <row r="273" spans="1:53" ht="14.25" hidden="1" customHeight="1">
      <c r="A273" s="2">
        <v>279</v>
      </c>
      <c r="B273" s="2" t="s">
        <v>43</v>
      </c>
      <c r="C273" s="1" t="s">
        <v>85</v>
      </c>
      <c r="D273" s="1">
        <v>2015</v>
      </c>
      <c r="E273" s="1">
        <v>2011</v>
      </c>
      <c r="F273" s="1" t="s">
        <v>143</v>
      </c>
      <c r="G273" s="1" t="s">
        <v>142</v>
      </c>
      <c r="H273" s="1">
        <v>33.056356000000001</v>
      </c>
      <c r="I273" s="1">
        <v>-83.680222000000001</v>
      </c>
      <c r="J273" s="1" t="s">
        <v>128</v>
      </c>
      <c r="K273" s="1" t="s">
        <v>177</v>
      </c>
      <c r="L273" s="1" t="s">
        <v>209</v>
      </c>
      <c r="M273" s="1" t="s">
        <v>237</v>
      </c>
      <c r="N273" s="1" t="s">
        <v>239</v>
      </c>
      <c r="O273" s="1" t="s">
        <v>121</v>
      </c>
      <c r="P273" s="1" t="s">
        <v>146</v>
      </c>
      <c r="Q273" s="1" t="s">
        <v>93</v>
      </c>
      <c r="R273" s="1">
        <v>2008</v>
      </c>
      <c r="S273" s="1">
        <v>3</v>
      </c>
      <c r="T273" s="1" t="s">
        <v>355</v>
      </c>
      <c r="V273" s="1">
        <v>4</v>
      </c>
      <c r="W273" s="1">
        <v>4</v>
      </c>
      <c r="X273" s="1" t="s">
        <v>97</v>
      </c>
      <c r="Y273" s="1" t="s">
        <v>133</v>
      </c>
      <c r="Z273" s="1" t="s">
        <v>1</v>
      </c>
      <c r="AA273" s="1" t="s">
        <v>98</v>
      </c>
      <c r="AB273" s="1" t="s">
        <v>203</v>
      </c>
      <c r="AC273" s="1" t="s">
        <v>99</v>
      </c>
      <c r="AD273" s="1" t="s">
        <v>102</v>
      </c>
      <c r="AE273" s="1" t="s">
        <v>257</v>
      </c>
      <c r="AF273" s="1" t="s">
        <v>354</v>
      </c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" t="s">
        <v>286</v>
      </c>
    </row>
    <row r="274" spans="1:53" ht="14.25" hidden="1" customHeight="1">
      <c r="A274" s="2">
        <v>279</v>
      </c>
      <c r="B274" s="2" t="s">
        <v>43</v>
      </c>
      <c r="C274" s="1" t="s">
        <v>85</v>
      </c>
      <c r="D274" s="1">
        <v>2015</v>
      </c>
      <c r="E274" s="1">
        <v>2011</v>
      </c>
      <c r="F274" s="1" t="s">
        <v>143</v>
      </c>
      <c r="G274" s="1" t="s">
        <v>142</v>
      </c>
      <c r="H274" s="1">
        <v>33.056356000000001</v>
      </c>
      <c r="I274" s="1">
        <v>-83.680222000000001</v>
      </c>
      <c r="J274" s="1" t="s">
        <v>128</v>
      </c>
      <c r="K274" s="1" t="s">
        <v>177</v>
      </c>
      <c r="L274" s="1" t="s">
        <v>209</v>
      </c>
      <c r="M274" s="1" t="s">
        <v>237</v>
      </c>
      <c r="N274" s="1" t="s">
        <v>239</v>
      </c>
      <c r="O274" s="1" t="s">
        <v>121</v>
      </c>
      <c r="P274" s="1" t="s">
        <v>146</v>
      </c>
      <c r="Q274" s="1" t="s">
        <v>93</v>
      </c>
      <c r="R274" s="1">
        <v>2001</v>
      </c>
      <c r="S274" s="1">
        <v>10</v>
      </c>
      <c r="T274" s="1" t="s">
        <v>356</v>
      </c>
      <c r="V274" s="1">
        <v>4</v>
      </c>
      <c r="W274" s="1">
        <v>4</v>
      </c>
      <c r="X274" s="1" t="s">
        <v>97</v>
      </c>
      <c r="Y274" s="1" t="s">
        <v>133</v>
      </c>
      <c r="Z274" s="1" t="s">
        <v>1</v>
      </c>
      <c r="AA274" s="1" t="s">
        <v>98</v>
      </c>
      <c r="AB274" s="1" t="s">
        <v>203</v>
      </c>
      <c r="AC274" s="1" t="s">
        <v>99</v>
      </c>
      <c r="AD274" s="1" t="s">
        <v>102</v>
      </c>
      <c r="AE274" s="1" t="s">
        <v>223</v>
      </c>
      <c r="AF274" s="1" t="s">
        <v>335</v>
      </c>
      <c r="AG274" s="1">
        <v>687.5</v>
      </c>
      <c r="AH274" s="1">
        <v>43.02</v>
      </c>
      <c r="AJ274" s="1">
        <v>668</v>
      </c>
      <c r="AK274" s="1">
        <v>77.42</v>
      </c>
      <c r="AM274" s="12">
        <f t="shared" ref="AM274:AM277" si="728">AG274-AJ274</f>
        <v>19.5</v>
      </c>
      <c r="AN274" s="1">
        <f t="shared" ref="AN274:AN277" si="729">SQRT((((W274-1)*AH274^2)+((V274-1)*AK274^2))/(W274+V274-2))</f>
        <v>62.628175767780441</v>
      </c>
      <c r="AO274" s="1">
        <f t="shared" ref="AO274:AO277" si="730">AM274/AN274</f>
        <v>0.31136145610091248</v>
      </c>
      <c r="AP274" s="1">
        <f t="shared" ref="AP274:AP277" si="731">1/W274+1/V274+(AO274^2)/(2*(W274+V274))</f>
        <v>0.50605912227158001</v>
      </c>
      <c r="AQ274" s="1">
        <f t="shared" ref="AQ274:AQ277" si="732">1-(3/(4*(W274+V274-2)-1))</f>
        <v>0.86956521739130432</v>
      </c>
      <c r="AR274" s="21">
        <f t="shared" ref="AR274:AR277" si="733">AO274*AQ274</f>
        <v>0.27074909226166299</v>
      </c>
      <c r="AS274" s="21">
        <f t="shared" ref="AS274:AS277" si="734">AP274*(AQ274^2)</f>
        <v>0.38265340058342534</v>
      </c>
      <c r="AT274" s="21">
        <f t="shared" ref="AT274:AT277" si="735">SQRT(AP274*AQ274^2)</f>
        <v>0.61858984843224296</v>
      </c>
      <c r="AU274" s="20">
        <f t="shared" ref="AU274:AU277" si="736">1/AS274</f>
        <v>2.6133310156797678</v>
      </c>
      <c r="AV274" s="20">
        <f t="shared" ref="AV274:AV277" si="737">AR274/AS274</f>
        <v>0.70755700027454693</v>
      </c>
      <c r="AW274" s="20">
        <f t="shared" ref="AW274:AW277" si="738">((AR274)^2)/AS274</f>
        <v>0.19157041554771881</v>
      </c>
      <c r="AX274" s="14"/>
      <c r="AY274" s="14"/>
      <c r="AZ274" s="1" t="s">
        <v>271</v>
      </c>
      <c r="BA274" s="2"/>
    </row>
    <row r="275" spans="1:53" ht="14.25" hidden="1" customHeight="1">
      <c r="A275" s="2">
        <v>279</v>
      </c>
      <c r="B275" s="2" t="s">
        <v>43</v>
      </c>
      <c r="C275" s="1" t="s">
        <v>85</v>
      </c>
      <c r="D275" s="1">
        <v>2015</v>
      </c>
      <c r="E275" s="1">
        <v>2011</v>
      </c>
      <c r="F275" s="1" t="s">
        <v>143</v>
      </c>
      <c r="G275" s="1" t="s">
        <v>142</v>
      </c>
      <c r="H275" s="1">
        <v>33.056356000000001</v>
      </c>
      <c r="I275" s="1">
        <v>-83.680222000000001</v>
      </c>
      <c r="J275" s="1" t="s">
        <v>128</v>
      </c>
      <c r="K275" s="1" t="s">
        <v>177</v>
      </c>
      <c r="L275" s="1" t="s">
        <v>209</v>
      </c>
      <c r="M275" s="1" t="s">
        <v>237</v>
      </c>
      <c r="N275" s="1" t="s">
        <v>239</v>
      </c>
      <c r="O275" s="1" t="s">
        <v>121</v>
      </c>
      <c r="P275" s="1" t="s">
        <v>146</v>
      </c>
      <c r="Q275" s="1" t="s">
        <v>93</v>
      </c>
      <c r="R275" s="1">
        <v>2001</v>
      </c>
      <c r="S275" s="1">
        <v>10</v>
      </c>
      <c r="T275" s="1" t="s">
        <v>356</v>
      </c>
      <c r="V275" s="1">
        <v>4</v>
      </c>
      <c r="W275" s="1">
        <v>4</v>
      </c>
      <c r="X275" s="1" t="s">
        <v>97</v>
      </c>
      <c r="Y275" s="1" t="s">
        <v>133</v>
      </c>
      <c r="Z275" s="1" t="s">
        <v>1</v>
      </c>
      <c r="AA275" s="1" t="s">
        <v>98</v>
      </c>
      <c r="AB275" s="1" t="s">
        <v>203</v>
      </c>
      <c r="AC275" s="1" t="s">
        <v>99</v>
      </c>
      <c r="AD275" s="1" t="s">
        <v>102</v>
      </c>
      <c r="AE275" s="1" t="s">
        <v>262</v>
      </c>
      <c r="AF275" s="1" t="s">
        <v>335</v>
      </c>
      <c r="AG275" s="1">
        <v>915.31</v>
      </c>
      <c r="AH275" s="1">
        <v>35.17</v>
      </c>
      <c r="AJ275" s="1">
        <v>902.71</v>
      </c>
      <c r="AK275" s="1">
        <v>142.05000000000001</v>
      </c>
      <c r="AM275" s="12">
        <f t="shared" si="728"/>
        <v>12.599999999999909</v>
      </c>
      <c r="AN275" s="1">
        <f t="shared" si="729"/>
        <v>103.47736805698143</v>
      </c>
      <c r="AO275" s="1">
        <f t="shared" si="730"/>
        <v>0.12176575647982776</v>
      </c>
      <c r="AP275" s="1">
        <f t="shared" si="731"/>
        <v>0.50092668121569406</v>
      </c>
      <c r="AQ275" s="1">
        <f t="shared" si="732"/>
        <v>0.86956521739130432</v>
      </c>
      <c r="AR275" s="21">
        <f t="shared" si="733"/>
        <v>0.10588326650419805</v>
      </c>
      <c r="AS275" s="21">
        <f t="shared" si="734"/>
        <v>0.37877253778124315</v>
      </c>
      <c r="AT275" s="21">
        <f t="shared" si="735"/>
        <v>0.61544499167776412</v>
      </c>
      <c r="AU275" s="20">
        <f t="shared" si="736"/>
        <v>2.6401069250103384</v>
      </c>
      <c r="AV275" s="20">
        <f t="shared" si="737"/>
        <v>0.27954314514044848</v>
      </c>
      <c r="AW275" s="20">
        <f t="shared" si="738"/>
        <v>2.959894133632782E-2</v>
      </c>
      <c r="AX275" s="14"/>
      <c r="AY275" s="14"/>
      <c r="AZ275" s="1" t="s">
        <v>271</v>
      </c>
      <c r="BA275" s="2"/>
    </row>
    <row r="276" spans="1:53" ht="14.25" hidden="1" customHeight="1">
      <c r="A276" s="2">
        <v>279</v>
      </c>
      <c r="B276" s="2" t="s">
        <v>43</v>
      </c>
      <c r="C276" s="1" t="s">
        <v>85</v>
      </c>
      <c r="D276" s="1">
        <v>2015</v>
      </c>
      <c r="E276" s="1">
        <v>2011</v>
      </c>
      <c r="F276" s="1" t="s">
        <v>143</v>
      </c>
      <c r="G276" s="1" t="s">
        <v>142</v>
      </c>
      <c r="H276" s="1">
        <v>33.056356000000001</v>
      </c>
      <c r="I276" s="1">
        <v>-83.680222000000001</v>
      </c>
      <c r="J276" s="1" t="s">
        <v>128</v>
      </c>
      <c r="K276" s="1" t="s">
        <v>177</v>
      </c>
      <c r="L276" s="1" t="s">
        <v>209</v>
      </c>
      <c r="M276" s="1" t="s">
        <v>237</v>
      </c>
      <c r="N276" s="1" t="s">
        <v>239</v>
      </c>
      <c r="O276" s="1" t="s">
        <v>121</v>
      </c>
      <c r="P276" s="1" t="s">
        <v>146</v>
      </c>
      <c r="Q276" s="1" t="s">
        <v>93</v>
      </c>
      <c r="R276" s="1">
        <v>2001</v>
      </c>
      <c r="S276" s="1">
        <v>10</v>
      </c>
      <c r="T276" s="1" t="s">
        <v>356</v>
      </c>
      <c r="V276" s="1">
        <v>4</v>
      </c>
      <c r="W276" s="1">
        <v>4</v>
      </c>
      <c r="X276" s="1" t="s">
        <v>97</v>
      </c>
      <c r="Y276" s="1" t="s">
        <v>133</v>
      </c>
      <c r="Z276" s="1" t="s">
        <v>1</v>
      </c>
      <c r="AA276" s="1" t="s">
        <v>98</v>
      </c>
      <c r="AB276" s="1" t="s">
        <v>203</v>
      </c>
      <c r="AC276" s="1" t="s">
        <v>99</v>
      </c>
      <c r="AD276" s="1" t="s">
        <v>102</v>
      </c>
      <c r="AE276" s="1" t="s">
        <v>254</v>
      </c>
      <c r="AF276" s="1" t="s">
        <v>335</v>
      </c>
      <c r="AG276" s="1">
        <v>0.98</v>
      </c>
      <c r="AH276" s="1">
        <v>8.9999999999999993E-3</v>
      </c>
      <c r="AJ276" s="1">
        <v>0.98</v>
      </c>
      <c r="AK276" s="1">
        <v>1E-3</v>
      </c>
      <c r="AM276" s="12">
        <f t="shared" si="728"/>
        <v>0</v>
      </c>
      <c r="AN276" s="1">
        <f t="shared" si="729"/>
        <v>6.4031242374328482E-3</v>
      </c>
      <c r="AO276" s="1">
        <f t="shared" si="730"/>
        <v>0</v>
      </c>
      <c r="AP276" s="1">
        <f t="shared" si="731"/>
        <v>0.5</v>
      </c>
      <c r="AQ276" s="1">
        <f t="shared" si="732"/>
        <v>0.86956521739130432</v>
      </c>
      <c r="AR276" s="21">
        <f t="shared" si="733"/>
        <v>0</v>
      </c>
      <c r="AS276" s="21">
        <f t="shared" si="734"/>
        <v>0.3780718336483932</v>
      </c>
      <c r="AT276" s="21">
        <f t="shared" si="735"/>
        <v>0.61487546190134568</v>
      </c>
      <c r="AU276" s="20">
        <f t="shared" si="736"/>
        <v>2.645</v>
      </c>
      <c r="AV276" s="20">
        <f t="shared" si="737"/>
        <v>0</v>
      </c>
      <c r="AW276" s="20">
        <f t="shared" si="738"/>
        <v>0</v>
      </c>
      <c r="AX276" s="14"/>
      <c r="AY276" s="14"/>
      <c r="AZ276" s="1" t="s">
        <v>271</v>
      </c>
      <c r="BA276" s="2"/>
    </row>
    <row r="277" spans="1:53" ht="14.25" hidden="1" customHeight="1">
      <c r="A277" s="2">
        <v>279</v>
      </c>
      <c r="B277" s="2" t="s">
        <v>43</v>
      </c>
      <c r="C277" s="1" t="s">
        <v>85</v>
      </c>
      <c r="D277" s="1">
        <v>2015</v>
      </c>
      <c r="E277" s="1">
        <v>2011</v>
      </c>
      <c r="F277" s="1" t="s">
        <v>143</v>
      </c>
      <c r="G277" s="1" t="s">
        <v>142</v>
      </c>
      <c r="H277" s="1">
        <v>33.056356000000001</v>
      </c>
      <c r="I277" s="1">
        <v>-83.680222000000001</v>
      </c>
      <c r="J277" s="1" t="s">
        <v>128</v>
      </c>
      <c r="K277" s="1" t="s">
        <v>177</v>
      </c>
      <c r="L277" s="1" t="s">
        <v>209</v>
      </c>
      <c r="M277" s="1" t="s">
        <v>237</v>
      </c>
      <c r="N277" s="1" t="s">
        <v>239</v>
      </c>
      <c r="O277" s="1" t="s">
        <v>121</v>
      </c>
      <c r="P277" s="1" t="s">
        <v>146</v>
      </c>
      <c r="Q277" s="1" t="s">
        <v>93</v>
      </c>
      <c r="R277" s="1">
        <v>2001</v>
      </c>
      <c r="S277" s="1">
        <v>10</v>
      </c>
      <c r="T277" s="1" t="s">
        <v>356</v>
      </c>
      <c r="V277" s="1">
        <v>4</v>
      </c>
      <c r="W277" s="1">
        <v>4</v>
      </c>
      <c r="X277" s="1" t="s">
        <v>97</v>
      </c>
      <c r="Y277" s="1" t="s">
        <v>133</v>
      </c>
      <c r="Z277" s="1" t="s">
        <v>1</v>
      </c>
      <c r="AA277" s="1" t="s">
        <v>98</v>
      </c>
      <c r="AB277" s="1" t="s">
        <v>203</v>
      </c>
      <c r="AC277" s="1" t="s">
        <v>99</v>
      </c>
      <c r="AD277" s="1" t="s">
        <v>102</v>
      </c>
      <c r="AE277" s="1" t="s">
        <v>353</v>
      </c>
      <c r="AF277" s="1" t="s">
        <v>335</v>
      </c>
      <c r="AG277" s="1">
        <v>7.0000000000000007E-2</v>
      </c>
      <c r="AH277" s="1">
        <v>0.02</v>
      </c>
      <c r="AJ277" s="1">
        <v>7.0000000000000007E-2</v>
      </c>
      <c r="AK277" s="1">
        <v>3.0000000000000001E-3</v>
      </c>
      <c r="AM277" s="12">
        <f t="shared" si="728"/>
        <v>0</v>
      </c>
      <c r="AN277" s="1">
        <f t="shared" si="729"/>
        <v>1.4300349646075091E-2</v>
      </c>
      <c r="AO277" s="1">
        <f t="shared" si="730"/>
        <v>0</v>
      </c>
      <c r="AP277" s="1">
        <f t="shared" si="731"/>
        <v>0.5</v>
      </c>
      <c r="AQ277" s="1">
        <f t="shared" si="732"/>
        <v>0.86956521739130432</v>
      </c>
      <c r="AR277" s="21">
        <f t="shared" si="733"/>
        <v>0</v>
      </c>
      <c r="AS277" s="21">
        <f t="shared" si="734"/>
        <v>0.3780718336483932</v>
      </c>
      <c r="AT277" s="21">
        <f t="shared" si="735"/>
        <v>0.61487546190134568</v>
      </c>
      <c r="AU277" s="20">
        <f t="shared" si="736"/>
        <v>2.645</v>
      </c>
      <c r="AV277" s="20">
        <f t="shared" si="737"/>
        <v>0</v>
      </c>
      <c r="AW277" s="20">
        <f t="shared" si="738"/>
        <v>0</v>
      </c>
      <c r="AX277" s="14"/>
      <c r="AY277" s="14"/>
      <c r="AZ277" s="1" t="s">
        <v>271</v>
      </c>
      <c r="BA277" s="2"/>
    </row>
    <row r="278" spans="1:53" ht="14.25" hidden="1" customHeight="1">
      <c r="A278" s="2">
        <v>279</v>
      </c>
      <c r="B278" s="2" t="s">
        <v>43</v>
      </c>
      <c r="C278" s="1" t="s">
        <v>85</v>
      </c>
      <c r="D278" s="1">
        <v>2015</v>
      </c>
      <c r="E278" s="1">
        <v>2011</v>
      </c>
      <c r="F278" s="1" t="s">
        <v>143</v>
      </c>
      <c r="G278" s="1" t="s">
        <v>142</v>
      </c>
      <c r="H278" s="1">
        <v>33.056356000000001</v>
      </c>
      <c r="I278" s="1">
        <v>-83.680222000000001</v>
      </c>
      <c r="J278" s="1" t="s">
        <v>128</v>
      </c>
      <c r="K278" s="1" t="s">
        <v>177</v>
      </c>
      <c r="L278" s="1" t="s">
        <v>209</v>
      </c>
      <c r="M278" s="1" t="s">
        <v>237</v>
      </c>
      <c r="N278" s="1" t="s">
        <v>239</v>
      </c>
      <c r="O278" s="1" t="s">
        <v>121</v>
      </c>
      <c r="P278" s="1" t="s">
        <v>146</v>
      </c>
      <c r="Q278" s="1" t="s">
        <v>93</v>
      </c>
      <c r="R278" s="1">
        <v>2001</v>
      </c>
      <c r="S278" s="1">
        <v>10</v>
      </c>
      <c r="T278" s="1" t="s">
        <v>356</v>
      </c>
      <c r="V278" s="1">
        <v>4</v>
      </c>
      <c r="W278" s="1">
        <v>4</v>
      </c>
      <c r="X278" s="1" t="s">
        <v>97</v>
      </c>
      <c r="Y278" s="1" t="s">
        <v>133</v>
      </c>
      <c r="Z278" s="1" t="s">
        <v>1</v>
      </c>
      <c r="AA278" s="1" t="s">
        <v>98</v>
      </c>
      <c r="AB278" s="1" t="s">
        <v>203</v>
      </c>
      <c r="AC278" s="1" t="s">
        <v>99</v>
      </c>
      <c r="AD278" s="1" t="s">
        <v>102</v>
      </c>
      <c r="AE278" s="1" t="s">
        <v>257</v>
      </c>
      <c r="AF278" s="1" t="s">
        <v>354</v>
      </c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" t="s">
        <v>286</v>
      </c>
    </row>
    <row r="279" spans="1:53" ht="14.25" hidden="1" customHeight="1">
      <c r="A279" s="2">
        <v>107</v>
      </c>
      <c r="B279" s="2" t="s">
        <v>15</v>
      </c>
      <c r="C279" s="1" t="s">
        <v>85</v>
      </c>
      <c r="D279" s="1">
        <v>2022</v>
      </c>
      <c r="E279" s="1">
        <v>2018</v>
      </c>
      <c r="F279" s="1" t="s">
        <v>168</v>
      </c>
      <c r="G279" s="1" t="s">
        <v>169</v>
      </c>
      <c r="H279" s="1">
        <v>59.183889000000001</v>
      </c>
      <c r="I279" s="1">
        <v>23.772221999999999</v>
      </c>
      <c r="J279" s="1" t="s">
        <v>128</v>
      </c>
      <c r="K279" s="1" t="s">
        <v>177</v>
      </c>
      <c r="L279" s="1" t="s">
        <v>183</v>
      </c>
      <c r="M279" s="1" t="s">
        <v>237</v>
      </c>
      <c r="N279" s="1" t="s">
        <v>239</v>
      </c>
      <c r="O279" s="1" t="s">
        <v>86</v>
      </c>
      <c r="P279" s="12" t="s">
        <v>129</v>
      </c>
      <c r="Q279" s="1" t="s">
        <v>93</v>
      </c>
      <c r="R279" s="1">
        <v>2008</v>
      </c>
      <c r="S279" s="1">
        <v>10</v>
      </c>
      <c r="U279" s="1" t="s">
        <v>170</v>
      </c>
      <c r="V279" s="1">
        <v>18</v>
      </c>
      <c r="W279" s="1">
        <v>18</v>
      </c>
      <c r="X279" s="1" t="s">
        <v>97</v>
      </c>
      <c r="Y279" s="1" t="s">
        <v>133</v>
      </c>
      <c r="Z279" s="1" t="s">
        <v>1</v>
      </c>
      <c r="AA279" s="1" t="s">
        <v>98</v>
      </c>
      <c r="AB279" s="1" t="s">
        <v>203</v>
      </c>
      <c r="AC279" s="1" t="s">
        <v>358</v>
      </c>
      <c r="AD279" s="1" t="s">
        <v>100</v>
      </c>
      <c r="AE279" s="1" t="s">
        <v>223</v>
      </c>
      <c r="AF279" s="1" t="s">
        <v>320</v>
      </c>
      <c r="AG279" s="1">
        <v>1.73</v>
      </c>
      <c r="AH279" s="1">
        <f>AI279*SQRT(W279)</f>
        <v>0.16970562748477155</v>
      </c>
      <c r="AI279" s="1">
        <f>1.77-AG279</f>
        <v>4.0000000000000036E-2</v>
      </c>
      <c r="AJ279" s="1">
        <v>1.75</v>
      </c>
      <c r="AK279" s="1">
        <f>AL279*SQRT(V279)</f>
        <v>0.16970562748477155</v>
      </c>
      <c r="AL279" s="1">
        <f>1.79-AJ279</f>
        <v>4.0000000000000036E-2</v>
      </c>
      <c r="AM279" s="12">
        <f t="shared" si="459"/>
        <v>-2.0000000000000018E-2</v>
      </c>
      <c r="AN279" s="1">
        <f t="shared" si="679"/>
        <v>0.16970562748477155</v>
      </c>
      <c r="AO279" s="1">
        <f t="shared" si="525"/>
        <v>-0.11785113019775792</v>
      </c>
      <c r="AP279" s="1">
        <f t="shared" si="680"/>
        <v>0.11130401234567901</v>
      </c>
      <c r="AQ279" s="1">
        <f t="shared" si="681"/>
        <v>0.97777777777777775</v>
      </c>
      <c r="AR279" s="21">
        <f t="shared" si="526"/>
        <v>-0.1152322161933633</v>
      </c>
      <c r="AS279" s="21">
        <f t="shared" ref="AS279:AS282" si="739">AP279*(AQ279^2)</f>
        <v>0.10641213229690595</v>
      </c>
      <c r="AT279" s="21">
        <f t="shared" si="594"/>
        <v>0.3262087250471789</v>
      </c>
      <c r="AU279" s="20">
        <f t="shared" ref="AU279:AU282" si="740">1/AS279</f>
        <v>9.3974246959909493</v>
      </c>
      <c r="AV279" s="20">
        <f t="shared" ref="AV279:AV282" si="741">AR279/AS279</f>
        <v>-1.0828860742292803</v>
      </c>
      <c r="AW279" s="20">
        <f t="shared" ref="AW279:AW282" si="742">((AR279)^2)/AS279</f>
        <v>0.12478336221837089</v>
      </c>
      <c r="AX279" s="14"/>
      <c r="AY279" s="14"/>
      <c r="AZ279" s="1" t="s">
        <v>271</v>
      </c>
      <c r="BA279" s="2"/>
    </row>
    <row r="280" spans="1:53" ht="14.25" hidden="1" customHeight="1">
      <c r="A280" s="2">
        <v>107</v>
      </c>
      <c r="B280" s="2" t="s">
        <v>15</v>
      </c>
      <c r="C280" s="1" t="s">
        <v>85</v>
      </c>
      <c r="D280" s="1">
        <v>2022</v>
      </c>
      <c r="E280" s="1">
        <v>2018</v>
      </c>
      <c r="F280" s="1" t="s">
        <v>168</v>
      </c>
      <c r="G280" s="1" t="s">
        <v>169</v>
      </c>
      <c r="H280" s="1">
        <v>59.183889000000001</v>
      </c>
      <c r="I280" s="1">
        <v>23.772221999999999</v>
      </c>
      <c r="J280" s="1" t="s">
        <v>128</v>
      </c>
      <c r="K280" s="1" t="s">
        <v>177</v>
      </c>
      <c r="L280" s="1" t="s">
        <v>183</v>
      </c>
      <c r="M280" s="1" t="s">
        <v>237</v>
      </c>
      <c r="N280" s="1" t="s">
        <v>239</v>
      </c>
      <c r="O280" s="1" t="s">
        <v>86</v>
      </c>
      <c r="P280" s="12" t="s">
        <v>129</v>
      </c>
      <c r="Q280" s="1" t="s">
        <v>93</v>
      </c>
      <c r="R280" s="1">
        <v>2008</v>
      </c>
      <c r="S280" s="1">
        <v>10</v>
      </c>
      <c r="U280" s="1" t="s">
        <v>170</v>
      </c>
      <c r="V280" s="1">
        <v>18</v>
      </c>
      <c r="W280" s="1">
        <v>18</v>
      </c>
      <c r="X280" s="1" t="s">
        <v>97</v>
      </c>
      <c r="Y280" s="1" t="s">
        <v>133</v>
      </c>
      <c r="Z280" s="1" t="s">
        <v>1</v>
      </c>
      <c r="AA280" s="1" t="s">
        <v>98</v>
      </c>
      <c r="AB280" s="1" t="s">
        <v>203</v>
      </c>
      <c r="AC280" s="1" t="s">
        <v>358</v>
      </c>
      <c r="AD280" s="1" t="s">
        <v>100</v>
      </c>
      <c r="AE280" s="1" t="s">
        <v>150</v>
      </c>
      <c r="AF280" s="1" t="s">
        <v>320</v>
      </c>
      <c r="AG280" s="1">
        <v>1.18</v>
      </c>
      <c r="AH280" s="1">
        <f t="shared" ref="AH280:AH281" si="743">AI280*SQRT(W280)</f>
        <v>0.21213203435596442</v>
      </c>
      <c r="AI280" s="1">
        <f>1.23-AG280</f>
        <v>5.0000000000000044E-2</v>
      </c>
      <c r="AJ280" s="1">
        <v>1.18</v>
      </c>
      <c r="AK280" s="1">
        <f t="shared" ref="AK280:AK281" si="744">AL280*SQRT(V280)</f>
        <v>0.25455844122715732</v>
      </c>
      <c r="AL280" s="1">
        <f>1.24-AJ280</f>
        <v>6.0000000000000053E-2</v>
      </c>
      <c r="AM280" s="12">
        <f t="shared" ref="AM280:AM281" si="745">AG280-AJ280</f>
        <v>0</v>
      </c>
      <c r="AN280" s="1">
        <f t="shared" ref="AN280:AN281" si="746">SQRT((((W280-1)*AH280^2)+((V280-1)*AK280^2))/(W280+V280-2))</f>
        <v>0.23430749027719983</v>
      </c>
      <c r="AO280" s="1">
        <f t="shared" ref="AO280:AO281" si="747">AM280/AN280</f>
        <v>0</v>
      </c>
      <c r="AP280" s="1">
        <f t="shared" ref="AP280:AP281" si="748">1/W280+1/V280+(AO280^2)/(2*(W280+V280))</f>
        <v>0.1111111111111111</v>
      </c>
      <c r="AQ280" s="1">
        <f t="shared" ref="AQ280:AQ281" si="749">1-(3/(4*(W280+V280-2)-1))</f>
        <v>0.97777777777777775</v>
      </c>
      <c r="AR280" s="21">
        <f t="shared" ref="AR280:AR281" si="750">AO280*AQ280</f>
        <v>0</v>
      </c>
      <c r="AS280" s="21">
        <f t="shared" si="739"/>
        <v>0.10622770919067215</v>
      </c>
      <c r="AT280" s="21">
        <f t="shared" ref="AT280:AT281" si="751">SQRT(AP280*AQ280^2)</f>
        <v>0.3259259259259259</v>
      </c>
      <c r="AU280" s="20">
        <f t="shared" si="740"/>
        <v>9.4137396694214885</v>
      </c>
      <c r="AV280" s="20">
        <f t="shared" si="741"/>
        <v>0</v>
      </c>
      <c r="AW280" s="20">
        <f t="shared" si="742"/>
        <v>0</v>
      </c>
      <c r="AX280" s="14"/>
      <c r="AY280" s="14"/>
      <c r="AZ280" s="1" t="s">
        <v>271</v>
      </c>
      <c r="BA280" s="2"/>
    </row>
    <row r="281" spans="1:53" ht="14.25" customHeight="1">
      <c r="A281" s="2">
        <v>107</v>
      </c>
      <c r="B281" s="2" t="s">
        <v>15</v>
      </c>
      <c r="C281" s="1" t="s">
        <v>85</v>
      </c>
      <c r="D281" s="1">
        <v>2022</v>
      </c>
      <c r="E281" s="1">
        <v>2018</v>
      </c>
      <c r="F281" s="1" t="s">
        <v>168</v>
      </c>
      <c r="G281" s="1" t="s">
        <v>169</v>
      </c>
      <c r="H281" s="1">
        <v>59.183889000000001</v>
      </c>
      <c r="I281" s="1">
        <v>23.772221999999999</v>
      </c>
      <c r="J281" s="1" t="s">
        <v>128</v>
      </c>
      <c r="K281" s="1" t="s">
        <v>177</v>
      </c>
      <c r="L281" s="1" t="s">
        <v>183</v>
      </c>
      <c r="M281" s="1" t="s">
        <v>237</v>
      </c>
      <c r="N281" s="1" t="s">
        <v>239</v>
      </c>
      <c r="O281" s="1" t="s">
        <v>86</v>
      </c>
      <c r="P281" s="12" t="s">
        <v>129</v>
      </c>
      <c r="Q281" s="1" t="s">
        <v>93</v>
      </c>
      <c r="R281" s="1">
        <v>2008</v>
      </c>
      <c r="S281" s="1">
        <v>10</v>
      </c>
      <c r="U281" s="1" t="s">
        <v>170</v>
      </c>
      <c r="V281" s="1">
        <v>18</v>
      </c>
      <c r="W281" s="1">
        <v>18</v>
      </c>
      <c r="X281" s="1" t="s">
        <v>97</v>
      </c>
      <c r="Y281" s="1" t="s">
        <v>133</v>
      </c>
      <c r="Z281" s="1" t="s">
        <v>1</v>
      </c>
      <c r="AA281" s="1" t="s">
        <v>98</v>
      </c>
      <c r="AB281" s="1" t="s">
        <v>203</v>
      </c>
      <c r="AC281" s="1" t="s">
        <v>358</v>
      </c>
      <c r="AD281" s="1" t="s">
        <v>100</v>
      </c>
      <c r="AE281" s="1" t="s">
        <v>151</v>
      </c>
      <c r="AF281" s="1" t="s">
        <v>320</v>
      </c>
      <c r="AG281" s="1">
        <v>0.65</v>
      </c>
      <c r="AH281" s="1">
        <f t="shared" si="743"/>
        <v>0.21213203435596395</v>
      </c>
      <c r="AI281" s="1">
        <f>0.7-AG281</f>
        <v>4.9999999999999933E-2</v>
      </c>
      <c r="AJ281" s="1">
        <v>0.85</v>
      </c>
      <c r="AK281" s="1">
        <f t="shared" si="744"/>
        <v>0.25455844122715732</v>
      </c>
      <c r="AL281" s="1">
        <f>0.91-AJ281</f>
        <v>6.0000000000000053E-2</v>
      </c>
      <c r="AM281" s="12">
        <f t="shared" si="745"/>
        <v>-0.19999999999999996</v>
      </c>
      <c r="AN281" s="1">
        <f t="shared" si="746"/>
        <v>0.2343074902771996</v>
      </c>
      <c r="AO281" s="1">
        <f t="shared" si="747"/>
        <v>-0.85357919955263972</v>
      </c>
      <c r="AP281" s="1">
        <f t="shared" si="748"/>
        <v>0.12123052013762395</v>
      </c>
      <c r="AQ281" s="1">
        <f t="shared" si="749"/>
        <v>0.97777777777777775</v>
      </c>
      <c r="AR281" s="21">
        <f t="shared" si="750"/>
        <v>-0.83461077289591434</v>
      </c>
      <c r="AS281" s="21">
        <f t="shared" si="739"/>
        <v>0.11590236394392096</v>
      </c>
      <c r="AT281" s="21">
        <f t="shared" si="751"/>
        <v>0.34044436247927645</v>
      </c>
      <c r="AU281" s="20">
        <f t="shared" si="740"/>
        <v>8.6279517170490774</v>
      </c>
      <c r="AV281" s="20">
        <f t="shared" si="741"/>
        <v>-7.2009814510749619</v>
      </c>
      <c r="AW281" s="20">
        <f t="shared" si="742"/>
        <v>6.0100166944908162</v>
      </c>
      <c r="AX281" s="14"/>
      <c r="AY281" s="14"/>
      <c r="AZ281" s="1" t="s">
        <v>271</v>
      </c>
      <c r="BA281" s="2"/>
    </row>
    <row r="282" spans="1:53" ht="14.25" hidden="1" customHeight="1">
      <c r="A282" s="2">
        <v>107</v>
      </c>
      <c r="B282" s="2" t="s">
        <v>15</v>
      </c>
      <c r="C282" s="1" t="s">
        <v>85</v>
      </c>
      <c r="D282" s="1">
        <v>2022</v>
      </c>
      <c r="E282" s="1">
        <v>2018</v>
      </c>
      <c r="F282" s="1" t="s">
        <v>168</v>
      </c>
      <c r="G282" s="1" t="s">
        <v>169</v>
      </c>
      <c r="H282" s="1">
        <v>59.183889000000001</v>
      </c>
      <c r="I282" s="1">
        <v>23.772221999999999</v>
      </c>
      <c r="J282" s="1" t="s">
        <v>128</v>
      </c>
      <c r="K282" s="1" t="s">
        <v>177</v>
      </c>
      <c r="L282" s="1" t="s">
        <v>183</v>
      </c>
      <c r="M282" s="1" t="s">
        <v>237</v>
      </c>
      <c r="N282" s="1" t="s">
        <v>239</v>
      </c>
      <c r="O282" s="1" t="s">
        <v>86</v>
      </c>
      <c r="P282" s="12" t="s">
        <v>129</v>
      </c>
      <c r="Q282" s="1" t="s">
        <v>93</v>
      </c>
      <c r="R282" s="1">
        <v>2008</v>
      </c>
      <c r="S282" s="1">
        <v>10</v>
      </c>
      <c r="U282" s="1" t="s">
        <v>170</v>
      </c>
      <c r="V282" s="1">
        <v>18</v>
      </c>
      <c r="W282" s="1">
        <v>18</v>
      </c>
      <c r="X282" s="1" t="s">
        <v>97</v>
      </c>
      <c r="Y282" s="1" t="s">
        <v>133</v>
      </c>
      <c r="Z282" s="1" t="s">
        <v>1</v>
      </c>
      <c r="AA282" s="1" t="s">
        <v>98</v>
      </c>
      <c r="AB282" s="1" t="s">
        <v>203</v>
      </c>
      <c r="AC282" s="1" t="s">
        <v>358</v>
      </c>
      <c r="AD282" s="1" t="s">
        <v>100</v>
      </c>
      <c r="AE282" s="1" t="s">
        <v>315</v>
      </c>
      <c r="AF282" s="1" t="s">
        <v>320</v>
      </c>
      <c r="AG282" s="1">
        <v>0.28999999999999998</v>
      </c>
      <c r="AH282" s="1">
        <f t="shared" ref="AH282" si="752">AI282*SQRT(W282)</f>
        <v>0.42426406871192862</v>
      </c>
      <c r="AI282" s="1">
        <f>0.39-AG282</f>
        <v>0.10000000000000003</v>
      </c>
      <c r="AJ282" s="1">
        <v>0.26</v>
      </c>
      <c r="AK282" s="1">
        <f t="shared" ref="AK282" si="753">AL282*SQRT(V282)</f>
        <v>0.38183766184073548</v>
      </c>
      <c r="AL282" s="1">
        <f>0.35-AJ282</f>
        <v>8.9999999999999969E-2</v>
      </c>
      <c r="AM282" s="12">
        <f t="shared" ref="AM282" si="754">AG282-AJ282</f>
        <v>2.9999999999999971E-2</v>
      </c>
      <c r="AN282" s="1">
        <f t="shared" ref="AN282" si="755">SQRT((((W282-1)*AH282^2)+((V282-1)*AK282^2))/(W282+V282-2))</f>
        <v>0.40360872141221127</v>
      </c>
      <c r="AO282" s="1">
        <f t="shared" ref="AO282" si="756">AM282/AN282</f>
        <v>7.4329414624716567E-2</v>
      </c>
      <c r="AP282" s="1">
        <f t="shared" ref="AP282" si="757">1/W282+1/V282+(AO282^2)/(2*(W282+V282))</f>
        <v>0.1111878453038674</v>
      </c>
      <c r="AQ282" s="1">
        <f t="shared" ref="AQ282" si="758">1-(3/(4*(W282+V282-2)-1))</f>
        <v>0.97777777777777775</v>
      </c>
      <c r="AR282" s="21">
        <f t="shared" ref="AR282" si="759">AO282*AQ282</f>
        <v>7.2677649855278414E-2</v>
      </c>
      <c r="AS282" s="21">
        <f t="shared" si="739"/>
        <v>0.10630107086829001</v>
      </c>
      <c r="AT282" s="21">
        <f t="shared" ref="AT282" si="760">SQRT(AP282*AQ282^2)</f>
        <v>0.32603844998449188</v>
      </c>
      <c r="AU282" s="20">
        <f t="shared" si="740"/>
        <v>9.4072429546737855</v>
      </c>
      <c r="AV282" s="20">
        <f t="shared" si="741"/>
        <v>0.68369630956331617</v>
      </c>
      <c r="AW282" s="20">
        <f t="shared" si="742"/>
        <v>4.9689440993788733E-2</v>
      </c>
      <c r="AX282" s="14"/>
      <c r="AY282" s="14"/>
      <c r="AZ282" s="1" t="s">
        <v>271</v>
      </c>
      <c r="BA282" s="2"/>
    </row>
    <row r="283" spans="1:53" ht="14.25" hidden="1" customHeight="1">
      <c r="A283" s="2">
        <v>107</v>
      </c>
      <c r="B283" s="2" t="s">
        <v>15</v>
      </c>
      <c r="C283" s="1" t="s">
        <v>85</v>
      </c>
      <c r="D283" s="1">
        <v>2022</v>
      </c>
      <c r="E283" s="1">
        <v>2018</v>
      </c>
      <c r="F283" s="1" t="s">
        <v>168</v>
      </c>
      <c r="G283" s="1" t="s">
        <v>169</v>
      </c>
      <c r="H283" s="1">
        <v>59.183889000000001</v>
      </c>
      <c r="I283" s="1">
        <v>23.772221999999999</v>
      </c>
      <c r="J283" s="1" t="s">
        <v>128</v>
      </c>
      <c r="K283" s="1" t="s">
        <v>177</v>
      </c>
      <c r="L283" s="1" t="s">
        <v>183</v>
      </c>
      <c r="M283" s="1" t="s">
        <v>237</v>
      </c>
      <c r="N283" s="1" t="s">
        <v>239</v>
      </c>
      <c r="O283" s="1" t="s">
        <v>86</v>
      </c>
      <c r="P283" s="12" t="s">
        <v>129</v>
      </c>
      <c r="Q283" s="1" t="s">
        <v>93</v>
      </c>
      <c r="R283" s="1">
        <v>2008</v>
      </c>
      <c r="S283" s="1">
        <v>10</v>
      </c>
      <c r="U283" s="1" t="s">
        <v>170</v>
      </c>
      <c r="V283" s="1">
        <v>3</v>
      </c>
      <c r="W283" s="1">
        <v>3</v>
      </c>
      <c r="X283" s="1" t="s">
        <v>97</v>
      </c>
      <c r="Y283" s="1" t="s">
        <v>133</v>
      </c>
      <c r="Z283" s="1" t="s">
        <v>1</v>
      </c>
      <c r="AA283" s="1" t="s">
        <v>98</v>
      </c>
      <c r="AB283" s="1" t="s">
        <v>203</v>
      </c>
      <c r="AC283" s="1" t="s">
        <v>358</v>
      </c>
      <c r="AD283" s="1" t="s">
        <v>100</v>
      </c>
      <c r="AE283" s="1" t="s">
        <v>361</v>
      </c>
      <c r="AF283" s="1" t="s">
        <v>334</v>
      </c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" t="s">
        <v>286</v>
      </c>
    </row>
    <row r="284" spans="1:53" ht="14.25" hidden="1" customHeight="1">
      <c r="A284" s="2">
        <v>199</v>
      </c>
      <c r="B284" s="2" t="s">
        <v>30</v>
      </c>
      <c r="C284" s="1" t="s">
        <v>85</v>
      </c>
      <c r="D284" s="1">
        <v>2019</v>
      </c>
      <c r="E284" s="1">
        <v>2013</v>
      </c>
      <c r="F284" s="1" t="s">
        <v>143</v>
      </c>
      <c r="G284" s="1" t="s">
        <v>109</v>
      </c>
      <c r="H284" s="1">
        <v>34.363706000000001</v>
      </c>
      <c r="I284" s="1">
        <v>-112.274447</v>
      </c>
      <c r="J284" s="1" t="s">
        <v>126</v>
      </c>
      <c r="K284" s="1" t="s">
        <v>177</v>
      </c>
      <c r="L284" s="1" t="s">
        <v>193</v>
      </c>
      <c r="M284" s="1" t="s">
        <v>237</v>
      </c>
      <c r="N284" s="1" t="s">
        <v>239</v>
      </c>
      <c r="O284" s="1" t="s">
        <v>86</v>
      </c>
      <c r="P284" s="1" t="s">
        <v>211</v>
      </c>
      <c r="Q284" s="1" t="s">
        <v>93</v>
      </c>
      <c r="R284" s="1">
        <v>2000</v>
      </c>
      <c r="S284" s="1">
        <v>13</v>
      </c>
      <c r="U284" s="1">
        <v>6500</v>
      </c>
      <c r="V284" s="1">
        <v>3</v>
      </c>
      <c r="W284" s="1">
        <v>3</v>
      </c>
      <c r="X284" s="1" t="s">
        <v>114</v>
      </c>
      <c r="Y284" s="1" t="s">
        <v>2</v>
      </c>
      <c r="Z284" s="1" t="s">
        <v>0</v>
      </c>
      <c r="AA284" s="1" t="s">
        <v>113</v>
      </c>
      <c r="AB284" s="1" t="s">
        <v>2</v>
      </c>
      <c r="AC284" s="1" t="s">
        <v>2</v>
      </c>
      <c r="AD284" s="1" t="s">
        <v>2</v>
      </c>
      <c r="AE284" s="1" t="s">
        <v>308</v>
      </c>
      <c r="AF284" s="1" t="s">
        <v>323</v>
      </c>
      <c r="AG284" s="1">
        <v>4.58</v>
      </c>
      <c r="AH284" s="1">
        <f>5.17-3.9</f>
        <v>1.27</v>
      </c>
      <c r="AJ284" s="1">
        <v>10.68</v>
      </c>
      <c r="AK284" s="1">
        <f>11.66-6.1</f>
        <v>5.5600000000000005</v>
      </c>
      <c r="AM284" s="12">
        <f t="shared" si="459"/>
        <v>-6.1</v>
      </c>
      <c r="AN284" s="1">
        <f t="shared" si="679"/>
        <v>4.0327719995060471</v>
      </c>
      <c r="AO284" s="1">
        <f t="shared" si="525"/>
        <v>-1.5126072093208236</v>
      </c>
      <c r="AP284" s="1">
        <f t="shared" si="680"/>
        <v>0.85733171414077747</v>
      </c>
      <c r="AQ284" s="1">
        <f t="shared" si="681"/>
        <v>0.8</v>
      </c>
      <c r="AR284" s="21">
        <f t="shared" si="526"/>
        <v>-1.210085767456659</v>
      </c>
      <c r="AS284" s="21">
        <f t="shared" ref="AS284:AS285" si="761">AP284*(AQ284^2)</f>
        <v>0.5486922970500977</v>
      </c>
      <c r="AT284" s="21">
        <f t="shared" si="594"/>
        <v>0.74073767087282505</v>
      </c>
      <c r="AU284" s="20">
        <f t="shared" ref="AU284:AU285" si="762">1/AS284</f>
        <v>1.8225151061464531</v>
      </c>
      <c r="AV284" s="20">
        <f t="shared" ref="AV284:AV285" si="763">AR284/AS284</f>
        <v>-2.205399590922585</v>
      </c>
      <c r="AW284" s="20">
        <f t="shared" ref="AW284:AW285" si="764">((AR284)^2)/AS284</f>
        <v>2.6687226565301581</v>
      </c>
      <c r="AX284" s="14"/>
      <c r="AY284" s="14"/>
      <c r="AZ284" s="1" t="s">
        <v>271</v>
      </c>
      <c r="BA284" s="2"/>
    </row>
    <row r="285" spans="1:53" ht="14.25" hidden="1" customHeight="1">
      <c r="A285" s="2">
        <v>199</v>
      </c>
      <c r="B285" s="2" t="s">
        <v>30</v>
      </c>
      <c r="C285" s="1" t="s">
        <v>85</v>
      </c>
      <c r="D285" s="1">
        <v>2019</v>
      </c>
      <c r="E285" s="1">
        <v>2013</v>
      </c>
      <c r="F285" s="1" t="s">
        <v>143</v>
      </c>
      <c r="G285" s="1" t="s">
        <v>109</v>
      </c>
      <c r="H285" s="1">
        <v>34.363706000000001</v>
      </c>
      <c r="I285" s="1">
        <v>-112.274447</v>
      </c>
      <c r="J285" s="1" t="s">
        <v>126</v>
      </c>
      <c r="K285" s="1" t="s">
        <v>177</v>
      </c>
      <c r="L285" s="1" t="s">
        <v>193</v>
      </c>
      <c r="M285" s="1" t="s">
        <v>237</v>
      </c>
      <c r="N285" s="1" t="s">
        <v>239</v>
      </c>
      <c r="O285" s="1" t="s">
        <v>86</v>
      </c>
      <c r="P285" s="1" t="s">
        <v>211</v>
      </c>
      <c r="Q285" s="1" t="s">
        <v>93</v>
      </c>
      <c r="R285" s="1">
        <v>2000</v>
      </c>
      <c r="S285" s="1">
        <v>13</v>
      </c>
      <c r="U285" s="1">
        <v>6500</v>
      </c>
      <c r="V285" s="1">
        <v>3</v>
      </c>
      <c r="W285" s="1">
        <v>3</v>
      </c>
      <c r="X285" s="1" t="s">
        <v>114</v>
      </c>
      <c r="Y285" s="1" t="s">
        <v>2</v>
      </c>
      <c r="Z285" s="1" t="s">
        <v>0</v>
      </c>
      <c r="AA285" s="1" t="s">
        <v>113</v>
      </c>
      <c r="AB285" s="1" t="s">
        <v>2</v>
      </c>
      <c r="AC285" s="1" t="s">
        <v>2</v>
      </c>
      <c r="AD285" s="1" t="s">
        <v>2</v>
      </c>
      <c r="AE285" s="1" t="s">
        <v>309</v>
      </c>
      <c r="AF285" s="1" t="s">
        <v>323</v>
      </c>
      <c r="AG285" s="1">
        <v>1.57</v>
      </c>
      <c r="AH285" s="1">
        <f>2.06-1.42</f>
        <v>0.64000000000000012</v>
      </c>
      <c r="AJ285" s="1">
        <v>1.71</v>
      </c>
      <c r="AK285" s="1">
        <f>3.23-1.13</f>
        <v>2.1</v>
      </c>
      <c r="AM285" s="12">
        <f t="shared" ref="AM285" si="765">AG285-AJ285</f>
        <v>-0.1399999999999999</v>
      </c>
      <c r="AN285" s="1">
        <f t="shared" ref="AN285" si="766">SQRT((((W285-1)*AH285^2)+((V285-1)*AK285^2))/(W285+V285-2))</f>
        <v>1.5523530526268823</v>
      </c>
      <c r="AO285" s="1">
        <f t="shared" ref="AO285" si="767">AM285/AN285</f>
        <v>-9.0185669917737313E-2</v>
      </c>
      <c r="AP285" s="1">
        <f t="shared" ref="AP285" si="768">1/W285+1/V285+(AO285^2)/(2*(W285+V285))</f>
        <v>0.66734445458820923</v>
      </c>
      <c r="AQ285" s="1">
        <f t="shared" ref="AQ285" si="769">1-(3/(4*(W285+V285-2)-1))</f>
        <v>0.8</v>
      </c>
      <c r="AR285" s="21">
        <f t="shared" ref="AR285" si="770">AO285*AQ285</f>
        <v>-7.214853593418985E-2</v>
      </c>
      <c r="AS285" s="21">
        <f t="shared" si="761"/>
        <v>0.42710045093645399</v>
      </c>
      <c r="AT285" s="21">
        <f t="shared" ref="AT285" si="771">SQRT(AP285*AQ285^2)</f>
        <v>0.65352922730085605</v>
      </c>
      <c r="AU285" s="20">
        <f t="shared" si="762"/>
        <v>2.3413695719763701</v>
      </c>
      <c r="AV285" s="20">
        <f t="shared" si="763"/>
        <v>-0.16892638669895585</v>
      </c>
      <c r="AW285" s="20">
        <f t="shared" si="764"/>
        <v>1.2187791480982466E-2</v>
      </c>
      <c r="AX285" s="14"/>
      <c r="AY285" s="14"/>
      <c r="AZ285" s="1" t="s">
        <v>271</v>
      </c>
      <c r="BA285" s="2"/>
    </row>
    <row r="286" spans="1:53" ht="14.25" hidden="1" customHeight="1">
      <c r="A286" s="2">
        <v>199</v>
      </c>
      <c r="B286" s="2" t="s">
        <v>30</v>
      </c>
      <c r="C286" s="1" t="s">
        <v>85</v>
      </c>
      <c r="D286" s="1">
        <v>2019</v>
      </c>
      <c r="E286" s="1">
        <v>2013</v>
      </c>
      <c r="F286" s="1" t="s">
        <v>143</v>
      </c>
      <c r="G286" s="1" t="s">
        <v>109</v>
      </c>
      <c r="H286" s="1">
        <v>34.363706000000001</v>
      </c>
      <c r="I286" s="1">
        <v>-112.274447</v>
      </c>
      <c r="J286" s="1" t="s">
        <v>126</v>
      </c>
      <c r="K286" s="1" t="s">
        <v>177</v>
      </c>
      <c r="L286" s="1" t="s">
        <v>193</v>
      </c>
      <c r="M286" s="1" t="s">
        <v>237</v>
      </c>
      <c r="N286" s="1" t="s">
        <v>239</v>
      </c>
      <c r="O286" s="1" t="s">
        <v>86</v>
      </c>
      <c r="P286" s="1" t="s">
        <v>211</v>
      </c>
      <c r="Q286" s="1" t="s">
        <v>93</v>
      </c>
      <c r="R286" s="1">
        <v>2000</v>
      </c>
      <c r="S286" s="1">
        <v>13</v>
      </c>
      <c r="U286" s="1">
        <v>6500</v>
      </c>
      <c r="V286" s="1">
        <v>3</v>
      </c>
      <c r="W286" s="1">
        <v>3</v>
      </c>
      <c r="X286" s="1" t="s">
        <v>114</v>
      </c>
      <c r="Y286" s="1" t="s">
        <v>2</v>
      </c>
      <c r="Z286" s="1" t="s">
        <v>0</v>
      </c>
      <c r="AA286" s="1" t="s">
        <v>113</v>
      </c>
      <c r="AB286" s="1" t="s">
        <v>2</v>
      </c>
      <c r="AC286" s="1" t="s">
        <v>2</v>
      </c>
      <c r="AD286" s="1" t="s">
        <v>2</v>
      </c>
      <c r="AE286" s="1" t="s">
        <v>357</v>
      </c>
      <c r="AF286" s="1" t="s">
        <v>319</v>
      </c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" t="s">
        <v>286</v>
      </c>
    </row>
    <row r="287" spans="1:53" ht="14.25" hidden="1" customHeight="1">
      <c r="A287" s="2">
        <v>199</v>
      </c>
      <c r="B287" s="2" t="s">
        <v>30</v>
      </c>
      <c r="C287" s="1" t="s">
        <v>85</v>
      </c>
      <c r="D287" s="1">
        <v>2019</v>
      </c>
      <c r="E287" s="1">
        <v>2013</v>
      </c>
      <c r="F287" s="1" t="s">
        <v>143</v>
      </c>
      <c r="G287" s="1" t="s">
        <v>109</v>
      </c>
      <c r="H287" s="1">
        <v>34.363706000000001</v>
      </c>
      <c r="I287" s="1">
        <v>-112.274447</v>
      </c>
      <c r="J287" s="1" t="s">
        <v>126</v>
      </c>
      <c r="K287" s="1" t="s">
        <v>177</v>
      </c>
      <c r="L287" s="1" t="s">
        <v>193</v>
      </c>
      <c r="M287" s="1" t="s">
        <v>237</v>
      </c>
      <c r="N287" s="1" t="s">
        <v>239</v>
      </c>
      <c r="O287" s="1" t="s">
        <v>86</v>
      </c>
      <c r="P287" s="1" t="s">
        <v>129</v>
      </c>
      <c r="Q287" s="1" t="s">
        <v>93</v>
      </c>
      <c r="R287" s="1">
        <v>2000</v>
      </c>
      <c r="S287" s="1">
        <v>13</v>
      </c>
      <c r="U287" s="1">
        <v>6500</v>
      </c>
      <c r="V287" s="1">
        <v>3</v>
      </c>
      <c r="W287" s="1">
        <v>3</v>
      </c>
      <c r="X287" s="1" t="s">
        <v>114</v>
      </c>
      <c r="Y287" s="1" t="s">
        <v>2</v>
      </c>
      <c r="Z287" s="1" t="s">
        <v>0</v>
      </c>
      <c r="AA287" s="1" t="s">
        <v>113</v>
      </c>
      <c r="AB287" s="1" t="s">
        <v>2</v>
      </c>
      <c r="AC287" s="1" t="s">
        <v>2</v>
      </c>
      <c r="AD287" s="1" t="s">
        <v>2</v>
      </c>
      <c r="AE287" s="1" t="s">
        <v>308</v>
      </c>
      <c r="AF287" s="1" t="s">
        <v>323</v>
      </c>
      <c r="AG287" s="1">
        <v>0.78</v>
      </c>
      <c r="AH287" s="1">
        <f>1.85-0.68</f>
        <v>1.17</v>
      </c>
      <c r="AJ287" s="1">
        <v>10.68</v>
      </c>
      <c r="AK287" s="1">
        <f>11.66-6.1</f>
        <v>5.5600000000000005</v>
      </c>
      <c r="AM287" s="12">
        <f t="shared" si="459"/>
        <v>-9.9</v>
      </c>
      <c r="AN287" s="1">
        <f t="shared" si="679"/>
        <v>4.0176174531679845</v>
      </c>
      <c r="AO287" s="1">
        <f t="shared" si="525"/>
        <v>-2.4641470014009474</v>
      </c>
      <c r="AP287" s="1">
        <f t="shared" si="680"/>
        <v>1.1726683703761067</v>
      </c>
      <c r="AQ287" s="1">
        <f t="shared" si="681"/>
        <v>0.8</v>
      </c>
      <c r="AR287" s="21">
        <f t="shared" si="526"/>
        <v>-1.971317601120758</v>
      </c>
      <c r="AS287" s="21">
        <f t="shared" ref="AS287:AS288" si="772">AP287*(AQ287^2)</f>
        <v>0.75050775704070849</v>
      </c>
      <c r="AT287" s="21">
        <f t="shared" si="594"/>
        <v>0.86631850784841746</v>
      </c>
      <c r="AU287" s="20">
        <f t="shared" ref="AU287:AU288" si="773">1/AS287</f>
        <v>1.3324312648586771</v>
      </c>
      <c r="AV287" s="20">
        <f t="shared" ref="AV287:AV288" si="774">AR287/AS287</f>
        <v>-2.6266452046995048</v>
      </c>
      <c r="AW287" s="20">
        <f t="shared" ref="AW287:AW288" si="775">((AR287)^2)/AS287</f>
        <v>5.1779519239235707</v>
      </c>
      <c r="AX287" s="14"/>
      <c r="AY287" s="14"/>
      <c r="AZ287" s="1" t="s">
        <v>271</v>
      </c>
      <c r="BA287" s="2"/>
    </row>
    <row r="288" spans="1:53" ht="14.25" hidden="1" customHeight="1">
      <c r="A288" s="2">
        <v>199</v>
      </c>
      <c r="B288" s="2" t="s">
        <v>30</v>
      </c>
      <c r="C288" s="1" t="s">
        <v>85</v>
      </c>
      <c r="D288" s="1">
        <v>2019</v>
      </c>
      <c r="E288" s="1">
        <v>2013</v>
      </c>
      <c r="F288" s="1" t="s">
        <v>143</v>
      </c>
      <c r="G288" s="1" t="s">
        <v>109</v>
      </c>
      <c r="H288" s="1">
        <v>34.363706000000001</v>
      </c>
      <c r="I288" s="1">
        <v>-112.274447</v>
      </c>
      <c r="J288" s="1" t="s">
        <v>126</v>
      </c>
      <c r="K288" s="1" t="s">
        <v>177</v>
      </c>
      <c r="L288" s="1" t="s">
        <v>193</v>
      </c>
      <c r="M288" s="1" t="s">
        <v>237</v>
      </c>
      <c r="N288" s="1" t="s">
        <v>239</v>
      </c>
      <c r="O288" s="1" t="s">
        <v>86</v>
      </c>
      <c r="P288" s="1" t="s">
        <v>129</v>
      </c>
      <c r="Q288" s="1" t="s">
        <v>93</v>
      </c>
      <c r="R288" s="1">
        <v>2000</v>
      </c>
      <c r="S288" s="1">
        <v>13</v>
      </c>
      <c r="U288" s="1">
        <v>6500</v>
      </c>
      <c r="V288" s="1">
        <v>3</v>
      </c>
      <c r="W288" s="1">
        <v>3</v>
      </c>
      <c r="X288" s="1" t="s">
        <v>114</v>
      </c>
      <c r="Y288" s="1" t="s">
        <v>2</v>
      </c>
      <c r="Z288" s="1" t="s">
        <v>0</v>
      </c>
      <c r="AA288" s="1" t="s">
        <v>113</v>
      </c>
      <c r="AB288" s="1" t="s">
        <v>2</v>
      </c>
      <c r="AC288" s="1" t="s">
        <v>2</v>
      </c>
      <c r="AD288" s="1" t="s">
        <v>2</v>
      </c>
      <c r="AE288" s="1" t="s">
        <v>309</v>
      </c>
      <c r="AF288" s="1" t="s">
        <v>323</v>
      </c>
      <c r="AG288" s="1">
        <v>1.66</v>
      </c>
      <c r="AH288" s="1">
        <f>2.06-1.22</f>
        <v>0.84000000000000008</v>
      </c>
      <c r="AJ288" s="1">
        <v>1.71</v>
      </c>
      <c r="AK288" s="1">
        <f>3.23-1.13</f>
        <v>2.1</v>
      </c>
      <c r="AM288" s="12">
        <f t="shared" ref="AM288" si="776">AG288-AJ288</f>
        <v>-5.0000000000000044E-2</v>
      </c>
      <c r="AN288" s="1">
        <f t="shared" ref="AN288" si="777">SQRT((((W288-1)*AH288^2)+((V288-1)*AK288^2))/(W288+V288-2))</f>
        <v>1.5993123522314208</v>
      </c>
      <c r="AO288" s="1">
        <f t="shared" ref="AO288" si="778">AM288/AN288</f>
        <v>-3.1263436395172067E-2</v>
      </c>
      <c r="AP288" s="1">
        <f t="shared" ref="AP288" si="779">1/W288+1/V288+(AO288^2)/(2*(W288+V288))</f>
        <v>0.66674811687126956</v>
      </c>
      <c r="AQ288" s="1">
        <f t="shared" ref="AQ288" si="780">1-(3/(4*(W288+V288-2)-1))</f>
        <v>0.8</v>
      </c>
      <c r="AR288" s="21">
        <f t="shared" ref="AR288" si="781">AO288*AQ288</f>
        <v>-2.5010749116137654E-2</v>
      </c>
      <c r="AS288" s="21">
        <f t="shared" si="772"/>
        <v>0.4267187947976126</v>
      </c>
      <c r="AT288" s="21">
        <f t="shared" ref="AT288" si="782">SQRT(AP288*AQ288^2)</f>
        <v>0.65323716581163127</v>
      </c>
      <c r="AU288" s="20">
        <f t="shared" si="773"/>
        <v>2.3434636866048693</v>
      </c>
      <c r="AV288" s="20">
        <f t="shared" si="774"/>
        <v>-5.8611782328453425E-2</v>
      </c>
      <c r="AW288" s="20">
        <f t="shared" si="775"/>
        <v>1.465924583066619E-3</v>
      </c>
      <c r="AX288" s="14"/>
      <c r="AY288" s="14"/>
      <c r="AZ288" s="1" t="s">
        <v>271</v>
      </c>
      <c r="BA288" s="2"/>
    </row>
    <row r="289" spans="1:53" ht="14.25" hidden="1" customHeight="1">
      <c r="A289" s="2">
        <v>199</v>
      </c>
      <c r="B289" s="2" t="s">
        <v>30</v>
      </c>
      <c r="C289" s="1" t="s">
        <v>85</v>
      </c>
      <c r="D289" s="1">
        <v>2019</v>
      </c>
      <c r="E289" s="1">
        <v>2013</v>
      </c>
      <c r="F289" s="1" t="s">
        <v>143</v>
      </c>
      <c r="G289" s="1" t="s">
        <v>109</v>
      </c>
      <c r="H289" s="1">
        <v>34.363706000000001</v>
      </c>
      <c r="I289" s="1">
        <v>-112.274447</v>
      </c>
      <c r="J289" s="1" t="s">
        <v>126</v>
      </c>
      <c r="K289" s="1" t="s">
        <v>177</v>
      </c>
      <c r="L289" s="1" t="s">
        <v>193</v>
      </c>
      <c r="M289" s="1" t="s">
        <v>237</v>
      </c>
      <c r="N289" s="1" t="s">
        <v>239</v>
      </c>
      <c r="O289" s="1" t="s">
        <v>86</v>
      </c>
      <c r="P289" s="1" t="s">
        <v>129</v>
      </c>
      <c r="Q289" s="1" t="s">
        <v>93</v>
      </c>
      <c r="R289" s="1">
        <v>2000</v>
      </c>
      <c r="S289" s="1">
        <v>13</v>
      </c>
      <c r="U289" s="1">
        <v>6500</v>
      </c>
      <c r="V289" s="1">
        <v>3</v>
      </c>
      <c r="W289" s="1">
        <v>3</v>
      </c>
      <c r="X289" s="1" t="s">
        <v>114</v>
      </c>
      <c r="Y289" s="1" t="s">
        <v>2</v>
      </c>
      <c r="Z289" s="1" t="s">
        <v>0</v>
      </c>
      <c r="AA289" s="1" t="s">
        <v>113</v>
      </c>
      <c r="AB289" s="1" t="s">
        <v>2</v>
      </c>
      <c r="AC289" s="1" t="s">
        <v>2</v>
      </c>
      <c r="AD289" s="1" t="s">
        <v>2</v>
      </c>
      <c r="AE289" s="1" t="s">
        <v>357</v>
      </c>
      <c r="AF289" s="1" t="s">
        <v>319</v>
      </c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" t="s">
        <v>286</v>
      </c>
    </row>
    <row r="290" spans="1:53" ht="14.25" hidden="1" customHeight="1">
      <c r="A290" s="2">
        <v>199</v>
      </c>
      <c r="B290" s="2" t="s">
        <v>30</v>
      </c>
      <c r="C290" s="1" t="s">
        <v>85</v>
      </c>
      <c r="D290" s="1">
        <v>2019</v>
      </c>
      <c r="E290" s="1">
        <v>2013</v>
      </c>
      <c r="F290" s="1" t="s">
        <v>143</v>
      </c>
      <c r="G290" s="1" t="s">
        <v>109</v>
      </c>
      <c r="H290" s="1">
        <v>34.363706000000001</v>
      </c>
      <c r="I290" s="1">
        <v>-112.274447</v>
      </c>
      <c r="J290" s="1" t="s">
        <v>135</v>
      </c>
      <c r="K290" s="1" t="s">
        <v>177</v>
      </c>
      <c r="L290" s="1" t="s">
        <v>193</v>
      </c>
      <c r="M290" s="1" t="s">
        <v>237</v>
      </c>
      <c r="N290" s="1" t="s">
        <v>239</v>
      </c>
      <c r="O290" s="1" t="s">
        <v>86</v>
      </c>
      <c r="P290" s="1" t="s">
        <v>211</v>
      </c>
      <c r="Q290" s="1" t="s">
        <v>93</v>
      </c>
      <c r="R290" s="1">
        <v>2000</v>
      </c>
      <c r="S290" s="1">
        <v>13</v>
      </c>
      <c r="U290" s="1">
        <v>6500</v>
      </c>
      <c r="V290" s="1">
        <v>3</v>
      </c>
      <c r="W290" s="1">
        <v>3</v>
      </c>
      <c r="X290" s="1" t="s">
        <v>134</v>
      </c>
      <c r="Y290" s="1" t="s">
        <v>2</v>
      </c>
      <c r="Z290" s="1" t="s">
        <v>0</v>
      </c>
      <c r="AA290" s="1" t="s">
        <v>98</v>
      </c>
      <c r="AB290" s="1" t="s">
        <v>159</v>
      </c>
      <c r="AC290" s="1" t="s">
        <v>204</v>
      </c>
      <c r="AD290" s="1" t="s">
        <v>100</v>
      </c>
      <c r="AE290" s="1" t="s">
        <v>357</v>
      </c>
      <c r="AF290" s="1" t="s">
        <v>320</v>
      </c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" t="s">
        <v>286</v>
      </c>
    </row>
    <row r="291" spans="1:53" ht="14.25" hidden="1" customHeight="1">
      <c r="A291" s="2">
        <v>199</v>
      </c>
      <c r="B291" s="2" t="s">
        <v>30</v>
      </c>
      <c r="C291" s="1" t="s">
        <v>85</v>
      </c>
      <c r="D291" s="1">
        <v>2019</v>
      </c>
      <c r="E291" s="1">
        <v>2013</v>
      </c>
      <c r="F291" s="1" t="s">
        <v>143</v>
      </c>
      <c r="G291" s="1" t="s">
        <v>109</v>
      </c>
      <c r="H291" s="1">
        <v>34.363706000000001</v>
      </c>
      <c r="I291" s="1">
        <v>-112.274447</v>
      </c>
      <c r="J291" s="1" t="s">
        <v>135</v>
      </c>
      <c r="K291" s="1" t="s">
        <v>177</v>
      </c>
      <c r="L291" s="1" t="s">
        <v>193</v>
      </c>
      <c r="M291" s="1" t="s">
        <v>237</v>
      </c>
      <c r="N291" s="1" t="s">
        <v>239</v>
      </c>
      <c r="O291" s="1" t="s">
        <v>86</v>
      </c>
      <c r="P291" s="1" t="s">
        <v>211</v>
      </c>
      <c r="Q291" s="1" t="s">
        <v>93</v>
      </c>
      <c r="R291" s="1">
        <v>2000</v>
      </c>
      <c r="S291" s="1">
        <v>13</v>
      </c>
      <c r="U291" s="1">
        <v>6500</v>
      </c>
      <c r="V291" s="1">
        <v>3</v>
      </c>
      <c r="W291" s="1">
        <v>3</v>
      </c>
      <c r="X291" s="1" t="s">
        <v>134</v>
      </c>
      <c r="Y291" s="1" t="s">
        <v>2</v>
      </c>
      <c r="Z291" s="1" t="s">
        <v>0</v>
      </c>
      <c r="AA291" s="1" t="s">
        <v>98</v>
      </c>
      <c r="AB291" s="1" t="s">
        <v>159</v>
      </c>
      <c r="AC291" s="1" t="s">
        <v>204</v>
      </c>
      <c r="AD291" s="1" t="s">
        <v>100</v>
      </c>
      <c r="AE291" s="1" t="s">
        <v>351</v>
      </c>
      <c r="AF291" s="1" t="s">
        <v>360</v>
      </c>
      <c r="AG291" s="12">
        <v>30.47</v>
      </c>
      <c r="AH291" s="12">
        <f>40-22.79</f>
        <v>17.21</v>
      </c>
      <c r="AI291" s="12"/>
      <c r="AJ291" s="12">
        <v>26.28</v>
      </c>
      <c r="AK291" s="12">
        <f>30.7-20.47</f>
        <v>10.23</v>
      </c>
      <c r="AL291" s="12"/>
      <c r="AM291" s="12">
        <f t="shared" ref="AM291:AM292" si="783">AG291-AJ291</f>
        <v>4.1899999999999977</v>
      </c>
      <c r="AN291" s="1">
        <f t="shared" ref="AN291:AN292" si="784">SQRT((((W291-1)*AH291^2)+((V291-1)*AK291^2))/(W291+V291-2))</f>
        <v>14.156924100947919</v>
      </c>
      <c r="AO291" s="1">
        <f t="shared" ref="AO291:AO292" si="785">AM291/AN291</f>
        <v>0.29596824635935176</v>
      </c>
      <c r="AP291" s="1">
        <f t="shared" ref="AP291:AP292" si="786">1/W291+1/V291+(AO291^2)/(2*(W291+V291))</f>
        <v>0.67396643357108577</v>
      </c>
      <c r="AQ291" s="1">
        <f t="shared" ref="AQ291:AQ292" si="787">1-(3/(4*(W291+V291-2)-1))</f>
        <v>0.8</v>
      </c>
      <c r="AR291" s="21">
        <f t="shared" ref="AR291:AR292" si="788">AO291*AQ291</f>
        <v>0.23677459708748141</v>
      </c>
      <c r="AS291" s="21">
        <f t="shared" ref="AS291:AS292" si="789">AP291*(AQ291^2)</f>
        <v>0.43133851748549495</v>
      </c>
      <c r="AT291" s="21">
        <f t="shared" ref="AT291:AT292" si="790">SQRT(AP291*AQ291^2)</f>
        <v>0.65676366943177888</v>
      </c>
      <c r="AU291" s="20">
        <f t="shared" ref="AU291:AU292" si="791">1/AS291</f>
        <v>2.3183647169502501</v>
      </c>
      <c r="AV291" s="20">
        <f t="shared" ref="AV291:AV292" si="792">AR291/AS291</f>
        <v>0.54892987175772834</v>
      </c>
      <c r="AW291" s="20">
        <f t="shared" ref="AW291:AW292" si="793">((AR291)^2)/AS291</f>
        <v>0.12997264921471896</v>
      </c>
      <c r="AX291" s="14"/>
      <c r="AY291" s="14"/>
      <c r="AZ291" s="1" t="s">
        <v>271</v>
      </c>
      <c r="BA291" s="2"/>
    </row>
    <row r="292" spans="1:53" ht="14.25" hidden="1" customHeight="1">
      <c r="A292" s="2">
        <v>199</v>
      </c>
      <c r="B292" s="2" t="s">
        <v>30</v>
      </c>
      <c r="C292" s="1" t="s">
        <v>85</v>
      </c>
      <c r="D292" s="1">
        <v>2019</v>
      </c>
      <c r="E292" s="1">
        <v>2013</v>
      </c>
      <c r="F292" s="1" t="s">
        <v>143</v>
      </c>
      <c r="G292" s="1" t="s">
        <v>109</v>
      </c>
      <c r="H292" s="1">
        <v>34.363706000000001</v>
      </c>
      <c r="I292" s="1">
        <v>-112.274447</v>
      </c>
      <c r="J292" s="1" t="s">
        <v>135</v>
      </c>
      <c r="K292" s="1" t="s">
        <v>177</v>
      </c>
      <c r="L292" s="1" t="s">
        <v>193</v>
      </c>
      <c r="M292" s="1" t="s">
        <v>237</v>
      </c>
      <c r="N292" s="1" t="s">
        <v>239</v>
      </c>
      <c r="O292" s="1" t="s">
        <v>86</v>
      </c>
      <c r="P292" s="1" t="s">
        <v>211</v>
      </c>
      <c r="Q292" s="1" t="s">
        <v>93</v>
      </c>
      <c r="R292" s="1">
        <v>2000</v>
      </c>
      <c r="S292" s="1">
        <v>13</v>
      </c>
      <c r="U292" s="1">
        <v>6500</v>
      </c>
      <c r="V292" s="1">
        <v>3</v>
      </c>
      <c r="W292" s="1">
        <v>3</v>
      </c>
      <c r="X292" s="1" t="s">
        <v>134</v>
      </c>
      <c r="Y292" s="1" t="s">
        <v>2</v>
      </c>
      <c r="Z292" s="1" t="s">
        <v>0</v>
      </c>
      <c r="AA292" s="1" t="s">
        <v>98</v>
      </c>
      <c r="AB292" s="1" t="s">
        <v>159</v>
      </c>
      <c r="AC292" s="1" t="s">
        <v>204</v>
      </c>
      <c r="AD292" s="1" t="s">
        <v>100</v>
      </c>
      <c r="AE292" s="1" t="s">
        <v>150</v>
      </c>
      <c r="AF292" s="1" t="s">
        <v>360</v>
      </c>
      <c r="AG292" s="12">
        <v>3.68</v>
      </c>
      <c r="AH292" s="12">
        <f>3.86-3.16</f>
        <v>0.69999999999999973</v>
      </c>
      <c r="AI292" s="12"/>
      <c r="AJ292" s="12">
        <v>3.33</v>
      </c>
      <c r="AK292" s="12">
        <f>3.67-2.51</f>
        <v>1.1600000000000001</v>
      </c>
      <c r="AL292" s="12"/>
      <c r="AM292" s="12">
        <f t="shared" si="783"/>
        <v>0.35000000000000009</v>
      </c>
      <c r="AN292" s="1">
        <f t="shared" si="784"/>
        <v>0.95801878895979908</v>
      </c>
      <c r="AO292" s="1">
        <f t="shared" si="785"/>
        <v>0.36533730239260159</v>
      </c>
      <c r="AP292" s="1">
        <f t="shared" si="786"/>
        <v>0.67778927870995853</v>
      </c>
      <c r="AQ292" s="1">
        <f t="shared" si="787"/>
        <v>0.8</v>
      </c>
      <c r="AR292" s="21">
        <f t="shared" si="788"/>
        <v>0.29226984191408129</v>
      </c>
      <c r="AS292" s="21">
        <f t="shared" si="789"/>
        <v>0.43378513837437355</v>
      </c>
      <c r="AT292" s="21">
        <f t="shared" si="790"/>
        <v>0.65862366976474018</v>
      </c>
      <c r="AU292" s="20">
        <f t="shared" si="791"/>
        <v>2.3052887513563474</v>
      </c>
      <c r="AV292" s="20">
        <f t="shared" si="792"/>
        <v>0.6737663789252295</v>
      </c>
      <c r="AW292" s="20">
        <f t="shared" si="793"/>
        <v>0.19692159305549981</v>
      </c>
      <c r="AX292" s="14"/>
      <c r="AY292" s="14"/>
      <c r="AZ292" s="1" t="s">
        <v>271</v>
      </c>
      <c r="BA292" s="2"/>
    </row>
    <row r="293" spans="1:53" ht="14.25" hidden="1" customHeight="1">
      <c r="A293" s="2">
        <v>199</v>
      </c>
      <c r="B293" s="2" t="s">
        <v>30</v>
      </c>
      <c r="C293" s="1" t="s">
        <v>85</v>
      </c>
      <c r="D293" s="1">
        <v>2019</v>
      </c>
      <c r="E293" s="1">
        <v>2013</v>
      </c>
      <c r="F293" s="1" t="s">
        <v>143</v>
      </c>
      <c r="G293" s="1" t="s">
        <v>109</v>
      </c>
      <c r="H293" s="1">
        <v>34.363706000000001</v>
      </c>
      <c r="I293" s="1">
        <v>-112.274447</v>
      </c>
      <c r="J293" s="1" t="s">
        <v>135</v>
      </c>
      <c r="K293" s="1" t="s">
        <v>177</v>
      </c>
      <c r="L293" s="1" t="s">
        <v>193</v>
      </c>
      <c r="M293" s="1" t="s">
        <v>237</v>
      </c>
      <c r="N293" s="1" t="s">
        <v>239</v>
      </c>
      <c r="O293" s="1" t="s">
        <v>86</v>
      </c>
      <c r="P293" s="1" t="s">
        <v>129</v>
      </c>
      <c r="Q293" s="1" t="s">
        <v>93</v>
      </c>
      <c r="R293" s="1">
        <v>2000</v>
      </c>
      <c r="S293" s="1">
        <v>13</v>
      </c>
      <c r="U293" s="1">
        <v>6500</v>
      </c>
      <c r="V293" s="1">
        <v>3</v>
      </c>
      <c r="W293" s="1">
        <v>3</v>
      </c>
      <c r="X293" s="1" t="s">
        <v>134</v>
      </c>
      <c r="Y293" s="1" t="s">
        <v>2</v>
      </c>
      <c r="Z293" s="1" t="s">
        <v>0</v>
      </c>
      <c r="AA293" s="1" t="s">
        <v>98</v>
      </c>
      <c r="AB293" s="1" t="s">
        <v>159</v>
      </c>
      <c r="AC293" s="1" t="s">
        <v>204</v>
      </c>
      <c r="AD293" s="1" t="s">
        <v>100</v>
      </c>
      <c r="AE293" s="1" t="s">
        <v>357</v>
      </c>
      <c r="AF293" s="1" t="s">
        <v>320</v>
      </c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" t="s">
        <v>286</v>
      </c>
    </row>
    <row r="294" spans="1:53" ht="14.25" hidden="1" customHeight="1">
      <c r="A294" s="2">
        <v>199</v>
      </c>
      <c r="B294" s="2" t="s">
        <v>30</v>
      </c>
      <c r="C294" s="1" t="s">
        <v>85</v>
      </c>
      <c r="D294" s="1">
        <v>2019</v>
      </c>
      <c r="E294" s="1">
        <v>2013</v>
      </c>
      <c r="F294" s="1" t="s">
        <v>143</v>
      </c>
      <c r="G294" s="1" t="s">
        <v>109</v>
      </c>
      <c r="H294" s="1">
        <v>34.363706000000001</v>
      </c>
      <c r="I294" s="1">
        <v>-112.274447</v>
      </c>
      <c r="J294" s="1" t="s">
        <v>135</v>
      </c>
      <c r="K294" s="1" t="s">
        <v>177</v>
      </c>
      <c r="L294" s="1" t="s">
        <v>193</v>
      </c>
      <c r="M294" s="1" t="s">
        <v>237</v>
      </c>
      <c r="N294" s="1" t="s">
        <v>239</v>
      </c>
      <c r="O294" s="1" t="s">
        <v>86</v>
      </c>
      <c r="P294" s="1" t="s">
        <v>129</v>
      </c>
      <c r="Q294" s="1" t="s">
        <v>93</v>
      </c>
      <c r="R294" s="1">
        <v>2000</v>
      </c>
      <c r="S294" s="1">
        <v>13</v>
      </c>
      <c r="U294" s="1">
        <v>6500</v>
      </c>
      <c r="V294" s="1">
        <v>3</v>
      </c>
      <c r="W294" s="1">
        <v>3</v>
      </c>
      <c r="X294" s="1" t="s">
        <v>134</v>
      </c>
      <c r="Y294" s="1" t="s">
        <v>2</v>
      </c>
      <c r="Z294" s="1" t="s">
        <v>0</v>
      </c>
      <c r="AA294" s="1" t="s">
        <v>98</v>
      </c>
      <c r="AB294" s="1" t="s">
        <v>159</v>
      </c>
      <c r="AC294" s="1" t="s">
        <v>204</v>
      </c>
      <c r="AD294" s="1" t="s">
        <v>100</v>
      </c>
      <c r="AE294" s="1" t="s">
        <v>351</v>
      </c>
      <c r="AF294" s="1" t="s">
        <v>360</v>
      </c>
      <c r="AG294" s="12">
        <v>29.3</v>
      </c>
      <c r="AH294" s="12">
        <f>32.09-16.74</f>
        <v>15.350000000000005</v>
      </c>
      <c r="AI294" s="12"/>
      <c r="AJ294" s="12">
        <v>26.28</v>
      </c>
      <c r="AK294" s="12">
        <f>30.7-20.47</f>
        <v>10.23</v>
      </c>
      <c r="AL294" s="12"/>
      <c r="AM294" s="12">
        <f t="shared" ref="AM294:AM295" si="794">AG294-AJ294</f>
        <v>3.0199999999999996</v>
      </c>
      <c r="AN294" s="1">
        <f t="shared" ref="AN294:AN295" si="795">SQRT((((W294-1)*AH294^2)+((V294-1)*AK294^2))/(W294+V294-2))</f>
        <v>13.043684295474192</v>
      </c>
      <c r="AO294" s="1">
        <f t="shared" ref="AO294:AO295" si="796">AM294/AN294</f>
        <v>0.23152967609372901</v>
      </c>
      <c r="AP294" s="1">
        <f t="shared" ref="AP294:AP295" si="797">1/W294+1/V294+(AO294^2)/(2*(W294+V294))</f>
        <v>0.67113383257600556</v>
      </c>
      <c r="AQ294" s="1">
        <f t="shared" ref="AQ294:AQ295" si="798">1-(3/(4*(W294+V294-2)-1))</f>
        <v>0.8</v>
      </c>
      <c r="AR294" s="21">
        <f t="shared" ref="AR294:AR295" si="799">AO294*AQ294</f>
        <v>0.18522374087498322</v>
      </c>
      <c r="AS294" s="21">
        <f t="shared" ref="AS294:AS298" si="800">AP294*(AQ294^2)</f>
        <v>0.42952565284864364</v>
      </c>
      <c r="AT294" s="21">
        <f t="shared" ref="AT294:AT295" si="801">SQRT(AP294*AQ294^2)</f>
        <v>0.65538206631601059</v>
      </c>
      <c r="AU294" s="20">
        <f t="shared" ref="AU294:AU298" si="802">1/AS294</f>
        <v>2.3281496538517112</v>
      </c>
      <c r="AV294" s="20">
        <f t="shared" ref="AV294:AV298" si="803">AR294/AS294</f>
        <v>0.43122858820321125</v>
      </c>
      <c r="AW294" s="20">
        <f t="shared" ref="AW294:AW298" si="804">((AR294)^2)/AS294</f>
        <v>7.9873772279236449E-2</v>
      </c>
      <c r="AX294" s="14"/>
      <c r="AY294" s="14"/>
      <c r="AZ294" s="1" t="s">
        <v>271</v>
      </c>
      <c r="BA294" s="2"/>
    </row>
    <row r="295" spans="1:53" ht="14.25" hidden="1" customHeight="1">
      <c r="A295" s="2">
        <v>199</v>
      </c>
      <c r="B295" s="2" t="s">
        <v>30</v>
      </c>
      <c r="C295" s="1" t="s">
        <v>85</v>
      </c>
      <c r="D295" s="1">
        <v>2019</v>
      </c>
      <c r="E295" s="1">
        <v>2013</v>
      </c>
      <c r="F295" s="1" t="s">
        <v>143</v>
      </c>
      <c r="G295" s="1" t="s">
        <v>109</v>
      </c>
      <c r="H295" s="1">
        <v>34.363706000000001</v>
      </c>
      <c r="I295" s="1">
        <v>-112.274447</v>
      </c>
      <c r="J295" s="1" t="s">
        <v>135</v>
      </c>
      <c r="K295" s="1" t="s">
        <v>177</v>
      </c>
      <c r="L295" s="1" t="s">
        <v>193</v>
      </c>
      <c r="M295" s="1" t="s">
        <v>237</v>
      </c>
      <c r="N295" s="1" t="s">
        <v>239</v>
      </c>
      <c r="O295" s="1" t="s">
        <v>86</v>
      </c>
      <c r="P295" s="1" t="s">
        <v>129</v>
      </c>
      <c r="Q295" s="1" t="s">
        <v>93</v>
      </c>
      <c r="R295" s="1">
        <v>2000</v>
      </c>
      <c r="S295" s="1">
        <v>13</v>
      </c>
      <c r="U295" s="1">
        <v>6500</v>
      </c>
      <c r="V295" s="1">
        <v>3</v>
      </c>
      <c r="W295" s="1">
        <v>3</v>
      </c>
      <c r="X295" s="1" t="s">
        <v>134</v>
      </c>
      <c r="Y295" s="1" t="s">
        <v>2</v>
      </c>
      <c r="Z295" s="1" t="s">
        <v>0</v>
      </c>
      <c r="AA295" s="1" t="s">
        <v>98</v>
      </c>
      <c r="AB295" s="1" t="s">
        <v>159</v>
      </c>
      <c r="AC295" s="1" t="s">
        <v>204</v>
      </c>
      <c r="AD295" s="1" t="s">
        <v>100</v>
      </c>
      <c r="AE295" s="1" t="s">
        <v>150</v>
      </c>
      <c r="AF295" s="1" t="s">
        <v>360</v>
      </c>
      <c r="AG295" s="12">
        <v>2.4900000000000002</v>
      </c>
      <c r="AH295" s="12">
        <f>2.6-1.98</f>
        <v>0.62000000000000011</v>
      </c>
      <c r="AI295" s="12"/>
      <c r="AJ295" s="12">
        <v>3.33</v>
      </c>
      <c r="AK295" s="12">
        <f>3.67-2.51</f>
        <v>1.1600000000000001</v>
      </c>
      <c r="AL295" s="12"/>
      <c r="AM295" s="12">
        <f t="shared" si="794"/>
        <v>-0.83999999999999986</v>
      </c>
      <c r="AN295" s="1">
        <f t="shared" si="795"/>
        <v>0.9300537618869138</v>
      </c>
      <c r="AO295" s="1">
        <f t="shared" si="796"/>
        <v>-0.90317359535838992</v>
      </c>
      <c r="AP295" s="1">
        <f t="shared" si="797"/>
        <v>0.73464354527938336</v>
      </c>
      <c r="AQ295" s="1">
        <f t="shared" si="798"/>
        <v>0.8</v>
      </c>
      <c r="AR295" s="21">
        <f t="shared" si="799"/>
        <v>-0.72253887628671198</v>
      </c>
      <c r="AS295" s="21">
        <f t="shared" si="800"/>
        <v>0.47017186897880542</v>
      </c>
      <c r="AT295" s="21">
        <f t="shared" si="801"/>
        <v>0.68569079691855672</v>
      </c>
      <c r="AU295" s="20">
        <f t="shared" si="802"/>
        <v>2.1268818191355434</v>
      </c>
      <c r="AV295" s="20">
        <f t="shared" si="803"/>
        <v>-1.5367547995928332</v>
      </c>
      <c r="AW295" s="20">
        <f t="shared" si="804"/>
        <v>1.110365086026017</v>
      </c>
      <c r="AX295" s="14"/>
      <c r="AY295" s="14"/>
      <c r="AZ295" s="1" t="s">
        <v>271</v>
      </c>
      <c r="BA295" s="2"/>
    </row>
    <row r="296" spans="1:53" ht="14.25" hidden="1" customHeight="1">
      <c r="A296" s="2">
        <v>43</v>
      </c>
      <c r="B296" s="2" t="s">
        <v>9</v>
      </c>
      <c r="C296" s="1" t="s">
        <v>85</v>
      </c>
      <c r="D296" s="1">
        <v>2023</v>
      </c>
      <c r="E296" s="1">
        <v>2020</v>
      </c>
      <c r="F296" s="1" t="s">
        <v>153</v>
      </c>
      <c r="G296" s="1" t="s">
        <v>160</v>
      </c>
      <c r="H296" s="1">
        <v>49.094827000000002</v>
      </c>
      <c r="I296" s="1">
        <v>-121.06218200000001</v>
      </c>
      <c r="J296" s="1" t="s">
        <v>128</v>
      </c>
      <c r="K296" s="1" t="s">
        <v>175</v>
      </c>
      <c r="L296" s="1" t="s">
        <v>176</v>
      </c>
      <c r="M296" s="1" t="s">
        <v>237</v>
      </c>
      <c r="N296" s="1" t="s">
        <v>239</v>
      </c>
      <c r="O296" s="1" t="s">
        <v>86</v>
      </c>
      <c r="P296" s="1" t="s">
        <v>146</v>
      </c>
      <c r="Q296" s="1" t="s">
        <v>93</v>
      </c>
      <c r="R296" s="1">
        <v>2020</v>
      </c>
      <c r="S296" s="1" t="s">
        <v>157</v>
      </c>
      <c r="U296" s="1" t="s">
        <v>156</v>
      </c>
      <c r="V296" s="1">
        <v>4</v>
      </c>
      <c r="W296" s="1">
        <v>2</v>
      </c>
      <c r="X296" s="1" t="s">
        <v>97</v>
      </c>
      <c r="Y296" s="1" t="s">
        <v>130</v>
      </c>
      <c r="Z296" s="1" t="s">
        <v>1</v>
      </c>
      <c r="AA296" s="1" t="s">
        <v>98</v>
      </c>
      <c r="AB296" s="1" t="s">
        <v>203</v>
      </c>
      <c r="AC296" s="1" t="s">
        <v>99</v>
      </c>
      <c r="AD296" s="1" t="s">
        <v>102</v>
      </c>
      <c r="AE296" s="1" t="s">
        <v>149</v>
      </c>
      <c r="AF296" s="1" t="s">
        <v>322</v>
      </c>
      <c r="AG296" s="1">
        <v>3.45</v>
      </c>
      <c r="AH296" s="1">
        <f>AI296*SQRT(W296)</f>
        <v>0.32526911934581187</v>
      </c>
      <c r="AI296" s="1">
        <f>3.54-3.31</f>
        <v>0.22999999999999998</v>
      </c>
      <c r="AJ296" s="1">
        <v>4.09</v>
      </c>
      <c r="AK296" s="1">
        <f>AL296*SQRT(V296)</f>
        <v>0.37999999999999901</v>
      </c>
      <c r="AL296" s="1">
        <f>4.18-3.99</f>
        <v>0.1899999999999995</v>
      </c>
      <c r="AM296" s="12">
        <f t="shared" si="459"/>
        <v>-0.63999999999999968</v>
      </c>
      <c r="AN296" s="1">
        <f t="shared" si="679"/>
        <v>0.36708309685955226</v>
      </c>
      <c r="AO296" s="1">
        <f t="shared" si="525"/>
        <v>-1.7434744489062288</v>
      </c>
      <c r="AP296" s="1">
        <f t="shared" si="680"/>
        <v>1.00330859616574</v>
      </c>
      <c r="AQ296" s="1">
        <f t="shared" si="681"/>
        <v>0.8</v>
      </c>
      <c r="AR296" s="21">
        <f t="shared" si="526"/>
        <v>-1.3947795591249832</v>
      </c>
      <c r="AS296" s="21">
        <f t="shared" si="800"/>
        <v>0.64211750154607372</v>
      </c>
      <c r="AT296" s="21">
        <f t="shared" si="594"/>
        <v>0.8013223455926296</v>
      </c>
      <c r="AU296" s="20">
        <f t="shared" si="802"/>
        <v>1.5573473664745567</v>
      </c>
      <c r="AV296" s="20">
        <f t="shared" si="803"/>
        <v>-2.1721562732158359</v>
      </c>
      <c r="AW296" s="20">
        <f t="shared" si="804"/>
        <v>3.0296791691065499</v>
      </c>
      <c r="AX296" s="14"/>
      <c r="AY296" s="14"/>
      <c r="AZ296" s="1" t="s">
        <v>271</v>
      </c>
      <c r="BA296" s="2"/>
    </row>
    <row r="297" spans="1:53" ht="14.25" hidden="1" customHeight="1">
      <c r="A297" s="2">
        <v>43</v>
      </c>
      <c r="B297" s="2" t="s">
        <v>9</v>
      </c>
      <c r="C297" s="1" t="s">
        <v>85</v>
      </c>
      <c r="D297" s="1">
        <v>2023</v>
      </c>
      <c r="E297" s="1">
        <v>2020</v>
      </c>
      <c r="F297" s="1" t="s">
        <v>153</v>
      </c>
      <c r="G297" s="1" t="s">
        <v>160</v>
      </c>
      <c r="H297" s="1">
        <v>49.094827000000002</v>
      </c>
      <c r="I297" s="1">
        <v>-121.06218200000001</v>
      </c>
      <c r="J297" s="1" t="s">
        <v>128</v>
      </c>
      <c r="K297" s="1" t="s">
        <v>175</v>
      </c>
      <c r="L297" s="1" t="s">
        <v>176</v>
      </c>
      <c r="M297" s="1" t="s">
        <v>237</v>
      </c>
      <c r="N297" s="1" t="s">
        <v>239</v>
      </c>
      <c r="O297" s="1" t="s">
        <v>86</v>
      </c>
      <c r="P297" s="1" t="s">
        <v>146</v>
      </c>
      <c r="Q297" s="1" t="s">
        <v>93</v>
      </c>
      <c r="R297" s="1">
        <v>2020</v>
      </c>
      <c r="S297" s="1" t="s">
        <v>157</v>
      </c>
      <c r="U297" s="1" t="s">
        <v>156</v>
      </c>
      <c r="V297" s="1">
        <v>4</v>
      </c>
      <c r="W297" s="1">
        <v>2</v>
      </c>
      <c r="X297" s="1" t="s">
        <v>97</v>
      </c>
      <c r="Y297" s="1" t="s">
        <v>130</v>
      </c>
      <c r="Z297" s="1" t="s">
        <v>1</v>
      </c>
      <c r="AA297" s="1" t="s">
        <v>98</v>
      </c>
      <c r="AB297" s="1" t="s">
        <v>203</v>
      </c>
      <c r="AC297" s="1" t="s">
        <v>99</v>
      </c>
      <c r="AD297" s="1" t="s">
        <v>102</v>
      </c>
      <c r="AE297" s="1" t="s">
        <v>150</v>
      </c>
      <c r="AF297" s="1" t="s">
        <v>320</v>
      </c>
      <c r="AG297" s="1">
        <v>21.81</v>
      </c>
      <c r="AH297" s="1">
        <f t="shared" ref="AH297:AH298" si="805">AI297*SQRT(W297)</f>
        <v>14.948237354283616</v>
      </c>
      <c r="AI297" s="1">
        <f>27.25-16.68</f>
        <v>10.57</v>
      </c>
      <c r="AJ297" s="1">
        <v>23.32</v>
      </c>
      <c r="AK297" s="1">
        <f t="shared" ref="AK297:AK298" si="806">AL297*SQRT(V297)</f>
        <v>10.119999999999997</v>
      </c>
      <c r="AL297" s="1">
        <f>25.06-20</f>
        <v>5.0599999999999987</v>
      </c>
      <c r="AM297" s="12">
        <f t="shared" ref="AM297:AM298" si="807">AG297-AJ297</f>
        <v>-1.5100000000000016</v>
      </c>
      <c r="AN297" s="1">
        <f t="shared" ref="AN297:AN298" si="808">SQRT((((W297-1)*AH297^2)+((V297-1)*AK297^2))/(W297+V297-2))</f>
        <v>11.518387473947904</v>
      </c>
      <c r="AO297" s="1">
        <f t="shared" ref="AO297:AO298" si="809">AM297/AN297</f>
        <v>-0.1310947390348948</v>
      </c>
      <c r="AP297" s="1">
        <f t="shared" ref="AP297:AP298" si="810">1/W297+1/V297+(AO297^2)/(2*(W297+V297))</f>
        <v>0.75143215255021889</v>
      </c>
      <c r="AQ297" s="1">
        <f t="shared" ref="AQ297:AQ298" si="811">1-(3/(4*(W297+V297-2)-1))</f>
        <v>0.8</v>
      </c>
      <c r="AR297" s="21">
        <f t="shared" ref="AR297:AR298" si="812">AO297*AQ297</f>
        <v>-0.10487579122791585</v>
      </c>
      <c r="AS297" s="21">
        <f t="shared" si="800"/>
        <v>0.48091657763214019</v>
      </c>
      <c r="AT297" s="21">
        <f t="shared" ref="AT297:AT298" si="813">SQRT(AP297*AQ297^2)</f>
        <v>0.69348149047551388</v>
      </c>
      <c r="AU297" s="20">
        <f t="shared" si="802"/>
        <v>2.0793627138487083</v>
      </c>
      <c r="AV297" s="20">
        <f t="shared" si="803"/>
        <v>-0.21807480986470965</v>
      </c>
      <c r="AW297" s="20">
        <f t="shared" si="804"/>
        <v>2.2870768231438732E-2</v>
      </c>
      <c r="AX297" s="14"/>
      <c r="AY297" s="14"/>
      <c r="AZ297" s="1" t="s">
        <v>271</v>
      </c>
      <c r="BA297" s="2"/>
    </row>
    <row r="298" spans="1:53" ht="14.25" customHeight="1">
      <c r="A298" s="2">
        <v>43</v>
      </c>
      <c r="B298" s="2" t="s">
        <v>9</v>
      </c>
      <c r="C298" s="1" t="s">
        <v>85</v>
      </c>
      <c r="D298" s="1">
        <v>2023</v>
      </c>
      <c r="E298" s="1">
        <v>2020</v>
      </c>
      <c r="F298" s="1" t="s">
        <v>153</v>
      </c>
      <c r="G298" s="1" t="s">
        <v>160</v>
      </c>
      <c r="H298" s="1">
        <v>49.094827000000002</v>
      </c>
      <c r="I298" s="1">
        <v>-121.06218200000001</v>
      </c>
      <c r="J298" s="1" t="s">
        <v>128</v>
      </c>
      <c r="K298" s="1" t="s">
        <v>175</v>
      </c>
      <c r="L298" s="1" t="s">
        <v>176</v>
      </c>
      <c r="M298" s="1" t="s">
        <v>237</v>
      </c>
      <c r="N298" s="1" t="s">
        <v>239</v>
      </c>
      <c r="O298" s="1" t="s">
        <v>86</v>
      </c>
      <c r="P298" s="1" t="s">
        <v>146</v>
      </c>
      <c r="Q298" s="1" t="s">
        <v>93</v>
      </c>
      <c r="R298" s="1">
        <v>2020</v>
      </c>
      <c r="S298" s="1" t="s">
        <v>157</v>
      </c>
      <c r="U298" s="1" t="s">
        <v>156</v>
      </c>
      <c r="V298" s="1">
        <v>4</v>
      </c>
      <c r="W298" s="1">
        <v>2</v>
      </c>
      <c r="X298" s="1" t="s">
        <v>97</v>
      </c>
      <c r="Y298" s="1" t="s">
        <v>130</v>
      </c>
      <c r="Z298" s="1" t="s">
        <v>1</v>
      </c>
      <c r="AA298" s="1" t="s">
        <v>98</v>
      </c>
      <c r="AB298" s="1" t="s">
        <v>203</v>
      </c>
      <c r="AC298" s="1" t="s">
        <v>99</v>
      </c>
      <c r="AD298" s="1" t="s">
        <v>102</v>
      </c>
      <c r="AE298" s="1" t="s">
        <v>151</v>
      </c>
      <c r="AF298" s="1" t="s">
        <v>320</v>
      </c>
      <c r="AG298" s="1">
        <v>64.98</v>
      </c>
      <c r="AH298" s="1">
        <f t="shared" si="805"/>
        <v>24.112341238461269</v>
      </c>
      <c r="AI298" s="1">
        <f>73.6-56.55</f>
        <v>17.049999999999997</v>
      </c>
      <c r="AJ298" s="1">
        <v>77.34</v>
      </c>
      <c r="AK298" s="1">
        <f t="shared" si="806"/>
        <v>29.580000000000013</v>
      </c>
      <c r="AL298" s="1">
        <f>84.64-69.85</f>
        <v>14.790000000000006</v>
      </c>
      <c r="AM298" s="12">
        <f t="shared" si="807"/>
        <v>-12.36</v>
      </c>
      <c r="AN298" s="1">
        <f t="shared" si="808"/>
        <v>28.312250881906238</v>
      </c>
      <c r="AO298" s="1">
        <f t="shared" si="809"/>
        <v>-0.43656013262792237</v>
      </c>
      <c r="AP298" s="1">
        <f t="shared" si="810"/>
        <v>0.76588206245000912</v>
      </c>
      <c r="AQ298" s="1">
        <f t="shared" si="811"/>
        <v>0.8</v>
      </c>
      <c r="AR298" s="21">
        <f t="shared" si="812"/>
        <v>-0.34924810610233792</v>
      </c>
      <c r="AS298" s="21">
        <f t="shared" si="800"/>
        <v>0.49016451996800592</v>
      </c>
      <c r="AT298" s="21">
        <f t="shared" si="813"/>
        <v>0.70011750440051557</v>
      </c>
      <c r="AU298" s="20">
        <f t="shared" si="802"/>
        <v>2.0401313421568581</v>
      </c>
      <c r="AV298" s="20">
        <f t="shared" si="803"/>
        <v>-0.71251200744830345</v>
      </c>
      <c r="AW298" s="20">
        <f t="shared" si="804"/>
        <v>0.24884346917649489</v>
      </c>
      <c r="AX298" s="14"/>
      <c r="AY298" s="14"/>
      <c r="AZ298" s="1" t="s">
        <v>271</v>
      </c>
      <c r="BA298" s="2"/>
    </row>
    <row r="299" spans="1:53" ht="14.25" hidden="1" customHeight="1">
      <c r="A299" s="2">
        <v>43</v>
      </c>
      <c r="B299" s="2" t="s">
        <v>9</v>
      </c>
      <c r="C299" s="1" t="s">
        <v>85</v>
      </c>
      <c r="D299" s="1">
        <v>2023</v>
      </c>
      <c r="E299" s="1">
        <v>2020</v>
      </c>
      <c r="F299" s="1" t="s">
        <v>153</v>
      </c>
      <c r="G299" s="1" t="s">
        <v>160</v>
      </c>
      <c r="H299" s="1">
        <v>49.094827000000002</v>
      </c>
      <c r="I299" s="1">
        <v>-121.06218200000001</v>
      </c>
      <c r="J299" s="1" t="s">
        <v>128</v>
      </c>
      <c r="K299" s="1" t="s">
        <v>175</v>
      </c>
      <c r="L299" s="1" t="s">
        <v>176</v>
      </c>
      <c r="M299" s="1" t="s">
        <v>237</v>
      </c>
      <c r="N299" s="1" t="s">
        <v>239</v>
      </c>
      <c r="O299" s="1" t="s">
        <v>86</v>
      </c>
      <c r="P299" s="1" t="s">
        <v>146</v>
      </c>
      <c r="Q299" s="1" t="s">
        <v>93</v>
      </c>
      <c r="R299" s="1">
        <v>2020</v>
      </c>
      <c r="S299" s="1" t="s">
        <v>157</v>
      </c>
      <c r="U299" s="1" t="s">
        <v>156</v>
      </c>
      <c r="V299" s="1">
        <v>4</v>
      </c>
      <c r="W299" s="1">
        <v>2</v>
      </c>
      <c r="X299" s="1" t="s">
        <v>97</v>
      </c>
      <c r="Y299" s="1" t="s">
        <v>130</v>
      </c>
      <c r="Z299" s="1" t="s">
        <v>1</v>
      </c>
      <c r="AA299" s="1" t="s">
        <v>98</v>
      </c>
      <c r="AB299" s="1" t="s">
        <v>203</v>
      </c>
      <c r="AC299" s="1" t="s">
        <v>99</v>
      </c>
      <c r="AD299" s="1" t="s">
        <v>102</v>
      </c>
      <c r="AE299" s="12" t="s">
        <v>357</v>
      </c>
      <c r="AF299" s="1" t="s">
        <v>319</v>
      </c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" t="s">
        <v>286</v>
      </c>
    </row>
    <row r="300" spans="1:53" ht="14.25" hidden="1" customHeight="1">
      <c r="A300" s="2">
        <v>43</v>
      </c>
      <c r="B300" s="2" t="s">
        <v>9</v>
      </c>
      <c r="C300" s="1" t="s">
        <v>85</v>
      </c>
      <c r="D300" s="1">
        <v>2023</v>
      </c>
      <c r="E300" s="1">
        <v>2020</v>
      </c>
      <c r="F300" s="1" t="s">
        <v>153</v>
      </c>
      <c r="G300" s="1" t="s">
        <v>160</v>
      </c>
      <c r="H300" s="1">
        <v>49.094827000000002</v>
      </c>
      <c r="I300" s="1">
        <v>-121.06218200000001</v>
      </c>
      <c r="J300" s="1" t="s">
        <v>128</v>
      </c>
      <c r="K300" s="1" t="s">
        <v>175</v>
      </c>
      <c r="L300" s="1" t="s">
        <v>176</v>
      </c>
      <c r="M300" s="1" t="s">
        <v>237</v>
      </c>
      <c r="N300" s="1" t="s">
        <v>239</v>
      </c>
      <c r="O300" s="1" t="s">
        <v>86</v>
      </c>
      <c r="P300" s="1" t="s">
        <v>146</v>
      </c>
      <c r="Q300" s="1" t="s">
        <v>93</v>
      </c>
      <c r="R300" s="1">
        <v>2020</v>
      </c>
      <c r="S300" s="1" t="s">
        <v>157</v>
      </c>
      <c r="U300" s="1" t="s">
        <v>156</v>
      </c>
      <c r="V300" s="1">
        <v>4</v>
      </c>
      <c r="W300" s="1">
        <v>2</v>
      </c>
      <c r="X300" s="1" t="s">
        <v>97</v>
      </c>
      <c r="Y300" s="1" t="s">
        <v>233</v>
      </c>
      <c r="Z300" s="1" t="s">
        <v>1</v>
      </c>
      <c r="AA300" s="1" t="s">
        <v>98</v>
      </c>
      <c r="AB300" s="1" t="s">
        <v>203</v>
      </c>
      <c r="AC300" s="1" t="s">
        <v>99</v>
      </c>
      <c r="AD300" s="1" t="s">
        <v>102</v>
      </c>
      <c r="AE300" s="1" t="s">
        <v>149</v>
      </c>
      <c r="AF300" s="1" t="s">
        <v>322</v>
      </c>
      <c r="AG300" s="1">
        <v>3.55</v>
      </c>
      <c r="AH300" s="1">
        <f t="shared" ref="AH300:AH318" si="814">AI300*SQRT(W300)</f>
        <v>0.39597979746446699</v>
      </c>
      <c r="AI300" s="1">
        <f>3.7-3.42</f>
        <v>0.28000000000000025</v>
      </c>
      <c r="AJ300" s="1">
        <v>3.25</v>
      </c>
      <c r="AK300" s="1">
        <f t="shared" ref="AK300:AK316" si="815">AL300*SQRT(V300)</f>
        <v>0.45999999999999996</v>
      </c>
      <c r="AL300" s="1">
        <f>3.36-3.13</f>
        <v>0.22999999999999998</v>
      </c>
      <c r="AM300" s="12">
        <f t="shared" ref="AM300" si="816">AG300-AJ300</f>
        <v>0.29999999999999982</v>
      </c>
      <c r="AN300" s="1">
        <f t="shared" ref="AN300" si="817">SQRT((((W300-1)*AH300^2)+((V300-1)*AK300^2))/(W300+V300-2))</f>
        <v>0.44485952839070447</v>
      </c>
      <c r="AO300" s="1">
        <f t="shared" ref="AO300" si="818">AM300/AN300</f>
        <v>0.67437017947049649</v>
      </c>
      <c r="AP300" s="1">
        <f t="shared" ref="AP300" si="819">1/W300+1/V300+(AO300^2)/(2*(W300+V300))</f>
        <v>0.78789792824658911</v>
      </c>
      <c r="AQ300" s="1">
        <f t="shared" ref="AQ300" si="820">1-(3/(4*(W300+V300-2)-1))</f>
        <v>0.8</v>
      </c>
      <c r="AR300" s="21">
        <f t="shared" ref="AR300" si="821">AO300*AQ300</f>
        <v>0.53949614357639719</v>
      </c>
      <c r="AS300" s="21">
        <f t="shared" ref="AS300:AS302" si="822">AP300*(AQ300^2)</f>
        <v>0.5042546740778171</v>
      </c>
      <c r="AT300" s="21">
        <f t="shared" ref="AT300" si="823">SQRT(AP300*AQ300^2)</f>
        <v>0.71010891705274137</v>
      </c>
      <c r="AU300" s="20">
        <f t="shared" ref="AU300:AU302" si="824">1/AS300</f>
        <v>1.9831248997915665</v>
      </c>
      <c r="AV300" s="20">
        <f t="shared" ref="AV300:AV302" si="825">AR300/AS300</f>
        <v>1.0698882356678792</v>
      </c>
      <c r="AW300" s="20">
        <f t="shared" ref="AW300:AW302" si="826">((AR300)^2)/AS300</f>
        <v>0.57720057720057649</v>
      </c>
      <c r="AX300" s="14"/>
      <c r="AY300" s="14"/>
      <c r="AZ300" s="1" t="s">
        <v>271</v>
      </c>
      <c r="BA300" s="2"/>
    </row>
    <row r="301" spans="1:53" ht="14.25" hidden="1" customHeight="1">
      <c r="A301" s="2">
        <v>43</v>
      </c>
      <c r="B301" s="2" t="s">
        <v>9</v>
      </c>
      <c r="C301" s="1" t="s">
        <v>85</v>
      </c>
      <c r="D301" s="1">
        <v>2023</v>
      </c>
      <c r="E301" s="1">
        <v>2020</v>
      </c>
      <c r="F301" s="1" t="s">
        <v>153</v>
      </c>
      <c r="G301" s="1" t="s">
        <v>160</v>
      </c>
      <c r="H301" s="1">
        <v>49.094827000000002</v>
      </c>
      <c r="I301" s="1">
        <v>-121.06218200000001</v>
      </c>
      <c r="J301" s="1" t="s">
        <v>128</v>
      </c>
      <c r="K301" s="1" t="s">
        <v>175</v>
      </c>
      <c r="L301" s="1" t="s">
        <v>176</v>
      </c>
      <c r="M301" s="1" t="s">
        <v>237</v>
      </c>
      <c r="N301" s="1" t="s">
        <v>239</v>
      </c>
      <c r="O301" s="1" t="s">
        <v>86</v>
      </c>
      <c r="P301" s="1" t="s">
        <v>146</v>
      </c>
      <c r="Q301" s="1" t="s">
        <v>93</v>
      </c>
      <c r="R301" s="1">
        <v>2020</v>
      </c>
      <c r="S301" s="1" t="s">
        <v>157</v>
      </c>
      <c r="U301" s="1" t="s">
        <v>156</v>
      </c>
      <c r="V301" s="1">
        <v>4</v>
      </c>
      <c r="W301" s="1">
        <v>2</v>
      </c>
      <c r="X301" s="1" t="s">
        <v>97</v>
      </c>
      <c r="Y301" s="1" t="s">
        <v>233</v>
      </c>
      <c r="Z301" s="1" t="s">
        <v>1</v>
      </c>
      <c r="AA301" s="1" t="s">
        <v>98</v>
      </c>
      <c r="AB301" s="1" t="s">
        <v>203</v>
      </c>
      <c r="AC301" s="1" t="s">
        <v>99</v>
      </c>
      <c r="AD301" s="1" t="s">
        <v>102</v>
      </c>
      <c r="AE301" s="1" t="s">
        <v>150</v>
      </c>
      <c r="AF301" s="1" t="s">
        <v>320</v>
      </c>
      <c r="AG301" s="1">
        <v>34.79</v>
      </c>
      <c r="AH301" s="1">
        <f t="shared" si="814"/>
        <v>7.4811897449536717</v>
      </c>
      <c r="AI301" s="1">
        <f>37.51-32.22</f>
        <v>5.2899999999999991</v>
      </c>
      <c r="AJ301" s="1">
        <v>26.87</v>
      </c>
      <c r="AK301" s="1">
        <f t="shared" si="815"/>
        <v>9.1999999999999957</v>
      </c>
      <c r="AL301" s="1">
        <f>29.7-25.1</f>
        <v>4.5999999999999979</v>
      </c>
      <c r="AM301" s="12">
        <f>AG301-AJ301</f>
        <v>7.9199999999999982</v>
      </c>
      <c r="AN301" s="1">
        <f t="shared" ref="AN301" si="827">SQRT((((W301-1)*AH301^2)+((V301-1)*AK301^2))/(W301+V301-2))</f>
        <v>8.8018208343501243</v>
      </c>
      <c r="AO301" s="1">
        <f t="shared" ref="AO301" si="828">AM301/AN301</f>
        <v>0.89981381682881811</v>
      </c>
      <c r="AP301" s="1">
        <f t="shared" ref="AP301" si="829">1/W301+1/V301+(AO301^2)/(2*(W301+V301))</f>
        <v>0.81747207541300382</v>
      </c>
      <c r="AQ301" s="1">
        <f t="shared" ref="AQ301" si="830">1-(3/(4*(W301+V301-2)-1))</f>
        <v>0.8</v>
      </c>
      <c r="AR301" s="21">
        <f t="shared" ref="AR301" si="831">AO301*AQ301</f>
        <v>0.71985105346305456</v>
      </c>
      <c r="AS301" s="21">
        <f t="shared" si="822"/>
        <v>0.52318212826432253</v>
      </c>
      <c r="AT301" s="21">
        <f t="shared" ref="AT301" si="832">SQRT(AP301*AQ301^2)</f>
        <v>0.72331329882999007</v>
      </c>
      <c r="AU301" s="20">
        <f t="shared" si="824"/>
        <v>1.9113802746235611</v>
      </c>
      <c r="AV301" s="20">
        <f t="shared" si="825"/>
        <v>1.375909104256273</v>
      </c>
      <c r="AW301" s="20">
        <f t="shared" si="826"/>
        <v>0.99044961816828581</v>
      </c>
      <c r="AX301" s="14"/>
      <c r="AY301" s="14"/>
      <c r="AZ301" s="1" t="s">
        <v>271</v>
      </c>
      <c r="BA301" s="2"/>
    </row>
    <row r="302" spans="1:53" ht="14.25" customHeight="1">
      <c r="A302" s="2">
        <v>43</v>
      </c>
      <c r="B302" s="2" t="s">
        <v>9</v>
      </c>
      <c r="C302" s="1" t="s">
        <v>85</v>
      </c>
      <c r="D302" s="1">
        <v>2023</v>
      </c>
      <c r="E302" s="1">
        <v>2020</v>
      </c>
      <c r="F302" s="1" t="s">
        <v>153</v>
      </c>
      <c r="G302" s="1" t="s">
        <v>160</v>
      </c>
      <c r="H302" s="1">
        <v>49.094827000000002</v>
      </c>
      <c r="I302" s="1">
        <v>-121.06218200000001</v>
      </c>
      <c r="J302" s="1" t="s">
        <v>128</v>
      </c>
      <c r="K302" s="1" t="s">
        <v>175</v>
      </c>
      <c r="L302" s="1" t="s">
        <v>176</v>
      </c>
      <c r="M302" s="1" t="s">
        <v>237</v>
      </c>
      <c r="N302" s="1" t="s">
        <v>239</v>
      </c>
      <c r="O302" s="1" t="s">
        <v>86</v>
      </c>
      <c r="P302" s="1" t="s">
        <v>146</v>
      </c>
      <c r="Q302" s="1" t="s">
        <v>93</v>
      </c>
      <c r="R302" s="1">
        <v>2020</v>
      </c>
      <c r="S302" s="1" t="s">
        <v>157</v>
      </c>
      <c r="U302" s="1" t="s">
        <v>156</v>
      </c>
      <c r="V302" s="1">
        <v>4</v>
      </c>
      <c r="W302" s="1">
        <v>2</v>
      </c>
      <c r="X302" s="1" t="s">
        <v>97</v>
      </c>
      <c r="Y302" s="1" t="s">
        <v>233</v>
      </c>
      <c r="Z302" s="1" t="s">
        <v>1</v>
      </c>
      <c r="AA302" s="1" t="s">
        <v>98</v>
      </c>
      <c r="AB302" s="1" t="s">
        <v>203</v>
      </c>
      <c r="AC302" s="1" t="s">
        <v>99</v>
      </c>
      <c r="AD302" s="1" t="s">
        <v>102</v>
      </c>
      <c r="AE302" s="1" t="s">
        <v>151</v>
      </c>
      <c r="AF302" s="1" t="s">
        <v>320</v>
      </c>
      <c r="AG302" s="1">
        <v>49.4</v>
      </c>
      <c r="AH302" s="1">
        <f t="shared" si="814"/>
        <v>7.1417784899841266</v>
      </c>
      <c r="AI302" s="1">
        <f>52.62-47.57</f>
        <v>5.0499999999999972</v>
      </c>
      <c r="AJ302" s="1">
        <v>47.38</v>
      </c>
      <c r="AK302" s="1">
        <f t="shared" si="815"/>
        <v>13.099999999999994</v>
      </c>
      <c r="AL302" s="1">
        <f>51.12-44.57</f>
        <v>6.5499999999999972</v>
      </c>
      <c r="AM302" s="12">
        <f t="shared" ref="AM302" si="833">AG302-AJ302</f>
        <v>2.019999999999996</v>
      </c>
      <c r="AN302" s="1">
        <f t="shared" ref="AN302" si="834">SQRT((((W302-1)*AH302^2)+((V302-1)*AK302^2))/(W302+V302-2))</f>
        <v>11.893643260162122</v>
      </c>
      <c r="AO302" s="1">
        <f t="shared" ref="AO302" si="835">AM302/AN302</f>
        <v>0.16983862352471982</v>
      </c>
      <c r="AP302" s="1">
        <f t="shared" ref="AP302" si="836">1/W302+1/V302+(AO302^2)/(2*(W302+V302))</f>
        <v>0.7524037631700643</v>
      </c>
      <c r="AQ302" s="1">
        <f t="shared" ref="AQ302" si="837">1-(3/(4*(W302+V302-2)-1))</f>
        <v>0.8</v>
      </c>
      <c r="AR302" s="21">
        <f t="shared" ref="AR302" si="838">AO302*AQ302</f>
        <v>0.13587089881977585</v>
      </c>
      <c r="AS302" s="21">
        <f t="shared" si="822"/>
        <v>0.48153840842884127</v>
      </c>
      <c r="AT302" s="21">
        <f t="shared" ref="AT302" si="839">SQRT(AP302*AQ302^2)</f>
        <v>0.69392968550771861</v>
      </c>
      <c r="AU302" s="20">
        <f t="shared" si="824"/>
        <v>2.0766775453339021</v>
      </c>
      <c r="AV302" s="20">
        <f t="shared" si="825"/>
        <v>0.28216004464336308</v>
      </c>
      <c r="AW302" s="20">
        <f t="shared" si="826"/>
        <v>3.8337338876721819E-2</v>
      </c>
      <c r="AX302" s="14"/>
      <c r="AY302" s="14"/>
      <c r="AZ302" s="1" t="s">
        <v>271</v>
      </c>
      <c r="BA302" s="2"/>
    </row>
    <row r="303" spans="1:53" ht="14.25" hidden="1" customHeight="1">
      <c r="A303" s="2">
        <v>43</v>
      </c>
      <c r="B303" s="2" t="s">
        <v>9</v>
      </c>
      <c r="C303" s="1" t="s">
        <v>85</v>
      </c>
      <c r="D303" s="1">
        <v>2023</v>
      </c>
      <c r="E303" s="1">
        <v>2020</v>
      </c>
      <c r="F303" s="1" t="s">
        <v>153</v>
      </c>
      <c r="G303" s="1" t="s">
        <v>160</v>
      </c>
      <c r="H303" s="1">
        <v>49.094827000000002</v>
      </c>
      <c r="I303" s="1">
        <v>-121.06218200000001</v>
      </c>
      <c r="J303" s="1" t="s">
        <v>128</v>
      </c>
      <c r="K303" s="1" t="s">
        <v>175</v>
      </c>
      <c r="L303" s="1" t="s">
        <v>176</v>
      </c>
      <c r="M303" s="1" t="s">
        <v>237</v>
      </c>
      <c r="N303" s="1" t="s">
        <v>239</v>
      </c>
      <c r="O303" s="1" t="s">
        <v>86</v>
      </c>
      <c r="P303" s="1" t="s">
        <v>146</v>
      </c>
      <c r="Q303" s="1" t="s">
        <v>93</v>
      </c>
      <c r="R303" s="1">
        <v>2020</v>
      </c>
      <c r="S303" s="1" t="s">
        <v>157</v>
      </c>
      <c r="U303" s="1" t="s">
        <v>156</v>
      </c>
      <c r="V303" s="1">
        <v>4</v>
      </c>
      <c r="W303" s="1">
        <v>2</v>
      </c>
      <c r="X303" s="1" t="s">
        <v>97</v>
      </c>
      <c r="Y303" s="1" t="s">
        <v>233</v>
      </c>
      <c r="Z303" s="1" t="s">
        <v>1</v>
      </c>
      <c r="AA303" s="1" t="s">
        <v>98</v>
      </c>
      <c r="AB303" s="1" t="s">
        <v>203</v>
      </c>
      <c r="AC303" s="1" t="s">
        <v>99</v>
      </c>
      <c r="AD303" s="1" t="s">
        <v>102</v>
      </c>
      <c r="AE303" s="12" t="s">
        <v>357</v>
      </c>
      <c r="AF303" s="1" t="s">
        <v>319</v>
      </c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" t="s">
        <v>286</v>
      </c>
    </row>
    <row r="304" spans="1:53" ht="14.25" hidden="1" customHeight="1">
      <c r="A304" s="2">
        <v>43</v>
      </c>
      <c r="B304" s="2" t="s">
        <v>9</v>
      </c>
      <c r="C304" s="1" t="s">
        <v>85</v>
      </c>
      <c r="D304" s="1">
        <v>2023</v>
      </c>
      <c r="E304" s="1">
        <v>2020</v>
      </c>
      <c r="F304" s="1" t="s">
        <v>153</v>
      </c>
      <c r="G304" s="1" t="s">
        <v>160</v>
      </c>
      <c r="H304" s="1">
        <v>49.094827000000002</v>
      </c>
      <c r="I304" s="1">
        <v>-121.06218200000001</v>
      </c>
      <c r="J304" s="1" t="s">
        <v>128</v>
      </c>
      <c r="K304" s="1" t="s">
        <v>175</v>
      </c>
      <c r="L304" s="1" t="s">
        <v>176</v>
      </c>
      <c r="M304" s="1" t="s">
        <v>237</v>
      </c>
      <c r="N304" s="1" t="s">
        <v>239</v>
      </c>
      <c r="O304" s="1" t="s">
        <v>86</v>
      </c>
      <c r="P304" s="1" t="s">
        <v>211</v>
      </c>
      <c r="Q304" s="1" t="s">
        <v>93</v>
      </c>
      <c r="R304" s="1">
        <v>2020</v>
      </c>
      <c r="S304" s="1" t="s">
        <v>157</v>
      </c>
      <c r="U304" s="1" t="s">
        <v>156</v>
      </c>
      <c r="V304" s="1">
        <v>4</v>
      </c>
      <c r="W304" s="1">
        <v>3</v>
      </c>
      <c r="X304" s="1" t="s">
        <v>97</v>
      </c>
      <c r="Y304" s="1" t="s">
        <v>130</v>
      </c>
      <c r="Z304" s="1" t="s">
        <v>1</v>
      </c>
      <c r="AA304" s="1" t="s">
        <v>98</v>
      </c>
      <c r="AB304" s="1" t="s">
        <v>203</v>
      </c>
      <c r="AC304" s="1" t="s">
        <v>99</v>
      </c>
      <c r="AD304" s="1" t="s">
        <v>102</v>
      </c>
      <c r="AE304" s="1" t="s">
        <v>149</v>
      </c>
      <c r="AF304" s="1" t="s">
        <v>322</v>
      </c>
      <c r="AG304" s="1">
        <v>2.39</v>
      </c>
      <c r="AH304" s="1">
        <f t="shared" si="814"/>
        <v>1.2124355652982144</v>
      </c>
      <c r="AI304" s="1">
        <f>2.74-2.04</f>
        <v>0.70000000000000018</v>
      </c>
      <c r="AJ304" s="1">
        <v>4.09</v>
      </c>
      <c r="AK304" s="1">
        <f t="shared" si="815"/>
        <v>0.37999999999999901</v>
      </c>
      <c r="AL304" s="1">
        <f>4.18-3.99</f>
        <v>0.1899999999999995</v>
      </c>
      <c r="AM304" s="12">
        <f t="shared" ref="AM304" si="840">AG304-AJ304</f>
        <v>-1.6999999999999997</v>
      </c>
      <c r="AN304" s="1">
        <f t="shared" ref="AN304" si="841">SQRT((((W304-1)*AH304^2)+((V304-1)*AK304^2))/(W304+V304-2))</f>
        <v>0.82136471801508482</v>
      </c>
      <c r="AO304" s="1">
        <f t="shared" ref="AO304" si="842">AM304/AN304</f>
        <v>-2.0697261067023072</v>
      </c>
      <c r="AP304" s="1">
        <f t="shared" ref="AP304" si="843">1/W304+1/V304+(AO304^2)/(2*(W304+V304))</f>
        <v>0.88931663024512542</v>
      </c>
      <c r="AQ304" s="1">
        <f t="shared" ref="AQ304" si="844">1-(3/(4*(W304+V304-2)-1))</f>
        <v>0.84210526315789469</v>
      </c>
      <c r="AR304" s="21">
        <f t="shared" ref="AR304" si="845">AO304*AQ304</f>
        <v>-1.7429272477493112</v>
      </c>
      <c r="AS304" s="21">
        <f t="shared" ref="AS304:AS306" si="846">AP304*(AQ304^2)</f>
        <v>0.63065112837327442</v>
      </c>
      <c r="AT304" s="21">
        <f t="shared" ref="AT304" si="847">SQRT(AP304*AQ304^2)</f>
        <v>0.79413545971280897</v>
      </c>
      <c r="AU304" s="20">
        <f t="shared" ref="AU304:AU306" si="848">1/AS304</f>
        <v>1.5856627460247921</v>
      </c>
      <c r="AV304" s="20">
        <f t="shared" ref="AV304:AV306" si="849">AR304/AS304</f>
        <v>-2.7636948057876061</v>
      </c>
      <c r="AW304" s="20">
        <f t="shared" ref="AW304:AW306" si="850">((AR304)^2)/AS304</f>
        <v>4.8169189814704589</v>
      </c>
      <c r="AX304" s="14"/>
      <c r="AY304" s="14"/>
      <c r="AZ304" s="1" t="s">
        <v>271</v>
      </c>
      <c r="BA304" s="2"/>
    </row>
    <row r="305" spans="1:53" ht="14.25" hidden="1" customHeight="1">
      <c r="A305" s="2">
        <v>43</v>
      </c>
      <c r="B305" s="2" t="s">
        <v>9</v>
      </c>
      <c r="C305" s="1" t="s">
        <v>85</v>
      </c>
      <c r="D305" s="1">
        <v>2023</v>
      </c>
      <c r="E305" s="1">
        <v>2020</v>
      </c>
      <c r="F305" s="1" t="s">
        <v>153</v>
      </c>
      <c r="G305" s="1" t="s">
        <v>160</v>
      </c>
      <c r="H305" s="1">
        <v>49.094827000000002</v>
      </c>
      <c r="I305" s="1">
        <v>-121.06218200000001</v>
      </c>
      <c r="J305" s="1" t="s">
        <v>128</v>
      </c>
      <c r="K305" s="1" t="s">
        <v>175</v>
      </c>
      <c r="L305" s="1" t="s">
        <v>176</v>
      </c>
      <c r="M305" s="1" t="s">
        <v>237</v>
      </c>
      <c r="N305" s="1" t="s">
        <v>239</v>
      </c>
      <c r="O305" s="1" t="s">
        <v>86</v>
      </c>
      <c r="P305" s="1" t="s">
        <v>211</v>
      </c>
      <c r="Q305" s="1" t="s">
        <v>93</v>
      </c>
      <c r="R305" s="1">
        <v>2020</v>
      </c>
      <c r="S305" s="1" t="s">
        <v>157</v>
      </c>
      <c r="U305" s="1" t="s">
        <v>156</v>
      </c>
      <c r="V305" s="1">
        <v>4</v>
      </c>
      <c r="W305" s="1">
        <v>3</v>
      </c>
      <c r="X305" s="1" t="s">
        <v>97</v>
      </c>
      <c r="Y305" s="1" t="s">
        <v>130</v>
      </c>
      <c r="Z305" s="1" t="s">
        <v>1</v>
      </c>
      <c r="AA305" s="1" t="s">
        <v>98</v>
      </c>
      <c r="AB305" s="1" t="s">
        <v>203</v>
      </c>
      <c r="AC305" s="1" t="s">
        <v>99</v>
      </c>
      <c r="AD305" s="1" t="s">
        <v>102</v>
      </c>
      <c r="AE305" s="1" t="s">
        <v>150</v>
      </c>
      <c r="AF305" s="1" t="s">
        <v>320</v>
      </c>
      <c r="AG305" s="1">
        <v>7.02</v>
      </c>
      <c r="AH305" s="1">
        <f t="shared" si="814"/>
        <v>7.0667672948810187</v>
      </c>
      <c r="AI305" s="1">
        <f>9.06-4.98</f>
        <v>4.08</v>
      </c>
      <c r="AJ305" s="1">
        <v>23.32</v>
      </c>
      <c r="AK305" s="1">
        <f t="shared" si="815"/>
        <v>10.119999999999997</v>
      </c>
      <c r="AL305" s="1">
        <f>25.06-20</f>
        <v>5.0599999999999987</v>
      </c>
      <c r="AM305" s="12">
        <f t="shared" ref="AM305:AM306" si="851">AG305-AJ305</f>
        <v>-16.3</v>
      </c>
      <c r="AN305" s="1">
        <f t="shared" ref="AN305:AN306" si="852">SQRT((((W305-1)*AH305^2)+((V305-1)*AK305^2))/(W305+V305-2))</f>
        <v>9.023542541596397</v>
      </c>
      <c r="AO305" s="1">
        <f t="shared" ref="AO305:AO306" si="853">AM305/AN305</f>
        <v>-1.8063858983166374</v>
      </c>
      <c r="AP305" s="1">
        <f t="shared" ref="AP305:AP306" si="854">1/W305+1/V305+(AO305^2)/(2*(W305+V305))</f>
        <v>0.81640690573599084</v>
      </c>
      <c r="AQ305" s="1">
        <f t="shared" ref="AQ305:AQ306" si="855">1-(3/(4*(W305+V305-2)-1))</f>
        <v>0.84210526315789469</v>
      </c>
      <c r="AR305" s="21">
        <f t="shared" ref="AR305:AR306" si="856">AO305*AQ305</f>
        <v>-1.5211670722666419</v>
      </c>
      <c r="AS305" s="21">
        <f t="shared" si="846"/>
        <v>0.5789478334305086</v>
      </c>
      <c r="AT305" s="21">
        <f t="shared" ref="AT305:AT306" si="857">SQRT(AP305*AQ305^2)</f>
        <v>0.76088621582369897</v>
      </c>
      <c r="AU305" s="20">
        <f t="shared" si="848"/>
        <v>1.7272713399315804</v>
      </c>
      <c r="AV305" s="20">
        <f t="shared" si="849"/>
        <v>-2.627468287173802</v>
      </c>
      <c r="AW305" s="20">
        <f t="shared" si="850"/>
        <v>3.9968182418736204</v>
      </c>
      <c r="AX305" s="14"/>
      <c r="AY305" s="14"/>
      <c r="AZ305" s="1" t="s">
        <v>271</v>
      </c>
      <c r="BA305" s="2"/>
    </row>
    <row r="306" spans="1:53" ht="14.25" customHeight="1">
      <c r="A306" s="2">
        <v>43</v>
      </c>
      <c r="B306" s="2" t="s">
        <v>9</v>
      </c>
      <c r="C306" s="1" t="s">
        <v>85</v>
      </c>
      <c r="D306" s="1">
        <v>2023</v>
      </c>
      <c r="E306" s="1">
        <v>2020</v>
      </c>
      <c r="F306" s="1" t="s">
        <v>153</v>
      </c>
      <c r="G306" s="1" t="s">
        <v>160</v>
      </c>
      <c r="H306" s="1">
        <v>49.094827000000002</v>
      </c>
      <c r="I306" s="1">
        <v>-121.06218200000001</v>
      </c>
      <c r="J306" s="1" t="s">
        <v>128</v>
      </c>
      <c r="K306" s="1" t="s">
        <v>175</v>
      </c>
      <c r="L306" s="1" t="s">
        <v>176</v>
      </c>
      <c r="M306" s="1" t="s">
        <v>237</v>
      </c>
      <c r="N306" s="1" t="s">
        <v>239</v>
      </c>
      <c r="O306" s="1" t="s">
        <v>86</v>
      </c>
      <c r="P306" s="1" t="s">
        <v>211</v>
      </c>
      <c r="Q306" s="1" t="s">
        <v>93</v>
      </c>
      <c r="R306" s="1">
        <v>2020</v>
      </c>
      <c r="S306" s="1" t="s">
        <v>157</v>
      </c>
      <c r="U306" s="1" t="s">
        <v>156</v>
      </c>
      <c r="V306" s="1">
        <v>4</v>
      </c>
      <c r="W306" s="1">
        <v>3</v>
      </c>
      <c r="X306" s="1" t="s">
        <v>97</v>
      </c>
      <c r="Y306" s="1" t="s">
        <v>130</v>
      </c>
      <c r="Z306" s="1" t="s">
        <v>1</v>
      </c>
      <c r="AA306" s="1" t="s">
        <v>98</v>
      </c>
      <c r="AB306" s="1" t="s">
        <v>203</v>
      </c>
      <c r="AC306" s="1" t="s">
        <v>99</v>
      </c>
      <c r="AD306" s="1" t="s">
        <v>102</v>
      </c>
      <c r="AE306" s="1" t="s">
        <v>151</v>
      </c>
      <c r="AF306" s="1" t="s">
        <v>320</v>
      </c>
      <c r="AG306" s="1">
        <v>44.19</v>
      </c>
      <c r="AH306" s="1">
        <f t="shared" si="814"/>
        <v>16.852854357645171</v>
      </c>
      <c r="AI306" s="1">
        <f>51.12-41.39</f>
        <v>9.7299999999999969</v>
      </c>
      <c r="AJ306" s="1">
        <v>77.34</v>
      </c>
      <c r="AK306" s="1">
        <f t="shared" si="815"/>
        <v>29.580000000000013</v>
      </c>
      <c r="AL306" s="1">
        <f>84.64-69.85</f>
        <v>14.790000000000006</v>
      </c>
      <c r="AM306" s="12">
        <f t="shared" si="851"/>
        <v>-33.150000000000006</v>
      </c>
      <c r="AN306" s="1">
        <f t="shared" si="852"/>
        <v>25.270404033176842</v>
      </c>
      <c r="AO306" s="1">
        <f t="shared" si="853"/>
        <v>-1.3118112380189193</v>
      </c>
      <c r="AP306" s="1">
        <f t="shared" si="854"/>
        <v>0.70625109934709962</v>
      </c>
      <c r="AQ306" s="1">
        <f t="shared" si="855"/>
        <v>0.84210526315789469</v>
      </c>
      <c r="AR306" s="21">
        <f t="shared" si="856"/>
        <v>-1.1046831478054058</v>
      </c>
      <c r="AS306" s="21">
        <f t="shared" si="846"/>
        <v>0.5008318045231509</v>
      </c>
      <c r="AT306" s="21">
        <f t="shared" si="857"/>
        <v>0.70769471138560225</v>
      </c>
      <c r="AU306" s="20">
        <f t="shared" si="848"/>
        <v>1.9966783079044157</v>
      </c>
      <c r="AV306" s="20">
        <f t="shared" si="849"/>
        <v>-2.2056968783306212</v>
      </c>
      <c r="AW306" s="20">
        <f t="shared" si="850"/>
        <v>2.4365961706588277</v>
      </c>
      <c r="AX306" s="14"/>
      <c r="AY306" s="14"/>
      <c r="AZ306" s="1" t="s">
        <v>271</v>
      </c>
      <c r="BA306" s="2"/>
    </row>
    <row r="307" spans="1:53" ht="14.25" hidden="1" customHeight="1">
      <c r="A307" s="2">
        <v>43</v>
      </c>
      <c r="B307" s="2" t="s">
        <v>9</v>
      </c>
      <c r="C307" s="1" t="s">
        <v>85</v>
      </c>
      <c r="D307" s="1">
        <v>2023</v>
      </c>
      <c r="E307" s="1">
        <v>2020</v>
      </c>
      <c r="F307" s="1" t="s">
        <v>153</v>
      </c>
      <c r="G307" s="1" t="s">
        <v>160</v>
      </c>
      <c r="H307" s="1">
        <v>49.094827000000002</v>
      </c>
      <c r="I307" s="1">
        <v>-121.06218200000001</v>
      </c>
      <c r="J307" s="1" t="s">
        <v>128</v>
      </c>
      <c r="K307" s="1" t="s">
        <v>175</v>
      </c>
      <c r="L307" s="1" t="s">
        <v>176</v>
      </c>
      <c r="M307" s="1" t="s">
        <v>237</v>
      </c>
      <c r="N307" s="1" t="s">
        <v>239</v>
      </c>
      <c r="O307" s="1" t="s">
        <v>86</v>
      </c>
      <c r="P307" s="1" t="s">
        <v>211</v>
      </c>
      <c r="Q307" s="1" t="s">
        <v>93</v>
      </c>
      <c r="R307" s="1">
        <v>2020</v>
      </c>
      <c r="S307" s="1" t="s">
        <v>157</v>
      </c>
      <c r="U307" s="1" t="s">
        <v>156</v>
      </c>
      <c r="V307" s="1">
        <v>4</v>
      </c>
      <c r="W307" s="1">
        <v>3</v>
      </c>
      <c r="X307" s="1" t="s">
        <v>97</v>
      </c>
      <c r="Y307" s="1" t="s">
        <v>130</v>
      </c>
      <c r="Z307" s="1" t="s">
        <v>1</v>
      </c>
      <c r="AA307" s="1" t="s">
        <v>98</v>
      </c>
      <c r="AB307" s="1" t="s">
        <v>203</v>
      </c>
      <c r="AC307" s="1" t="s">
        <v>99</v>
      </c>
      <c r="AD307" s="1" t="s">
        <v>102</v>
      </c>
      <c r="AE307" s="12" t="s">
        <v>357</v>
      </c>
      <c r="AF307" s="1" t="s">
        <v>319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" t="s">
        <v>286</v>
      </c>
    </row>
    <row r="308" spans="1:53" ht="14.25" hidden="1" customHeight="1">
      <c r="A308" s="2">
        <v>43</v>
      </c>
      <c r="B308" s="2" t="s">
        <v>9</v>
      </c>
      <c r="C308" s="1" t="s">
        <v>85</v>
      </c>
      <c r="D308" s="1">
        <v>2023</v>
      </c>
      <c r="E308" s="1">
        <v>2020</v>
      </c>
      <c r="F308" s="1" t="s">
        <v>153</v>
      </c>
      <c r="G308" s="1" t="s">
        <v>160</v>
      </c>
      <c r="H308" s="1">
        <v>49.094827000000002</v>
      </c>
      <c r="I308" s="1">
        <v>-121.06218200000001</v>
      </c>
      <c r="J308" s="1" t="s">
        <v>128</v>
      </c>
      <c r="K308" s="1" t="s">
        <v>175</v>
      </c>
      <c r="L308" s="1" t="s">
        <v>176</v>
      </c>
      <c r="M308" s="1" t="s">
        <v>237</v>
      </c>
      <c r="N308" s="1" t="s">
        <v>239</v>
      </c>
      <c r="O308" s="1" t="s">
        <v>86</v>
      </c>
      <c r="P308" s="1" t="s">
        <v>211</v>
      </c>
      <c r="Q308" s="1" t="s">
        <v>93</v>
      </c>
      <c r="R308" s="1">
        <v>2020</v>
      </c>
      <c r="S308" s="1" t="s">
        <v>157</v>
      </c>
      <c r="U308" s="1" t="s">
        <v>156</v>
      </c>
      <c r="V308" s="1">
        <v>4</v>
      </c>
      <c r="W308" s="1">
        <v>3</v>
      </c>
      <c r="X308" s="1" t="s">
        <v>97</v>
      </c>
      <c r="Y308" s="1" t="s">
        <v>233</v>
      </c>
      <c r="Z308" s="1" t="s">
        <v>1</v>
      </c>
      <c r="AA308" s="1" t="s">
        <v>98</v>
      </c>
      <c r="AB308" s="1" t="s">
        <v>203</v>
      </c>
      <c r="AC308" s="1" t="s">
        <v>99</v>
      </c>
      <c r="AD308" s="1" t="s">
        <v>102</v>
      </c>
      <c r="AE308" s="1" t="s">
        <v>149</v>
      </c>
      <c r="AF308" s="1" t="s">
        <v>322</v>
      </c>
      <c r="AG308" s="1">
        <v>2.98</v>
      </c>
      <c r="AH308" s="1">
        <f t="shared" si="814"/>
        <v>0.67549981495186229</v>
      </c>
      <c r="AI308" s="1">
        <f>3.18-2.79</f>
        <v>0.39000000000000012</v>
      </c>
      <c r="AJ308" s="1">
        <v>3.25</v>
      </c>
      <c r="AK308" s="1">
        <f t="shared" ref="AK308" si="858">AL308*SQRT(V308)</f>
        <v>0.45999999999999996</v>
      </c>
      <c r="AL308" s="1">
        <f>3.36-3.13</f>
        <v>0.22999999999999998</v>
      </c>
      <c r="AM308" s="12">
        <f t="shared" ref="AM308" si="859">AG308-AJ308</f>
        <v>-0.27</v>
      </c>
      <c r="AN308" s="1">
        <f t="shared" ref="AN308" si="860">SQRT((((W308-1)*AH308^2)+((V308-1)*AK308^2))/(W308+V308-2))</f>
        <v>0.5563092665056012</v>
      </c>
      <c r="AO308" s="1">
        <f t="shared" ref="AO308" si="861">AM308/AN308</f>
        <v>-0.48534154697076493</v>
      </c>
      <c r="AP308" s="1">
        <f t="shared" ref="AP308" si="862">1/W308+1/V308+(AO308^2)/(2*(W308+V308))</f>
        <v>0.60015879170590292</v>
      </c>
      <c r="AQ308" s="1">
        <f t="shared" ref="AQ308" si="863">1-(3/(4*(W308+V308-2)-1))</f>
        <v>0.84210526315789469</v>
      </c>
      <c r="AR308" s="21">
        <f t="shared" ref="AR308" si="864">AO308*AQ308</f>
        <v>-0.40870867113327569</v>
      </c>
      <c r="AS308" s="21">
        <f t="shared" ref="AS308:AS310" si="865">AP308*(AQ308^2)</f>
        <v>0.42559737029559869</v>
      </c>
      <c r="AT308" s="21">
        <f t="shared" ref="AT308" si="866">SQRT(AP308*AQ308^2)</f>
        <v>0.65237824173986569</v>
      </c>
      <c r="AU308" s="20">
        <f t="shared" ref="AU308:AU310" si="867">1/AS308</f>
        <v>2.3496385781365374</v>
      </c>
      <c r="AV308" s="20">
        <f t="shared" ref="AV308:AV310" si="868">AR308/AS308</f>
        <v>-0.96031766091366366</v>
      </c>
      <c r="AW308" s="20">
        <f t="shared" ref="AW308:AW310" si="869">((AR308)^2)/AS308</f>
        <v>0.39249015505783907</v>
      </c>
      <c r="AX308" s="14"/>
      <c r="AY308" s="14"/>
      <c r="AZ308" s="1" t="s">
        <v>271</v>
      </c>
      <c r="BA308" s="2"/>
    </row>
    <row r="309" spans="1:53" ht="14.25" hidden="1" customHeight="1">
      <c r="A309" s="2">
        <v>43</v>
      </c>
      <c r="B309" s="2" t="s">
        <v>9</v>
      </c>
      <c r="C309" s="1" t="s">
        <v>85</v>
      </c>
      <c r="D309" s="1">
        <v>2023</v>
      </c>
      <c r="E309" s="1">
        <v>2020</v>
      </c>
      <c r="F309" s="1" t="s">
        <v>153</v>
      </c>
      <c r="G309" s="1" t="s">
        <v>160</v>
      </c>
      <c r="H309" s="1">
        <v>49.094827000000002</v>
      </c>
      <c r="I309" s="1">
        <v>-121.06218200000001</v>
      </c>
      <c r="J309" s="1" t="s">
        <v>128</v>
      </c>
      <c r="K309" s="1" t="s">
        <v>175</v>
      </c>
      <c r="L309" s="1" t="s">
        <v>176</v>
      </c>
      <c r="M309" s="1" t="s">
        <v>237</v>
      </c>
      <c r="N309" s="1" t="s">
        <v>239</v>
      </c>
      <c r="O309" s="1" t="s">
        <v>86</v>
      </c>
      <c r="P309" s="1" t="s">
        <v>211</v>
      </c>
      <c r="Q309" s="1" t="s">
        <v>93</v>
      </c>
      <c r="R309" s="1">
        <v>2020</v>
      </c>
      <c r="S309" s="1" t="s">
        <v>157</v>
      </c>
      <c r="U309" s="1" t="s">
        <v>156</v>
      </c>
      <c r="V309" s="1">
        <v>4</v>
      </c>
      <c r="W309" s="1">
        <v>3</v>
      </c>
      <c r="X309" s="1" t="s">
        <v>97</v>
      </c>
      <c r="Y309" s="1" t="s">
        <v>233</v>
      </c>
      <c r="Z309" s="1" t="s">
        <v>1</v>
      </c>
      <c r="AA309" s="1" t="s">
        <v>98</v>
      </c>
      <c r="AB309" s="1" t="s">
        <v>203</v>
      </c>
      <c r="AC309" s="1" t="s">
        <v>99</v>
      </c>
      <c r="AD309" s="1" t="s">
        <v>102</v>
      </c>
      <c r="AE309" s="1" t="s">
        <v>150</v>
      </c>
      <c r="AF309" s="1" t="s">
        <v>320</v>
      </c>
      <c r="AG309" s="1">
        <v>17.809999999999999</v>
      </c>
      <c r="AH309" s="1">
        <f t="shared" si="814"/>
        <v>12.297560733739024</v>
      </c>
      <c r="AI309" s="1">
        <f>21.4-14.3</f>
        <v>7.0999999999999979</v>
      </c>
      <c r="AJ309" s="1">
        <v>26.87</v>
      </c>
      <c r="AK309" s="1">
        <f>AL309*SQRT(V306)</f>
        <v>9.1999999999999957</v>
      </c>
      <c r="AL309" s="1">
        <f>29.7-25.1</f>
        <v>4.5999999999999979</v>
      </c>
      <c r="AM309" s="12">
        <f t="shared" ref="AM309" si="870">AG309-AJ309</f>
        <v>-9.0600000000000023</v>
      </c>
      <c r="AN309" s="1">
        <f t="shared" ref="AN309" si="871">SQRT((((W309-1)*AH309^2)+((V309-1)*AK309^2))/(W309+V309-2))</f>
        <v>10.548744001064765</v>
      </c>
      <c r="AO309" s="1">
        <f t="shared" ref="AO309" si="872">AM309/AN309</f>
        <v>-0.85887002273308621</v>
      </c>
      <c r="AP309" s="1">
        <f t="shared" ref="AP309" si="873">1/W309+1/V309+(AO309^2)/(2*(W309+V309))</f>
        <v>0.63602317018687127</v>
      </c>
      <c r="AQ309" s="1">
        <f t="shared" ref="AQ309" si="874">1-(3/(4*(W309+V309-2)-1))</f>
        <v>0.84210526315789469</v>
      </c>
      <c r="AR309" s="21">
        <f t="shared" ref="AR309" si="875">AO309*AQ309</f>
        <v>-0.72325896651207255</v>
      </c>
      <c r="AS309" s="21">
        <f t="shared" si="865"/>
        <v>0.45103028135135464</v>
      </c>
      <c r="AT309" s="21">
        <f t="shared" ref="AT309" si="876">SQRT(AP309*AQ309^2)</f>
        <v>0.67158788058701202</v>
      </c>
      <c r="AU309" s="20">
        <f t="shared" si="867"/>
        <v>2.2171460350818339</v>
      </c>
      <c r="AV309" s="20">
        <f t="shared" si="868"/>
        <v>-1.6035707499396266</v>
      </c>
      <c r="AW309" s="20">
        <f t="shared" si="869"/>
        <v>1.1597969233303236</v>
      </c>
      <c r="AX309" s="14"/>
      <c r="AY309" s="14"/>
      <c r="AZ309" s="1" t="s">
        <v>271</v>
      </c>
      <c r="BA309" s="2"/>
    </row>
    <row r="310" spans="1:53" ht="14.25" customHeight="1">
      <c r="A310" s="2">
        <v>43</v>
      </c>
      <c r="B310" s="2" t="s">
        <v>9</v>
      </c>
      <c r="C310" s="1" t="s">
        <v>85</v>
      </c>
      <c r="D310" s="1">
        <v>2023</v>
      </c>
      <c r="E310" s="1">
        <v>2020</v>
      </c>
      <c r="F310" s="1" t="s">
        <v>153</v>
      </c>
      <c r="G310" s="1" t="s">
        <v>160</v>
      </c>
      <c r="H310" s="1">
        <v>49.094827000000002</v>
      </c>
      <c r="I310" s="1">
        <v>-121.06218200000001</v>
      </c>
      <c r="J310" s="1" t="s">
        <v>128</v>
      </c>
      <c r="K310" s="1" t="s">
        <v>175</v>
      </c>
      <c r="L310" s="1" t="s">
        <v>176</v>
      </c>
      <c r="M310" s="1" t="s">
        <v>237</v>
      </c>
      <c r="N310" s="1" t="s">
        <v>239</v>
      </c>
      <c r="O310" s="1" t="s">
        <v>86</v>
      </c>
      <c r="P310" s="1" t="s">
        <v>211</v>
      </c>
      <c r="Q310" s="1" t="s">
        <v>93</v>
      </c>
      <c r="R310" s="1">
        <v>2020</v>
      </c>
      <c r="S310" s="1" t="s">
        <v>157</v>
      </c>
      <c r="U310" s="1" t="s">
        <v>156</v>
      </c>
      <c r="V310" s="1">
        <v>4</v>
      </c>
      <c r="W310" s="1">
        <v>3</v>
      </c>
      <c r="X310" s="1" t="s">
        <v>97</v>
      </c>
      <c r="Y310" s="1" t="s">
        <v>233</v>
      </c>
      <c r="Z310" s="1" t="s">
        <v>1</v>
      </c>
      <c r="AA310" s="1" t="s">
        <v>98</v>
      </c>
      <c r="AB310" s="1" t="s">
        <v>203</v>
      </c>
      <c r="AC310" s="1" t="s">
        <v>99</v>
      </c>
      <c r="AD310" s="1" t="s">
        <v>102</v>
      </c>
      <c r="AE310" s="1" t="s">
        <v>151</v>
      </c>
      <c r="AF310" s="1" t="s">
        <v>320</v>
      </c>
      <c r="AG310" s="1">
        <v>42.7</v>
      </c>
      <c r="AH310" s="1">
        <f t="shared" si="814"/>
        <v>15.553816251968511</v>
      </c>
      <c r="AI310" s="1">
        <f>46.62-37.64</f>
        <v>8.9799999999999969</v>
      </c>
      <c r="AJ310" s="1">
        <v>47.38</v>
      </c>
      <c r="AK310" s="1">
        <f t="shared" ref="AK310" si="877">AL310*SQRT(V310)</f>
        <v>13.099999999999994</v>
      </c>
      <c r="AL310" s="1">
        <f>51.12-44.57</f>
        <v>6.5499999999999972</v>
      </c>
      <c r="AM310" s="12">
        <f t="shared" ref="AM310" si="878">AG310-AJ310</f>
        <v>-4.68</v>
      </c>
      <c r="AN310" s="1">
        <f t="shared" ref="AN310" si="879">SQRT((((W310-1)*AH310^2)+((V310-1)*AK310^2))/(W310+V310-2))</f>
        <v>14.132744956306251</v>
      </c>
      <c r="AO310" s="1">
        <f t="shared" ref="AO310" si="880">AM310/AN310</f>
        <v>-0.33114586122292616</v>
      </c>
      <c r="AP310" s="1">
        <f t="shared" ref="AP310" si="881">1/W310+1/V310+(AO310^2)/(2*(W310+V310))</f>
        <v>0.59116601771940991</v>
      </c>
      <c r="AQ310" s="1">
        <f t="shared" ref="AQ310" si="882">1-(3/(4*(W310+V310-2)-1))</f>
        <v>0.84210526315789469</v>
      </c>
      <c r="AR310" s="21">
        <f t="shared" ref="AR310" si="883">AO310*AQ310</f>
        <v>-0.27885967260877992</v>
      </c>
      <c r="AS310" s="21">
        <f t="shared" si="865"/>
        <v>0.41922022309188067</v>
      </c>
      <c r="AT310" s="21">
        <f t="shared" ref="AT310" si="884">SQRT(AP310*AQ310^2)</f>
        <v>0.64747217939605761</v>
      </c>
      <c r="AU310" s="20">
        <f t="shared" si="867"/>
        <v>2.3853811073919244</v>
      </c>
      <c r="AV310" s="20">
        <f t="shared" si="868"/>
        <v>-0.66518659465448093</v>
      </c>
      <c r="AW310" s="20">
        <f t="shared" si="869"/>
        <v>0.18549371600909775</v>
      </c>
      <c r="AX310" s="14"/>
      <c r="AY310" s="14"/>
      <c r="AZ310" s="1" t="s">
        <v>271</v>
      </c>
      <c r="BA310" s="2"/>
    </row>
    <row r="311" spans="1:53" ht="14.25" hidden="1" customHeight="1">
      <c r="A311" s="2">
        <v>43</v>
      </c>
      <c r="B311" s="2" t="s">
        <v>9</v>
      </c>
      <c r="C311" s="1" t="s">
        <v>85</v>
      </c>
      <c r="D311" s="1">
        <v>2023</v>
      </c>
      <c r="E311" s="1">
        <v>2020</v>
      </c>
      <c r="F311" s="1" t="s">
        <v>153</v>
      </c>
      <c r="G311" s="1" t="s">
        <v>160</v>
      </c>
      <c r="H311" s="1">
        <v>49.094827000000002</v>
      </c>
      <c r="I311" s="1">
        <v>-121.06218200000001</v>
      </c>
      <c r="J311" s="1" t="s">
        <v>128</v>
      </c>
      <c r="K311" s="1" t="s">
        <v>175</v>
      </c>
      <c r="L311" s="1" t="s">
        <v>176</v>
      </c>
      <c r="M311" s="1" t="s">
        <v>237</v>
      </c>
      <c r="N311" s="1" t="s">
        <v>239</v>
      </c>
      <c r="O311" s="1" t="s">
        <v>86</v>
      </c>
      <c r="P311" s="1" t="s">
        <v>211</v>
      </c>
      <c r="Q311" s="1" t="s">
        <v>93</v>
      </c>
      <c r="R311" s="1">
        <v>2020</v>
      </c>
      <c r="S311" s="1" t="s">
        <v>157</v>
      </c>
      <c r="U311" s="1" t="s">
        <v>156</v>
      </c>
      <c r="V311" s="1">
        <v>4</v>
      </c>
      <c r="W311" s="1">
        <v>3</v>
      </c>
      <c r="X311" s="1" t="s">
        <v>97</v>
      </c>
      <c r="Y311" s="1" t="s">
        <v>233</v>
      </c>
      <c r="Z311" s="1" t="s">
        <v>1</v>
      </c>
      <c r="AA311" s="1" t="s">
        <v>98</v>
      </c>
      <c r="AB311" s="1" t="s">
        <v>203</v>
      </c>
      <c r="AC311" s="1" t="s">
        <v>99</v>
      </c>
      <c r="AD311" s="1" t="s">
        <v>102</v>
      </c>
      <c r="AE311" s="12" t="s">
        <v>357</v>
      </c>
      <c r="AF311" s="1" t="s">
        <v>319</v>
      </c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" t="s">
        <v>286</v>
      </c>
    </row>
    <row r="312" spans="1:53" ht="14.25" hidden="1" customHeight="1">
      <c r="A312" s="2">
        <v>43</v>
      </c>
      <c r="B312" s="2" t="s">
        <v>9</v>
      </c>
      <c r="C312" s="1" t="s">
        <v>85</v>
      </c>
      <c r="D312" s="1">
        <v>2023</v>
      </c>
      <c r="E312" s="1">
        <v>2020</v>
      </c>
      <c r="F312" s="1" t="s">
        <v>153</v>
      </c>
      <c r="G312" s="1" t="s">
        <v>160</v>
      </c>
      <c r="H312" s="1">
        <v>49.094827000000002</v>
      </c>
      <c r="I312" s="1">
        <v>-121.06218200000001</v>
      </c>
      <c r="J312" s="1" t="s">
        <v>128</v>
      </c>
      <c r="K312" s="1" t="s">
        <v>175</v>
      </c>
      <c r="L312" s="1" t="s">
        <v>176</v>
      </c>
      <c r="M312" s="1" t="s">
        <v>237</v>
      </c>
      <c r="N312" s="1" t="s">
        <v>239</v>
      </c>
      <c r="O312" s="1" t="s">
        <v>86</v>
      </c>
      <c r="P312" s="1" t="s">
        <v>129</v>
      </c>
      <c r="Q312" s="1" t="s">
        <v>93</v>
      </c>
      <c r="R312" s="1">
        <v>2020</v>
      </c>
      <c r="S312" s="1" t="s">
        <v>157</v>
      </c>
      <c r="U312" s="1" t="s">
        <v>156</v>
      </c>
      <c r="V312" s="1">
        <v>4</v>
      </c>
      <c r="W312" s="1">
        <v>4</v>
      </c>
      <c r="X312" s="1" t="s">
        <v>97</v>
      </c>
      <c r="Y312" s="1" t="s">
        <v>130</v>
      </c>
      <c r="Z312" s="1" t="s">
        <v>1</v>
      </c>
      <c r="AA312" s="1" t="s">
        <v>98</v>
      </c>
      <c r="AB312" s="1" t="s">
        <v>203</v>
      </c>
      <c r="AC312" s="1" t="s">
        <v>99</v>
      </c>
      <c r="AD312" s="1" t="s">
        <v>102</v>
      </c>
      <c r="AE312" s="1" t="s">
        <v>149</v>
      </c>
      <c r="AF312" s="1" t="s">
        <v>322</v>
      </c>
      <c r="AG312" s="1">
        <v>2.5499999999999998</v>
      </c>
      <c r="AH312" s="1">
        <f t="shared" si="814"/>
        <v>0.63999999999999968</v>
      </c>
      <c r="AI312" s="1">
        <f>2.67-2.35</f>
        <v>0.31999999999999984</v>
      </c>
      <c r="AJ312" s="1">
        <v>4.09</v>
      </c>
      <c r="AK312" s="1">
        <f t="shared" si="815"/>
        <v>0.37999999999999901</v>
      </c>
      <c r="AL312" s="1">
        <f>4.18-3.99</f>
        <v>0.1899999999999995</v>
      </c>
      <c r="AM312" s="12">
        <f t="shared" ref="AM312" si="885">AG312-AJ312</f>
        <v>-1.54</v>
      </c>
      <c r="AN312" s="1">
        <f t="shared" ref="AN312" si="886">SQRT((((W312-1)*AH312^2)+((V312-1)*AK312^2))/(W312+V312-2))</f>
        <v>0.52630789467763017</v>
      </c>
      <c r="AO312" s="1">
        <f t="shared" ref="AO312" si="887">AM312/AN312</f>
        <v>-2.9260438909875526</v>
      </c>
      <c r="AP312" s="1">
        <f t="shared" ref="AP312" si="888">1/W312+1/V312+(AO312^2)/(2*(W312+V312))</f>
        <v>1.0351083032490984</v>
      </c>
      <c r="AQ312" s="1">
        <f t="shared" ref="AQ312" si="889">1-(3/(4*(W312+V312-2)-1))</f>
        <v>0.86956521739130432</v>
      </c>
      <c r="AR312" s="21">
        <f t="shared" ref="AR312" si="890">AO312*AQ312</f>
        <v>-2.5443859921630891</v>
      </c>
      <c r="AS312" s="21">
        <f t="shared" ref="AS312:AS314" si="891">AP312*(AQ312^2)</f>
        <v>0.78269058846812734</v>
      </c>
      <c r="AT312" s="21">
        <f t="shared" ref="AT312" si="892">SQRT(AP312*AQ312^2)</f>
        <v>0.88469802106036577</v>
      </c>
      <c r="AU312" s="20">
        <f t="shared" ref="AU312:AU314" si="893">1/AS312</f>
        <v>1.2776440840526626</v>
      </c>
      <c r="AV312" s="20">
        <f t="shared" ref="AV312:AV314" si="894">AR312/AS312</f>
        <v>-3.2508197104336349</v>
      </c>
      <c r="AW312" s="20">
        <f t="shared" ref="AW312:AW314" si="895">((AR312)^2)/AS312</f>
        <v>8.271340134275011</v>
      </c>
      <c r="AX312" s="14"/>
      <c r="AY312" s="14"/>
      <c r="AZ312" s="1" t="s">
        <v>271</v>
      </c>
      <c r="BA312" s="2"/>
    </row>
    <row r="313" spans="1:53" ht="14.25" hidden="1" customHeight="1">
      <c r="A313" s="2">
        <v>43</v>
      </c>
      <c r="B313" s="2" t="s">
        <v>9</v>
      </c>
      <c r="C313" s="1" t="s">
        <v>85</v>
      </c>
      <c r="D313" s="1">
        <v>2023</v>
      </c>
      <c r="E313" s="1">
        <v>2020</v>
      </c>
      <c r="F313" s="1" t="s">
        <v>153</v>
      </c>
      <c r="G313" s="1" t="s">
        <v>160</v>
      </c>
      <c r="H313" s="1">
        <v>49.094827000000002</v>
      </c>
      <c r="I313" s="1">
        <v>-121.06218200000001</v>
      </c>
      <c r="J313" s="1" t="s">
        <v>128</v>
      </c>
      <c r="K313" s="1" t="s">
        <v>175</v>
      </c>
      <c r="L313" s="1" t="s">
        <v>176</v>
      </c>
      <c r="M313" s="1" t="s">
        <v>237</v>
      </c>
      <c r="N313" s="1" t="s">
        <v>239</v>
      </c>
      <c r="O313" s="1" t="s">
        <v>86</v>
      </c>
      <c r="P313" s="1" t="s">
        <v>129</v>
      </c>
      <c r="Q313" s="1" t="s">
        <v>93</v>
      </c>
      <c r="R313" s="1">
        <v>2020</v>
      </c>
      <c r="S313" s="1" t="s">
        <v>157</v>
      </c>
      <c r="U313" s="1" t="s">
        <v>156</v>
      </c>
      <c r="V313" s="1">
        <v>4</v>
      </c>
      <c r="W313" s="1">
        <v>4</v>
      </c>
      <c r="X313" s="1" t="s">
        <v>97</v>
      </c>
      <c r="Y313" s="1" t="s">
        <v>130</v>
      </c>
      <c r="Z313" s="1" t="s">
        <v>1</v>
      </c>
      <c r="AA313" s="1" t="s">
        <v>98</v>
      </c>
      <c r="AB313" s="1" t="s">
        <v>203</v>
      </c>
      <c r="AC313" s="1" t="s">
        <v>99</v>
      </c>
      <c r="AD313" s="1" t="s">
        <v>102</v>
      </c>
      <c r="AE313" s="1" t="s">
        <v>150</v>
      </c>
      <c r="AF313" s="1" t="s">
        <v>320</v>
      </c>
      <c r="AG313" s="1">
        <v>2.34</v>
      </c>
      <c r="AH313" s="1">
        <f t="shared" si="814"/>
        <v>3.3200000000000003</v>
      </c>
      <c r="AI313" s="1">
        <f>3.47-1.81</f>
        <v>1.6600000000000001</v>
      </c>
      <c r="AJ313" s="1">
        <v>23.32</v>
      </c>
      <c r="AK313" s="1">
        <f t="shared" si="815"/>
        <v>10.119999999999997</v>
      </c>
      <c r="AL313" s="1">
        <f>25.06-20</f>
        <v>5.0599999999999987</v>
      </c>
      <c r="AM313" s="12">
        <f t="shared" ref="AM313" si="896">AG313-AJ313</f>
        <v>-20.98</v>
      </c>
      <c r="AN313" s="1">
        <f t="shared" ref="AN313" si="897">SQRT((((W313-1)*AH313^2)+((V313-1)*AK313^2))/(W313+V313-2))</f>
        <v>7.5311619289456244</v>
      </c>
      <c r="AO313" s="1">
        <f t="shared" ref="AO313" si="898">AM313/AN313</f>
        <v>-2.7857587179694643</v>
      </c>
      <c r="AP313" s="1">
        <f t="shared" ref="AP313" si="899">1/W313+1/V313+(AO313^2)/(2*(W313+V313))</f>
        <v>0.98502822717142957</v>
      </c>
      <c r="AQ313" s="1">
        <f t="shared" ref="AQ313" si="900">1-(3/(4*(W313+V313-2)-1))</f>
        <v>0.86956521739130432</v>
      </c>
      <c r="AR313" s="21">
        <f t="shared" ref="AR313" si="901">AO313*AQ313</f>
        <v>-2.4223988851908382</v>
      </c>
      <c r="AS313" s="21">
        <f t="shared" si="891"/>
        <v>0.7448228560842568</v>
      </c>
      <c r="AT313" s="21">
        <f t="shared" ref="AT313" si="902">SQRT(AP313*AQ313^2)</f>
        <v>0.8630312022657447</v>
      </c>
      <c r="AU313" s="20">
        <f t="shared" si="893"/>
        <v>1.3426011189523388</v>
      </c>
      <c r="AV313" s="20">
        <f t="shared" si="894"/>
        <v>-3.2523154538061174</v>
      </c>
      <c r="AW313" s="20">
        <f t="shared" si="895"/>
        <v>7.8784053295888743</v>
      </c>
      <c r="AX313" s="14"/>
      <c r="AY313" s="14"/>
      <c r="AZ313" s="1" t="s">
        <v>271</v>
      </c>
      <c r="BA313" s="2"/>
    </row>
    <row r="314" spans="1:53" ht="14.25" customHeight="1">
      <c r="A314" s="2">
        <v>43</v>
      </c>
      <c r="B314" s="2" t="s">
        <v>9</v>
      </c>
      <c r="C314" s="1" t="s">
        <v>85</v>
      </c>
      <c r="D314" s="1">
        <v>2023</v>
      </c>
      <c r="E314" s="1">
        <v>2020</v>
      </c>
      <c r="F314" s="1" t="s">
        <v>153</v>
      </c>
      <c r="G314" s="1" t="s">
        <v>160</v>
      </c>
      <c r="H314" s="1">
        <v>49.094827000000002</v>
      </c>
      <c r="I314" s="1">
        <v>-121.06218200000001</v>
      </c>
      <c r="J314" s="1" t="s">
        <v>128</v>
      </c>
      <c r="K314" s="1" t="s">
        <v>175</v>
      </c>
      <c r="L314" s="1" t="s">
        <v>176</v>
      </c>
      <c r="M314" s="1" t="s">
        <v>237</v>
      </c>
      <c r="N314" s="1" t="s">
        <v>239</v>
      </c>
      <c r="O314" s="1" t="s">
        <v>86</v>
      </c>
      <c r="P314" s="1" t="s">
        <v>129</v>
      </c>
      <c r="Q314" s="1" t="s">
        <v>93</v>
      </c>
      <c r="R314" s="1">
        <v>2020</v>
      </c>
      <c r="S314" s="1" t="s">
        <v>157</v>
      </c>
      <c r="U314" s="1" t="s">
        <v>156</v>
      </c>
      <c r="V314" s="1">
        <v>4</v>
      </c>
      <c r="W314" s="1">
        <v>4</v>
      </c>
      <c r="X314" s="1" t="s">
        <v>97</v>
      </c>
      <c r="Y314" s="1" t="s">
        <v>130</v>
      </c>
      <c r="Z314" s="1" t="s">
        <v>1</v>
      </c>
      <c r="AA314" s="1" t="s">
        <v>98</v>
      </c>
      <c r="AB314" s="1" t="s">
        <v>203</v>
      </c>
      <c r="AC314" s="1" t="s">
        <v>99</v>
      </c>
      <c r="AD314" s="1" t="s">
        <v>102</v>
      </c>
      <c r="AE314" s="1" t="s">
        <v>151</v>
      </c>
      <c r="AF314" s="1" t="s">
        <v>320</v>
      </c>
      <c r="AG314" s="1">
        <v>39.700000000000003</v>
      </c>
      <c r="AH314" s="1">
        <f t="shared" si="814"/>
        <v>16.86</v>
      </c>
      <c r="AI314" s="1">
        <f>45.32-36.89</f>
        <v>8.43</v>
      </c>
      <c r="AJ314" s="1">
        <v>77.34</v>
      </c>
      <c r="AK314" s="1">
        <f t="shared" si="815"/>
        <v>29.580000000000013</v>
      </c>
      <c r="AL314" s="1">
        <f>84.64-69.85</f>
        <v>14.790000000000006</v>
      </c>
      <c r="AM314" s="12">
        <f t="shared" ref="AM314" si="903">AG314-AJ314</f>
        <v>-37.64</v>
      </c>
      <c r="AN314" s="1">
        <f t="shared" ref="AN314" si="904">SQRT((((W314-1)*AH314^2)+((V314-1)*AK314^2))/(W314+V314-2))</f>
        <v>24.075257007973985</v>
      </c>
      <c r="AO314" s="1">
        <f t="shared" ref="AO314" si="905">AM314/AN314</f>
        <v>-1.5634308696074657</v>
      </c>
      <c r="AP314" s="1">
        <f t="shared" ref="AP314" si="906">1/W314+1/V314+(AO314^2)/(2*(W314+V314))</f>
        <v>0.65276975525259728</v>
      </c>
      <c r="AQ314" s="1">
        <f t="shared" ref="AQ314" si="907">1-(3/(4*(W314+V314-2)-1))</f>
        <v>0.86956521739130432</v>
      </c>
      <c r="AR314" s="21">
        <f t="shared" ref="AR314" si="908">AO314*AQ314</f>
        <v>-1.3595051040064918</v>
      </c>
      <c r="AS314" s="21">
        <f t="shared" si="891"/>
        <v>0.49358771663712458</v>
      </c>
      <c r="AT314" s="21">
        <f t="shared" ref="AT314" si="909">SQRT(AP314*AQ314^2)</f>
        <v>0.702557980978883</v>
      </c>
      <c r="AU314" s="20">
        <f t="shared" si="893"/>
        <v>2.0259823457786315</v>
      </c>
      <c r="AV314" s="20">
        <f t="shared" si="894"/>
        <v>-2.7543333397130945</v>
      </c>
      <c r="AW314" s="20">
        <f t="shared" si="895"/>
        <v>3.7445302334751984</v>
      </c>
      <c r="AX314" s="14"/>
      <c r="AY314" s="14"/>
      <c r="AZ314" s="1" t="s">
        <v>271</v>
      </c>
      <c r="BA314" s="2"/>
    </row>
    <row r="315" spans="1:53" ht="14.25" hidden="1" customHeight="1">
      <c r="A315" s="2">
        <v>43</v>
      </c>
      <c r="B315" s="2" t="s">
        <v>9</v>
      </c>
      <c r="C315" s="1" t="s">
        <v>85</v>
      </c>
      <c r="D315" s="1">
        <v>2023</v>
      </c>
      <c r="E315" s="1">
        <v>2020</v>
      </c>
      <c r="F315" s="1" t="s">
        <v>153</v>
      </c>
      <c r="G315" s="1" t="s">
        <v>160</v>
      </c>
      <c r="H315" s="1">
        <v>49.094827000000002</v>
      </c>
      <c r="I315" s="1">
        <v>-121.06218200000001</v>
      </c>
      <c r="J315" s="1" t="s">
        <v>128</v>
      </c>
      <c r="K315" s="1" t="s">
        <v>175</v>
      </c>
      <c r="L315" s="1" t="s">
        <v>176</v>
      </c>
      <c r="M315" s="1" t="s">
        <v>237</v>
      </c>
      <c r="N315" s="1" t="s">
        <v>239</v>
      </c>
      <c r="O315" s="1" t="s">
        <v>86</v>
      </c>
      <c r="P315" s="1" t="s">
        <v>129</v>
      </c>
      <c r="Q315" s="1" t="s">
        <v>93</v>
      </c>
      <c r="R315" s="1">
        <v>2020</v>
      </c>
      <c r="S315" s="1" t="s">
        <v>157</v>
      </c>
      <c r="U315" s="1" t="s">
        <v>156</v>
      </c>
      <c r="V315" s="1">
        <v>4</v>
      </c>
      <c r="W315" s="1">
        <v>4</v>
      </c>
      <c r="X315" s="1" t="s">
        <v>97</v>
      </c>
      <c r="Y315" s="1" t="s">
        <v>130</v>
      </c>
      <c r="Z315" s="1" t="s">
        <v>1</v>
      </c>
      <c r="AA315" s="1" t="s">
        <v>98</v>
      </c>
      <c r="AB315" s="1" t="s">
        <v>203</v>
      </c>
      <c r="AC315" s="1" t="s">
        <v>99</v>
      </c>
      <c r="AD315" s="1" t="s">
        <v>102</v>
      </c>
      <c r="AE315" s="12" t="s">
        <v>357</v>
      </c>
      <c r="AF315" s="1" t="s">
        <v>319</v>
      </c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" t="s">
        <v>286</v>
      </c>
    </row>
    <row r="316" spans="1:53" ht="14.25" hidden="1" customHeight="1">
      <c r="A316" s="2">
        <v>43</v>
      </c>
      <c r="B316" s="2" t="s">
        <v>9</v>
      </c>
      <c r="C316" s="1" t="s">
        <v>85</v>
      </c>
      <c r="D316" s="1">
        <v>2023</v>
      </c>
      <c r="E316" s="1">
        <v>2020</v>
      </c>
      <c r="F316" s="1" t="s">
        <v>153</v>
      </c>
      <c r="G316" s="1" t="s">
        <v>160</v>
      </c>
      <c r="H316" s="1">
        <v>49.094827000000002</v>
      </c>
      <c r="I316" s="1">
        <v>-121.06218200000001</v>
      </c>
      <c r="J316" s="1" t="s">
        <v>128</v>
      </c>
      <c r="K316" s="1" t="s">
        <v>175</v>
      </c>
      <c r="L316" s="1" t="s">
        <v>176</v>
      </c>
      <c r="M316" s="1" t="s">
        <v>237</v>
      </c>
      <c r="N316" s="1" t="s">
        <v>239</v>
      </c>
      <c r="O316" s="1" t="s">
        <v>86</v>
      </c>
      <c r="P316" s="1" t="s">
        <v>129</v>
      </c>
      <c r="Q316" s="1" t="s">
        <v>93</v>
      </c>
      <c r="R316" s="1">
        <v>2020</v>
      </c>
      <c r="S316" s="1" t="s">
        <v>157</v>
      </c>
      <c r="U316" s="1" t="s">
        <v>156</v>
      </c>
      <c r="V316" s="1">
        <v>4</v>
      </c>
      <c r="W316" s="1">
        <v>4</v>
      </c>
      <c r="X316" s="1" t="s">
        <v>97</v>
      </c>
      <c r="Y316" s="1" t="s">
        <v>233</v>
      </c>
      <c r="Z316" s="1" t="s">
        <v>1</v>
      </c>
      <c r="AA316" s="1" t="s">
        <v>98</v>
      </c>
      <c r="AB316" s="1" t="s">
        <v>203</v>
      </c>
      <c r="AC316" s="1" t="s">
        <v>99</v>
      </c>
      <c r="AD316" s="1" t="s">
        <v>102</v>
      </c>
      <c r="AE316" s="1" t="s">
        <v>149</v>
      </c>
      <c r="AF316" s="1" t="s">
        <v>322</v>
      </c>
      <c r="AG316" s="1">
        <v>2.64</v>
      </c>
      <c r="AH316" s="1">
        <f t="shared" si="814"/>
        <v>0.70000000000000018</v>
      </c>
      <c r="AI316" s="1">
        <f>2.85-2.5</f>
        <v>0.35000000000000009</v>
      </c>
      <c r="AJ316" s="1">
        <v>3.25</v>
      </c>
      <c r="AK316" s="1">
        <f t="shared" si="815"/>
        <v>0.45999999999999996</v>
      </c>
      <c r="AL316" s="1">
        <f>3.36-3.13</f>
        <v>0.22999999999999998</v>
      </c>
      <c r="AM316" s="12">
        <f t="shared" ref="AM316" si="910">AG316-AJ316</f>
        <v>-0.60999999999999988</v>
      </c>
      <c r="AN316" s="1">
        <f t="shared" ref="AN316" si="911">SQRT((((W316-1)*AH316^2)+((V316-1)*AK316^2))/(W316+V316-2))</f>
        <v>0.59228371579843397</v>
      </c>
      <c r="AO316" s="1">
        <f t="shared" ref="AO316" si="912">AM316/AN316</f>
        <v>-1.0299118205160904</v>
      </c>
      <c r="AP316" s="1">
        <f t="shared" ref="AP316" si="913">1/W316+1/V316+(AO316^2)/(2*(W316+V316))</f>
        <v>0.566294897377423</v>
      </c>
      <c r="AQ316" s="1">
        <f t="shared" ref="AQ316" si="914">1-(3/(4*(W316+V316-2)-1))</f>
        <v>0.86956521739130432</v>
      </c>
      <c r="AR316" s="21">
        <f t="shared" ref="AR316" si="915">AO316*AQ316</f>
        <v>-0.89557549610094822</v>
      </c>
      <c r="AS316" s="21">
        <f t="shared" ref="AS316:AS318" si="916">AP316*(AQ316^2)</f>
        <v>0.42820030047442192</v>
      </c>
      <c r="AT316" s="21">
        <f t="shared" ref="AT316" si="917">SQRT(AP316*AQ316^2)</f>
        <v>0.65437015554991651</v>
      </c>
      <c r="AU316" s="20">
        <f t="shared" ref="AU316:AU318" si="918">1/AS316</f>
        <v>2.3353556709139531</v>
      </c>
      <c r="AV316" s="20">
        <f t="shared" ref="AV316:AV318" si="919">AR316/AS316</f>
        <v>-2.0914873135509264</v>
      </c>
      <c r="AW316" s="20">
        <f t="shared" ref="AW316:AW318" si="920">((AR316)^2)/AS316</f>
        <v>1.8730847884222104</v>
      </c>
      <c r="AX316" s="14"/>
      <c r="AY316" s="14"/>
      <c r="AZ316" s="1" t="s">
        <v>271</v>
      </c>
      <c r="BA316" s="2"/>
    </row>
    <row r="317" spans="1:53" ht="14.25" hidden="1" customHeight="1">
      <c r="A317" s="2">
        <v>43</v>
      </c>
      <c r="B317" s="2" t="s">
        <v>9</v>
      </c>
      <c r="C317" s="1" t="s">
        <v>85</v>
      </c>
      <c r="D317" s="1">
        <v>2023</v>
      </c>
      <c r="E317" s="1">
        <v>2020</v>
      </c>
      <c r="F317" s="1" t="s">
        <v>153</v>
      </c>
      <c r="G317" s="1" t="s">
        <v>160</v>
      </c>
      <c r="H317" s="1">
        <v>49.094827000000002</v>
      </c>
      <c r="I317" s="1">
        <v>-121.06218200000001</v>
      </c>
      <c r="J317" s="1" t="s">
        <v>128</v>
      </c>
      <c r="K317" s="1" t="s">
        <v>175</v>
      </c>
      <c r="L317" s="1" t="s">
        <v>176</v>
      </c>
      <c r="M317" s="1" t="s">
        <v>237</v>
      </c>
      <c r="N317" s="1" t="s">
        <v>239</v>
      </c>
      <c r="O317" s="1" t="s">
        <v>86</v>
      </c>
      <c r="P317" s="1" t="s">
        <v>129</v>
      </c>
      <c r="Q317" s="1" t="s">
        <v>93</v>
      </c>
      <c r="R317" s="1">
        <v>2020</v>
      </c>
      <c r="S317" s="1" t="s">
        <v>157</v>
      </c>
      <c r="U317" s="1" t="s">
        <v>156</v>
      </c>
      <c r="V317" s="1">
        <v>4</v>
      </c>
      <c r="W317" s="1">
        <v>4</v>
      </c>
      <c r="X317" s="1" t="s">
        <v>97</v>
      </c>
      <c r="Y317" s="1" t="s">
        <v>233</v>
      </c>
      <c r="Z317" s="1" t="s">
        <v>1</v>
      </c>
      <c r="AA317" s="1" t="s">
        <v>98</v>
      </c>
      <c r="AB317" s="1" t="s">
        <v>203</v>
      </c>
      <c r="AC317" s="1" t="s">
        <v>99</v>
      </c>
      <c r="AD317" s="1" t="s">
        <v>102</v>
      </c>
      <c r="AE317" s="1" t="s">
        <v>150</v>
      </c>
      <c r="AF317" s="1" t="s">
        <v>320</v>
      </c>
      <c r="AG317" s="1">
        <v>10.49</v>
      </c>
      <c r="AH317" s="1">
        <f t="shared" si="814"/>
        <v>4.9800000000000004</v>
      </c>
      <c r="AI317" s="1">
        <f>11.77-9.28</f>
        <v>2.4900000000000002</v>
      </c>
      <c r="AJ317" s="1">
        <v>26.87</v>
      </c>
      <c r="AK317" s="1">
        <f>AL317*SQRT(V314)</f>
        <v>9.1999999999999957</v>
      </c>
      <c r="AL317" s="1">
        <f>29.7-25.1</f>
        <v>4.5999999999999979</v>
      </c>
      <c r="AM317" s="12">
        <f t="shared" ref="AM317" si="921">AG317-AJ317</f>
        <v>-16.380000000000003</v>
      </c>
      <c r="AN317" s="1">
        <f t="shared" ref="AN317" si="922">SQRT((((W317-1)*AH317^2)+((V317-1)*AK317^2))/(W317+V317-2))</f>
        <v>7.397310322002177</v>
      </c>
      <c r="AO317" s="1">
        <f t="shared" ref="AO317" si="923">AM317/AN317</f>
        <v>-2.2143183518041929</v>
      </c>
      <c r="AP317" s="1">
        <f t="shared" ref="AP317" si="924">1/W317+1/V317+(AO317^2)/(2*(W317+V317))</f>
        <v>0.80645036019605232</v>
      </c>
      <c r="AQ317" s="1">
        <f t="shared" ref="AQ317" si="925">1-(3/(4*(W317+V317-2)-1))</f>
        <v>0.86956521739130432</v>
      </c>
      <c r="AR317" s="21">
        <f t="shared" ref="AR317" si="926">AO317*AQ317</f>
        <v>-1.9254942189601676</v>
      </c>
      <c r="AS317" s="21">
        <f t="shared" si="916"/>
        <v>0.60979233285145729</v>
      </c>
      <c r="AT317" s="21">
        <f t="shared" ref="AT317" si="927">SQRT(AP317*AQ317^2)</f>
        <v>0.78089201100501549</v>
      </c>
      <c r="AU317" s="20">
        <f t="shared" si="918"/>
        <v>1.6399025473539295</v>
      </c>
      <c r="AV317" s="20">
        <f t="shared" si="919"/>
        <v>-3.1576228745880437</v>
      </c>
      <c r="AW317" s="20">
        <f t="shared" si="920"/>
        <v>6.0799845906756644</v>
      </c>
      <c r="AX317" s="14"/>
      <c r="AY317" s="14"/>
      <c r="AZ317" s="1" t="s">
        <v>271</v>
      </c>
      <c r="BA317" s="2"/>
    </row>
    <row r="318" spans="1:53" ht="14.25" customHeight="1">
      <c r="A318" s="2">
        <v>43</v>
      </c>
      <c r="B318" s="2" t="s">
        <v>9</v>
      </c>
      <c r="C318" s="1" t="s">
        <v>85</v>
      </c>
      <c r="D318" s="1">
        <v>2023</v>
      </c>
      <c r="E318" s="1">
        <v>2020</v>
      </c>
      <c r="F318" s="1" t="s">
        <v>153</v>
      </c>
      <c r="G318" s="1" t="s">
        <v>160</v>
      </c>
      <c r="H318" s="1">
        <v>49.094827000000002</v>
      </c>
      <c r="I318" s="1">
        <v>-121.06218200000001</v>
      </c>
      <c r="J318" s="1" t="s">
        <v>128</v>
      </c>
      <c r="K318" s="1" t="s">
        <v>175</v>
      </c>
      <c r="L318" s="1" t="s">
        <v>176</v>
      </c>
      <c r="M318" s="1" t="s">
        <v>237</v>
      </c>
      <c r="N318" s="1" t="s">
        <v>239</v>
      </c>
      <c r="O318" s="1" t="s">
        <v>86</v>
      </c>
      <c r="P318" s="1" t="s">
        <v>129</v>
      </c>
      <c r="Q318" s="1" t="s">
        <v>93</v>
      </c>
      <c r="R318" s="1">
        <v>2020</v>
      </c>
      <c r="S318" s="1" t="s">
        <v>157</v>
      </c>
      <c r="U318" s="1" t="s">
        <v>156</v>
      </c>
      <c r="V318" s="1">
        <v>4</v>
      </c>
      <c r="W318" s="1">
        <v>4</v>
      </c>
      <c r="X318" s="1" t="s">
        <v>97</v>
      </c>
      <c r="Y318" s="1" t="s">
        <v>233</v>
      </c>
      <c r="Z318" s="1" t="s">
        <v>1</v>
      </c>
      <c r="AA318" s="1" t="s">
        <v>98</v>
      </c>
      <c r="AB318" s="1" t="s">
        <v>203</v>
      </c>
      <c r="AC318" s="1" t="s">
        <v>99</v>
      </c>
      <c r="AD318" s="1" t="s">
        <v>102</v>
      </c>
      <c r="AE318" s="1" t="s">
        <v>151</v>
      </c>
      <c r="AF318" s="1" t="s">
        <v>320</v>
      </c>
      <c r="AG318" s="1">
        <v>36.5</v>
      </c>
      <c r="AH318" s="1">
        <f t="shared" si="814"/>
        <v>10.840000000000003</v>
      </c>
      <c r="AI318" s="1">
        <f>39.32-33.9</f>
        <v>5.4200000000000017</v>
      </c>
      <c r="AJ318" s="1">
        <v>47.38</v>
      </c>
      <c r="AK318" s="1">
        <f t="shared" ref="AK318" si="928">AL318*SQRT(V318)</f>
        <v>13.099999999999994</v>
      </c>
      <c r="AL318" s="1">
        <f>51.12-44.57</f>
        <v>6.5499999999999972</v>
      </c>
      <c r="AM318" s="12">
        <f t="shared" ref="AM318" si="929">AG318-AJ318</f>
        <v>-10.880000000000003</v>
      </c>
      <c r="AN318" s="1">
        <f t="shared" ref="AN318" si="930">SQRT((((W318-1)*AH318^2)+((V318-1)*AK318^2))/(W318+V318-2))</f>
        <v>12.023219202859107</v>
      </c>
      <c r="AO318" s="1">
        <f t="shared" ref="AO318" si="931">AM318/AN318</f>
        <v>-0.9049157148705026</v>
      </c>
      <c r="AP318" s="1">
        <f t="shared" ref="AP318" si="932">1/W318+1/V318+(AO318^2)/(2*(W318+V318))</f>
        <v>0.55117952818872451</v>
      </c>
      <c r="AQ318" s="1">
        <f t="shared" ref="AQ318" si="933">1-(3/(4*(W318+V318-2)-1))</f>
        <v>0.86956521739130432</v>
      </c>
      <c r="AR318" s="21">
        <f t="shared" ref="AR318" si="934">AO318*AQ318</f>
        <v>-0.78688323032217611</v>
      </c>
      <c r="AS318" s="21">
        <f t="shared" si="916"/>
        <v>0.41677090978353459</v>
      </c>
      <c r="AT318" s="21">
        <f t="shared" ref="AT318" si="935">SQRT(AP318*AQ318^2)</f>
        <v>0.6455779656892997</v>
      </c>
      <c r="AU318" s="20">
        <f t="shared" si="918"/>
        <v>2.3993997098295248</v>
      </c>
      <c r="AV318" s="20">
        <f t="shared" si="919"/>
        <v>-1.8880473945047485</v>
      </c>
      <c r="AW318" s="20">
        <f t="shared" si="920"/>
        <v>1.4856728327892648</v>
      </c>
      <c r="AX318" s="14"/>
      <c r="AY318" s="14"/>
      <c r="AZ318" s="1" t="s">
        <v>271</v>
      </c>
      <c r="BA318" s="2"/>
    </row>
    <row r="319" spans="1:53" ht="14.25" hidden="1" customHeight="1">
      <c r="A319" s="2">
        <v>43</v>
      </c>
      <c r="B319" s="2" t="s">
        <v>9</v>
      </c>
      <c r="C319" s="1" t="s">
        <v>85</v>
      </c>
      <c r="D319" s="1">
        <v>2023</v>
      </c>
      <c r="E319" s="1">
        <v>2020</v>
      </c>
      <c r="F319" s="1" t="s">
        <v>153</v>
      </c>
      <c r="G319" s="1" t="s">
        <v>160</v>
      </c>
      <c r="H319" s="1">
        <v>49.094827000000002</v>
      </c>
      <c r="I319" s="1">
        <v>-121.06218200000001</v>
      </c>
      <c r="J319" s="1" t="s">
        <v>128</v>
      </c>
      <c r="K319" s="1" t="s">
        <v>175</v>
      </c>
      <c r="L319" s="1" t="s">
        <v>176</v>
      </c>
      <c r="M319" s="1" t="s">
        <v>237</v>
      </c>
      <c r="N319" s="1" t="s">
        <v>239</v>
      </c>
      <c r="O319" s="1" t="s">
        <v>86</v>
      </c>
      <c r="P319" s="1" t="s">
        <v>129</v>
      </c>
      <c r="Q319" s="1" t="s">
        <v>93</v>
      </c>
      <c r="R319" s="1">
        <v>2020</v>
      </c>
      <c r="S319" s="1" t="s">
        <v>157</v>
      </c>
      <c r="U319" s="1" t="s">
        <v>156</v>
      </c>
      <c r="V319" s="1">
        <v>4</v>
      </c>
      <c r="W319" s="1">
        <v>4</v>
      </c>
      <c r="X319" s="1" t="s">
        <v>97</v>
      </c>
      <c r="Y319" s="1" t="s">
        <v>233</v>
      </c>
      <c r="Z319" s="1" t="s">
        <v>1</v>
      </c>
      <c r="AA319" s="1" t="s">
        <v>98</v>
      </c>
      <c r="AB319" s="1" t="s">
        <v>203</v>
      </c>
      <c r="AC319" s="1" t="s">
        <v>99</v>
      </c>
      <c r="AD319" s="1" t="s">
        <v>102</v>
      </c>
      <c r="AE319" s="12" t="s">
        <v>357</v>
      </c>
      <c r="AF319" s="1" t="s">
        <v>319</v>
      </c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" t="s">
        <v>286</v>
      </c>
    </row>
    <row r="320" spans="1:53" ht="14.25" hidden="1" customHeight="1">
      <c r="A320" s="2">
        <v>559</v>
      </c>
      <c r="B320" s="2" t="s">
        <v>70</v>
      </c>
      <c r="C320" s="1" t="s">
        <v>85</v>
      </c>
      <c r="D320" s="1">
        <v>2018</v>
      </c>
      <c r="F320" s="1" t="s">
        <v>120</v>
      </c>
      <c r="G320" s="1" t="s">
        <v>109</v>
      </c>
      <c r="H320" s="1">
        <v>39.591799999999999</v>
      </c>
      <c r="I320" s="1">
        <v>-0.73202100000000003</v>
      </c>
      <c r="J320" s="1" t="s">
        <v>128</v>
      </c>
      <c r="O320" s="1" t="s">
        <v>86</v>
      </c>
      <c r="Q320" s="1" t="s">
        <v>93</v>
      </c>
      <c r="R320" s="1">
        <v>2014</v>
      </c>
      <c r="S320" s="1">
        <v>3</v>
      </c>
      <c r="V320" s="1">
        <v>150</v>
      </c>
      <c r="W320" s="1">
        <v>150</v>
      </c>
      <c r="X320" s="1" t="s">
        <v>97</v>
      </c>
      <c r="Y320" s="1" t="s">
        <v>130</v>
      </c>
      <c r="Z320" s="1" t="s">
        <v>1</v>
      </c>
      <c r="AA320" s="1" t="s">
        <v>98</v>
      </c>
      <c r="AB320" s="1" t="s">
        <v>203</v>
      </c>
      <c r="AC320" s="1" t="s">
        <v>229</v>
      </c>
      <c r="AD320" s="1" t="s">
        <v>100</v>
      </c>
      <c r="AE320" s="1" t="s">
        <v>223</v>
      </c>
      <c r="AF320" s="1" t="s">
        <v>321</v>
      </c>
      <c r="AG320" s="1">
        <v>454</v>
      </c>
      <c r="AH320" s="1">
        <f>AI320*SQRT(W320)</f>
        <v>171.46428199482247</v>
      </c>
      <c r="AI320" s="1">
        <v>14</v>
      </c>
      <c r="AJ320" s="1">
        <v>536</v>
      </c>
      <c r="AK320" s="1">
        <f>AL320*SQRT(V320)</f>
        <v>281.69132042006549</v>
      </c>
      <c r="AL320" s="1">
        <v>23</v>
      </c>
      <c r="AM320" s="12">
        <f t="shared" ref="AM320:AM430" si="936">AG320-AJ320</f>
        <v>-82</v>
      </c>
      <c r="AN320" s="1">
        <f t="shared" si="679"/>
        <v>233.18447632722038</v>
      </c>
      <c r="AO320" s="1">
        <f t="shared" si="525"/>
        <v>-0.35165291142679672</v>
      </c>
      <c r="AP320" s="1">
        <f t="shared" si="680"/>
        <v>1.3539432950191572E-2</v>
      </c>
      <c r="AQ320" s="1">
        <f t="shared" si="681"/>
        <v>0.9974811083123426</v>
      </c>
      <c r="AR320" s="21">
        <f t="shared" si="526"/>
        <v>-0.35076713583126323</v>
      </c>
      <c r="AS320" s="21">
        <f t="shared" ref="AS320:AS322" si="937">AP320*(AQ320^2)</f>
        <v>1.3471310125165704E-2</v>
      </c>
      <c r="AT320" s="21">
        <f t="shared" si="594"/>
        <v>0.11606597315822456</v>
      </c>
      <c r="AU320" s="20">
        <f t="shared" ref="AU320:AU322" si="938">1/AS320</f>
        <v>74.231829770729107</v>
      </c>
      <c r="AV320" s="20">
        <f t="shared" ref="AV320:AV322" si="939">AR320/AS320</f>
        <v>-26.038086316192548</v>
      </c>
      <c r="AW320" s="20">
        <f t="shared" ref="AW320:AW322" si="940">((AR320)^2)/AS320</f>
        <v>9.1333049596580675</v>
      </c>
      <c r="AX320" s="13"/>
      <c r="AY320" s="13"/>
      <c r="AZ320" s="1" t="s">
        <v>271</v>
      </c>
      <c r="BA320" s="2"/>
    </row>
    <row r="321" spans="1:53" s="16" customFormat="1" ht="14.25" hidden="1">
      <c r="A321" s="17">
        <v>257</v>
      </c>
      <c r="B321" s="17" t="s">
        <v>243</v>
      </c>
      <c r="C321" s="1" t="s">
        <v>85</v>
      </c>
      <c r="D321" s="16">
        <v>2025</v>
      </c>
      <c r="E321" s="16">
        <v>2019</v>
      </c>
      <c r="F321" s="16" t="s">
        <v>153</v>
      </c>
      <c r="G321" s="16" t="s">
        <v>160</v>
      </c>
      <c r="H321" s="16">
        <v>51.627439000000003</v>
      </c>
      <c r="I321" s="16">
        <v>-121.324494</v>
      </c>
      <c r="J321" s="1" t="s">
        <v>128</v>
      </c>
      <c r="K321" s="1" t="s">
        <v>175</v>
      </c>
      <c r="L321" s="1" t="s">
        <v>176</v>
      </c>
      <c r="M321" s="1" t="s">
        <v>237</v>
      </c>
      <c r="N321" s="1" t="s">
        <v>239</v>
      </c>
      <c r="O321" s="1" t="s">
        <v>86</v>
      </c>
      <c r="P321" s="16" t="s">
        <v>146</v>
      </c>
      <c r="Q321" s="16" t="s">
        <v>93</v>
      </c>
      <c r="R321" s="16">
        <v>2017</v>
      </c>
      <c r="S321" s="16">
        <v>2</v>
      </c>
      <c r="U321" s="16">
        <v>5700</v>
      </c>
      <c r="V321" s="16">
        <v>9</v>
      </c>
      <c r="W321" s="16">
        <v>9</v>
      </c>
      <c r="X321" s="1" t="s">
        <v>97</v>
      </c>
      <c r="Y321" s="16" t="s">
        <v>130</v>
      </c>
      <c r="Z321" s="1" t="s">
        <v>1</v>
      </c>
      <c r="AA321" s="1" t="s">
        <v>98</v>
      </c>
      <c r="AB321" s="1" t="s">
        <v>203</v>
      </c>
      <c r="AC321" s="16" t="s">
        <v>359</v>
      </c>
      <c r="AD321" s="16" t="s">
        <v>100</v>
      </c>
      <c r="AE321" s="16" t="s">
        <v>308</v>
      </c>
      <c r="AF321" s="16" t="s">
        <v>320</v>
      </c>
      <c r="AG321" s="16">
        <v>9.76</v>
      </c>
      <c r="AH321" s="16">
        <f>9.91-9.59</f>
        <v>0.32000000000000028</v>
      </c>
      <c r="AJ321" s="16">
        <v>10.34</v>
      </c>
      <c r="AK321" s="16">
        <f>10.45-10.16</f>
        <v>0.28999999999999915</v>
      </c>
      <c r="AM321" s="12">
        <f t="shared" ref="AM321" si="941">AG321-AJ321</f>
        <v>-0.58000000000000007</v>
      </c>
      <c r="AN321" s="1">
        <f t="shared" ref="AN321" si="942">SQRT((((W321-1)*AH321^2)+((V321-1)*AK321^2))/(W321+V321-2))</f>
        <v>0.30536862969204914</v>
      </c>
      <c r="AO321" s="1">
        <f t="shared" ref="AO321" si="943">AM321/AN321</f>
        <v>-1.8993437557253494</v>
      </c>
      <c r="AP321" s="1">
        <f t="shared" ref="AP321" si="944">1/W321+1/V321+(AO321^2)/(2*(W321+V321))</f>
        <v>0.32243074173369096</v>
      </c>
      <c r="AQ321" s="1">
        <f t="shared" ref="AQ321" si="945">1-(3/(4*(W321+V321-2)-1))</f>
        <v>0.95238095238095233</v>
      </c>
      <c r="AR321" s="21">
        <f t="shared" ref="AR321" si="946">AO321*AQ321</f>
        <v>-1.8088988149765231</v>
      </c>
      <c r="AS321" s="21">
        <f t="shared" si="937"/>
        <v>0.29245418751355184</v>
      </c>
      <c r="AT321" s="21">
        <f t="shared" ref="AT321" si="947">SQRT(AP321*AQ321^2)</f>
        <v>0.54079033600236592</v>
      </c>
      <c r="AU321" s="20">
        <f t="shared" si="938"/>
        <v>3.4193389689578702</v>
      </c>
      <c r="AV321" s="20">
        <f t="shared" si="939"/>
        <v>-6.1852382089509375</v>
      </c>
      <c r="AW321" s="20">
        <f t="shared" si="940"/>
        <v>11.188470066518862</v>
      </c>
      <c r="AX321" s="13"/>
      <c r="AY321" s="13"/>
      <c r="AZ321" s="1" t="s">
        <v>271</v>
      </c>
      <c r="BA321" s="17"/>
    </row>
    <row r="322" spans="1:53" s="16" customFormat="1" ht="14.25" hidden="1">
      <c r="A322" s="17">
        <v>257</v>
      </c>
      <c r="B322" s="17" t="s">
        <v>243</v>
      </c>
      <c r="C322" s="1" t="s">
        <v>85</v>
      </c>
      <c r="D322" s="16">
        <v>2025</v>
      </c>
      <c r="E322" s="16">
        <v>2019</v>
      </c>
      <c r="F322" s="16" t="s">
        <v>153</v>
      </c>
      <c r="G322" s="16" t="s">
        <v>160</v>
      </c>
      <c r="H322" s="16">
        <v>51.627439000000003</v>
      </c>
      <c r="I322" s="16">
        <v>-121.324494</v>
      </c>
      <c r="J322" s="1" t="s">
        <v>128</v>
      </c>
      <c r="K322" s="1" t="s">
        <v>175</v>
      </c>
      <c r="L322" s="1" t="s">
        <v>176</v>
      </c>
      <c r="M322" s="1" t="s">
        <v>237</v>
      </c>
      <c r="N322" s="1" t="s">
        <v>239</v>
      </c>
      <c r="O322" s="1" t="s">
        <v>86</v>
      </c>
      <c r="P322" s="16" t="s">
        <v>146</v>
      </c>
      <c r="Q322" s="16" t="s">
        <v>93</v>
      </c>
      <c r="R322" s="16">
        <v>2017</v>
      </c>
      <c r="S322" s="16">
        <v>2</v>
      </c>
      <c r="U322" s="16">
        <v>5700</v>
      </c>
      <c r="V322" s="16">
        <v>9</v>
      </c>
      <c r="W322" s="16">
        <v>9</v>
      </c>
      <c r="X322" s="1" t="s">
        <v>97</v>
      </c>
      <c r="Y322" s="16" t="s">
        <v>130</v>
      </c>
      <c r="Z322" s="1" t="s">
        <v>1</v>
      </c>
      <c r="AA322" s="1" t="s">
        <v>98</v>
      </c>
      <c r="AB322" s="1" t="s">
        <v>203</v>
      </c>
      <c r="AC322" s="16" t="s">
        <v>359</v>
      </c>
      <c r="AD322" s="16" t="s">
        <v>100</v>
      </c>
      <c r="AE322" s="16" t="s">
        <v>368</v>
      </c>
      <c r="AF322" s="16" t="s">
        <v>320</v>
      </c>
      <c r="AG322" s="16">
        <v>8.35</v>
      </c>
      <c r="AH322" s="16">
        <f>8.48-8.2</f>
        <v>0.28000000000000114</v>
      </c>
      <c r="AJ322" s="16">
        <v>7.92</v>
      </c>
      <c r="AK322" s="16">
        <f>7.99-7.82</f>
        <v>0.16999999999999993</v>
      </c>
      <c r="AM322" s="12">
        <f t="shared" ref="AM322" si="948">AG322-AJ322</f>
        <v>0.42999999999999972</v>
      </c>
      <c r="AN322" s="1">
        <f t="shared" ref="AN322" si="949">SQRT((((W322-1)*AH322^2)+((V322-1)*AK322^2))/(W322+V322-2))</f>
        <v>0.23162469643801006</v>
      </c>
      <c r="AO322" s="1">
        <f t="shared" ref="AO322" si="950">AM322/AN322</f>
        <v>1.8564514346382792</v>
      </c>
      <c r="AP322" s="1">
        <f t="shared" ref="AP322" si="951">1/W322+1/V322+(AO322^2)/(2*(W322+V322))</f>
        <v>0.31795588692140347</v>
      </c>
      <c r="AQ322" s="1">
        <f t="shared" ref="AQ322" si="952">1-(3/(4*(W322+V322-2)-1))</f>
        <v>0.95238095238095233</v>
      </c>
      <c r="AR322" s="21">
        <f t="shared" ref="AR322" si="953">AO322*AQ322</f>
        <v>1.7680489853697896</v>
      </c>
      <c r="AS322" s="21">
        <f t="shared" si="937"/>
        <v>0.28839536228698726</v>
      </c>
      <c r="AT322" s="21">
        <f t="shared" ref="AT322" si="954">SQRT(AP322*AQ322^2)</f>
        <v>0.53702454533008759</v>
      </c>
      <c r="AU322" s="20">
        <f t="shared" si="938"/>
        <v>3.4674621397166665</v>
      </c>
      <c r="AV322" s="20">
        <f t="shared" si="939"/>
        <v>6.1306429179342112</v>
      </c>
      <c r="AW322" s="20">
        <f t="shared" si="940"/>
        <v>10.839276990718069</v>
      </c>
      <c r="AX322" s="13"/>
      <c r="AY322" s="13"/>
      <c r="AZ322" s="1" t="s">
        <v>271</v>
      </c>
      <c r="BA322" s="17"/>
    </row>
    <row r="323" spans="1:53" s="16" customFormat="1" ht="14.25" hidden="1">
      <c r="A323" s="17">
        <v>257</v>
      </c>
      <c r="B323" s="17" t="s">
        <v>243</v>
      </c>
      <c r="C323" s="1" t="s">
        <v>85</v>
      </c>
      <c r="D323" s="16">
        <v>2025</v>
      </c>
      <c r="E323" s="16">
        <v>2019</v>
      </c>
      <c r="F323" s="16" t="s">
        <v>153</v>
      </c>
      <c r="G323" s="16" t="s">
        <v>160</v>
      </c>
      <c r="H323" s="16">
        <v>51.627439000000003</v>
      </c>
      <c r="I323" s="16">
        <v>-121.324494</v>
      </c>
      <c r="J323" s="1" t="s">
        <v>128</v>
      </c>
      <c r="K323" s="1" t="s">
        <v>175</v>
      </c>
      <c r="L323" s="1" t="s">
        <v>176</v>
      </c>
      <c r="M323" s="1" t="s">
        <v>237</v>
      </c>
      <c r="N323" s="1" t="s">
        <v>239</v>
      </c>
      <c r="O323" s="1" t="s">
        <v>86</v>
      </c>
      <c r="P323" s="16" t="s">
        <v>146</v>
      </c>
      <c r="Q323" s="16" t="s">
        <v>93</v>
      </c>
      <c r="R323" s="16">
        <v>2017</v>
      </c>
      <c r="S323" s="16">
        <v>2</v>
      </c>
      <c r="U323" s="16">
        <v>5700</v>
      </c>
      <c r="V323" s="16">
        <v>9</v>
      </c>
      <c r="W323" s="16">
        <v>9</v>
      </c>
      <c r="X323" s="1" t="s">
        <v>97</v>
      </c>
      <c r="Y323" s="16" t="s">
        <v>130</v>
      </c>
      <c r="Z323" s="1" t="s">
        <v>1</v>
      </c>
      <c r="AA323" s="1" t="s">
        <v>98</v>
      </c>
      <c r="AB323" s="1" t="s">
        <v>203</v>
      </c>
      <c r="AC323" s="16" t="s">
        <v>359</v>
      </c>
      <c r="AD323" s="16" t="s">
        <v>100</v>
      </c>
      <c r="AE323" s="16" t="s">
        <v>357</v>
      </c>
      <c r="AF323" s="16" t="s">
        <v>334</v>
      </c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6" t="s">
        <v>286</v>
      </c>
    </row>
    <row r="324" spans="1:53" s="16" customFormat="1" ht="14.25" hidden="1">
      <c r="A324" s="17">
        <v>257</v>
      </c>
      <c r="B324" s="17" t="s">
        <v>243</v>
      </c>
      <c r="C324" s="1" t="s">
        <v>85</v>
      </c>
      <c r="D324" s="16">
        <v>2025</v>
      </c>
      <c r="E324" s="16">
        <v>2019</v>
      </c>
      <c r="F324" s="16" t="s">
        <v>153</v>
      </c>
      <c r="G324" s="16" t="s">
        <v>160</v>
      </c>
      <c r="H324" s="16">
        <v>51.627439000000003</v>
      </c>
      <c r="I324" s="16">
        <v>-121.324494</v>
      </c>
      <c r="J324" s="1" t="s">
        <v>128</v>
      </c>
      <c r="K324" s="1" t="s">
        <v>175</v>
      </c>
      <c r="L324" s="1" t="s">
        <v>176</v>
      </c>
      <c r="M324" s="1" t="s">
        <v>237</v>
      </c>
      <c r="N324" s="1" t="s">
        <v>239</v>
      </c>
      <c r="O324" s="1" t="s">
        <v>86</v>
      </c>
      <c r="P324" s="16" t="s">
        <v>146</v>
      </c>
      <c r="Q324" s="16" t="s">
        <v>93</v>
      </c>
      <c r="R324" s="16">
        <v>2017</v>
      </c>
      <c r="S324" s="16">
        <v>2</v>
      </c>
      <c r="U324" s="16">
        <v>5700</v>
      </c>
      <c r="V324" s="16">
        <v>9</v>
      </c>
      <c r="W324" s="16">
        <v>9</v>
      </c>
      <c r="X324" s="1" t="s">
        <v>97</v>
      </c>
      <c r="Y324" s="16" t="s">
        <v>230</v>
      </c>
      <c r="Z324" s="1" t="s">
        <v>1</v>
      </c>
      <c r="AA324" s="1" t="s">
        <v>98</v>
      </c>
      <c r="AB324" s="1" t="s">
        <v>203</v>
      </c>
      <c r="AC324" s="16" t="s">
        <v>359</v>
      </c>
      <c r="AD324" s="16" t="s">
        <v>100</v>
      </c>
      <c r="AE324" s="16" t="s">
        <v>308</v>
      </c>
      <c r="AF324" s="16" t="s">
        <v>320</v>
      </c>
      <c r="AG324" s="16">
        <v>10.55</v>
      </c>
      <c r="AH324" s="16">
        <f>11.14-10.31</f>
        <v>0.83000000000000007</v>
      </c>
      <c r="AJ324" s="16">
        <v>11.25</v>
      </c>
      <c r="AK324" s="16">
        <f>11.46-10.96</f>
        <v>0.5</v>
      </c>
      <c r="AM324" s="12">
        <f t="shared" ref="AM324" si="955">AG324-AJ324</f>
        <v>-0.69999999999999929</v>
      </c>
      <c r="AN324" s="1">
        <f t="shared" ref="AN324" si="956">SQRT((((W324-1)*AH324^2)+((V324-1)*AK324^2))/(W324+V324-2))</f>
        <v>0.68516421389328264</v>
      </c>
      <c r="AO324" s="1">
        <f t="shared" ref="AO324" si="957">AM324/AN324</f>
        <v>-1.021652891096597</v>
      </c>
      <c r="AP324" s="1">
        <f t="shared" ref="AP324" si="958">1/W324+1/V324+(AO324^2)/(2*(W324+V324))</f>
        <v>0.25121596194127876</v>
      </c>
      <c r="AQ324" s="1">
        <f t="shared" ref="AQ324" si="959">1-(3/(4*(W324+V324-2)-1))</f>
        <v>0.95238095238095233</v>
      </c>
      <c r="AR324" s="21">
        <f t="shared" ref="AR324" si="960">AO324*AQ324</f>
        <v>-0.97300275342533038</v>
      </c>
      <c r="AS324" s="21">
        <f t="shared" ref="AS324:AS325" si="961">AP324*(AQ324^2)</f>
        <v>0.22786028293993538</v>
      </c>
      <c r="AT324" s="21">
        <f t="shared" ref="AT324" si="962">SQRT(AP324*AQ324^2)</f>
        <v>0.47734713044066301</v>
      </c>
      <c r="AU324" s="20">
        <f t="shared" ref="AU324:AU325" si="963">1/AS324</f>
        <v>4.3886542538157158</v>
      </c>
      <c r="AV324" s="20">
        <f t="shared" ref="AV324:AV325" si="964">AR324/AS324</f>
        <v>-4.2701726727944802</v>
      </c>
      <c r="AW324" s="20">
        <f t="shared" ref="AW324:AW325" si="965">((AR324)^2)/AS324</f>
        <v>4.1548897682306318</v>
      </c>
      <c r="AX324" s="13"/>
      <c r="AY324" s="13"/>
      <c r="AZ324" s="1" t="s">
        <v>271</v>
      </c>
      <c r="BA324" s="17"/>
    </row>
    <row r="325" spans="1:53" s="16" customFormat="1" ht="14.25" hidden="1">
      <c r="A325" s="17">
        <v>257</v>
      </c>
      <c r="B325" s="17" t="s">
        <v>243</v>
      </c>
      <c r="C325" s="1" t="s">
        <v>85</v>
      </c>
      <c r="D325" s="16">
        <v>2025</v>
      </c>
      <c r="E325" s="16">
        <v>2019</v>
      </c>
      <c r="F325" s="16" t="s">
        <v>153</v>
      </c>
      <c r="G325" s="16" t="s">
        <v>160</v>
      </c>
      <c r="H325" s="16">
        <v>51.627439000000003</v>
      </c>
      <c r="I325" s="16">
        <v>-121.324494</v>
      </c>
      <c r="J325" s="1" t="s">
        <v>128</v>
      </c>
      <c r="K325" s="1" t="s">
        <v>175</v>
      </c>
      <c r="L325" s="1" t="s">
        <v>176</v>
      </c>
      <c r="M325" s="1" t="s">
        <v>237</v>
      </c>
      <c r="N325" s="1" t="s">
        <v>239</v>
      </c>
      <c r="O325" s="1" t="s">
        <v>86</v>
      </c>
      <c r="P325" s="16" t="s">
        <v>146</v>
      </c>
      <c r="Q325" s="16" t="s">
        <v>93</v>
      </c>
      <c r="R325" s="16">
        <v>2017</v>
      </c>
      <c r="S325" s="16">
        <v>2</v>
      </c>
      <c r="U325" s="16">
        <v>5700</v>
      </c>
      <c r="V325" s="16">
        <v>9</v>
      </c>
      <c r="W325" s="16">
        <v>9</v>
      </c>
      <c r="X325" s="1" t="s">
        <v>97</v>
      </c>
      <c r="Y325" s="16" t="s">
        <v>230</v>
      </c>
      <c r="Z325" s="1" t="s">
        <v>1</v>
      </c>
      <c r="AA325" s="1" t="s">
        <v>98</v>
      </c>
      <c r="AB325" s="1" t="s">
        <v>203</v>
      </c>
      <c r="AC325" s="16" t="s">
        <v>359</v>
      </c>
      <c r="AD325" s="16" t="s">
        <v>100</v>
      </c>
      <c r="AE325" s="16" t="s">
        <v>368</v>
      </c>
      <c r="AF325" s="16" t="s">
        <v>320</v>
      </c>
      <c r="AG325" s="16">
        <v>5.89</v>
      </c>
      <c r="AH325" s="16">
        <f>6.2-5.59</f>
        <v>0.61000000000000032</v>
      </c>
      <c r="AJ325" s="16">
        <v>5.64</v>
      </c>
      <c r="AK325" s="16">
        <f>5.89-5.14</f>
        <v>0.75</v>
      </c>
      <c r="AM325" s="12">
        <f t="shared" ref="AM325" si="966">AG325-AJ325</f>
        <v>0.25</v>
      </c>
      <c r="AN325" s="1">
        <f t="shared" ref="AN325" si="967">SQRT((((W325-1)*AH325^2)+((V325-1)*AK325^2))/(W325+V325-2))</f>
        <v>0.68359344642850417</v>
      </c>
      <c r="AO325" s="1">
        <f t="shared" ref="AO325" si="968">AM325/AN325</f>
        <v>0.36571444812139092</v>
      </c>
      <c r="AP325" s="1">
        <f t="shared" ref="AP325" si="969">1/W325+1/V325+(AO325^2)/(2*(W325+V325))</f>
        <v>0.22593741826568703</v>
      </c>
      <c r="AQ325" s="1">
        <f t="shared" ref="AQ325" si="970">1-(3/(4*(W325+V325-2)-1))</f>
        <v>0.95238095238095233</v>
      </c>
      <c r="AR325" s="21">
        <f t="shared" ref="AR325" si="971">AO325*AQ325</f>
        <v>0.34829947440132469</v>
      </c>
      <c r="AS325" s="21">
        <f t="shared" si="961"/>
        <v>0.20493189865368436</v>
      </c>
      <c r="AT325" s="21">
        <f t="shared" ref="AT325" si="972">SQRT(AP325*AQ325^2)</f>
        <v>0.45269404530398272</v>
      </c>
      <c r="AU325" s="20">
        <f t="shared" si="963"/>
        <v>4.8796698150438065</v>
      </c>
      <c r="AV325" s="20">
        <f t="shared" si="964"/>
        <v>1.6995864318317671</v>
      </c>
      <c r="AW325" s="20">
        <f t="shared" si="965"/>
        <v>0.59196506090662737</v>
      </c>
      <c r="AX325" s="13"/>
      <c r="AY325" s="13"/>
      <c r="AZ325" s="1" t="s">
        <v>271</v>
      </c>
      <c r="BA325" s="17"/>
    </row>
    <row r="326" spans="1:53" s="16" customFormat="1" ht="14.25" hidden="1">
      <c r="A326" s="17">
        <v>257</v>
      </c>
      <c r="B326" s="17" t="s">
        <v>243</v>
      </c>
      <c r="C326" s="1" t="s">
        <v>85</v>
      </c>
      <c r="D326" s="16">
        <v>2025</v>
      </c>
      <c r="E326" s="16">
        <v>2019</v>
      </c>
      <c r="F326" s="16" t="s">
        <v>153</v>
      </c>
      <c r="G326" s="16" t="s">
        <v>160</v>
      </c>
      <c r="H326" s="16">
        <v>51.627439000000003</v>
      </c>
      <c r="I326" s="16">
        <v>-121.324494</v>
      </c>
      <c r="J326" s="1" t="s">
        <v>128</v>
      </c>
      <c r="K326" s="1" t="s">
        <v>175</v>
      </c>
      <c r="L326" s="1" t="s">
        <v>176</v>
      </c>
      <c r="M326" s="1" t="s">
        <v>237</v>
      </c>
      <c r="N326" s="1" t="s">
        <v>239</v>
      </c>
      <c r="O326" s="1" t="s">
        <v>86</v>
      </c>
      <c r="P326" s="16" t="s">
        <v>146</v>
      </c>
      <c r="Q326" s="16" t="s">
        <v>93</v>
      </c>
      <c r="R326" s="16">
        <v>2017</v>
      </c>
      <c r="S326" s="16">
        <v>2</v>
      </c>
      <c r="U326" s="16">
        <v>5700</v>
      </c>
      <c r="V326" s="16">
        <v>9</v>
      </c>
      <c r="W326" s="16">
        <v>9</v>
      </c>
      <c r="X326" s="1" t="s">
        <v>97</v>
      </c>
      <c r="Y326" s="16" t="s">
        <v>230</v>
      </c>
      <c r="Z326" s="1" t="s">
        <v>1</v>
      </c>
      <c r="AA326" s="1" t="s">
        <v>98</v>
      </c>
      <c r="AB326" s="1" t="s">
        <v>203</v>
      </c>
      <c r="AC326" s="16" t="s">
        <v>359</v>
      </c>
      <c r="AD326" s="16" t="s">
        <v>100</v>
      </c>
      <c r="AE326" s="16" t="s">
        <v>357</v>
      </c>
      <c r="AF326" s="16" t="s">
        <v>334</v>
      </c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6" t="s">
        <v>286</v>
      </c>
    </row>
    <row r="327" spans="1:53" s="16" customFormat="1" ht="14.25" hidden="1">
      <c r="A327" s="17">
        <v>257</v>
      </c>
      <c r="B327" s="17" t="s">
        <v>243</v>
      </c>
      <c r="C327" s="1" t="s">
        <v>85</v>
      </c>
      <c r="D327" s="16">
        <v>2025</v>
      </c>
      <c r="E327" s="16">
        <v>2019</v>
      </c>
      <c r="F327" s="16" t="s">
        <v>153</v>
      </c>
      <c r="G327" s="16" t="s">
        <v>160</v>
      </c>
      <c r="H327" s="16">
        <v>51.627439000000003</v>
      </c>
      <c r="I327" s="16">
        <v>-121.324494</v>
      </c>
      <c r="J327" s="1" t="s">
        <v>128</v>
      </c>
      <c r="K327" s="1" t="s">
        <v>175</v>
      </c>
      <c r="L327" s="1" t="s">
        <v>176</v>
      </c>
      <c r="M327" s="1" t="s">
        <v>237</v>
      </c>
      <c r="N327" s="1" t="s">
        <v>239</v>
      </c>
      <c r="O327" s="1" t="s">
        <v>86</v>
      </c>
      <c r="P327" s="16" t="s">
        <v>211</v>
      </c>
      <c r="Q327" s="16" t="s">
        <v>93</v>
      </c>
      <c r="R327" s="16">
        <v>2017</v>
      </c>
      <c r="S327" s="16">
        <v>2</v>
      </c>
      <c r="U327" s="16">
        <v>5700</v>
      </c>
      <c r="V327" s="16">
        <v>9</v>
      </c>
      <c r="W327" s="16">
        <v>9</v>
      </c>
      <c r="X327" s="1" t="s">
        <v>97</v>
      </c>
      <c r="Y327" s="16" t="s">
        <v>130</v>
      </c>
      <c r="Z327" s="1" t="s">
        <v>1</v>
      </c>
      <c r="AA327" s="1" t="s">
        <v>98</v>
      </c>
      <c r="AB327" s="1" t="s">
        <v>203</v>
      </c>
      <c r="AC327" s="16" t="s">
        <v>359</v>
      </c>
      <c r="AD327" s="16" t="s">
        <v>100</v>
      </c>
      <c r="AE327" s="16" t="s">
        <v>308</v>
      </c>
      <c r="AF327" s="16" t="s">
        <v>320</v>
      </c>
      <c r="AG327" s="16">
        <v>9.8000000000000007</v>
      </c>
      <c r="AH327" s="16">
        <f>9.87-9.6</f>
        <v>0.26999999999999957</v>
      </c>
      <c r="AJ327" s="16">
        <v>10.34</v>
      </c>
      <c r="AK327" s="16">
        <f>10.45-10.16</f>
        <v>0.28999999999999915</v>
      </c>
      <c r="AM327" s="12">
        <f t="shared" ref="AM327" si="973">AG327-AJ327</f>
        <v>-0.53999999999999915</v>
      </c>
      <c r="AN327" s="1">
        <f t="shared" ref="AN327" si="974">SQRT((((W327-1)*AH327^2)+((V327-1)*AK327^2))/(W327+V327-2))</f>
        <v>0.28017851452243736</v>
      </c>
      <c r="AO327" s="1">
        <f t="shared" ref="AO327" si="975">AM327/AN327</f>
        <v>-1.9273426476702755</v>
      </c>
      <c r="AP327" s="1">
        <f t="shared" ref="AP327" si="976">1/W327+1/V327+(AO327^2)/(2*(W327+V327))</f>
        <v>0.32540693559801853</v>
      </c>
      <c r="AQ327" s="1">
        <f t="shared" ref="AQ327" si="977">1-(3/(4*(W327+V327-2)-1))</f>
        <v>0.95238095238095233</v>
      </c>
      <c r="AR327" s="21">
        <f t="shared" ref="AR327" si="978">AO327*AQ327</f>
        <v>-1.8355644263526432</v>
      </c>
      <c r="AS327" s="21">
        <f t="shared" ref="AS327:AS328" si="979">AP327*(AQ327^2)</f>
        <v>0.29515368308210294</v>
      </c>
      <c r="AT327" s="21">
        <f t="shared" ref="AT327" si="980">SQRT(AP327*AQ327^2)</f>
        <v>0.54328048288347608</v>
      </c>
      <c r="AU327" s="20">
        <f t="shared" ref="AU327:AU328" si="981">1/AS327</f>
        <v>3.3880654632448883</v>
      </c>
      <c r="AV327" s="20">
        <f t="shared" ref="AV327:AV328" si="982">AR327/AS327</f>
        <v>-6.2190124384863052</v>
      </c>
      <c r="AW327" s="20">
        <f t="shared" ref="AW327:AW328" si="983">((AR327)^2)/AS327</f>
        <v>11.415397999130066</v>
      </c>
      <c r="AX327" s="13"/>
      <c r="AY327" s="13"/>
      <c r="AZ327" s="1" t="s">
        <v>271</v>
      </c>
      <c r="BA327" s="17"/>
    </row>
    <row r="328" spans="1:53" s="16" customFormat="1" ht="14.25" hidden="1">
      <c r="A328" s="17">
        <v>257</v>
      </c>
      <c r="B328" s="17" t="s">
        <v>243</v>
      </c>
      <c r="C328" s="1" t="s">
        <v>85</v>
      </c>
      <c r="D328" s="16">
        <v>2025</v>
      </c>
      <c r="E328" s="16">
        <v>2019</v>
      </c>
      <c r="F328" s="16" t="s">
        <v>153</v>
      </c>
      <c r="G328" s="16" t="s">
        <v>160</v>
      </c>
      <c r="H328" s="16">
        <v>51.627439000000003</v>
      </c>
      <c r="I328" s="16">
        <v>-121.324494</v>
      </c>
      <c r="J328" s="1" t="s">
        <v>128</v>
      </c>
      <c r="K328" s="1" t="s">
        <v>175</v>
      </c>
      <c r="L328" s="1" t="s">
        <v>176</v>
      </c>
      <c r="M328" s="1" t="s">
        <v>237</v>
      </c>
      <c r="N328" s="1" t="s">
        <v>239</v>
      </c>
      <c r="O328" s="1" t="s">
        <v>86</v>
      </c>
      <c r="P328" s="16" t="s">
        <v>211</v>
      </c>
      <c r="Q328" s="16" t="s">
        <v>93</v>
      </c>
      <c r="R328" s="16">
        <v>2017</v>
      </c>
      <c r="S328" s="16">
        <v>2</v>
      </c>
      <c r="U328" s="16">
        <v>5700</v>
      </c>
      <c r="V328" s="16">
        <v>9</v>
      </c>
      <c r="W328" s="16">
        <v>9</v>
      </c>
      <c r="X328" s="1" t="s">
        <v>97</v>
      </c>
      <c r="Y328" s="16" t="s">
        <v>130</v>
      </c>
      <c r="Z328" s="1" t="s">
        <v>1</v>
      </c>
      <c r="AA328" s="1" t="s">
        <v>98</v>
      </c>
      <c r="AB328" s="1" t="s">
        <v>203</v>
      </c>
      <c r="AC328" s="16" t="s">
        <v>359</v>
      </c>
      <c r="AD328" s="16" t="s">
        <v>100</v>
      </c>
      <c r="AE328" s="16" t="s">
        <v>368</v>
      </c>
      <c r="AF328" s="16" t="s">
        <v>320</v>
      </c>
      <c r="AG328" s="16">
        <v>8.83</v>
      </c>
      <c r="AH328" s="16">
        <f>9.63-8.6</f>
        <v>1.0300000000000011</v>
      </c>
      <c r="AJ328" s="16">
        <v>7.92</v>
      </c>
      <c r="AK328" s="16">
        <f>7.99-7.82</f>
        <v>0.16999999999999993</v>
      </c>
      <c r="AM328" s="12">
        <f t="shared" ref="AM328" si="984">AG328-AJ328</f>
        <v>0.91000000000000014</v>
      </c>
      <c r="AN328" s="1">
        <f t="shared" ref="AN328" si="985">SQRT((((W328-1)*AH328^2)+((V328-1)*AK328^2))/(W328+V328-2))</f>
        <v>0.7381734213584239</v>
      </c>
      <c r="AO328" s="1">
        <f t="shared" ref="AO328" si="986">AM328/AN328</f>
        <v>1.23277264348718</v>
      </c>
      <c r="AP328" s="1">
        <f t="shared" ref="AP328" si="987">1/W328+1/V328+(AO328^2)/(2*(W328+V328))</f>
        <v>0.26443689973695472</v>
      </c>
      <c r="AQ328" s="1">
        <f t="shared" ref="AQ328" si="988">1-(3/(4*(W328+V328-2)-1))</f>
        <v>0.95238095238095233</v>
      </c>
      <c r="AR328" s="21">
        <f t="shared" ref="AR328" si="989">AO328*AQ328</f>
        <v>1.1740691842735047</v>
      </c>
      <c r="AS328" s="21">
        <f t="shared" si="979"/>
        <v>0.23985206325347366</v>
      </c>
      <c r="AT328" s="21">
        <f t="shared" ref="AT328" si="990">SQRT(AP328*AQ328^2)</f>
        <v>0.4897469379725346</v>
      </c>
      <c r="AU328" s="20">
        <f t="shared" si="981"/>
        <v>4.1692365970736232</v>
      </c>
      <c r="AV328" s="20">
        <f t="shared" si="982"/>
        <v>4.8949722105694713</v>
      </c>
      <c r="AW328" s="20">
        <f t="shared" si="983"/>
        <v>5.7470360303047734</v>
      </c>
      <c r="AX328" s="13"/>
      <c r="AY328" s="13"/>
      <c r="AZ328" s="1" t="s">
        <v>271</v>
      </c>
      <c r="BA328" s="17"/>
    </row>
    <row r="329" spans="1:53" s="16" customFormat="1" ht="14.25" hidden="1">
      <c r="A329" s="17">
        <v>257</v>
      </c>
      <c r="B329" s="17" t="s">
        <v>243</v>
      </c>
      <c r="C329" s="1" t="s">
        <v>85</v>
      </c>
      <c r="D329" s="16">
        <v>2025</v>
      </c>
      <c r="E329" s="16">
        <v>2019</v>
      </c>
      <c r="F329" s="16" t="s">
        <v>153</v>
      </c>
      <c r="G329" s="16" t="s">
        <v>160</v>
      </c>
      <c r="H329" s="16">
        <v>51.627439000000003</v>
      </c>
      <c r="I329" s="16">
        <v>-121.324494</v>
      </c>
      <c r="J329" s="1" t="s">
        <v>128</v>
      </c>
      <c r="K329" s="1" t="s">
        <v>175</v>
      </c>
      <c r="L329" s="1" t="s">
        <v>176</v>
      </c>
      <c r="M329" s="1" t="s">
        <v>237</v>
      </c>
      <c r="N329" s="1" t="s">
        <v>239</v>
      </c>
      <c r="O329" s="1" t="s">
        <v>86</v>
      </c>
      <c r="P329" s="16" t="s">
        <v>211</v>
      </c>
      <c r="Q329" s="16" t="s">
        <v>93</v>
      </c>
      <c r="R329" s="16">
        <v>2017</v>
      </c>
      <c r="S329" s="16">
        <v>2</v>
      </c>
      <c r="U329" s="16">
        <v>5700</v>
      </c>
      <c r="V329" s="16">
        <v>9</v>
      </c>
      <c r="W329" s="16">
        <v>9</v>
      </c>
      <c r="X329" s="1" t="s">
        <v>97</v>
      </c>
      <c r="Y329" s="16" t="s">
        <v>130</v>
      </c>
      <c r="Z329" s="1" t="s">
        <v>1</v>
      </c>
      <c r="AA329" s="1" t="s">
        <v>98</v>
      </c>
      <c r="AB329" s="1" t="s">
        <v>203</v>
      </c>
      <c r="AC329" s="16" t="s">
        <v>359</v>
      </c>
      <c r="AD329" s="16" t="s">
        <v>100</v>
      </c>
      <c r="AE329" s="16" t="s">
        <v>357</v>
      </c>
      <c r="AF329" s="16" t="s">
        <v>334</v>
      </c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6" t="s">
        <v>286</v>
      </c>
    </row>
    <row r="330" spans="1:53" s="16" customFormat="1" ht="14.25" hidden="1">
      <c r="A330" s="17">
        <v>257</v>
      </c>
      <c r="B330" s="17" t="s">
        <v>243</v>
      </c>
      <c r="C330" s="1" t="s">
        <v>85</v>
      </c>
      <c r="D330" s="16">
        <v>2025</v>
      </c>
      <c r="E330" s="16">
        <v>2019</v>
      </c>
      <c r="F330" s="16" t="s">
        <v>153</v>
      </c>
      <c r="G330" s="16" t="s">
        <v>160</v>
      </c>
      <c r="H330" s="16">
        <v>51.627439000000003</v>
      </c>
      <c r="I330" s="16">
        <v>-121.324494</v>
      </c>
      <c r="J330" s="1" t="s">
        <v>128</v>
      </c>
      <c r="K330" s="1" t="s">
        <v>175</v>
      </c>
      <c r="L330" s="1" t="s">
        <v>176</v>
      </c>
      <c r="M330" s="1" t="s">
        <v>237</v>
      </c>
      <c r="N330" s="1" t="s">
        <v>239</v>
      </c>
      <c r="O330" s="1" t="s">
        <v>86</v>
      </c>
      <c r="P330" s="16" t="s">
        <v>211</v>
      </c>
      <c r="Q330" s="16" t="s">
        <v>93</v>
      </c>
      <c r="R330" s="16">
        <v>2017</v>
      </c>
      <c r="S330" s="16">
        <v>2</v>
      </c>
      <c r="U330" s="16">
        <v>5700</v>
      </c>
      <c r="V330" s="16">
        <v>9</v>
      </c>
      <c r="W330" s="16">
        <v>9</v>
      </c>
      <c r="X330" s="1" t="s">
        <v>97</v>
      </c>
      <c r="Y330" s="16" t="s">
        <v>230</v>
      </c>
      <c r="Z330" s="1" t="s">
        <v>1</v>
      </c>
      <c r="AA330" s="1" t="s">
        <v>98</v>
      </c>
      <c r="AB330" s="1" t="s">
        <v>203</v>
      </c>
      <c r="AC330" s="16" t="s">
        <v>359</v>
      </c>
      <c r="AD330" s="16" t="s">
        <v>100</v>
      </c>
      <c r="AE330" s="16" t="s">
        <v>308</v>
      </c>
      <c r="AF330" s="16" t="s">
        <v>320</v>
      </c>
      <c r="AG330" s="16">
        <v>9.98</v>
      </c>
      <c r="AH330" s="16">
        <f>10.69-9.85</f>
        <v>0.83999999999999986</v>
      </c>
      <c r="AJ330" s="16">
        <v>11.25</v>
      </c>
      <c r="AK330" s="16">
        <f>11.46-10.96</f>
        <v>0.5</v>
      </c>
      <c r="AM330" s="12">
        <f t="shared" ref="AM330" si="991">AG330-AJ330</f>
        <v>-1.2699999999999996</v>
      </c>
      <c r="AN330" s="1">
        <f t="shared" ref="AN330" si="992">SQRT((((W330-1)*AH330^2)+((V330-1)*AK330^2))/(W330+V330-2))</f>
        <v>0.6912307863514181</v>
      </c>
      <c r="AO330" s="1">
        <f t="shared" ref="AO330" si="993">AM330/AN330</f>
        <v>-1.837302425002723</v>
      </c>
      <c r="AP330" s="1">
        <f t="shared" ref="AP330" si="994">1/W330+1/V330+(AO330^2)/(2*(W330+V330))</f>
        <v>0.31599111669224683</v>
      </c>
      <c r="AQ330" s="1">
        <f t="shared" ref="AQ330" si="995">1-(3/(4*(W330+V330-2)-1))</f>
        <v>0.95238095238095233</v>
      </c>
      <c r="AR330" s="21">
        <f t="shared" ref="AR330" si="996">AO330*AQ330</f>
        <v>-1.7498118333359265</v>
      </c>
      <c r="AS330" s="21">
        <f t="shared" ref="AS330:AS331" si="997">AP330*(AQ330^2)</f>
        <v>0.28661325777074542</v>
      </c>
      <c r="AT330" s="21">
        <f t="shared" ref="AT330" si="998">SQRT(AP330*AQ330^2)</f>
        <v>0.53536273476097063</v>
      </c>
      <c r="AU330" s="20">
        <f t="shared" ref="AU330:AU331" si="999">1/AS330</f>
        <v>3.4890221330929299</v>
      </c>
      <c r="AV330" s="20">
        <f t="shared" ref="AV330:AV331" si="1000">AR330/AS330</f>
        <v>-6.1051322152569645</v>
      </c>
      <c r="AW330" s="20">
        <f t="shared" ref="AW330:AW331" si="1001">((AR330)^2)/AS330</f>
        <v>10.682832594337016</v>
      </c>
      <c r="AX330" s="13"/>
      <c r="AY330" s="13"/>
      <c r="AZ330" s="1" t="s">
        <v>271</v>
      </c>
      <c r="BA330" s="17"/>
    </row>
    <row r="331" spans="1:53" s="16" customFormat="1" ht="14.25" hidden="1">
      <c r="A331" s="17">
        <v>257</v>
      </c>
      <c r="B331" s="17" t="s">
        <v>243</v>
      </c>
      <c r="C331" s="1" t="s">
        <v>85</v>
      </c>
      <c r="D331" s="16">
        <v>2025</v>
      </c>
      <c r="E331" s="16">
        <v>2019</v>
      </c>
      <c r="F331" s="16" t="s">
        <v>153</v>
      </c>
      <c r="G331" s="16" t="s">
        <v>160</v>
      </c>
      <c r="H331" s="16">
        <v>51.627439000000003</v>
      </c>
      <c r="I331" s="16">
        <v>-121.324494</v>
      </c>
      <c r="J331" s="1" t="s">
        <v>128</v>
      </c>
      <c r="K331" s="1" t="s">
        <v>175</v>
      </c>
      <c r="L331" s="1" t="s">
        <v>176</v>
      </c>
      <c r="M331" s="1" t="s">
        <v>237</v>
      </c>
      <c r="N331" s="1" t="s">
        <v>239</v>
      </c>
      <c r="O331" s="1" t="s">
        <v>86</v>
      </c>
      <c r="P331" s="16" t="s">
        <v>211</v>
      </c>
      <c r="Q331" s="16" t="s">
        <v>93</v>
      </c>
      <c r="R331" s="16">
        <v>2017</v>
      </c>
      <c r="S331" s="16">
        <v>2</v>
      </c>
      <c r="U331" s="16">
        <v>5700</v>
      </c>
      <c r="V331" s="16">
        <v>9</v>
      </c>
      <c r="W331" s="16">
        <v>9</v>
      </c>
      <c r="X331" s="1" t="s">
        <v>97</v>
      </c>
      <c r="Y331" s="16" t="s">
        <v>230</v>
      </c>
      <c r="Z331" s="1" t="s">
        <v>1</v>
      </c>
      <c r="AA331" s="1" t="s">
        <v>98</v>
      </c>
      <c r="AB331" s="1" t="s">
        <v>203</v>
      </c>
      <c r="AC331" s="16" t="s">
        <v>359</v>
      </c>
      <c r="AD331" s="16" t="s">
        <v>100</v>
      </c>
      <c r="AE331" s="16" t="s">
        <v>368</v>
      </c>
      <c r="AF331" s="16" t="s">
        <v>320</v>
      </c>
      <c r="AG331" s="16">
        <v>6.29</v>
      </c>
      <c r="AH331" s="16">
        <f>6.69-5.8</f>
        <v>0.89000000000000057</v>
      </c>
      <c r="AJ331" s="16">
        <v>5.64</v>
      </c>
      <c r="AK331" s="16">
        <f>5.89-5.14</f>
        <v>0.75</v>
      </c>
      <c r="AM331" s="12">
        <f t="shared" ref="AM331" si="1002">AG331-AJ331</f>
        <v>0.65000000000000036</v>
      </c>
      <c r="AN331" s="1">
        <f t="shared" ref="AN331" si="1003">SQRT((((W331-1)*AH331^2)+((V331-1)*AK331^2))/(W331+V331-2))</f>
        <v>0.82298238134239576</v>
      </c>
      <c r="AO331" s="1">
        <f t="shared" ref="AO331" si="1004">AM331/AN331</f>
        <v>0.78981034677773088</v>
      </c>
      <c r="AP331" s="1">
        <f t="shared" ref="AP331" si="1005">1/W331+1/V331+(AO331^2)/(2*(W331+V331))</f>
        <v>0.23955001066325443</v>
      </c>
      <c r="AQ331" s="1">
        <f t="shared" ref="AQ331" si="1006">1-(3/(4*(W331+V331-2)-1))</f>
        <v>0.95238095238095233</v>
      </c>
      <c r="AR331" s="21">
        <f t="shared" ref="AR331" si="1007">AO331*AQ331</f>
        <v>0.7522003302645055</v>
      </c>
      <c r="AS331" s="21">
        <f t="shared" si="997"/>
        <v>0.21727892123651193</v>
      </c>
      <c r="AT331" s="21">
        <f t="shared" ref="AT331" si="1008">SQRT(AP331*AQ331^2)</f>
        <v>0.46613187107996801</v>
      </c>
      <c r="AU331" s="20">
        <f t="shared" si="999"/>
        <v>4.6023792566214112</v>
      </c>
      <c r="AV331" s="20">
        <f t="shared" si="1000"/>
        <v>3.4619111968331349</v>
      </c>
      <c r="AW331" s="20">
        <f t="shared" si="1001"/>
        <v>2.6040507456042739</v>
      </c>
      <c r="AX331" s="13"/>
      <c r="AY331" s="13"/>
      <c r="AZ331" s="1" t="s">
        <v>271</v>
      </c>
      <c r="BA331" s="17"/>
    </row>
    <row r="332" spans="1:53" s="16" customFormat="1" ht="14.25" hidden="1">
      <c r="A332" s="17">
        <v>257</v>
      </c>
      <c r="B332" s="17" t="s">
        <v>243</v>
      </c>
      <c r="C332" s="1" t="s">
        <v>85</v>
      </c>
      <c r="D332" s="16">
        <v>2025</v>
      </c>
      <c r="E332" s="16">
        <v>2019</v>
      </c>
      <c r="F332" s="16" t="s">
        <v>153</v>
      </c>
      <c r="G332" s="16" t="s">
        <v>160</v>
      </c>
      <c r="H332" s="16">
        <v>51.627439000000003</v>
      </c>
      <c r="I332" s="16">
        <v>-121.324494</v>
      </c>
      <c r="J332" s="1" t="s">
        <v>128</v>
      </c>
      <c r="K332" s="1" t="s">
        <v>175</v>
      </c>
      <c r="L332" s="1" t="s">
        <v>176</v>
      </c>
      <c r="M332" s="1" t="s">
        <v>237</v>
      </c>
      <c r="N332" s="1" t="s">
        <v>239</v>
      </c>
      <c r="O332" s="1" t="s">
        <v>86</v>
      </c>
      <c r="P332" s="16" t="s">
        <v>211</v>
      </c>
      <c r="Q332" s="16" t="s">
        <v>93</v>
      </c>
      <c r="R332" s="16">
        <v>2017</v>
      </c>
      <c r="S332" s="16">
        <v>2</v>
      </c>
      <c r="U332" s="16">
        <v>5700</v>
      </c>
      <c r="V332" s="16">
        <v>9</v>
      </c>
      <c r="W332" s="16">
        <v>9</v>
      </c>
      <c r="X332" s="1" t="s">
        <v>97</v>
      </c>
      <c r="Y332" s="16" t="s">
        <v>230</v>
      </c>
      <c r="Z332" s="1" t="s">
        <v>1</v>
      </c>
      <c r="AA332" s="1" t="s">
        <v>98</v>
      </c>
      <c r="AB332" s="1" t="s">
        <v>203</v>
      </c>
      <c r="AC332" s="16" t="s">
        <v>359</v>
      </c>
      <c r="AD332" s="16" t="s">
        <v>100</v>
      </c>
      <c r="AE332" s="16" t="s">
        <v>357</v>
      </c>
      <c r="AF332" s="16" t="s">
        <v>334</v>
      </c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6" t="s">
        <v>286</v>
      </c>
    </row>
    <row r="333" spans="1:53" s="16" customFormat="1" ht="14.25" hidden="1">
      <c r="A333" s="17">
        <v>257</v>
      </c>
      <c r="B333" s="17" t="s">
        <v>243</v>
      </c>
      <c r="C333" s="1" t="s">
        <v>85</v>
      </c>
      <c r="D333" s="16">
        <v>2025</v>
      </c>
      <c r="E333" s="16">
        <v>2019</v>
      </c>
      <c r="F333" s="16" t="s">
        <v>153</v>
      </c>
      <c r="G333" s="16" t="s">
        <v>160</v>
      </c>
      <c r="H333" s="16">
        <v>51.627439000000003</v>
      </c>
      <c r="I333" s="16">
        <v>-121.324494</v>
      </c>
      <c r="J333" s="1" t="s">
        <v>128</v>
      </c>
      <c r="K333" s="1" t="s">
        <v>175</v>
      </c>
      <c r="L333" s="1" t="s">
        <v>176</v>
      </c>
      <c r="M333" s="1" t="s">
        <v>237</v>
      </c>
      <c r="N333" s="1" t="s">
        <v>239</v>
      </c>
      <c r="O333" s="1" t="s">
        <v>86</v>
      </c>
      <c r="P333" s="16" t="s">
        <v>129</v>
      </c>
      <c r="Q333" s="16" t="s">
        <v>93</v>
      </c>
      <c r="R333" s="16">
        <v>2017</v>
      </c>
      <c r="S333" s="16">
        <v>2</v>
      </c>
      <c r="U333" s="16">
        <v>5700</v>
      </c>
      <c r="V333" s="16">
        <v>9</v>
      </c>
      <c r="W333" s="16">
        <v>9</v>
      </c>
      <c r="X333" s="1" t="s">
        <v>97</v>
      </c>
      <c r="Y333" s="16" t="s">
        <v>130</v>
      </c>
      <c r="Z333" s="1" t="s">
        <v>1</v>
      </c>
      <c r="AA333" s="1" t="s">
        <v>98</v>
      </c>
      <c r="AB333" s="1" t="s">
        <v>203</v>
      </c>
      <c r="AC333" s="16" t="s">
        <v>359</v>
      </c>
      <c r="AD333" s="16" t="s">
        <v>100</v>
      </c>
      <c r="AE333" s="16" t="s">
        <v>357</v>
      </c>
      <c r="AF333" s="16" t="s">
        <v>334</v>
      </c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6" t="s">
        <v>286</v>
      </c>
    </row>
    <row r="334" spans="1:53" s="16" customFormat="1" ht="14.25" hidden="1">
      <c r="A334" s="17">
        <v>257</v>
      </c>
      <c r="B334" s="17" t="s">
        <v>243</v>
      </c>
      <c r="C334" s="1" t="s">
        <v>85</v>
      </c>
      <c r="D334" s="16">
        <v>2025</v>
      </c>
      <c r="E334" s="16">
        <v>2019</v>
      </c>
      <c r="F334" s="16" t="s">
        <v>153</v>
      </c>
      <c r="G334" s="16" t="s">
        <v>160</v>
      </c>
      <c r="H334" s="16">
        <v>51.627439000000003</v>
      </c>
      <c r="I334" s="16">
        <v>-121.324494</v>
      </c>
      <c r="J334" s="1" t="s">
        <v>128</v>
      </c>
      <c r="K334" s="1" t="s">
        <v>175</v>
      </c>
      <c r="L334" s="1" t="s">
        <v>176</v>
      </c>
      <c r="M334" s="1" t="s">
        <v>237</v>
      </c>
      <c r="N334" s="1" t="s">
        <v>239</v>
      </c>
      <c r="O334" s="1" t="s">
        <v>86</v>
      </c>
      <c r="P334" s="16" t="s">
        <v>129</v>
      </c>
      <c r="Q334" s="16" t="s">
        <v>93</v>
      </c>
      <c r="R334" s="16">
        <v>2017</v>
      </c>
      <c r="S334" s="16">
        <v>2</v>
      </c>
      <c r="U334" s="16">
        <v>5700</v>
      </c>
      <c r="V334" s="16">
        <v>9</v>
      </c>
      <c r="W334" s="16">
        <v>9</v>
      </c>
      <c r="X334" s="1" t="s">
        <v>97</v>
      </c>
      <c r="Y334" s="16" t="s">
        <v>230</v>
      </c>
      <c r="Z334" s="1" t="s">
        <v>1</v>
      </c>
      <c r="AA334" s="1" t="s">
        <v>98</v>
      </c>
      <c r="AB334" s="1" t="s">
        <v>203</v>
      </c>
      <c r="AC334" s="16" t="s">
        <v>359</v>
      </c>
      <c r="AD334" s="16" t="s">
        <v>100</v>
      </c>
      <c r="AE334" s="16" t="s">
        <v>308</v>
      </c>
      <c r="AF334" s="16" t="s">
        <v>320</v>
      </c>
      <c r="AG334" s="16">
        <v>8.94</v>
      </c>
      <c r="AH334" s="16">
        <f>9.5-8.76</f>
        <v>0.74000000000000021</v>
      </c>
      <c r="AJ334" s="16">
        <v>11.25</v>
      </c>
      <c r="AK334" s="16">
        <f>11.46-10.96</f>
        <v>0.5</v>
      </c>
      <c r="AM334" s="12">
        <f t="shared" ref="AM334" si="1009">AG334-AJ334</f>
        <v>-2.3100000000000005</v>
      </c>
      <c r="AN334" s="1">
        <f t="shared" ref="AN334" si="1010">SQRT((((W334-1)*AH334^2)+((V334-1)*AK334^2))/(W334+V334-2))</f>
        <v>0.63150613615387785</v>
      </c>
      <c r="AO334" s="1">
        <f t="shared" ref="AO334" si="1011">AM334/AN334</f>
        <v>-3.6579217013928229</v>
      </c>
      <c r="AP334" s="1">
        <f t="shared" ref="AP334" si="1012">1/W334+1/V334+(AO334^2)/(2*(W334+V334))</f>
        <v>0.59389975482001567</v>
      </c>
      <c r="AQ334" s="1">
        <f t="shared" ref="AQ334" si="1013">1-(3/(4*(W334+V334-2)-1))</f>
        <v>0.95238095238095233</v>
      </c>
      <c r="AR334" s="21">
        <f t="shared" ref="AR334" si="1014">AO334*AQ334</f>
        <v>-3.48373495370745</v>
      </c>
      <c r="AS334" s="21">
        <f t="shared" ref="AS334:AS335" si="1015">AP334*(AQ334^2)</f>
        <v>0.53868458487076243</v>
      </c>
      <c r="AT334" s="21">
        <f t="shared" ref="AT334" si="1016">SQRT(AP334*AQ334^2)</f>
        <v>0.73395135047955484</v>
      </c>
      <c r="AU334" s="20">
        <f t="shared" ref="AU334:AU335" si="1017">1/AS334</f>
        <v>1.8563738931566294</v>
      </c>
      <c r="AV334" s="20">
        <f t="shared" ref="AV334:AV335" si="1018">AR334/AS334</f>
        <v>-6.4671146187397293</v>
      </c>
      <c r="AW334" s="20">
        <f t="shared" ref="AW334:AW335" si="1019">((AR334)^2)/AS334</f>
        <v>22.529713246936026</v>
      </c>
      <c r="AX334" s="13"/>
      <c r="AY334" s="13"/>
      <c r="AZ334" s="1" t="s">
        <v>271</v>
      </c>
      <c r="BA334" s="17"/>
    </row>
    <row r="335" spans="1:53" s="16" customFormat="1" ht="14.25" hidden="1">
      <c r="A335" s="17">
        <v>257</v>
      </c>
      <c r="B335" s="17" t="s">
        <v>243</v>
      </c>
      <c r="C335" s="1" t="s">
        <v>85</v>
      </c>
      <c r="D335" s="16">
        <v>2025</v>
      </c>
      <c r="E335" s="16">
        <v>2019</v>
      </c>
      <c r="F335" s="16" t="s">
        <v>153</v>
      </c>
      <c r="G335" s="16" t="s">
        <v>160</v>
      </c>
      <c r="H335" s="16">
        <v>51.627439000000003</v>
      </c>
      <c r="I335" s="16">
        <v>-121.324494</v>
      </c>
      <c r="J335" s="1" t="s">
        <v>128</v>
      </c>
      <c r="K335" s="1" t="s">
        <v>175</v>
      </c>
      <c r="L335" s="1" t="s">
        <v>176</v>
      </c>
      <c r="M335" s="1" t="s">
        <v>237</v>
      </c>
      <c r="N335" s="1" t="s">
        <v>239</v>
      </c>
      <c r="O335" s="1" t="s">
        <v>86</v>
      </c>
      <c r="P335" s="16" t="s">
        <v>129</v>
      </c>
      <c r="Q335" s="16" t="s">
        <v>93</v>
      </c>
      <c r="R335" s="16">
        <v>2017</v>
      </c>
      <c r="S335" s="16">
        <v>2</v>
      </c>
      <c r="U335" s="16">
        <v>5700</v>
      </c>
      <c r="V335" s="16">
        <v>9</v>
      </c>
      <c r="W335" s="16">
        <v>9</v>
      </c>
      <c r="X335" s="1" t="s">
        <v>97</v>
      </c>
      <c r="Y335" s="16" t="s">
        <v>230</v>
      </c>
      <c r="Z335" s="1" t="s">
        <v>1</v>
      </c>
      <c r="AA335" s="1" t="s">
        <v>98</v>
      </c>
      <c r="AB335" s="1" t="s">
        <v>203</v>
      </c>
      <c r="AC335" s="16" t="s">
        <v>359</v>
      </c>
      <c r="AD335" s="16" t="s">
        <v>100</v>
      </c>
      <c r="AE335" s="16" t="s">
        <v>368</v>
      </c>
      <c r="AF335" s="16" t="s">
        <v>320</v>
      </c>
      <c r="AG335" s="16">
        <v>6.45</v>
      </c>
      <c r="AH335" s="16">
        <f>6.94-6.23</f>
        <v>0.71</v>
      </c>
      <c r="AJ335" s="16">
        <v>5.64</v>
      </c>
      <c r="AK335" s="16">
        <f>5.89-5.14</f>
        <v>0.75</v>
      </c>
      <c r="AM335" s="12">
        <f t="shared" ref="AM335" si="1020">AG335-AJ335</f>
        <v>0.8100000000000005</v>
      </c>
      <c r="AN335" s="1">
        <f t="shared" ref="AN335" si="1021">SQRT((((W335-1)*AH335^2)+((V335-1)*AK335^2))/(W335+V335-2))</f>
        <v>0.7302739212103907</v>
      </c>
      <c r="AO335" s="1">
        <f t="shared" ref="AO335" si="1022">AM335/AN335</f>
        <v>1.109172841140853</v>
      </c>
      <c r="AP335" s="1">
        <f t="shared" ref="AP335" si="1023">1/W335+1/V335+(AO335^2)/(2*(W335+V335))</f>
        <v>0.25639623309790199</v>
      </c>
      <c r="AQ335" s="1">
        <f t="shared" ref="AQ335" si="1024">1-(3/(4*(W335+V335-2)-1))</f>
        <v>0.95238095238095233</v>
      </c>
      <c r="AR335" s="21">
        <f t="shared" ref="AR335" si="1025">AO335*AQ335</f>
        <v>1.0563550868008122</v>
      </c>
      <c r="AS335" s="21">
        <f t="shared" si="1015"/>
        <v>0.23255894158539861</v>
      </c>
      <c r="AT335" s="21">
        <f t="shared" ref="AT335" si="1026">SQRT(AP335*AQ335^2)</f>
        <v>0.48224365375336836</v>
      </c>
      <c r="AU335" s="20">
        <f t="shared" si="1017"/>
        <v>4.2999851701371252</v>
      </c>
      <c r="AV335" s="20">
        <f t="shared" si="1018"/>
        <v>4.5423112076424079</v>
      </c>
      <c r="AW335" s="20">
        <f t="shared" si="1019"/>
        <v>4.7982935500253978</v>
      </c>
      <c r="AX335" s="13"/>
      <c r="AY335" s="13"/>
      <c r="AZ335" s="1" t="s">
        <v>271</v>
      </c>
      <c r="BA335" s="17"/>
    </row>
    <row r="336" spans="1:53" s="16" customFormat="1" ht="14.25" hidden="1">
      <c r="A336" s="17">
        <v>257</v>
      </c>
      <c r="B336" s="17" t="s">
        <v>243</v>
      </c>
      <c r="C336" s="1" t="s">
        <v>85</v>
      </c>
      <c r="D336" s="16">
        <v>2025</v>
      </c>
      <c r="E336" s="16">
        <v>2019</v>
      </c>
      <c r="F336" s="16" t="s">
        <v>153</v>
      </c>
      <c r="G336" s="16" t="s">
        <v>160</v>
      </c>
      <c r="H336" s="16">
        <v>51.627439000000003</v>
      </c>
      <c r="I336" s="16">
        <v>-121.324494</v>
      </c>
      <c r="J336" s="1" t="s">
        <v>128</v>
      </c>
      <c r="K336" s="1" t="s">
        <v>175</v>
      </c>
      <c r="L336" s="1" t="s">
        <v>176</v>
      </c>
      <c r="M336" s="1" t="s">
        <v>237</v>
      </c>
      <c r="N336" s="1" t="s">
        <v>239</v>
      </c>
      <c r="O336" s="1" t="s">
        <v>86</v>
      </c>
      <c r="P336" s="16" t="s">
        <v>129</v>
      </c>
      <c r="Q336" s="16" t="s">
        <v>93</v>
      </c>
      <c r="R336" s="16">
        <v>2017</v>
      </c>
      <c r="S336" s="16">
        <v>2</v>
      </c>
      <c r="U336" s="16">
        <v>5700</v>
      </c>
      <c r="V336" s="16">
        <v>9</v>
      </c>
      <c r="W336" s="16">
        <v>9</v>
      </c>
      <c r="X336" s="1" t="s">
        <v>97</v>
      </c>
      <c r="Y336" s="16" t="s">
        <v>230</v>
      </c>
      <c r="Z336" s="1" t="s">
        <v>1</v>
      </c>
      <c r="AA336" s="1" t="s">
        <v>98</v>
      </c>
      <c r="AB336" s="1" t="s">
        <v>203</v>
      </c>
      <c r="AC336" s="16" t="s">
        <v>359</v>
      </c>
      <c r="AD336" s="16" t="s">
        <v>100</v>
      </c>
      <c r="AE336" s="16" t="s">
        <v>357</v>
      </c>
      <c r="AF336" s="16" t="s">
        <v>334</v>
      </c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6" t="s">
        <v>286</v>
      </c>
    </row>
    <row r="337" spans="1:53" ht="14.25" hidden="1" customHeight="1">
      <c r="A337" s="2">
        <v>398</v>
      </c>
      <c r="B337" s="2" t="s">
        <v>49</v>
      </c>
      <c r="C337" s="1" t="s">
        <v>85</v>
      </c>
      <c r="D337" s="1">
        <v>2023</v>
      </c>
      <c r="E337" s="1">
        <v>2017</v>
      </c>
      <c r="F337" s="1" t="s">
        <v>143</v>
      </c>
      <c r="G337" s="16" t="s">
        <v>160</v>
      </c>
      <c r="H337" s="1">
        <v>49.513615000000001</v>
      </c>
      <c r="I337" s="1">
        <v>-91.655843000000004</v>
      </c>
      <c r="J337" s="1" t="s">
        <v>128</v>
      </c>
      <c r="K337" s="1" t="s">
        <v>177</v>
      </c>
      <c r="L337" s="1" t="s">
        <v>191</v>
      </c>
      <c r="M337" s="1" t="s">
        <v>237</v>
      </c>
      <c r="N337" s="1" t="s">
        <v>239</v>
      </c>
      <c r="O337" s="1" t="s">
        <v>86</v>
      </c>
      <c r="Q337" s="1" t="s">
        <v>93</v>
      </c>
      <c r="R337" s="1">
        <v>2005</v>
      </c>
      <c r="S337" s="1">
        <v>12</v>
      </c>
      <c r="V337" s="1">
        <v>27</v>
      </c>
      <c r="W337" s="1">
        <v>27</v>
      </c>
      <c r="X337" s="1" t="s">
        <v>97</v>
      </c>
      <c r="Y337" s="1" t="s">
        <v>133</v>
      </c>
      <c r="Z337" s="1" t="s">
        <v>1</v>
      </c>
      <c r="AA337" s="1" t="s">
        <v>98</v>
      </c>
      <c r="AB337" s="1" t="s">
        <v>203</v>
      </c>
      <c r="AC337" s="1" t="s">
        <v>99</v>
      </c>
      <c r="AD337" s="1" t="s">
        <v>100</v>
      </c>
      <c r="AE337" s="1" t="s">
        <v>223</v>
      </c>
      <c r="AF337" s="1" t="s">
        <v>323</v>
      </c>
      <c r="AG337" s="1">
        <v>300.81</v>
      </c>
      <c r="AH337" s="1">
        <f>326.92-273.79</f>
        <v>53.129999999999995</v>
      </c>
      <c r="AJ337" s="1">
        <v>264.68</v>
      </c>
      <c r="AK337" s="1">
        <f>271.96-207.29</f>
        <v>64.669999999999987</v>
      </c>
      <c r="AM337" s="12">
        <f t="shared" si="936"/>
        <v>36.129999999999995</v>
      </c>
      <c r="AN337" s="1">
        <f t="shared" si="679"/>
        <v>59.181947416420819</v>
      </c>
      <c r="AO337" s="1">
        <f t="shared" si="525"/>
        <v>0.61049021833937234</v>
      </c>
      <c r="AP337" s="1">
        <f t="shared" si="680"/>
        <v>7.752498432118568E-2</v>
      </c>
      <c r="AQ337" s="1">
        <f t="shared" si="681"/>
        <v>0.98550724637681164</v>
      </c>
      <c r="AR337" s="21">
        <f t="shared" si="526"/>
        <v>0.6016425340156133</v>
      </c>
      <c r="AS337" s="21">
        <f>AP337*(AQ337^2)</f>
        <v>7.5294166666910856E-2</v>
      </c>
      <c r="AT337" s="21">
        <f t="shared" si="594"/>
        <v>0.27439782555062431</v>
      </c>
      <c r="AU337" s="20">
        <f>1/AS337</f>
        <v>13.281241353315421</v>
      </c>
      <c r="AV337" s="20">
        <f>AR337/AS337</f>
        <v>7.9905597026816428</v>
      </c>
      <c r="AW337" s="20">
        <f>((AR337)^2)/AS337</f>
        <v>4.807460587724429</v>
      </c>
      <c r="AX337" s="14"/>
      <c r="AY337" s="14"/>
      <c r="AZ337" s="1" t="s">
        <v>271</v>
      </c>
      <c r="BA337" s="2"/>
    </row>
    <row r="338" spans="1:53" ht="14.25" hidden="1" customHeight="1">
      <c r="A338" s="2">
        <v>398</v>
      </c>
      <c r="B338" s="2" t="s">
        <v>49</v>
      </c>
      <c r="C338" s="1" t="s">
        <v>85</v>
      </c>
      <c r="D338" s="1">
        <v>2023</v>
      </c>
      <c r="E338" s="1">
        <v>2017</v>
      </c>
      <c r="F338" s="1" t="s">
        <v>143</v>
      </c>
      <c r="G338" s="16" t="s">
        <v>160</v>
      </c>
      <c r="H338" s="1">
        <v>49.513615000000001</v>
      </c>
      <c r="I338" s="1">
        <v>-91.655843000000004</v>
      </c>
      <c r="J338" s="1" t="s">
        <v>128</v>
      </c>
      <c r="K338" s="1" t="s">
        <v>177</v>
      </c>
      <c r="L338" s="1" t="s">
        <v>191</v>
      </c>
      <c r="M338" s="1" t="s">
        <v>237</v>
      </c>
      <c r="N338" s="1" t="s">
        <v>239</v>
      </c>
      <c r="O338" s="1" t="s">
        <v>86</v>
      </c>
      <c r="Q338" s="1" t="s">
        <v>93</v>
      </c>
      <c r="R338" s="1">
        <v>2005</v>
      </c>
      <c r="S338" s="1">
        <v>12</v>
      </c>
      <c r="V338" s="1">
        <v>27</v>
      </c>
      <c r="W338" s="1">
        <v>27</v>
      </c>
      <c r="X338" s="1" t="s">
        <v>97</v>
      </c>
      <c r="Y338" s="1" t="s">
        <v>133</v>
      </c>
      <c r="Z338" s="1" t="s">
        <v>1</v>
      </c>
      <c r="AA338" s="1" t="s">
        <v>98</v>
      </c>
      <c r="AB338" s="1" t="s">
        <v>203</v>
      </c>
      <c r="AC338" s="1" t="s">
        <v>99</v>
      </c>
      <c r="AD338" s="1" t="s">
        <v>100</v>
      </c>
      <c r="AE338" s="1" t="s">
        <v>257</v>
      </c>
      <c r="AF338" s="1" t="s">
        <v>319</v>
      </c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" t="s">
        <v>286</v>
      </c>
    </row>
    <row r="339" spans="1:53" ht="14.25" hidden="1" customHeight="1">
      <c r="A339" s="2">
        <v>238</v>
      </c>
      <c r="B339" s="2" t="s">
        <v>37</v>
      </c>
      <c r="C339" s="1" t="s">
        <v>85</v>
      </c>
      <c r="D339" s="1">
        <v>2021</v>
      </c>
      <c r="E339" s="1">
        <v>2017</v>
      </c>
      <c r="F339" s="1" t="s">
        <v>143</v>
      </c>
      <c r="G339" s="16" t="s">
        <v>160</v>
      </c>
      <c r="H339" s="1">
        <v>48.602961000000001</v>
      </c>
      <c r="I339" s="1">
        <v>-119.23058899999999</v>
      </c>
      <c r="J339" s="1" t="s">
        <v>128</v>
      </c>
      <c r="K339" s="1" t="s">
        <v>177</v>
      </c>
      <c r="L339" s="1" t="s">
        <v>193</v>
      </c>
      <c r="M339" s="1" t="s">
        <v>237</v>
      </c>
      <c r="N339" s="1" t="s">
        <v>239</v>
      </c>
      <c r="O339" s="1" t="s">
        <v>86</v>
      </c>
      <c r="P339" s="1" t="s">
        <v>129</v>
      </c>
      <c r="Q339" s="1" t="s">
        <v>93</v>
      </c>
      <c r="R339" s="1">
        <v>2006</v>
      </c>
      <c r="S339" s="1">
        <v>11</v>
      </c>
      <c r="U339" s="1">
        <v>17000</v>
      </c>
      <c r="V339" s="1">
        <v>3</v>
      </c>
      <c r="W339" s="1">
        <v>3</v>
      </c>
      <c r="X339" s="1" t="s">
        <v>97</v>
      </c>
      <c r="Y339" s="1" t="s">
        <v>369</v>
      </c>
      <c r="Z339" s="1" t="s">
        <v>1</v>
      </c>
      <c r="AA339" s="1" t="s">
        <v>98</v>
      </c>
      <c r="AB339" s="1" t="s">
        <v>203</v>
      </c>
      <c r="AC339" s="1" t="s">
        <v>99</v>
      </c>
      <c r="AD339" s="1" t="s">
        <v>111</v>
      </c>
      <c r="AE339" s="1" t="s">
        <v>223</v>
      </c>
      <c r="AF339" s="1" t="s">
        <v>370</v>
      </c>
      <c r="AG339" s="10">
        <v>183</v>
      </c>
      <c r="AH339" s="10">
        <v>0.2</v>
      </c>
      <c r="AI339" s="10"/>
      <c r="AJ339" s="1">
        <v>233</v>
      </c>
      <c r="AK339" s="1">
        <v>1.1399999999999999</v>
      </c>
      <c r="AM339" s="12">
        <f t="shared" si="936"/>
        <v>-50</v>
      </c>
      <c r="AN339" s="1">
        <f t="shared" si="679"/>
        <v>0.81841309862440492</v>
      </c>
      <c r="AO339" s="1">
        <f t="shared" si="525"/>
        <v>-61.093841342520527</v>
      </c>
      <c r="AP339" s="1">
        <f t="shared" si="680"/>
        <v>311.70478749875588</v>
      </c>
      <c r="AQ339" s="1">
        <f t="shared" si="681"/>
        <v>0.8</v>
      </c>
      <c r="AR339" s="21">
        <f t="shared" si="526"/>
        <v>-48.875073074016427</v>
      </c>
      <c r="AS339" s="21">
        <f t="shared" ref="AS339:AS350" si="1027">AP339*(AQ339^2)</f>
        <v>199.49106399920379</v>
      </c>
      <c r="AT339" s="21">
        <f t="shared" si="594"/>
        <v>14.124130557284005</v>
      </c>
      <c r="AU339" s="20">
        <f t="shared" ref="AU339:AU350" si="1028">1/AS339</f>
        <v>5.0127558596007645E-3</v>
      </c>
      <c r="AV339" s="20">
        <f t="shared" ref="AV339:AV350" si="1029">AR339/AS339</f>
        <v>-0.24499880894019141</v>
      </c>
      <c r="AW339" s="20">
        <f t="shared" ref="AW339:AW350" si="1030">((AR339)^2)/AS339</f>
        <v>11.974334689998845</v>
      </c>
      <c r="AX339" s="14"/>
      <c r="AY339" s="14"/>
      <c r="AZ339" s="1" t="s">
        <v>271</v>
      </c>
      <c r="BA339" s="2"/>
    </row>
    <row r="340" spans="1:53" ht="14.25" hidden="1" customHeight="1">
      <c r="A340" s="2">
        <v>238</v>
      </c>
      <c r="B340" s="2" t="s">
        <v>37</v>
      </c>
      <c r="C340" s="1" t="s">
        <v>85</v>
      </c>
      <c r="D340" s="1">
        <v>2021</v>
      </c>
      <c r="E340" s="1">
        <v>2017</v>
      </c>
      <c r="F340" s="1" t="s">
        <v>143</v>
      </c>
      <c r="G340" s="16" t="s">
        <v>160</v>
      </c>
      <c r="H340" s="1">
        <v>48.602961000000001</v>
      </c>
      <c r="I340" s="1">
        <v>-119.23058899999999</v>
      </c>
      <c r="J340" s="1" t="s">
        <v>128</v>
      </c>
      <c r="K340" s="1" t="s">
        <v>177</v>
      </c>
      <c r="L340" s="1" t="s">
        <v>193</v>
      </c>
      <c r="M340" s="1" t="s">
        <v>237</v>
      </c>
      <c r="N340" s="1" t="s">
        <v>239</v>
      </c>
      <c r="O340" s="1" t="s">
        <v>86</v>
      </c>
      <c r="P340" s="1" t="s">
        <v>129</v>
      </c>
      <c r="Q340" s="1" t="s">
        <v>93</v>
      </c>
      <c r="R340" s="1">
        <v>2006</v>
      </c>
      <c r="S340" s="1">
        <v>11</v>
      </c>
      <c r="U340" s="1">
        <v>17000</v>
      </c>
      <c r="V340" s="1">
        <v>3</v>
      </c>
      <c r="W340" s="1">
        <v>3</v>
      </c>
      <c r="X340" s="1" t="s">
        <v>97</v>
      </c>
      <c r="Y340" s="1" t="s">
        <v>369</v>
      </c>
      <c r="Z340" s="1" t="s">
        <v>1</v>
      </c>
      <c r="AA340" s="1" t="s">
        <v>98</v>
      </c>
      <c r="AB340" s="1" t="s">
        <v>203</v>
      </c>
      <c r="AC340" s="1" t="s">
        <v>99</v>
      </c>
      <c r="AD340" s="1" t="s">
        <v>111</v>
      </c>
      <c r="AE340" s="1" t="s">
        <v>150</v>
      </c>
      <c r="AF340" s="1" t="s">
        <v>370</v>
      </c>
      <c r="AG340" s="10">
        <v>5.82</v>
      </c>
      <c r="AH340" s="10">
        <v>2.86</v>
      </c>
      <c r="AI340" s="10"/>
      <c r="AJ340" s="1">
        <v>12.89</v>
      </c>
      <c r="AK340" s="1">
        <v>5.0999999999999996</v>
      </c>
      <c r="AM340" s="12">
        <f t="shared" ref="AM340" si="1031">AG340-AJ340</f>
        <v>-7.07</v>
      </c>
      <c r="AN340" s="1">
        <f t="shared" ref="AN340" si="1032">SQRT((((W340-1)*AH340^2)+((V340-1)*AK340^2))/(W340+V340-2))</f>
        <v>4.1345858317369588</v>
      </c>
      <c r="AO340" s="1">
        <f t="shared" ref="AO340" si="1033">AM340/AN340</f>
        <v>-1.7099657106477</v>
      </c>
      <c r="AP340" s="1">
        <f t="shared" ref="AP340" si="1034">1/W340+1/V340+(AO340^2)/(2*(W340+V340))</f>
        <v>0.91033189429924111</v>
      </c>
      <c r="AQ340" s="1">
        <f t="shared" ref="AQ340" si="1035">1-(3/(4*(W340+V340-2)-1))</f>
        <v>0.8</v>
      </c>
      <c r="AR340" s="21">
        <f t="shared" ref="AR340" si="1036">AO340*AQ340</f>
        <v>-1.3679725685181601</v>
      </c>
      <c r="AS340" s="21">
        <f t="shared" si="1027"/>
        <v>0.5826124123515144</v>
      </c>
      <c r="AT340" s="21">
        <f t="shared" ref="AT340" si="1037">SQRT(AP340*AQ340^2)</f>
        <v>0.76329051635109058</v>
      </c>
      <c r="AU340" s="20">
        <f t="shared" si="1028"/>
        <v>1.7164069607852059</v>
      </c>
      <c r="AV340" s="20">
        <f t="shared" si="1029"/>
        <v>-2.347997638767787</v>
      </c>
      <c r="AW340" s="20">
        <f t="shared" si="1030"/>
        <v>3.2119963607797448</v>
      </c>
      <c r="AX340" s="14"/>
      <c r="AY340" s="14"/>
      <c r="AZ340" s="1" t="s">
        <v>271</v>
      </c>
      <c r="BA340" s="2"/>
    </row>
    <row r="341" spans="1:53" ht="14.25" customHeight="1">
      <c r="A341" s="2">
        <v>238</v>
      </c>
      <c r="B341" s="2" t="s">
        <v>37</v>
      </c>
      <c r="C341" s="1" t="s">
        <v>85</v>
      </c>
      <c r="D341" s="1">
        <v>2021</v>
      </c>
      <c r="E341" s="1">
        <v>2017</v>
      </c>
      <c r="F341" s="1" t="s">
        <v>143</v>
      </c>
      <c r="G341" s="16" t="s">
        <v>160</v>
      </c>
      <c r="H341" s="1">
        <v>48.602961000000001</v>
      </c>
      <c r="I341" s="1">
        <v>-119.23058899999999</v>
      </c>
      <c r="J341" s="1" t="s">
        <v>128</v>
      </c>
      <c r="K341" s="1" t="s">
        <v>177</v>
      </c>
      <c r="L341" s="1" t="s">
        <v>193</v>
      </c>
      <c r="M341" s="1" t="s">
        <v>237</v>
      </c>
      <c r="N341" s="1" t="s">
        <v>239</v>
      </c>
      <c r="O341" s="1" t="s">
        <v>86</v>
      </c>
      <c r="P341" s="1" t="s">
        <v>129</v>
      </c>
      <c r="Q341" s="1" t="s">
        <v>93</v>
      </c>
      <c r="R341" s="1">
        <v>2006</v>
      </c>
      <c r="S341" s="1">
        <v>11</v>
      </c>
      <c r="U341" s="1">
        <v>17000</v>
      </c>
      <c r="V341" s="1">
        <v>3</v>
      </c>
      <c r="W341" s="1">
        <v>3</v>
      </c>
      <c r="X341" s="1" t="s">
        <v>97</v>
      </c>
      <c r="Y341" s="1" t="s">
        <v>369</v>
      </c>
      <c r="Z341" s="1" t="s">
        <v>1</v>
      </c>
      <c r="AA341" s="1" t="s">
        <v>98</v>
      </c>
      <c r="AB341" s="1" t="s">
        <v>203</v>
      </c>
      <c r="AC341" s="1" t="s">
        <v>99</v>
      </c>
      <c r="AD341" s="1" t="s">
        <v>111</v>
      </c>
      <c r="AE341" s="1" t="s">
        <v>151</v>
      </c>
      <c r="AF341" s="1" t="s">
        <v>370</v>
      </c>
      <c r="AG341" s="10">
        <v>86.12</v>
      </c>
      <c r="AH341" s="10">
        <v>16.22</v>
      </c>
      <c r="AI341" s="10"/>
      <c r="AJ341" s="1">
        <v>104.61</v>
      </c>
      <c r="AK341" s="1">
        <v>25.56</v>
      </c>
      <c r="AM341" s="12">
        <f t="shared" ref="AM341" si="1038">AG341-AJ341</f>
        <v>-18.489999999999995</v>
      </c>
      <c r="AN341" s="1">
        <f t="shared" ref="AN341" si="1039">SQRT((((W341-1)*AH341^2)+((V341-1)*AK341^2))/(W341+V341-2))</f>
        <v>21.405630100513275</v>
      </c>
      <c r="AO341" s="1">
        <f t="shared" ref="AO341" si="1040">AM341/AN341</f>
        <v>-0.86379143772818123</v>
      </c>
      <c r="AP341" s="1">
        <f t="shared" ref="AP341" si="1041">1/W341+1/V341+(AO341^2)/(2*(W341+V341))</f>
        <v>0.72884463732437654</v>
      </c>
      <c r="AQ341" s="1">
        <f t="shared" ref="AQ341" si="1042">1-(3/(4*(W341+V341-2)-1))</f>
        <v>0.8</v>
      </c>
      <c r="AR341" s="21">
        <f t="shared" ref="AR341" si="1043">AO341*AQ341</f>
        <v>-0.69103315018254508</v>
      </c>
      <c r="AS341" s="21">
        <f t="shared" si="1027"/>
        <v>0.4664605678876011</v>
      </c>
      <c r="AT341" s="21">
        <f t="shared" ref="AT341" si="1044">SQRT(AP341*AQ341^2)</f>
        <v>0.6829791855449191</v>
      </c>
      <c r="AU341" s="20">
        <f t="shared" si="1028"/>
        <v>2.1438039329424332</v>
      </c>
      <c r="AV341" s="20">
        <f t="shared" si="1029"/>
        <v>-1.4814395851549391</v>
      </c>
      <c r="AW341" s="20">
        <f t="shared" si="1030"/>
        <v>1.0237238633347403</v>
      </c>
      <c r="AX341" s="14"/>
      <c r="AY341" s="14"/>
      <c r="AZ341" s="1" t="s">
        <v>271</v>
      </c>
      <c r="BA341" s="2"/>
    </row>
    <row r="342" spans="1:53" ht="14.25" hidden="1" customHeight="1">
      <c r="A342" s="2">
        <v>238</v>
      </c>
      <c r="B342" s="2" t="s">
        <v>37</v>
      </c>
      <c r="C342" s="1" t="s">
        <v>85</v>
      </c>
      <c r="D342" s="1">
        <v>2021</v>
      </c>
      <c r="E342" s="1">
        <v>2017</v>
      </c>
      <c r="F342" s="1" t="s">
        <v>143</v>
      </c>
      <c r="G342" s="16" t="s">
        <v>160</v>
      </c>
      <c r="H342" s="1">
        <v>48.602961000000001</v>
      </c>
      <c r="I342" s="1">
        <v>-119.23058899999999</v>
      </c>
      <c r="J342" s="1" t="s">
        <v>128</v>
      </c>
      <c r="K342" s="1" t="s">
        <v>177</v>
      </c>
      <c r="L342" s="1" t="s">
        <v>193</v>
      </c>
      <c r="M342" s="1" t="s">
        <v>237</v>
      </c>
      <c r="N342" s="1" t="s">
        <v>239</v>
      </c>
      <c r="O342" s="1" t="s">
        <v>86</v>
      </c>
      <c r="P342" s="1" t="s">
        <v>129</v>
      </c>
      <c r="Q342" s="1" t="s">
        <v>93</v>
      </c>
      <c r="R342" s="1">
        <v>2012</v>
      </c>
      <c r="S342" s="1">
        <v>5</v>
      </c>
      <c r="U342" s="1">
        <v>17000</v>
      </c>
      <c r="V342" s="1">
        <v>3</v>
      </c>
      <c r="W342" s="1">
        <v>3</v>
      </c>
      <c r="X342" s="1" t="s">
        <v>97</v>
      </c>
      <c r="Y342" s="1" t="s">
        <v>369</v>
      </c>
      <c r="Z342" s="1" t="s">
        <v>1</v>
      </c>
      <c r="AA342" s="1" t="s">
        <v>98</v>
      </c>
      <c r="AB342" s="1" t="s">
        <v>203</v>
      </c>
      <c r="AC342" s="1" t="s">
        <v>99</v>
      </c>
      <c r="AD342" s="1" t="s">
        <v>111</v>
      </c>
      <c r="AE342" s="1" t="s">
        <v>223</v>
      </c>
      <c r="AF342" s="1" t="s">
        <v>370</v>
      </c>
      <c r="AG342" s="10">
        <v>200</v>
      </c>
      <c r="AH342" s="10">
        <v>1.39</v>
      </c>
      <c r="AI342" s="10"/>
      <c r="AJ342" s="1">
        <v>233</v>
      </c>
      <c r="AK342" s="1">
        <v>1.1399999999999999</v>
      </c>
      <c r="AM342" s="12">
        <f t="shared" si="936"/>
        <v>-33</v>
      </c>
      <c r="AN342" s="1">
        <f t="shared" si="679"/>
        <v>1.2711608867488016</v>
      </c>
      <c r="AO342" s="1">
        <f t="shared" si="525"/>
        <v>-25.960521869425047</v>
      </c>
      <c r="AP342" s="1">
        <f t="shared" si="680"/>
        <v>56.829057977741343</v>
      </c>
      <c r="AQ342" s="1">
        <f t="shared" si="681"/>
        <v>0.8</v>
      </c>
      <c r="AR342" s="21">
        <f t="shared" si="526"/>
        <v>-20.768417495540039</v>
      </c>
      <c r="AS342" s="21">
        <f t="shared" si="1027"/>
        <v>36.370597105754463</v>
      </c>
      <c r="AT342" s="21">
        <f t="shared" si="594"/>
        <v>6.0308040181848446</v>
      </c>
      <c r="AU342" s="20">
        <f t="shared" si="1028"/>
        <v>2.749473694622909E-2</v>
      </c>
      <c r="AV342" s="20">
        <f t="shared" si="1029"/>
        <v>-0.57102217582933534</v>
      </c>
      <c r="AW342" s="20">
        <f t="shared" si="1030"/>
        <v>11.859226946835308</v>
      </c>
      <c r="AX342" s="14"/>
      <c r="AY342" s="14"/>
      <c r="AZ342" s="1" t="s">
        <v>271</v>
      </c>
      <c r="BA342" s="2"/>
    </row>
    <row r="343" spans="1:53" ht="14.25" hidden="1" customHeight="1">
      <c r="A343" s="2">
        <v>238</v>
      </c>
      <c r="B343" s="2" t="s">
        <v>37</v>
      </c>
      <c r="C343" s="1" t="s">
        <v>85</v>
      </c>
      <c r="D343" s="1">
        <v>2021</v>
      </c>
      <c r="E343" s="1">
        <v>2017</v>
      </c>
      <c r="F343" s="1" t="s">
        <v>143</v>
      </c>
      <c r="G343" s="16" t="s">
        <v>160</v>
      </c>
      <c r="H343" s="1">
        <v>48.602961000000001</v>
      </c>
      <c r="I343" s="1">
        <v>-119.23058899999999</v>
      </c>
      <c r="J343" s="1" t="s">
        <v>128</v>
      </c>
      <c r="K343" s="1" t="s">
        <v>177</v>
      </c>
      <c r="L343" s="1" t="s">
        <v>193</v>
      </c>
      <c r="M343" s="1" t="s">
        <v>237</v>
      </c>
      <c r="N343" s="1" t="s">
        <v>239</v>
      </c>
      <c r="O343" s="1" t="s">
        <v>86</v>
      </c>
      <c r="P343" s="1" t="s">
        <v>129</v>
      </c>
      <c r="Q343" s="1" t="s">
        <v>93</v>
      </c>
      <c r="R343" s="1">
        <v>2012</v>
      </c>
      <c r="S343" s="1">
        <v>5</v>
      </c>
      <c r="U343" s="1">
        <v>17000</v>
      </c>
      <c r="V343" s="1">
        <v>3</v>
      </c>
      <c r="W343" s="1">
        <v>3</v>
      </c>
      <c r="X343" s="1" t="s">
        <v>97</v>
      </c>
      <c r="Y343" s="1" t="s">
        <v>369</v>
      </c>
      <c r="Z343" s="1" t="s">
        <v>1</v>
      </c>
      <c r="AA343" s="1" t="s">
        <v>98</v>
      </c>
      <c r="AB343" s="1" t="s">
        <v>203</v>
      </c>
      <c r="AC343" s="1" t="s">
        <v>99</v>
      </c>
      <c r="AD343" s="1" t="s">
        <v>111</v>
      </c>
      <c r="AE343" s="1" t="s">
        <v>150</v>
      </c>
      <c r="AF343" s="1" t="s">
        <v>370</v>
      </c>
      <c r="AG343" s="10">
        <v>7.48</v>
      </c>
      <c r="AH343" s="10">
        <v>3.14</v>
      </c>
      <c r="AI343" s="10"/>
      <c r="AJ343" s="1">
        <v>12.89</v>
      </c>
      <c r="AK343" s="1">
        <v>5.0999999999999996</v>
      </c>
      <c r="AM343" s="12">
        <f t="shared" ref="AM343" si="1045">AG343-AJ343</f>
        <v>-5.41</v>
      </c>
      <c r="AN343" s="1">
        <f t="shared" ref="AN343" si="1046">SQRT((((W343-1)*AH343^2)+((V343-1)*AK343^2))/(W343+V343-2))</f>
        <v>4.2349498226071107</v>
      </c>
      <c r="AO343" s="1">
        <f t="shared" ref="AO343" si="1047">AM343/AN343</f>
        <v>-1.2774649586448954</v>
      </c>
      <c r="AP343" s="1">
        <f t="shared" ref="AP343" si="1048">1/W343+1/V343+(AO343^2)/(2*(W343+V343))</f>
        <v>0.80265972671380026</v>
      </c>
      <c r="AQ343" s="1">
        <f t="shared" ref="AQ343" si="1049">1-(3/(4*(W343+V343-2)-1))</f>
        <v>0.8</v>
      </c>
      <c r="AR343" s="21">
        <f t="shared" ref="AR343" si="1050">AO343*AQ343</f>
        <v>-1.0219719669159164</v>
      </c>
      <c r="AS343" s="21">
        <f t="shared" si="1027"/>
        <v>0.51370222509683228</v>
      </c>
      <c r="AT343" s="21">
        <f t="shared" ref="AT343" si="1051">SQRT(AP343*AQ343^2)</f>
        <v>0.71673023174471462</v>
      </c>
      <c r="AU343" s="20">
        <f t="shared" si="1028"/>
        <v>1.9466530436217231</v>
      </c>
      <c r="AV343" s="20">
        <f t="shared" si="1029"/>
        <v>-1.9894248398929475</v>
      </c>
      <c r="AW343" s="20">
        <f t="shared" si="1030"/>
        <v>2.0331364166567778</v>
      </c>
      <c r="AX343" s="14"/>
      <c r="AY343" s="14"/>
      <c r="AZ343" s="1" t="s">
        <v>271</v>
      </c>
      <c r="BA343" s="2"/>
    </row>
    <row r="344" spans="1:53" ht="14.25" customHeight="1">
      <c r="A344" s="2">
        <v>238</v>
      </c>
      <c r="B344" s="2" t="s">
        <v>37</v>
      </c>
      <c r="C344" s="1" t="s">
        <v>85</v>
      </c>
      <c r="D344" s="1">
        <v>2021</v>
      </c>
      <c r="E344" s="1">
        <v>2017</v>
      </c>
      <c r="F344" s="1" t="s">
        <v>143</v>
      </c>
      <c r="G344" s="16" t="s">
        <v>160</v>
      </c>
      <c r="H344" s="1">
        <v>48.602961000000001</v>
      </c>
      <c r="I344" s="1">
        <v>-119.23058899999999</v>
      </c>
      <c r="J344" s="1" t="s">
        <v>128</v>
      </c>
      <c r="K344" s="1" t="s">
        <v>177</v>
      </c>
      <c r="L344" s="1" t="s">
        <v>193</v>
      </c>
      <c r="M344" s="1" t="s">
        <v>237</v>
      </c>
      <c r="N344" s="1" t="s">
        <v>239</v>
      </c>
      <c r="O344" s="1" t="s">
        <v>86</v>
      </c>
      <c r="P344" s="1" t="s">
        <v>129</v>
      </c>
      <c r="Q344" s="1" t="s">
        <v>93</v>
      </c>
      <c r="R344" s="1">
        <v>2012</v>
      </c>
      <c r="S344" s="1">
        <v>5</v>
      </c>
      <c r="U344" s="1">
        <v>17000</v>
      </c>
      <c r="V344" s="1">
        <v>3</v>
      </c>
      <c r="W344" s="1">
        <v>3</v>
      </c>
      <c r="X344" s="1" t="s">
        <v>97</v>
      </c>
      <c r="Y344" s="1" t="s">
        <v>369</v>
      </c>
      <c r="Z344" s="1" t="s">
        <v>1</v>
      </c>
      <c r="AA344" s="1" t="s">
        <v>98</v>
      </c>
      <c r="AB344" s="1" t="s">
        <v>203</v>
      </c>
      <c r="AC344" s="1" t="s">
        <v>99</v>
      </c>
      <c r="AD344" s="1" t="s">
        <v>111</v>
      </c>
      <c r="AE344" s="1" t="s">
        <v>151</v>
      </c>
      <c r="AF344" s="1" t="s">
        <v>370</v>
      </c>
      <c r="AG344" s="10">
        <v>89.19</v>
      </c>
      <c r="AH344" s="10">
        <v>15</v>
      </c>
      <c r="AI344" s="10"/>
      <c r="AJ344" s="1">
        <v>104.61</v>
      </c>
      <c r="AK344" s="1">
        <v>25.56</v>
      </c>
      <c r="AM344" s="12">
        <f t="shared" ref="AM344" si="1052">AG344-AJ344</f>
        <v>-15.420000000000002</v>
      </c>
      <c r="AN344" s="1">
        <f t="shared" ref="AN344" si="1053">SQRT((((W344-1)*AH344^2)+((V344-1)*AK344^2))/(W344+V344-2))</f>
        <v>20.956068333540049</v>
      </c>
      <c r="AO344" s="1">
        <f t="shared" ref="AO344" si="1054">AM344/AN344</f>
        <v>-0.73582504860038056</v>
      </c>
      <c r="AP344" s="1">
        <f t="shared" ref="AP344" si="1055">1/W344+1/V344+(AO344^2)/(2*(W344+V344))</f>
        <v>0.71178654184564605</v>
      </c>
      <c r="AQ344" s="1">
        <f t="shared" ref="AQ344" si="1056">1-(3/(4*(W344+V344-2)-1))</f>
        <v>0.8</v>
      </c>
      <c r="AR344" s="21">
        <f t="shared" ref="AR344" si="1057">AO344*AQ344</f>
        <v>-0.58866003888030449</v>
      </c>
      <c r="AS344" s="21">
        <f t="shared" si="1027"/>
        <v>0.45554338678121353</v>
      </c>
      <c r="AT344" s="21">
        <f t="shared" ref="AT344" si="1058">SQRT(AP344*AQ344^2)</f>
        <v>0.67493954305642334</v>
      </c>
      <c r="AU344" s="20">
        <f t="shared" si="1028"/>
        <v>2.1951805887597615</v>
      </c>
      <c r="AV344" s="20">
        <f t="shared" si="1029"/>
        <v>-1.2922150907286107</v>
      </c>
      <c r="AW344" s="20">
        <f t="shared" si="1030"/>
        <v>0.76067538555002034</v>
      </c>
      <c r="AX344" s="14"/>
      <c r="AY344" s="14"/>
      <c r="AZ344" s="1" t="s">
        <v>271</v>
      </c>
      <c r="BA344" s="2"/>
    </row>
    <row r="345" spans="1:53" ht="14.25" hidden="1" customHeight="1">
      <c r="A345" s="2">
        <v>238</v>
      </c>
      <c r="B345" s="2" t="s">
        <v>37</v>
      </c>
      <c r="C345" s="1" t="s">
        <v>85</v>
      </c>
      <c r="D345" s="1">
        <v>2021</v>
      </c>
      <c r="E345" s="1">
        <v>2017</v>
      </c>
      <c r="F345" s="1" t="s">
        <v>143</v>
      </c>
      <c r="G345" s="16" t="s">
        <v>160</v>
      </c>
      <c r="H345" s="1">
        <v>48.602961000000001</v>
      </c>
      <c r="I345" s="1">
        <v>-119.23058899999999</v>
      </c>
      <c r="J345" s="1" t="s">
        <v>128</v>
      </c>
      <c r="K345" s="1" t="s">
        <v>177</v>
      </c>
      <c r="L345" s="1" t="s">
        <v>193</v>
      </c>
      <c r="M345" s="1" t="s">
        <v>237</v>
      </c>
      <c r="N345" s="1" t="s">
        <v>239</v>
      </c>
      <c r="O345" s="1" t="s">
        <v>86</v>
      </c>
      <c r="P345" s="1" t="s">
        <v>129</v>
      </c>
      <c r="Q345" s="1" t="s">
        <v>93</v>
      </c>
      <c r="R345" s="1">
        <v>2014</v>
      </c>
      <c r="S345" s="1">
        <v>3</v>
      </c>
      <c r="U345" s="1">
        <v>17000</v>
      </c>
      <c r="V345" s="1">
        <v>3</v>
      </c>
      <c r="W345" s="1">
        <v>3</v>
      </c>
      <c r="X345" s="1" t="s">
        <v>97</v>
      </c>
      <c r="Y345" s="1" t="s">
        <v>369</v>
      </c>
      <c r="Z345" s="1" t="s">
        <v>1</v>
      </c>
      <c r="AA345" s="1" t="s">
        <v>98</v>
      </c>
      <c r="AB345" s="1" t="s">
        <v>203</v>
      </c>
      <c r="AC345" s="1" t="s">
        <v>99</v>
      </c>
      <c r="AD345" s="1" t="s">
        <v>111</v>
      </c>
      <c r="AE345" s="1" t="s">
        <v>223</v>
      </c>
      <c r="AF345" s="1" t="s">
        <v>370</v>
      </c>
      <c r="AG345" s="1">
        <v>229</v>
      </c>
      <c r="AH345" s="1">
        <v>0.77</v>
      </c>
      <c r="AJ345" s="1">
        <v>233</v>
      </c>
      <c r="AK345" s="1">
        <v>1.1399999999999999</v>
      </c>
      <c r="AM345" s="12">
        <f t="shared" si="936"/>
        <v>-4</v>
      </c>
      <c r="AN345" s="1">
        <f t="shared" si="679"/>
        <v>0.97275382291718593</v>
      </c>
      <c r="AO345" s="1">
        <f t="shared" si="525"/>
        <v>-4.1120372963474177</v>
      </c>
      <c r="AP345" s="1">
        <f t="shared" si="680"/>
        <v>2.0757375605460151</v>
      </c>
      <c r="AQ345" s="1">
        <f t="shared" si="681"/>
        <v>0.8</v>
      </c>
      <c r="AR345" s="21">
        <f t="shared" si="526"/>
        <v>-3.2896298370779342</v>
      </c>
      <c r="AS345" s="21">
        <f t="shared" si="1027"/>
        <v>1.32847203874945</v>
      </c>
      <c r="AT345" s="21">
        <f t="shared" si="594"/>
        <v>1.1525936138767428</v>
      </c>
      <c r="AU345" s="20">
        <f t="shared" si="1028"/>
        <v>0.75274448451421272</v>
      </c>
      <c r="AV345" s="20">
        <f t="shared" si="1029"/>
        <v>-2.4762507159538032</v>
      </c>
      <c r="AW345" s="20">
        <f t="shared" si="1030"/>
        <v>8.1459482392872289</v>
      </c>
      <c r="AX345" s="14"/>
      <c r="AY345" s="14"/>
      <c r="AZ345" s="1" t="s">
        <v>271</v>
      </c>
      <c r="BA345" s="2"/>
    </row>
    <row r="346" spans="1:53" ht="14.25" hidden="1" customHeight="1">
      <c r="A346" s="2">
        <v>238</v>
      </c>
      <c r="B346" s="2" t="s">
        <v>37</v>
      </c>
      <c r="C346" s="1" t="s">
        <v>85</v>
      </c>
      <c r="D346" s="1">
        <v>2021</v>
      </c>
      <c r="E346" s="1">
        <v>2017</v>
      </c>
      <c r="F346" s="1" t="s">
        <v>143</v>
      </c>
      <c r="G346" s="16" t="s">
        <v>160</v>
      </c>
      <c r="H346" s="1">
        <v>48.602961000000001</v>
      </c>
      <c r="I346" s="1">
        <v>-119.23058899999999</v>
      </c>
      <c r="J346" s="1" t="s">
        <v>128</v>
      </c>
      <c r="K346" s="1" t="s">
        <v>177</v>
      </c>
      <c r="L346" s="1" t="s">
        <v>193</v>
      </c>
      <c r="M346" s="1" t="s">
        <v>237</v>
      </c>
      <c r="N346" s="1" t="s">
        <v>239</v>
      </c>
      <c r="O346" s="1" t="s">
        <v>86</v>
      </c>
      <c r="P346" s="1" t="s">
        <v>129</v>
      </c>
      <c r="Q346" s="1" t="s">
        <v>93</v>
      </c>
      <c r="R346" s="1">
        <v>2014</v>
      </c>
      <c r="S346" s="1">
        <v>3</v>
      </c>
      <c r="U346" s="1">
        <v>17000</v>
      </c>
      <c r="V346" s="1">
        <v>3</v>
      </c>
      <c r="W346" s="1">
        <v>3</v>
      </c>
      <c r="X346" s="1" t="s">
        <v>97</v>
      </c>
      <c r="Y346" s="1" t="s">
        <v>369</v>
      </c>
      <c r="Z346" s="1" t="s">
        <v>1</v>
      </c>
      <c r="AA346" s="1" t="s">
        <v>98</v>
      </c>
      <c r="AB346" s="1" t="s">
        <v>203</v>
      </c>
      <c r="AC346" s="1" t="s">
        <v>99</v>
      </c>
      <c r="AD346" s="1" t="s">
        <v>111</v>
      </c>
      <c r="AE346" s="1" t="s">
        <v>150</v>
      </c>
      <c r="AF346" s="1" t="s">
        <v>370</v>
      </c>
      <c r="AG346" s="1">
        <v>7.71</v>
      </c>
      <c r="AH346" s="1">
        <v>2.94</v>
      </c>
      <c r="AJ346" s="1">
        <v>12.89</v>
      </c>
      <c r="AK346" s="1">
        <v>5.0999999999999996</v>
      </c>
      <c r="AM346" s="12">
        <f t="shared" ref="AM346" si="1059">AG346-AJ346</f>
        <v>-5.1800000000000006</v>
      </c>
      <c r="AN346" s="1">
        <f t="shared" ref="AN346" si="1060">SQRT((((W346-1)*AH346^2)+((V346-1)*AK346^2))/(W346+V346-2))</f>
        <v>4.1625472970285875</v>
      </c>
      <c r="AO346" s="1">
        <f t="shared" ref="AO346" si="1061">AM346/AN346</f>
        <v>-1.2444303044190552</v>
      </c>
      <c r="AP346" s="1">
        <f t="shared" ref="AP346" si="1062">1/W346+1/V346+(AO346^2)/(2*(W346+V346))</f>
        <v>0.79571723187970855</v>
      </c>
      <c r="AQ346" s="1">
        <f t="shared" ref="AQ346" si="1063">1-(3/(4*(W346+V346-2)-1))</f>
        <v>0.8</v>
      </c>
      <c r="AR346" s="21">
        <f t="shared" ref="AR346" si="1064">AO346*AQ346</f>
        <v>-0.99554424353524418</v>
      </c>
      <c r="AS346" s="21">
        <f t="shared" si="1027"/>
        <v>0.50925902840301362</v>
      </c>
      <c r="AT346" s="21">
        <f t="shared" ref="AT346" si="1065">SQRT(AP346*AQ346^2)</f>
        <v>0.71362387039883524</v>
      </c>
      <c r="AU346" s="20">
        <f t="shared" si="1028"/>
        <v>1.9636372537879239</v>
      </c>
      <c r="AV346" s="20">
        <f t="shared" si="1029"/>
        <v>-1.954887764399923</v>
      </c>
      <c r="AW346" s="20">
        <f t="shared" si="1030"/>
        <v>1.9461772606058261</v>
      </c>
      <c r="AX346" s="14"/>
      <c r="AY346" s="14"/>
      <c r="AZ346" s="1" t="s">
        <v>271</v>
      </c>
      <c r="BA346" s="2"/>
    </row>
    <row r="347" spans="1:53" ht="14.25" customHeight="1">
      <c r="A347" s="2">
        <v>238</v>
      </c>
      <c r="B347" s="2" t="s">
        <v>37</v>
      </c>
      <c r="C347" s="1" t="s">
        <v>85</v>
      </c>
      <c r="D347" s="1">
        <v>2021</v>
      </c>
      <c r="E347" s="1">
        <v>2017</v>
      </c>
      <c r="F347" s="1" t="s">
        <v>143</v>
      </c>
      <c r="G347" s="16" t="s">
        <v>160</v>
      </c>
      <c r="H347" s="1">
        <v>48.602961000000001</v>
      </c>
      <c r="I347" s="1">
        <v>-119.23058899999999</v>
      </c>
      <c r="J347" s="1" t="s">
        <v>128</v>
      </c>
      <c r="K347" s="1" t="s">
        <v>177</v>
      </c>
      <c r="L347" s="1" t="s">
        <v>193</v>
      </c>
      <c r="M347" s="1" t="s">
        <v>237</v>
      </c>
      <c r="N347" s="1" t="s">
        <v>239</v>
      </c>
      <c r="O347" s="1" t="s">
        <v>86</v>
      </c>
      <c r="P347" s="1" t="s">
        <v>129</v>
      </c>
      <c r="Q347" s="1" t="s">
        <v>93</v>
      </c>
      <c r="R347" s="1">
        <v>2014</v>
      </c>
      <c r="S347" s="1">
        <v>3</v>
      </c>
      <c r="U347" s="1">
        <v>17000</v>
      </c>
      <c r="V347" s="1">
        <v>3</v>
      </c>
      <c r="W347" s="1">
        <v>3</v>
      </c>
      <c r="X347" s="1" t="s">
        <v>97</v>
      </c>
      <c r="Y347" s="1" t="s">
        <v>369</v>
      </c>
      <c r="Z347" s="1" t="s">
        <v>1</v>
      </c>
      <c r="AA347" s="1" t="s">
        <v>98</v>
      </c>
      <c r="AB347" s="1" t="s">
        <v>203</v>
      </c>
      <c r="AC347" s="1" t="s">
        <v>99</v>
      </c>
      <c r="AD347" s="1" t="s">
        <v>111</v>
      </c>
      <c r="AE347" s="1" t="s">
        <v>151</v>
      </c>
      <c r="AF347" s="1" t="s">
        <v>370</v>
      </c>
      <c r="AG347" s="1">
        <v>98.15</v>
      </c>
      <c r="AH347" s="1">
        <v>26.5</v>
      </c>
      <c r="AJ347" s="1">
        <v>104.61</v>
      </c>
      <c r="AK347" s="1">
        <v>25.56</v>
      </c>
      <c r="AM347" s="12">
        <f t="shared" ref="AM347" si="1066">AG347-AJ347</f>
        <v>-6.4599999999999937</v>
      </c>
      <c r="AN347" s="1">
        <f t="shared" ref="AN347" si="1067">SQRT((((W347-1)*AH347^2)+((V347-1)*AK347^2))/(W347+V347-2))</f>
        <v>26.034242835158466</v>
      </c>
      <c r="AO347" s="1">
        <f t="shared" ref="AO347" si="1068">AM347/AN347</f>
        <v>-0.24813473704239852</v>
      </c>
      <c r="AP347" s="1">
        <f t="shared" ref="AP347" si="1069">1/W347+1/V347+(AO347^2)/(2*(W347+V347))</f>
        <v>0.67179757064392498</v>
      </c>
      <c r="AQ347" s="1">
        <f t="shared" ref="AQ347" si="1070">1-(3/(4*(W347+V347-2)-1))</f>
        <v>0.8</v>
      </c>
      <c r="AR347" s="21">
        <f t="shared" ref="AR347" si="1071">AO347*AQ347</f>
        <v>-0.19850778963391882</v>
      </c>
      <c r="AS347" s="21">
        <f t="shared" si="1027"/>
        <v>0.42995044521211206</v>
      </c>
      <c r="AT347" s="21">
        <f t="shared" ref="AT347" si="1072">SQRT(AP347*AQ347^2)</f>
        <v>0.65570606616998139</v>
      </c>
      <c r="AU347" s="20">
        <f t="shared" si="1028"/>
        <v>2.3258494348265164</v>
      </c>
      <c r="AV347" s="20">
        <f t="shared" si="1029"/>
        <v>-0.46169923032871113</v>
      </c>
      <c r="AW347" s="20">
        <f t="shared" si="1030"/>
        <v>9.1650893688234022E-2</v>
      </c>
      <c r="AX347" s="14"/>
      <c r="AY347" s="14"/>
      <c r="AZ347" s="1" t="s">
        <v>271</v>
      </c>
      <c r="BA347" s="2"/>
    </row>
    <row r="348" spans="1:53" ht="14.25" hidden="1" customHeight="1">
      <c r="A348" s="2">
        <v>238</v>
      </c>
      <c r="B348" s="2" t="s">
        <v>37</v>
      </c>
      <c r="C348" s="1" t="s">
        <v>85</v>
      </c>
      <c r="D348" s="1">
        <v>2021</v>
      </c>
      <c r="E348" s="1">
        <v>2017</v>
      </c>
      <c r="F348" s="1" t="s">
        <v>143</v>
      </c>
      <c r="G348" s="16" t="s">
        <v>160</v>
      </c>
      <c r="H348" s="1">
        <v>48.602961000000001</v>
      </c>
      <c r="I348" s="1">
        <v>-119.23058899999999</v>
      </c>
      <c r="J348" s="1" t="s">
        <v>128</v>
      </c>
      <c r="K348" s="1" t="s">
        <v>177</v>
      </c>
      <c r="L348" s="1" t="s">
        <v>193</v>
      </c>
      <c r="M348" s="1" t="s">
        <v>237</v>
      </c>
      <c r="N348" s="1" t="s">
        <v>239</v>
      </c>
      <c r="O348" s="1" t="s">
        <v>86</v>
      </c>
      <c r="P348" s="1" t="s">
        <v>129</v>
      </c>
      <c r="Q348" s="1" t="s">
        <v>93</v>
      </c>
      <c r="R348" s="1">
        <v>2016</v>
      </c>
      <c r="S348" s="1">
        <v>2</v>
      </c>
      <c r="U348" s="1">
        <v>17000</v>
      </c>
      <c r="V348" s="1">
        <v>3</v>
      </c>
      <c r="W348" s="1">
        <v>3</v>
      </c>
      <c r="X348" s="1" t="s">
        <v>97</v>
      </c>
      <c r="Y348" s="1" t="s">
        <v>369</v>
      </c>
      <c r="Z348" s="1" t="s">
        <v>1</v>
      </c>
      <c r="AA348" s="1" t="s">
        <v>98</v>
      </c>
      <c r="AB348" s="1" t="s">
        <v>203</v>
      </c>
      <c r="AC348" s="1" t="s">
        <v>99</v>
      </c>
      <c r="AD348" s="1" t="s">
        <v>111</v>
      </c>
      <c r="AE348" s="1" t="s">
        <v>223</v>
      </c>
      <c r="AF348" s="1" t="s">
        <v>370</v>
      </c>
      <c r="AG348" s="1">
        <v>202</v>
      </c>
      <c r="AH348" s="1">
        <v>1</v>
      </c>
      <c r="AJ348" s="1">
        <v>233</v>
      </c>
      <c r="AK348" s="1">
        <v>1.1399999999999999</v>
      </c>
      <c r="AM348" s="12">
        <f t="shared" si="936"/>
        <v>-31</v>
      </c>
      <c r="AN348" s="1">
        <f t="shared" si="679"/>
        <v>1.0722872749408154</v>
      </c>
      <c r="AO348" s="1">
        <f t="shared" si="525"/>
        <v>-28.910163091985808</v>
      </c>
      <c r="AP348" s="1">
        <f t="shared" si="680"/>
        <v>70.316460833768204</v>
      </c>
      <c r="AQ348" s="1">
        <f t="shared" si="681"/>
        <v>0.8</v>
      </c>
      <c r="AR348" s="21">
        <f t="shared" si="526"/>
        <v>-23.128130473588648</v>
      </c>
      <c r="AS348" s="21">
        <f t="shared" si="1027"/>
        <v>45.002534933611656</v>
      </c>
      <c r="AT348" s="21">
        <f t="shared" si="594"/>
        <v>6.7083928726343727</v>
      </c>
      <c r="AU348" s="20">
        <f t="shared" si="1028"/>
        <v>2.2220970473668059E-2</v>
      </c>
      <c r="AV348" s="20">
        <f t="shared" si="1029"/>
        <v>-0.51392950436475582</v>
      </c>
      <c r="AW348" s="20">
        <f t="shared" si="1030"/>
        <v>11.88622863117482</v>
      </c>
      <c r="AX348" s="14"/>
      <c r="AY348" s="14"/>
      <c r="AZ348" s="1" t="s">
        <v>271</v>
      </c>
      <c r="BA348" s="2"/>
    </row>
    <row r="349" spans="1:53" ht="14.25" hidden="1" customHeight="1">
      <c r="A349" s="2">
        <v>238</v>
      </c>
      <c r="B349" s="2" t="s">
        <v>37</v>
      </c>
      <c r="C349" s="1" t="s">
        <v>85</v>
      </c>
      <c r="D349" s="1">
        <v>2021</v>
      </c>
      <c r="E349" s="1">
        <v>2017</v>
      </c>
      <c r="F349" s="1" t="s">
        <v>143</v>
      </c>
      <c r="G349" s="16" t="s">
        <v>160</v>
      </c>
      <c r="H349" s="1">
        <v>48.602961000000001</v>
      </c>
      <c r="I349" s="1">
        <v>-119.23058899999999</v>
      </c>
      <c r="J349" s="1" t="s">
        <v>128</v>
      </c>
      <c r="K349" s="1" t="s">
        <v>177</v>
      </c>
      <c r="L349" s="1" t="s">
        <v>193</v>
      </c>
      <c r="M349" s="1" t="s">
        <v>237</v>
      </c>
      <c r="N349" s="1" t="s">
        <v>239</v>
      </c>
      <c r="O349" s="1" t="s">
        <v>86</v>
      </c>
      <c r="P349" s="1" t="s">
        <v>129</v>
      </c>
      <c r="Q349" s="1" t="s">
        <v>93</v>
      </c>
      <c r="R349" s="1">
        <v>2016</v>
      </c>
      <c r="S349" s="1">
        <v>2</v>
      </c>
      <c r="U349" s="1">
        <v>17000</v>
      </c>
      <c r="V349" s="1">
        <v>3</v>
      </c>
      <c r="W349" s="1">
        <v>3</v>
      </c>
      <c r="X349" s="1" t="s">
        <v>97</v>
      </c>
      <c r="Y349" s="1" t="s">
        <v>369</v>
      </c>
      <c r="Z349" s="1" t="s">
        <v>1</v>
      </c>
      <c r="AA349" s="1" t="s">
        <v>98</v>
      </c>
      <c r="AB349" s="1" t="s">
        <v>203</v>
      </c>
      <c r="AC349" s="1" t="s">
        <v>99</v>
      </c>
      <c r="AD349" s="1" t="s">
        <v>111</v>
      </c>
      <c r="AE349" s="1" t="s">
        <v>150</v>
      </c>
      <c r="AF349" s="1" t="s">
        <v>370</v>
      </c>
      <c r="AG349" s="1">
        <v>8.0399999999999991</v>
      </c>
      <c r="AH349" s="1">
        <v>3.63</v>
      </c>
      <c r="AJ349" s="1">
        <v>12.89</v>
      </c>
      <c r="AK349" s="1">
        <v>5.0999999999999996</v>
      </c>
      <c r="AM349" s="12">
        <f t="shared" ref="AM349" si="1073">AG349-AJ349</f>
        <v>-4.8500000000000014</v>
      </c>
      <c r="AN349" s="1">
        <f t="shared" ref="AN349" si="1074">SQRT((((W349-1)*AH349^2)+((V349-1)*AK349^2))/(W349+V349-2))</f>
        <v>4.4264489153270477</v>
      </c>
      <c r="AO349" s="1">
        <f t="shared" ref="AO349" si="1075">AM349/AN349</f>
        <v>-1.0956864278284932</v>
      </c>
      <c r="AP349" s="1">
        <f t="shared" ref="AP349" si="1076">1/W349+1/V349+(AO349^2)/(2*(W349+V349))</f>
        <v>0.76671072901063031</v>
      </c>
      <c r="AQ349" s="1">
        <f t="shared" ref="AQ349" si="1077">1-(3/(4*(W349+V349-2)-1))</f>
        <v>0.8</v>
      </c>
      <c r="AR349" s="21">
        <f t="shared" ref="AR349" si="1078">AO349*AQ349</f>
        <v>-0.87654914226279468</v>
      </c>
      <c r="AS349" s="21">
        <f t="shared" si="1027"/>
        <v>0.4906948665668035</v>
      </c>
      <c r="AT349" s="21">
        <f t="shared" ref="AT349" si="1079">SQRT(AP349*AQ349^2)</f>
        <v>0.70049615742472382</v>
      </c>
      <c r="AU349" s="20">
        <f t="shared" si="1028"/>
        <v>2.0379263532887588</v>
      </c>
      <c r="AV349" s="20">
        <f t="shared" si="1029"/>
        <v>-1.7863425969700066</v>
      </c>
      <c r="AW349" s="20">
        <f t="shared" si="1030"/>
        <v>1.5658170711615524</v>
      </c>
      <c r="AX349" s="14"/>
      <c r="AY349" s="14"/>
      <c r="AZ349" s="1" t="s">
        <v>271</v>
      </c>
      <c r="BA349" s="2"/>
    </row>
    <row r="350" spans="1:53" ht="14.25" customHeight="1">
      <c r="A350" s="2">
        <v>238</v>
      </c>
      <c r="B350" s="2" t="s">
        <v>37</v>
      </c>
      <c r="C350" s="1" t="s">
        <v>85</v>
      </c>
      <c r="D350" s="1">
        <v>2021</v>
      </c>
      <c r="E350" s="1">
        <v>2017</v>
      </c>
      <c r="F350" s="1" t="s">
        <v>143</v>
      </c>
      <c r="G350" s="16" t="s">
        <v>160</v>
      </c>
      <c r="H350" s="1">
        <v>48.602961000000001</v>
      </c>
      <c r="I350" s="1">
        <v>-119.23058899999999</v>
      </c>
      <c r="J350" s="1" t="s">
        <v>128</v>
      </c>
      <c r="K350" s="1" t="s">
        <v>177</v>
      </c>
      <c r="L350" s="1" t="s">
        <v>193</v>
      </c>
      <c r="M350" s="1" t="s">
        <v>237</v>
      </c>
      <c r="N350" s="1" t="s">
        <v>239</v>
      </c>
      <c r="O350" s="1" t="s">
        <v>86</v>
      </c>
      <c r="P350" s="1" t="s">
        <v>129</v>
      </c>
      <c r="Q350" s="1" t="s">
        <v>93</v>
      </c>
      <c r="R350" s="1">
        <v>2016</v>
      </c>
      <c r="S350" s="1">
        <v>2</v>
      </c>
      <c r="U350" s="1">
        <v>17000</v>
      </c>
      <c r="V350" s="1">
        <v>3</v>
      </c>
      <c r="W350" s="1">
        <v>3</v>
      </c>
      <c r="X350" s="1" t="s">
        <v>97</v>
      </c>
      <c r="Y350" s="1" t="s">
        <v>369</v>
      </c>
      <c r="Z350" s="1" t="s">
        <v>1</v>
      </c>
      <c r="AA350" s="1" t="s">
        <v>98</v>
      </c>
      <c r="AB350" s="1" t="s">
        <v>203</v>
      </c>
      <c r="AC350" s="1" t="s">
        <v>99</v>
      </c>
      <c r="AD350" s="1" t="s">
        <v>111</v>
      </c>
      <c r="AE350" s="1" t="s">
        <v>151</v>
      </c>
      <c r="AF350" s="1" t="s">
        <v>370</v>
      </c>
      <c r="AG350" s="1">
        <v>93.41</v>
      </c>
      <c r="AH350" s="1">
        <v>25.79</v>
      </c>
      <c r="AJ350" s="1">
        <v>104.61</v>
      </c>
      <c r="AK350" s="1">
        <v>25.56</v>
      </c>
      <c r="AM350" s="12">
        <f t="shared" ref="AM350" si="1080">AG350-AJ350</f>
        <v>-11.200000000000003</v>
      </c>
      <c r="AN350" s="1">
        <f t="shared" ref="AN350" si="1081">SQRT((((W350-1)*AH350^2)+((V350-1)*AK350^2))/(W350+V350-2))</f>
        <v>25.675257544959504</v>
      </c>
      <c r="AO350" s="1">
        <f t="shared" ref="AO350" si="1082">AM350/AN350</f>
        <v>-0.43621763015961473</v>
      </c>
      <c r="AP350" s="1">
        <f t="shared" ref="AP350" si="1083">1/W350+1/V350+(AO350^2)/(2*(W350+V350))</f>
        <v>0.68252381840517251</v>
      </c>
      <c r="AQ350" s="1">
        <f t="shared" ref="AQ350" si="1084">1-(3/(4*(W350+V350-2)-1))</f>
        <v>0.8</v>
      </c>
      <c r="AR350" s="21">
        <f t="shared" ref="AR350" si="1085">AO350*AQ350</f>
        <v>-0.34897410412769181</v>
      </c>
      <c r="AS350" s="21">
        <f t="shared" si="1027"/>
        <v>0.43681524377931047</v>
      </c>
      <c r="AT350" s="21">
        <f t="shared" ref="AT350" si="1086">SQRT(AP350*AQ350^2)</f>
        <v>0.66091999801739276</v>
      </c>
      <c r="AU350" s="20">
        <f t="shared" si="1028"/>
        <v>2.2892973957319676</v>
      </c>
      <c r="AV350" s="20">
        <f t="shared" si="1029"/>
        <v>-0.79890550775742131</v>
      </c>
      <c r="AW350" s="20">
        <f t="shared" si="1030"/>
        <v>0.27879733385232486</v>
      </c>
      <c r="AX350" s="14"/>
      <c r="AY350" s="14"/>
      <c r="AZ350" s="1" t="s">
        <v>271</v>
      </c>
      <c r="BA350" s="2"/>
    </row>
    <row r="351" spans="1:53" ht="14.25" hidden="1" customHeight="1">
      <c r="A351" s="2">
        <v>238</v>
      </c>
      <c r="B351" s="2" t="s">
        <v>37</v>
      </c>
      <c r="C351" s="1" t="s">
        <v>85</v>
      </c>
      <c r="D351" s="1">
        <v>2021</v>
      </c>
      <c r="E351" s="1">
        <v>2017</v>
      </c>
      <c r="F351" s="1" t="s">
        <v>143</v>
      </c>
      <c r="G351" s="16" t="s">
        <v>160</v>
      </c>
      <c r="H351" s="1">
        <v>48.602961000000001</v>
      </c>
      <c r="I351" s="1">
        <v>-119.23058899999999</v>
      </c>
      <c r="J351" s="1" t="s">
        <v>128</v>
      </c>
      <c r="K351" s="1" t="s">
        <v>177</v>
      </c>
      <c r="L351" s="1" t="s">
        <v>193</v>
      </c>
      <c r="M351" s="1" t="s">
        <v>237</v>
      </c>
      <c r="N351" s="1" t="s">
        <v>239</v>
      </c>
      <c r="O351" s="1" t="s">
        <v>86</v>
      </c>
      <c r="P351" s="1" t="s">
        <v>129</v>
      </c>
      <c r="Q351" s="1" t="s">
        <v>93</v>
      </c>
      <c r="R351" s="1">
        <v>2006</v>
      </c>
      <c r="S351" s="1">
        <v>11</v>
      </c>
      <c r="U351" s="1">
        <v>17000</v>
      </c>
      <c r="V351" s="1">
        <v>3</v>
      </c>
      <c r="W351" s="1">
        <v>3</v>
      </c>
      <c r="X351" s="1" t="s">
        <v>97</v>
      </c>
      <c r="Y351" s="1" t="s">
        <v>369</v>
      </c>
      <c r="Z351" s="1" t="s">
        <v>1</v>
      </c>
      <c r="AA351" s="1" t="s">
        <v>98</v>
      </c>
      <c r="AB351" s="1" t="s">
        <v>203</v>
      </c>
      <c r="AC351" s="1" t="s">
        <v>99</v>
      </c>
      <c r="AD351" s="1" t="s">
        <v>111</v>
      </c>
      <c r="AE351" s="1" t="s">
        <v>257</v>
      </c>
      <c r="AF351" s="1" t="s">
        <v>371</v>
      </c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" t="s">
        <v>286</v>
      </c>
    </row>
    <row r="352" spans="1:53" ht="14.25" hidden="1" customHeight="1">
      <c r="A352" s="2">
        <v>238</v>
      </c>
      <c r="B352" s="2" t="s">
        <v>37</v>
      </c>
      <c r="C352" s="1" t="s">
        <v>85</v>
      </c>
      <c r="D352" s="1">
        <v>2021</v>
      </c>
      <c r="E352" s="1">
        <v>2017</v>
      </c>
      <c r="F352" s="1" t="s">
        <v>143</v>
      </c>
      <c r="G352" s="16" t="s">
        <v>160</v>
      </c>
      <c r="H352" s="1">
        <v>48.602961000000001</v>
      </c>
      <c r="I352" s="1">
        <v>-119.23058899999999</v>
      </c>
      <c r="J352" s="1" t="s">
        <v>128</v>
      </c>
      <c r="K352" s="1" t="s">
        <v>177</v>
      </c>
      <c r="L352" s="1" t="s">
        <v>193</v>
      </c>
      <c r="M352" s="1" t="s">
        <v>237</v>
      </c>
      <c r="N352" s="1" t="s">
        <v>239</v>
      </c>
      <c r="O352" s="1" t="s">
        <v>86</v>
      </c>
      <c r="P352" s="1" t="s">
        <v>129</v>
      </c>
      <c r="Q352" s="1" t="s">
        <v>93</v>
      </c>
      <c r="R352" s="1">
        <v>2012</v>
      </c>
      <c r="S352" s="1">
        <v>5</v>
      </c>
      <c r="U352" s="1">
        <v>17000</v>
      </c>
      <c r="V352" s="1">
        <v>3</v>
      </c>
      <c r="W352" s="1">
        <v>3</v>
      </c>
      <c r="X352" s="1" t="s">
        <v>97</v>
      </c>
      <c r="Y352" s="1" t="s">
        <v>369</v>
      </c>
      <c r="Z352" s="1" t="s">
        <v>1</v>
      </c>
      <c r="AA352" s="1" t="s">
        <v>98</v>
      </c>
      <c r="AB352" s="1" t="s">
        <v>203</v>
      </c>
      <c r="AC352" s="1" t="s">
        <v>99</v>
      </c>
      <c r="AD352" s="1" t="s">
        <v>111</v>
      </c>
      <c r="AE352" s="1" t="s">
        <v>257</v>
      </c>
      <c r="AF352" s="1" t="s">
        <v>371</v>
      </c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" t="s">
        <v>286</v>
      </c>
    </row>
    <row r="353" spans="1:53" ht="14.25" hidden="1" customHeight="1">
      <c r="A353" s="2">
        <v>238</v>
      </c>
      <c r="B353" s="2" t="s">
        <v>37</v>
      </c>
      <c r="C353" s="1" t="s">
        <v>85</v>
      </c>
      <c r="D353" s="1">
        <v>2021</v>
      </c>
      <c r="E353" s="1">
        <v>2017</v>
      </c>
      <c r="F353" s="1" t="s">
        <v>143</v>
      </c>
      <c r="G353" s="16" t="s">
        <v>160</v>
      </c>
      <c r="H353" s="1">
        <v>48.602961000000001</v>
      </c>
      <c r="I353" s="1">
        <v>-119.23058899999999</v>
      </c>
      <c r="J353" s="1" t="s">
        <v>128</v>
      </c>
      <c r="K353" s="1" t="s">
        <v>177</v>
      </c>
      <c r="L353" s="1" t="s">
        <v>193</v>
      </c>
      <c r="M353" s="1" t="s">
        <v>237</v>
      </c>
      <c r="N353" s="1" t="s">
        <v>239</v>
      </c>
      <c r="O353" s="1" t="s">
        <v>86</v>
      </c>
      <c r="P353" s="1" t="s">
        <v>129</v>
      </c>
      <c r="Q353" s="1" t="s">
        <v>93</v>
      </c>
      <c r="R353" s="1">
        <v>2014</v>
      </c>
      <c r="S353" s="1">
        <v>3</v>
      </c>
      <c r="U353" s="1">
        <v>17000</v>
      </c>
      <c r="V353" s="1">
        <v>3</v>
      </c>
      <c r="W353" s="1">
        <v>3</v>
      </c>
      <c r="X353" s="1" t="s">
        <v>97</v>
      </c>
      <c r="Y353" s="1" t="s">
        <v>369</v>
      </c>
      <c r="Z353" s="1" t="s">
        <v>1</v>
      </c>
      <c r="AA353" s="1" t="s">
        <v>98</v>
      </c>
      <c r="AB353" s="1" t="s">
        <v>203</v>
      </c>
      <c r="AC353" s="1" t="s">
        <v>99</v>
      </c>
      <c r="AD353" s="1" t="s">
        <v>111</v>
      </c>
      <c r="AE353" s="1" t="s">
        <v>257</v>
      </c>
      <c r="AF353" s="1" t="s">
        <v>371</v>
      </c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" t="s">
        <v>286</v>
      </c>
    </row>
    <row r="354" spans="1:53" ht="14.25" hidden="1" customHeight="1">
      <c r="A354" s="2">
        <v>238</v>
      </c>
      <c r="B354" s="2" t="s">
        <v>37</v>
      </c>
      <c r="C354" s="1" t="s">
        <v>85</v>
      </c>
      <c r="D354" s="1">
        <v>2021</v>
      </c>
      <c r="E354" s="1">
        <v>2017</v>
      </c>
      <c r="F354" s="1" t="s">
        <v>143</v>
      </c>
      <c r="G354" s="16" t="s">
        <v>160</v>
      </c>
      <c r="H354" s="1">
        <v>48.602961000000001</v>
      </c>
      <c r="I354" s="1">
        <v>-119.23058899999999</v>
      </c>
      <c r="J354" s="1" t="s">
        <v>128</v>
      </c>
      <c r="K354" s="1" t="s">
        <v>177</v>
      </c>
      <c r="L354" s="1" t="s">
        <v>193</v>
      </c>
      <c r="M354" s="1" t="s">
        <v>237</v>
      </c>
      <c r="N354" s="1" t="s">
        <v>239</v>
      </c>
      <c r="O354" s="1" t="s">
        <v>86</v>
      </c>
      <c r="P354" s="1" t="s">
        <v>129</v>
      </c>
      <c r="Q354" s="1" t="s">
        <v>93</v>
      </c>
      <c r="R354" s="1">
        <v>2016</v>
      </c>
      <c r="S354" s="1">
        <v>2</v>
      </c>
      <c r="U354" s="1">
        <v>17000</v>
      </c>
      <c r="V354" s="1">
        <v>3</v>
      </c>
      <c r="W354" s="1">
        <v>3</v>
      </c>
      <c r="X354" s="1" t="s">
        <v>97</v>
      </c>
      <c r="Y354" s="1" t="s">
        <v>369</v>
      </c>
      <c r="Z354" s="1" t="s">
        <v>1</v>
      </c>
      <c r="AA354" s="1" t="s">
        <v>98</v>
      </c>
      <c r="AB354" s="1" t="s">
        <v>203</v>
      </c>
      <c r="AC354" s="1" t="s">
        <v>99</v>
      </c>
      <c r="AD354" s="1" t="s">
        <v>111</v>
      </c>
      <c r="AE354" s="1" t="s">
        <v>257</v>
      </c>
      <c r="AF354" s="1" t="s">
        <v>371</v>
      </c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" t="s">
        <v>286</v>
      </c>
    </row>
    <row r="355" spans="1:53" ht="14.25" hidden="1" customHeight="1">
      <c r="A355" s="2">
        <v>534</v>
      </c>
      <c r="B355" s="2" t="s">
        <v>68</v>
      </c>
      <c r="C355" s="1" t="s">
        <v>85</v>
      </c>
      <c r="D355" s="1">
        <v>2022</v>
      </c>
      <c r="E355" s="1">
        <v>2018</v>
      </c>
      <c r="F355" s="1" t="s">
        <v>143</v>
      </c>
      <c r="G355" s="1" t="s">
        <v>109</v>
      </c>
      <c r="H355" s="1">
        <v>33.299100000000003</v>
      </c>
      <c r="I355" s="1">
        <v>-116.800786</v>
      </c>
      <c r="J355" s="1" t="s">
        <v>128</v>
      </c>
      <c r="K355" s="1" t="s">
        <v>219</v>
      </c>
      <c r="L355" s="1" t="s">
        <v>220</v>
      </c>
      <c r="M355" s="1" t="s">
        <v>238</v>
      </c>
      <c r="N355" s="1" t="s">
        <v>239</v>
      </c>
      <c r="O355" s="1" t="s">
        <v>86</v>
      </c>
      <c r="P355" s="1" t="s">
        <v>211</v>
      </c>
      <c r="Q355" s="1" t="s">
        <v>93</v>
      </c>
      <c r="R355" s="1">
        <v>2018</v>
      </c>
      <c r="S355" s="1" t="s">
        <v>372</v>
      </c>
      <c r="U355" s="1">
        <v>9400</v>
      </c>
      <c r="V355" s="1">
        <v>3</v>
      </c>
      <c r="W355" s="1">
        <v>6</v>
      </c>
      <c r="X355" s="1" t="s">
        <v>97</v>
      </c>
      <c r="Y355" s="1" t="s">
        <v>133</v>
      </c>
      <c r="Z355" s="1" t="s">
        <v>0</v>
      </c>
      <c r="AA355" s="1" t="s">
        <v>98</v>
      </c>
      <c r="AB355" s="1" t="s">
        <v>203</v>
      </c>
      <c r="AC355" s="1" t="s">
        <v>99</v>
      </c>
      <c r="AD355" s="1" t="s">
        <v>102</v>
      </c>
      <c r="AE355" s="1" t="s">
        <v>223</v>
      </c>
      <c r="AF355" s="1" t="s">
        <v>323</v>
      </c>
      <c r="AG355" s="1">
        <v>161.01</v>
      </c>
      <c r="AH355" s="1">
        <f>AI355*SQRT(W355)</f>
        <v>70.741263771578161</v>
      </c>
      <c r="AI355" s="1">
        <f>175.45-146.57</f>
        <v>28.879999999999995</v>
      </c>
      <c r="AJ355" s="1">
        <v>292.42</v>
      </c>
      <c r="AK355" s="1">
        <f>AL355*SQRT(V355)</f>
        <v>72.538287820984564</v>
      </c>
      <c r="AL355" s="1">
        <f>313.36-271.48</f>
        <v>41.879999999999995</v>
      </c>
      <c r="AM355" s="12">
        <f t="shared" ref="AM355" si="1087">AG355-AJ355</f>
        <v>-131.41000000000003</v>
      </c>
      <c r="AN355" s="1">
        <f t="shared" ref="AN355" si="1088">SQRT((((W355-1)*AH355^2)+((V355-1)*AK355^2))/(W355+V355-2))</f>
        <v>71.25932360049454</v>
      </c>
      <c r="AO355" s="1">
        <f t="shared" ref="AO355" si="1089">AM355/AN355</f>
        <v>-1.8441095615323528</v>
      </c>
      <c r="AP355" s="1">
        <f t="shared" ref="AP355" si="1090">1/W355+1/V355+(AO355^2)/(2*(W355+V355))</f>
        <v>0.68893000416305816</v>
      </c>
      <c r="AQ355" s="1">
        <f t="shared" ref="AQ355" si="1091">1-(3/(4*(W355+V355-2)-1))</f>
        <v>0.88888888888888884</v>
      </c>
      <c r="AR355" s="21">
        <f t="shared" ref="AR355" si="1092">AO355*AQ355</f>
        <v>-1.639208499139869</v>
      </c>
      <c r="AS355" s="21">
        <f t="shared" ref="AS355:AS358" si="1093">AP355*(AQ355^2)</f>
        <v>0.54433975637574961</v>
      </c>
      <c r="AT355" s="21">
        <f t="shared" ref="AT355" si="1094">SQRT(AP355*AQ355^2)</f>
        <v>0.73779384408908533</v>
      </c>
      <c r="AU355" s="20">
        <f t="shared" ref="AU355:AU358" si="1095">1/AS355</f>
        <v>1.8370879368761648</v>
      </c>
      <c r="AV355" s="20">
        <f t="shared" ref="AV355:AV358" si="1096">AR355/AS355</f>
        <v>-3.0113701597947364</v>
      </c>
      <c r="AW355" s="20">
        <f t="shared" ref="AW355:AW358" si="1097">((AR355)^2)/AS355</f>
        <v>4.9362635599917173</v>
      </c>
      <c r="AX355" s="14"/>
      <c r="AY355" s="14"/>
      <c r="AZ355" s="1" t="s">
        <v>271</v>
      </c>
      <c r="BA355" s="2"/>
    </row>
    <row r="356" spans="1:53" ht="14.25" hidden="1" customHeight="1">
      <c r="A356" s="2">
        <v>534</v>
      </c>
      <c r="B356" s="2" t="s">
        <v>68</v>
      </c>
      <c r="C356" s="1" t="s">
        <v>85</v>
      </c>
      <c r="D356" s="1">
        <v>2022</v>
      </c>
      <c r="E356" s="1">
        <v>2018</v>
      </c>
      <c r="F356" s="1" t="s">
        <v>143</v>
      </c>
      <c r="G356" s="1" t="s">
        <v>109</v>
      </c>
      <c r="H356" s="1">
        <v>33.299100000000003</v>
      </c>
      <c r="I356" s="1">
        <v>-116.800786</v>
      </c>
      <c r="J356" s="1" t="s">
        <v>128</v>
      </c>
      <c r="K356" s="1" t="s">
        <v>219</v>
      </c>
      <c r="L356" s="1" t="s">
        <v>220</v>
      </c>
      <c r="M356" s="1" t="s">
        <v>238</v>
      </c>
      <c r="N356" s="1" t="s">
        <v>239</v>
      </c>
      <c r="O356" s="1" t="s">
        <v>86</v>
      </c>
      <c r="P356" s="1" t="s">
        <v>211</v>
      </c>
      <c r="Q356" s="1" t="s">
        <v>93</v>
      </c>
      <c r="R356" s="1">
        <v>2018</v>
      </c>
      <c r="S356" s="1" t="s">
        <v>372</v>
      </c>
      <c r="U356" s="1">
        <v>9400</v>
      </c>
      <c r="V356" s="1">
        <v>3</v>
      </c>
      <c r="W356" s="1">
        <v>6</v>
      </c>
      <c r="X356" s="1" t="s">
        <v>97</v>
      </c>
      <c r="Y356" s="1" t="s">
        <v>133</v>
      </c>
      <c r="Z356" s="1" t="s">
        <v>0</v>
      </c>
      <c r="AA356" s="1" t="s">
        <v>98</v>
      </c>
      <c r="AB356" s="1" t="s">
        <v>203</v>
      </c>
      <c r="AC356" s="1" t="s">
        <v>99</v>
      </c>
      <c r="AD356" s="1" t="s">
        <v>102</v>
      </c>
      <c r="AE356" s="1" t="s">
        <v>150</v>
      </c>
      <c r="AF356" s="1" t="s">
        <v>371</v>
      </c>
      <c r="AG356" s="1">
        <v>4.55</v>
      </c>
      <c r="AH356" s="1">
        <f t="shared" ref="AH356:AH368" si="1098">AI356*SQRT(W356)</f>
        <v>4.1886274601592337</v>
      </c>
      <c r="AI356" s="1">
        <f>5.41-3.7</f>
        <v>1.71</v>
      </c>
      <c r="AJ356" s="1">
        <v>5.45</v>
      </c>
      <c r="AK356" s="1">
        <f t="shared" ref="AK356:AK368" si="1099">AL356*SQRT(V356)</f>
        <v>5.0922293742524998</v>
      </c>
      <c r="AL356" s="1">
        <f>6.9-3.96</f>
        <v>2.9400000000000004</v>
      </c>
      <c r="AM356" s="12">
        <f t="shared" ref="AM356" si="1100">AG356-AJ356</f>
        <v>-0.90000000000000036</v>
      </c>
      <c r="AN356" s="1">
        <f t="shared" ref="AN356" si="1101">SQRT((((W356-1)*AH356^2)+((V356-1)*AK356^2))/(W356+V356-2))</f>
        <v>4.4654962930067628</v>
      </c>
      <c r="AO356" s="1">
        <f t="shared" ref="AO356" si="1102">AM356/AN356</f>
        <v>-0.20154534702211147</v>
      </c>
      <c r="AP356" s="1">
        <f t="shared" ref="AP356" si="1103">1/W356+1/V356+(AO356^2)/(2*(W356+V356))</f>
        <v>0.50225669593923683</v>
      </c>
      <c r="AQ356" s="1">
        <f t="shared" ref="AQ356" si="1104">1-(3/(4*(W356+V356-2)-1))</f>
        <v>0.88888888888888884</v>
      </c>
      <c r="AR356" s="21">
        <f t="shared" ref="AR356" si="1105">AO356*AQ356</f>
        <v>-0.17915141957521019</v>
      </c>
      <c r="AS356" s="21">
        <f t="shared" si="1093"/>
        <v>0.39684479679149576</v>
      </c>
      <c r="AT356" s="21">
        <f t="shared" ref="AT356" si="1106">SQRT(AP356*AQ356^2)</f>
        <v>0.62995618640624185</v>
      </c>
      <c r="AU356" s="20">
        <f t="shared" si="1095"/>
        <v>2.519876808477862</v>
      </c>
      <c r="AV356" s="20">
        <f t="shared" si="1096"/>
        <v>-0.45143950739345901</v>
      </c>
      <c r="AW356" s="20">
        <f t="shared" si="1097"/>
        <v>8.0876028601871791E-2</v>
      </c>
      <c r="AX356" s="14"/>
      <c r="AY356" s="14"/>
      <c r="AZ356" s="1" t="s">
        <v>271</v>
      </c>
      <c r="BA356" s="2"/>
    </row>
    <row r="357" spans="1:53" ht="14.25" hidden="1" customHeight="1">
      <c r="A357" s="2">
        <v>534</v>
      </c>
      <c r="B357" s="2" t="s">
        <v>68</v>
      </c>
      <c r="C357" s="1" t="s">
        <v>85</v>
      </c>
      <c r="D357" s="1">
        <v>2022</v>
      </c>
      <c r="E357" s="1">
        <v>2018</v>
      </c>
      <c r="F357" s="1" t="s">
        <v>143</v>
      </c>
      <c r="G357" s="1" t="s">
        <v>109</v>
      </c>
      <c r="H357" s="1">
        <v>33.299100000000003</v>
      </c>
      <c r="I357" s="1">
        <v>-116.800786</v>
      </c>
      <c r="J357" s="1" t="s">
        <v>128</v>
      </c>
      <c r="K357" s="1" t="s">
        <v>219</v>
      </c>
      <c r="L357" s="1" t="s">
        <v>220</v>
      </c>
      <c r="M357" s="1" t="s">
        <v>238</v>
      </c>
      <c r="N357" s="1" t="s">
        <v>239</v>
      </c>
      <c r="O357" s="1" t="s">
        <v>86</v>
      </c>
      <c r="P357" s="1" t="s">
        <v>211</v>
      </c>
      <c r="Q357" s="1" t="s">
        <v>93</v>
      </c>
      <c r="R357" s="1">
        <v>2018</v>
      </c>
      <c r="S357" s="1" t="s">
        <v>372</v>
      </c>
      <c r="U357" s="1">
        <v>9400</v>
      </c>
      <c r="V357" s="1">
        <v>3</v>
      </c>
      <c r="W357" s="1">
        <v>6</v>
      </c>
      <c r="X357" s="1" t="s">
        <v>97</v>
      </c>
      <c r="Y357" s="1" t="s">
        <v>133</v>
      </c>
      <c r="Z357" s="1" t="s">
        <v>0</v>
      </c>
      <c r="AA357" s="1" t="s">
        <v>98</v>
      </c>
      <c r="AB357" s="1" t="s">
        <v>203</v>
      </c>
      <c r="AC357" s="1" t="s">
        <v>99</v>
      </c>
      <c r="AD357" s="1" t="s">
        <v>102</v>
      </c>
      <c r="AE357" s="1" t="s">
        <v>315</v>
      </c>
      <c r="AF357" s="1" t="s">
        <v>371</v>
      </c>
      <c r="AG357" s="1">
        <v>0.45</v>
      </c>
      <c r="AH357" s="1">
        <f t="shared" si="1098"/>
        <v>0.73484692283495334</v>
      </c>
      <c r="AI357" s="1">
        <f>0.59-0.29</f>
        <v>0.3</v>
      </c>
      <c r="AJ357" s="1">
        <v>0.82</v>
      </c>
      <c r="AK357" s="1">
        <f t="shared" si="1099"/>
        <v>1.3163586137523466</v>
      </c>
      <c r="AL357" s="1">
        <f>1.19-0.43</f>
        <v>0.76</v>
      </c>
      <c r="AM357" s="12">
        <f t="shared" ref="AM357" si="1107">AG357-AJ357</f>
        <v>-0.36999999999999994</v>
      </c>
      <c r="AN357" s="1">
        <f t="shared" ref="AN357" si="1108">SQRT((((W357-1)*AH357^2)+((V357-1)*AK357^2))/(W357+V357-2))</f>
        <v>0.93850945653200524</v>
      </c>
      <c r="AO357" s="1">
        <f t="shared" ref="AO357" si="1109">AM357/AN357</f>
        <v>-0.39424216498279058</v>
      </c>
      <c r="AP357" s="1">
        <f t="shared" ref="AP357" si="1110">1/W357+1/V357+(AO357^2)/(2*(W357+V357))</f>
        <v>0.50863482692501771</v>
      </c>
      <c r="AQ357" s="1">
        <f t="shared" ref="AQ357" si="1111">1-(3/(4*(W357+V357-2)-1))</f>
        <v>0.88888888888888884</v>
      </c>
      <c r="AR357" s="21">
        <f t="shared" ref="AR357" si="1112">AO357*AQ357</f>
        <v>-0.3504374799847027</v>
      </c>
      <c r="AS357" s="21">
        <f t="shared" si="1093"/>
        <v>0.40188430769384115</v>
      </c>
      <c r="AT357" s="21">
        <f t="shared" ref="AT357" si="1113">SQRT(AP357*AQ357^2)</f>
        <v>0.63394345780506411</v>
      </c>
      <c r="AU357" s="20">
        <f t="shared" si="1095"/>
        <v>2.48827829516003</v>
      </c>
      <c r="AV357" s="20">
        <f t="shared" si="1096"/>
        <v>-0.87198597525651322</v>
      </c>
      <c r="AW357" s="20">
        <f t="shared" si="1097"/>
        <v>0.30557656775089581</v>
      </c>
      <c r="AX357" s="14"/>
      <c r="AY357" s="14"/>
      <c r="AZ357" s="1" t="s">
        <v>271</v>
      </c>
      <c r="BA357" s="2"/>
    </row>
    <row r="358" spans="1:53" ht="14.25" hidden="1" customHeight="1">
      <c r="A358" s="2">
        <v>534</v>
      </c>
      <c r="B358" s="2" t="s">
        <v>68</v>
      </c>
      <c r="C358" s="1" t="s">
        <v>85</v>
      </c>
      <c r="D358" s="1">
        <v>2022</v>
      </c>
      <c r="E358" s="1">
        <v>2018</v>
      </c>
      <c r="F358" s="1" t="s">
        <v>143</v>
      </c>
      <c r="G358" s="1" t="s">
        <v>109</v>
      </c>
      <c r="H358" s="1">
        <v>33.299100000000003</v>
      </c>
      <c r="I358" s="1">
        <v>-116.800786</v>
      </c>
      <c r="J358" s="1" t="s">
        <v>128</v>
      </c>
      <c r="K358" s="1" t="s">
        <v>219</v>
      </c>
      <c r="L358" s="1" t="s">
        <v>220</v>
      </c>
      <c r="M358" s="1" t="s">
        <v>238</v>
      </c>
      <c r="N358" s="1" t="s">
        <v>239</v>
      </c>
      <c r="O358" s="1" t="s">
        <v>86</v>
      </c>
      <c r="P358" s="1" t="s">
        <v>211</v>
      </c>
      <c r="Q358" s="1" t="s">
        <v>93</v>
      </c>
      <c r="R358" s="1">
        <v>2018</v>
      </c>
      <c r="S358" s="1" t="s">
        <v>372</v>
      </c>
      <c r="U358" s="1">
        <v>9400</v>
      </c>
      <c r="V358" s="1">
        <v>3</v>
      </c>
      <c r="W358" s="1">
        <v>6</v>
      </c>
      <c r="X358" s="1" t="s">
        <v>97</v>
      </c>
      <c r="Y358" s="1" t="s">
        <v>133</v>
      </c>
      <c r="Z358" s="1" t="s">
        <v>0</v>
      </c>
      <c r="AA358" s="1" t="s">
        <v>98</v>
      </c>
      <c r="AB358" s="1" t="s">
        <v>203</v>
      </c>
      <c r="AC358" s="1" t="s">
        <v>99</v>
      </c>
      <c r="AD358" s="1" t="s">
        <v>102</v>
      </c>
      <c r="AE358" s="1" t="s">
        <v>151</v>
      </c>
      <c r="AF358" s="1" t="s">
        <v>371</v>
      </c>
      <c r="AG358" s="1">
        <v>0.61</v>
      </c>
      <c r="AH358" s="1">
        <f t="shared" si="1098"/>
        <v>1.3227244611029161</v>
      </c>
      <c r="AI358" s="1">
        <f>0.89-0.35</f>
        <v>0.54</v>
      </c>
      <c r="AJ358" s="1">
        <v>1.1000000000000001</v>
      </c>
      <c r="AK358" s="1">
        <f t="shared" si="1099"/>
        <v>0.86602540378443882</v>
      </c>
      <c r="AL358" s="1">
        <f>1.35-0.85</f>
        <v>0.50000000000000011</v>
      </c>
      <c r="AM358" s="12">
        <f t="shared" ref="AM358" si="1114">AG358-AJ358</f>
        <v>-0.4900000000000001</v>
      </c>
      <c r="AN358" s="1">
        <f t="shared" ref="AN358" si="1115">SQRT((((W358-1)*AH358^2)+((V358-1)*AK358^2))/(W358+V358-2))</f>
        <v>1.2099586769803339</v>
      </c>
      <c r="AO358" s="1">
        <f t="shared" ref="AO358" si="1116">AM358/AN358</f>
        <v>-0.40497250800571294</v>
      </c>
      <c r="AP358" s="1">
        <f t="shared" ref="AP358" si="1117">1/W358+1/V358+(AO358^2)/(2*(W358+V358))</f>
        <v>0.50911126290224651</v>
      </c>
      <c r="AQ358" s="1">
        <f t="shared" ref="AQ358" si="1118">1-(3/(4*(W358+V358-2)-1))</f>
        <v>0.88888888888888884</v>
      </c>
      <c r="AR358" s="21">
        <f t="shared" ref="AR358" si="1119">AO358*AQ358</f>
        <v>-0.3599755626717448</v>
      </c>
      <c r="AS358" s="21">
        <f t="shared" si="1093"/>
        <v>0.40226075093510832</v>
      </c>
      <c r="AT358" s="21">
        <f t="shared" ref="AT358" si="1120">SQRT(AP358*AQ358^2)</f>
        <v>0.63424029431683726</v>
      </c>
      <c r="AU358" s="20">
        <f t="shared" si="1095"/>
        <v>2.48594971713091</v>
      </c>
      <c r="AV358" s="20">
        <f t="shared" si="1096"/>
        <v>-0.89488114819786413</v>
      </c>
      <c r="AW358" s="20">
        <f t="shared" si="1097"/>
        <v>0.32213534484686318</v>
      </c>
      <c r="AX358" s="14"/>
      <c r="AY358" s="14"/>
      <c r="AZ358" s="1" t="s">
        <v>271</v>
      </c>
      <c r="BA358" s="2"/>
    </row>
    <row r="359" spans="1:53" ht="14.25" hidden="1" customHeight="1">
      <c r="A359" s="2">
        <v>534</v>
      </c>
      <c r="B359" s="2" t="s">
        <v>68</v>
      </c>
      <c r="C359" s="1" t="s">
        <v>85</v>
      </c>
      <c r="D359" s="1">
        <v>2022</v>
      </c>
      <c r="E359" s="1">
        <v>2018</v>
      </c>
      <c r="F359" s="1" t="s">
        <v>143</v>
      </c>
      <c r="G359" s="1" t="s">
        <v>109</v>
      </c>
      <c r="H359" s="1">
        <v>33.299100000000003</v>
      </c>
      <c r="I359" s="1">
        <v>-116.800786</v>
      </c>
      <c r="J359" s="1" t="s">
        <v>128</v>
      </c>
      <c r="K359" s="1" t="s">
        <v>219</v>
      </c>
      <c r="L359" s="1" t="s">
        <v>220</v>
      </c>
      <c r="M359" s="1" t="s">
        <v>238</v>
      </c>
      <c r="N359" s="1" t="s">
        <v>239</v>
      </c>
      <c r="O359" s="1" t="s">
        <v>86</v>
      </c>
      <c r="P359" s="1" t="s">
        <v>211</v>
      </c>
      <c r="Q359" s="1" t="s">
        <v>93</v>
      </c>
      <c r="R359" s="1">
        <v>2018</v>
      </c>
      <c r="S359" s="1" t="s">
        <v>372</v>
      </c>
      <c r="U359" s="1">
        <v>9400</v>
      </c>
      <c r="V359" s="1">
        <v>3</v>
      </c>
      <c r="W359" s="1">
        <v>6</v>
      </c>
      <c r="X359" s="1" t="s">
        <v>97</v>
      </c>
      <c r="Y359" s="1" t="s">
        <v>133</v>
      </c>
      <c r="Z359" s="1" t="s">
        <v>0</v>
      </c>
      <c r="AA359" s="1" t="s">
        <v>98</v>
      </c>
      <c r="AB359" s="1" t="s">
        <v>203</v>
      </c>
      <c r="AC359" s="1" t="s">
        <v>99</v>
      </c>
      <c r="AD359" s="1" t="s">
        <v>102</v>
      </c>
      <c r="AE359" s="1" t="s">
        <v>257</v>
      </c>
      <c r="AF359" s="1" t="s">
        <v>373</v>
      </c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2" t="s">
        <v>286</v>
      </c>
    </row>
    <row r="360" spans="1:53" ht="14.25" hidden="1" customHeight="1">
      <c r="A360" s="2">
        <v>534</v>
      </c>
      <c r="B360" s="2" t="s">
        <v>68</v>
      </c>
      <c r="C360" s="1" t="s">
        <v>85</v>
      </c>
      <c r="D360" s="1">
        <v>2022</v>
      </c>
      <c r="E360" s="1">
        <v>2018</v>
      </c>
      <c r="F360" s="1" t="s">
        <v>143</v>
      </c>
      <c r="G360" s="1" t="s">
        <v>109</v>
      </c>
      <c r="H360" s="1">
        <v>33.299100000000003</v>
      </c>
      <c r="I360" s="1">
        <v>-116.800786</v>
      </c>
      <c r="J360" s="1" t="s">
        <v>128</v>
      </c>
      <c r="K360" s="1" t="s">
        <v>219</v>
      </c>
      <c r="L360" s="1" t="s">
        <v>220</v>
      </c>
      <c r="M360" s="1" t="s">
        <v>238</v>
      </c>
      <c r="N360" s="1" t="s">
        <v>239</v>
      </c>
      <c r="O360" s="1" t="s">
        <v>86</v>
      </c>
      <c r="P360" s="1" t="s">
        <v>211</v>
      </c>
      <c r="Q360" s="1" t="s">
        <v>93</v>
      </c>
      <c r="R360" s="1">
        <v>2018</v>
      </c>
      <c r="S360" s="1" t="s">
        <v>374</v>
      </c>
      <c r="U360" s="1">
        <v>9400</v>
      </c>
      <c r="V360" s="1">
        <v>3</v>
      </c>
      <c r="W360" s="1">
        <v>6</v>
      </c>
      <c r="X360" s="1" t="s">
        <v>97</v>
      </c>
      <c r="Y360" s="1" t="s">
        <v>133</v>
      </c>
      <c r="Z360" s="1" t="s">
        <v>0</v>
      </c>
      <c r="AA360" s="1" t="s">
        <v>98</v>
      </c>
      <c r="AB360" s="1" t="s">
        <v>203</v>
      </c>
      <c r="AC360" s="1" t="s">
        <v>99</v>
      </c>
      <c r="AD360" s="1" t="s">
        <v>102</v>
      </c>
      <c r="AE360" s="1" t="s">
        <v>223</v>
      </c>
      <c r="AF360" s="1" t="s">
        <v>323</v>
      </c>
      <c r="AG360" s="1">
        <v>119.86</v>
      </c>
      <c r="AH360" s="1">
        <f t="shared" si="1098"/>
        <v>60.110478287899198</v>
      </c>
      <c r="AI360" s="1">
        <f>131.4-106.86</f>
        <v>24.540000000000006</v>
      </c>
      <c r="AJ360" s="1">
        <v>344.4</v>
      </c>
      <c r="AK360" s="1">
        <f t="shared" si="1099"/>
        <v>70.026814150009614</v>
      </c>
      <c r="AL360" s="1">
        <f>365.34-324.91</f>
        <v>40.42999999999995</v>
      </c>
      <c r="AM360" s="12">
        <f t="shared" ref="AM360:AM363" si="1121">AG360-AJ360</f>
        <v>-224.53999999999996</v>
      </c>
      <c r="AN360" s="1">
        <f t="shared" ref="AN360" si="1122">SQRT((((W360-1)*AH360^2)+((V360-1)*AK360^2))/(W360+V360-2))</f>
        <v>63.102928843053121</v>
      </c>
      <c r="AO360" s="1">
        <f t="shared" ref="AO360" si="1123">AM360/AN360</f>
        <v>-3.5583134430806873</v>
      </c>
      <c r="AP360" s="1">
        <f t="shared" ref="AP360" si="1124">1/W360+1/V360+(AO360^2)/(2*(W360+V360))</f>
        <v>1.2034219199560408</v>
      </c>
      <c r="AQ360" s="1">
        <f t="shared" ref="AQ360" si="1125">1-(3/(4*(W360+V360-2)-1))</f>
        <v>0.88888888888888884</v>
      </c>
      <c r="AR360" s="21">
        <f t="shared" ref="AR360" si="1126">AO360*AQ360</f>
        <v>-3.1629452827383884</v>
      </c>
      <c r="AS360" s="21">
        <f t="shared" ref="AS360:AS363" si="1127">AP360*(AQ360^2)</f>
        <v>0.95085188737267412</v>
      </c>
      <c r="AT360" s="21">
        <f t="shared" ref="AT360" si="1128">SQRT(AP360*AQ360^2)</f>
        <v>0.97511634555712079</v>
      </c>
      <c r="AU360" s="20">
        <f t="shared" ref="AU360:AU363" si="1129">1/AS360</f>
        <v>1.0516885050973905</v>
      </c>
      <c r="AV360" s="20">
        <f t="shared" ref="AV360:AV363" si="1130">AR360/AS360</f>
        <v>-3.3264331961079789</v>
      </c>
      <c r="AW360" s="20">
        <f t="shared" ref="AW360:AW363" si="1131">((AR360)^2)/AS360</f>
        <v>10.521326185974113</v>
      </c>
      <c r="AX360" s="14"/>
      <c r="AY360" s="14"/>
      <c r="AZ360" s="1" t="s">
        <v>271</v>
      </c>
      <c r="BA360" s="2"/>
    </row>
    <row r="361" spans="1:53" ht="14.25" hidden="1" customHeight="1">
      <c r="A361" s="2">
        <v>534</v>
      </c>
      <c r="B361" s="2" t="s">
        <v>68</v>
      </c>
      <c r="C361" s="1" t="s">
        <v>85</v>
      </c>
      <c r="D361" s="1">
        <v>2022</v>
      </c>
      <c r="E361" s="1">
        <v>2018</v>
      </c>
      <c r="F361" s="1" t="s">
        <v>143</v>
      </c>
      <c r="G361" s="1" t="s">
        <v>109</v>
      </c>
      <c r="H361" s="1">
        <v>33.299100000000003</v>
      </c>
      <c r="I361" s="1">
        <v>-116.800786</v>
      </c>
      <c r="J361" s="1" t="s">
        <v>128</v>
      </c>
      <c r="K361" s="1" t="s">
        <v>219</v>
      </c>
      <c r="L361" s="1" t="s">
        <v>220</v>
      </c>
      <c r="M361" s="1" t="s">
        <v>238</v>
      </c>
      <c r="N361" s="1" t="s">
        <v>239</v>
      </c>
      <c r="O361" s="1" t="s">
        <v>86</v>
      </c>
      <c r="P361" s="1" t="s">
        <v>211</v>
      </c>
      <c r="Q361" s="1" t="s">
        <v>93</v>
      </c>
      <c r="R361" s="1">
        <v>2018</v>
      </c>
      <c r="S361" s="1" t="s">
        <v>374</v>
      </c>
      <c r="U361" s="1">
        <v>9400</v>
      </c>
      <c r="V361" s="1">
        <v>3</v>
      </c>
      <c r="W361" s="1">
        <v>6</v>
      </c>
      <c r="X361" s="1" t="s">
        <v>97</v>
      </c>
      <c r="Y361" s="1" t="s">
        <v>133</v>
      </c>
      <c r="Z361" s="1" t="s">
        <v>0</v>
      </c>
      <c r="AA361" s="1" t="s">
        <v>98</v>
      </c>
      <c r="AB361" s="1" t="s">
        <v>203</v>
      </c>
      <c r="AC361" s="1" t="s">
        <v>99</v>
      </c>
      <c r="AD361" s="1" t="s">
        <v>102</v>
      </c>
      <c r="AE361" s="1" t="s">
        <v>150</v>
      </c>
      <c r="AF361" s="1" t="s">
        <v>371</v>
      </c>
      <c r="AG361" s="1">
        <v>0.95</v>
      </c>
      <c r="AH361" s="1">
        <f t="shared" si="1098"/>
        <v>2.0820662813657016</v>
      </c>
      <c r="AI361" s="1">
        <f>1.35-0.5</f>
        <v>0.85000000000000009</v>
      </c>
      <c r="AJ361" s="1">
        <v>4.53</v>
      </c>
      <c r="AK361" s="1">
        <f t="shared" si="1099"/>
        <v>2.2516660498395407</v>
      </c>
      <c r="AL361" s="1">
        <f>5.19-3.89</f>
        <v>1.3000000000000003</v>
      </c>
      <c r="AM361" s="12">
        <f t="shared" si="1121"/>
        <v>-3.58</v>
      </c>
      <c r="AN361" s="1">
        <f t="shared" ref="AN361" si="1132">SQRT((((W361-1)*AH361^2)+((V361-1)*AK361^2))/(W361+V361-2))</f>
        <v>2.1319005605327845</v>
      </c>
      <c r="AO361" s="1">
        <f t="shared" ref="AO361" si="1133">AM361/AN361</f>
        <v>-1.6792528067562964</v>
      </c>
      <c r="AP361" s="1">
        <f t="shared" ref="AP361" si="1134">1/W361+1/V361+(AO361^2)/(2*(W361+V361))</f>
        <v>0.65666055494438336</v>
      </c>
      <c r="AQ361" s="1">
        <f t="shared" ref="AQ361" si="1135">1-(3/(4*(W361+V361-2)-1))</f>
        <v>0.88888888888888884</v>
      </c>
      <c r="AR361" s="21">
        <f t="shared" ref="AR361" si="1136">AO361*AQ361</f>
        <v>-1.4926691615611523</v>
      </c>
      <c r="AS361" s="21">
        <f t="shared" si="1127"/>
        <v>0.51884290761037699</v>
      </c>
      <c r="AT361" s="21">
        <f t="shared" ref="AT361" si="1137">SQRT(AP361*AQ361^2)</f>
        <v>0.72030750906149588</v>
      </c>
      <c r="AU361" s="20">
        <f t="shared" si="1129"/>
        <v>1.9273656540968775</v>
      </c>
      <c r="AV361" s="20">
        <f t="shared" si="1130"/>
        <v>-2.8769192749225478</v>
      </c>
      <c r="AW361" s="20">
        <f t="shared" si="1131"/>
        <v>4.2942886819777577</v>
      </c>
      <c r="AX361" s="14"/>
      <c r="AY361" s="14"/>
      <c r="AZ361" s="1" t="s">
        <v>271</v>
      </c>
      <c r="BA361" s="2"/>
    </row>
    <row r="362" spans="1:53" ht="14.25" hidden="1" customHeight="1">
      <c r="A362" s="2">
        <v>534</v>
      </c>
      <c r="B362" s="2" t="s">
        <v>68</v>
      </c>
      <c r="C362" s="1" t="s">
        <v>85</v>
      </c>
      <c r="D362" s="1">
        <v>2022</v>
      </c>
      <c r="E362" s="1">
        <v>2018</v>
      </c>
      <c r="F362" s="1" t="s">
        <v>143</v>
      </c>
      <c r="G362" s="1" t="s">
        <v>109</v>
      </c>
      <c r="H362" s="1">
        <v>33.299100000000003</v>
      </c>
      <c r="I362" s="1">
        <v>-116.800786</v>
      </c>
      <c r="J362" s="1" t="s">
        <v>128</v>
      </c>
      <c r="K362" s="1" t="s">
        <v>219</v>
      </c>
      <c r="L362" s="1" t="s">
        <v>220</v>
      </c>
      <c r="M362" s="1" t="s">
        <v>238</v>
      </c>
      <c r="N362" s="1" t="s">
        <v>239</v>
      </c>
      <c r="O362" s="1" t="s">
        <v>86</v>
      </c>
      <c r="P362" s="1" t="s">
        <v>211</v>
      </c>
      <c r="Q362" s="1" t="s">
        <v>93</v>
      </c>
      <c r="R362" s="1">
        <v>2018</v>
      </c>
      <c r="S362" s="1" t="s">
        <v>374</v>
      </c>
      <c r="U362" s="1">
        <v>9400</v>
      </c>
      <c r="V362" s="1">
        <v>3</v>
      </c>
      <c r="W362" s="1">
        <v>6</v>
      </c>
      <c r="X362" s="1" t="s">
        <v>97</v>
      </c>
      <c r="Y362" s="1" t="s">
        <v>133</v>
      </c>
      <c r="Z362" s="1" t="s">
        <v>0</v>
      </c>
      <c r="AA362" s="1" t="s">
        <v>98</v>
      </c>
      <c r="AB362" s="1" t="s">
        <v>203</v>
      </c>
      <c r="AC362" s="1" t="s">
        <v>99</v>
      </c>
      <c r="AD362" s="1" t="s">
        <v>102</v>
      </c>
      <c r="AE362" s="1" t="s">
        <v>315</v>
      </c>
      <c r="AF362" s="1" t="s">
        <v>371</v>
      </c>
      <c r="AG362" s="1">
        <v>0.04</v>
      </c>
      <c r="AH362" s="1">
        <f t="shared" si="1098"/>
        <v>0.19595917942265423</v>
      </c>
      <c r="AI362" s="1">
        <f>0.08-0</f>
        <v>0.08</v>
      </c>
      <c r="AJ362" s="1">
        <v>0.36</v>
      </c>
      <c r="AK362" s="1">
        <f t="shared" si="1099"/>
        <v>0.5022947341949745</v>
      </c>
      <c r="AL362" s="1">
        <f>0.5-0.21</f>
        <v>0.29000000000000004</v>
      </c>
      <c r="AM362" s="12">
        <f t="shared" si="1121"/>
        <v>-0.32</v>
      </c>
      <c r="AN362" s="1">
        <f t="shared" ref="AN362" si="1138">SQRT((((W362-1)*AH362^2)+((V362-1)*AK362^2))/(W362+V362-2))</f>
        <v>0.31545884947847913</v>
      </c>
      <c r="AO362" s="1">
        <f t="shared" ref="AO362" si="1139">AM362/AN362</f>
        <v>-1.0143953816132543</v>
      </c>
      <c r="AP362" s="1">
        <f t="shared" ref="AP362" si="1140">1/W362+1/V362+(AO362^2)/(2*(W362+V362))</f>
        <v>0.55716655501323886</v>
      </c>
      <c r="AQ362" s="1">
        <f t="shared" ref="AQ362" si="1141">1-(3/(4*(W362+V362-2)-1))</f>
        <v>0.88888888888888884</v>
      </c>
      <c r="AR362" s="21">
        <f t="shared" ref="AR362" si="1142">AO362*AQ362</f>
        <v>-0.90168478365622595</v>
      </c>
      <c r="AS362" s="21">
        <f t="shared" si="1127"/>
        <v>0.44023036445490477</v>
      </c>
      <c r="AT362" s="21">
        <f t="shared" ref="AT362" si="1143">SQRT(AP362*AQ362^2)</f>
        <v>0.66349857909034349</v>
      </c>
      <c r="AU362" s="20">
        <f t="shared" si="1129"/>
        <v>2.2715379963356335</v>
      </c>
      <c r="AV362" s="20">
        <f t="shared" si="1130"/>
        <v>-2.0482112467927927</v>
      </c>
      <c r="AW362" s="20">
        <f t="shared" si="1131"/>
        <v>1.8468409149466078</v>
      </c>
      <c r="AX362" s="14"/>
      <c r="AY362" s="14"/>
      <c r="AZ362" s="1" t="s">
        <v>271</v>
      </c>
      <c r="BA362" s="2"/>
    </row>
    <row r="363" spans="1:53" ht="14.25" hidden="1" customHeight="1">
      <c r="A363" s="2">
        <v>534</v>
      </c>
      <c r="B363" s="2" t="s">
        <v>68</v>
      </c>
      <c r="C363" s="1" t="s">
        <v>85</v>
      </c>
      <c r="D363" s="1">
        <v>2022</v>
      </c>
      <c r="E363" s="1">
        <v>2018</v>
      </c>
      <c r="F363" s="1" t="s">
        <v>143</v>
      </c>
      <c r="G363" s="1" t="s">
        <v>109</v>
      </c>
      <c r="H363" s="1">
        <v>33.299100000000003</v>
      </c>
      <c r="I363" s="1">
        <v>-116.800786</v>
      </c>
      <c r="J363" s="1" t="s">
        <v>128</v>
      </c>
      <c r="K363" s="1" t="s">
        <v>219</v>
      </c>
      <c r="L363" s="1" t="s">
        <v>220</v>
      </c>
      <c r="M363" s="1" t="s">
        <v>238</v>
      </c>
      <c r="N363" s="1" t="s">
        <v>239</v>
      </c>
      <c r="O363" s="1" t="s">
        <v>86</v>
      </c>
      <c r="P363" s="1" t="s">
        <v>211</v>
      </c>
      <c r="Q363" s="1" t="s">
        <v>93</v>
      </c>
      <c r="R363" s="1">
        <v>2018</v>
      </c>
      <c r="S363" s="1" t="s">
        <v>374</v>
      </c>
      <c r="U363" s="1">
        <v>9400</v>
      </c>
      <c r="V363" s="1">
        <v>3</v>
      </c>
      <c r="W363" s="1">
        <v>6</v>
      </c>
      <c r="X363" s="1" t="s">
        <v>97</v>
      </c>
      <c r="Y363" s="1" t="s">
        <v>133</v>
      </c>
      <c r="Z363" s="1" t="s">
        <v>0</v>
      </c>
      <c r="AA363" s="1" t="s">
        <v>98</v>
      </c>
      <c r="AB363" s="1" t="s">
        <v>203</v>
      </c>
      <c r="AC363" s="1" t="s">
        <v>99</v>
      </c>
      <c r="AD363" s="1" t="s">
        <v>102</v>
      </c>
      <c r="AE363" s="1" t="s">
        <v>151</v>
      </c>
      <c r="AF363" s="1" t="s">
        <v>371</v>
      </c>
      <c r="AG363" s="1">
        <v>0.25</v>
      </c>
      <c r="AH363" s="1">
        <f t="shared" si="1098"/>
        <v>0.53888774341229906</v>
      </c>
      <c r="AI363" s="1">
        <f>0.36-0.14</f>
        <v>0.21999999999999997</v>
      </c>
      <c r="AJ363" s="1">
        <v>1.37</v>
      </c>
      <c r="AK363" s="1">
        <f t="shared" si="1099"/>
        <v>1.4895636945092345</v>
      </c>
      <c r="AL363" s="1">
        <f>1.8-0.94</f>
        <v>0.8600000000000001</v>
      </c>
      <c r="AM363" s="12">
        <f t="shared" si="1121"/>
        <v>-1.1200000000000001</v>
      </c>
      <c r="AN363" s="1">
        <f t="shared" ref="AN363" si="1144">SQRT((((W363-1)*AH363^2)+((V363-1)*AK363^2))/(W363+V363-2))</f>
        <v>0.91726300948606254</v>
      </c>
      <c r="AO363" s="1">
        <f t="shared" ref="AO363" si="1145">AM363/AN363</f>
        <v>-1.2210238376750089</v>
      </c>
      <c r="AP363" s="1">
        <f t="shared" ref="AP363" si="1146">1/W363+1/V363+(AO363^2)/(2*(W363+V363))</f>
        <v>0.58282773400947807</v>
      </c>
      <c r="AQ363" s="1">
        <f t="shared" ref="AQ363" si="1147">1-(3/(4*(W363+V363-2)-1))</f>
        <v>0.88888888888888884</v>
      </c>
      <c r="AR363" s="21">
        <f t="shared" ref="AR363" si="1148">AO363*AQ363</f>
        <v>-1.0853545223777856</v>
      </c>
      <c r="AS363" s="21">
        <f t="shared" si="1127"/>
        <v>0.46050586390872339</v>
      </c>
      <c r="AT363" s="21">
        <f t="shared" ref="AT363" si="1149">SQRT(AP363*AQ363^2)</f>
        <v>0.67860582366254663</v>
      </c>
      <c r="AU363" s="20">
        <f t="shared" si="1129"/>
        <v>2.1715250084159829</v>
      </c>
      <c r="AV363" s="20">
        <f t="shared" si="1130"/>
        <v>-2.356874488340746</v>
      </c>
      <c r="AW363" s="20">
        <f t="shared" si="1131"/>
        <v>2.5580443845974581</v>
      </c>
      <c r="AX363" s="14"/>
      <c r="AY363" s="14"/>
      <c r="AZ363" s="1" t="s">
        <v>271</v>
      </c>
      <c r="BA363" s="2"/>
    </row>
    <row r="364" spans="1:53" ht="14.25" hidden="1" customHeight="1">
      <c r="A364" s="2">
        <v>534</v>
      </c>
      <c r="B364" s="2" t="s">
        <v>68</v>
      </c>
      <c r="C364" s="1" t="s">
        <v>85</v>
      </c>
      <c r="D364" s="1">
        <v>2022</v>
      </c>
      <c r="E364" s="1">
        <v>2018</v>
      </c>
      <c r="F364" s="1" t="s">
        <v>143</v>
      </c>
      <c r="G364" s="1" t="s">
        <v>109</v>
      </c>
      <c r="H364" s="1">
        <v>33.299100000000003</v>
      </c>
      <c r="I364" s="1">
        <v>-116.800786</v>
      </c>
      <c r="J364" s="1" t="s">
        <v>128</v>
      </c>
      <c r="K364" s="1" t="s">
        <v>219</v>
      </c>
      <c r="L364" s="1" t="s">
        <v>220</v>
      </c>
      <c r="M364" s="1" t="s">
        <v>238</v>
      </c>
      <c r="N364" s="1" t="s">
        <v>239</v>
      </c>
      <c r="O364" s="1" t="s">
        <v>86</v>
      </c>
      <c r="P364" s="1" t="s">
        <v>211</v>
      </c>
      <c r="Q364" s="1" t="s">
        <v>93</v>
      </c>
      <c r="R364" s="1">
        <v>2018</v>
      </c>
      <c r="S364" s="1" t="s">
        <v>374</v>
      </c>
      <c r="U364" s="1">
        <v>9400</v>
      </c>
      <c r="V364" s="1">
        <v>3</v>
      </c>
      <c r="W364" s="1">
        <v>6</v>
      </c>
      <c r="X364" s="1" t="s">
        <v>97</v>
      </c>
      <c r="Y364" s="1" t="s">
        <v>133</v>
      </c>
      <c r="Z364" s="1" t="s">
        <v>0</v>
      </c>
      <c r="AA364" s="1" t="s">
        <v>98</v>
      </c>
      <c r="AB364" s="1" t="s">
        <v>203</v>
      </c>
      <c r="AC364" s="1" t="s">
        <v>99</v>
      </c>
      <c r="AD364" s="1" t="s">
        <v>102</v>
      </c>
      <c r="AE364" s="1" t="s">
        <v>257</v>
      </c>
      <c r="AF364" s="1" t="s">
        <v>373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2" t="s">
        <v>286</v>
      </c>
    </row>
    <row r="365" spans="1:53" ht="14.25" hidden="1" customHeight="1">
      <c r="A365" s="2">
        <v>534</v>
      </c>
      <c r="B365" s="2" t="s">
        <v>68</v>
      </c>
      <c r="C365" s="1" t="s">
        <v>85</v>
      </c>
      <c r="D365" s="1">
        <v>2022</v>
      </c>
      <c r="E365" s="1">
        <v>2018</v>
      </c>
      <c r="F365" s="1" t="s">
        <v>143</v>
      </c>
      <c r="G365" s="1" t="s">
        <v>109</v>
      </c>
      <c r="H365" s="1">
        <v>33.299100000000003</v>
      </c>
      <c r="I365" s="1">
        <v>-116.800786</v>
      </c>
      <c r="J365" s="1" t="s">
        <v>128</v>
      </c>
      <c r="K365" s="1" t="s">
        <v>219</v>
      </c>
      <c r="L365" s="1" t="s">
        <v>220</v>
      </c>
      <c r="M365" s="1" t="s">
        <v>238</v>
      </c>
      <c r="N365" s="1" t="s">
        <v>239</v>
      </c>
      <c r="O365" s="1" t="s">
        <v>86</v>
      </c>
      <c r="P365" s="1" t="s">
        <v>211</v>
      </c>
      <c r="Q365" s="1" t="s">
        <v>93</v>
      </c>
      <c r="R365" s="1">
        <v>2018</v>
      </c>
      <c r="S365" s="1">
        <v>1</v>
      </c>
      <c r="U365" s="1">
        <v>9400</v>
      </c>
      <c r="V365" s="1">
        <v>3</v>
      </c>
      <c r="W365" s="1">
        <v>6</v>
      </c>
      <c r="X365" s="1" t="s">
        <v>97</v>
      </c>
      <c r="Y365" s="1" t="s">
        <v>133</v>
      </c>
      <c r="Z365" s="1" t="s">
        <v>0</v>
      </c>
      <c r="AA365" s="1" t="s">
        <v>98</v>
      </c>
      <c r="AB365" s="1" t="s">
        <v>203</v>
      </c>
      <c r="AC365" s="1" t="s">
        <v>99</v>
      </c>
      <c r="AD365" s="1" t="s">
        <v>102</v>
      </c>
      <c r="AE365" s="1" t="s">
        <v>223</v>
      </c>
      <c r="AF365" s="1" t="s">
        <v>323</v>
      </c>
      <c r="AG365" s="1">
        <v>99.64</v>
      </c>
      <c r="AH365" s="1">
        <f t="shared" si="1098"/>
        <v>47.765049984271968</v>
      </c>
      <c r="AI365" s="1">
        <f>109.75-90.25</f>
        <v>19.5</v>
      </c>
      <c r="AJ365" s="1">
        <v>256.32</v>
      </c>
      <c r="AK365" s="1">
        <f t="shared" si="1099"/>
        <v>73.785364402434212</v>
      </c>
      <c r="AL365" s="1">
        <f>277.98-235.38</f>
        <v>42.600000000000023</v>
      </c>
      <c r="AM365" s="12">
        <f t="shared" si="936"/>
        <v>-156.68</v>
      </c>
      <c r="AN365" s="1">
        <f t="shared" si="679"/>
        <v>56.437145822334337</v>
      </c>
      <c r="AO365" s="1">
        <f t="shared" ref="AO365" si="1150">AM365/AN365</f>
        <v>-2.7761857499532825</v>
      </c>
      <c r="AP365" s="1">
        <f t="shared" si="680"/>
        <v>0.92817818434687049</v>
      </c>
      <c r="AQ365" s="1">
        <f t="shared" si="681"/>
        <v>0.88888888888888884</v>
      </c>
      <c r="AR365" s="21">
        <f t="shared" si="526"/>
        <v>-2.4677206666251399</v>
      </c>
      <c r="AS365" s="21">
        <f t="shared" ref="AS365:AS368" si="1151">AP365*(AQ365^2)</f>
        <v>0.73337535553332978</v>
      </c>
      <c r="AT365" s="21">
        <f t="shared" si="594"/>
        <v>0.85637337390493973</v>
      </c>
      <c r="AU365" s="20">
        <f t="shared" ref="AU365:AU368" si="1152">1/AS365</f>
        <v>1.3635582276592506</v>
      </c>
      <c r="AV365" s="20">
        <f t="shared" ref="AV365:AV368" si="1153">AR365/AS365</f>
        <v>-3.3648808185414802</v>
      </c>
      <c r="AW365" s="20">
        <f t="shared" ref="AW365:AW368" si="1154">((AR365)^2)/AS365</f>
        <v>8.3035859366453284</v>
      </c>
      <c r="AX365" s="14"/>
      <c r="AY365" s="14"/>
      <c r="AZ365" s="1" t="s">
        <v>271</v>
      </c>
      <c r="BA365" s="2"/>
    </row>
    <row r="366" spans="1:53" ht="14.25" hidden="1" customHeight="1">
      <c r="A366" s="2">
        <v>534</v>
      </c>
      <c r="B366" s="2" t="s">
        <v>68</v>
      </c>
      <c r="C366" s="1" t="s">
        <v>85</v>
      </c>
      <c r="D366" s="1">
        <v>2022</v>
      </c>
      <c r="E366" s="1">
        <v>2018</v>
      </c>
      <c r="F366" s="1" t="s">
        <v>143</v>
      </c>
      <c r="G366" s="1" t="s">
        <v>109</v>
      </c>
      <c r="H366" s="1">
        <v>33.299100000000003</v>
      </c>
      <c r="I366" s="1">
        <v>-116.800786</v>
      </c>
      <c r="J366" s="1" t="s">
        <v>128</v>
      </c>
      <c r="K366" s="1" t="s">
        <v>219</v>
      </c>
      <c r="L366" s="1" t="s">
        <v>220</v>
      </c>
      <c r="M366" s="1" t="s">
        <v>238</v>
      </c>
      <c r="N366" s="1" t="s">
        <v>239</v>
      </c>
      <c r="O366" s="1" t="s">
        <v>86</v>
      </c>
      <c r="P366" s="1" t="s">
        <v>211</v>
      </c>
      <c r="Q366" s="1" t="s">
        <v>93</v>
      </c>
      <c r="R366" s="1">
        <v>2018</v>
      </c>
      <c r="S366" s="1">
        <v>1</v>
      </c>
      <c r="U366" s="1">
        <v>9400</v>
      </c>
      <c r="V366" s="1">
        <v>3</v>
      </c>
      <c r="W366" s="1">
        <v>6</v>
      </c>
      <c r="X366" s="1" t="s">
        <v>97</v>
      </c>
      <c r="Y366" s="1" t="s">
        <v>133</v>
      </c>
      <c r="Z366" s="1" t="s">
        <v>0</v>
      </c>
      <c r="AA366" s="1" t="s">
        <v>98</v>
      </c>
      <c r="AB366" s="1" t="s">
        <v>203</v>
      </c>
      <c r="AC366" s="1" t="s">
        <v>99</v>
      </c>
      <c r="AD366" s="1" t="s">
        <v>102</v>
      </c>
      <c r="AE366" s="1" t="s">
        <v>150</v>
      </c>
      <c r="AF366" s="1" t="s">
        <v>371</v>
      </c>
      <c r="AG366" s="1">
        <v>0.36</v>
      </c>
      <c r="AH366" s="1">
        <f t="shared" si="1098"/>
        <v>0.80833161511844875</v>
      </c>
      <c r="AI366" s="1">
        <f>0.52-0.19</f>
        <v>0.33</v>
      </c>
      <c r="AJ366" s="1">
        <v>4.55</v>
      </c>
      <c r="AK366" s="1">
        <f t="shared" si="1099"/>
        <v>2.0957814771583414</v>
      </c>
      <c r="AL366" s="1">
        <f>5.17-3.96</f>
        <v>1.21</v>
      </c>
      <c r="AM366" s="12">
        <f t="shared" ref="AM366" si="1155">AG366-AJ366</f>
        <v>-4.1899999999999995</v>
      </c>
      <c r="AN366" s="1">
        <f t="shared" ref="AN366" si="1156">SQRT((((W366-1)*AH366^2)+((V366-1)*AK366^2))/(W366+V366-2))</f>
        <v>1.3121193325521665</v>
      </c>
      <c r="AO366" s="1">
        <f t="shared" ref="AO366" si="1157">AM366/AN366</f>
        <v>-3.1933071147196253</v>
      </c>
      <c r="AP366" s="1">
        <f t="shared" ref="AP366" si="1158">1/W366+1/V366+(AO366^2)/(2*(W366+V366))</f>
        <v>1.0665116849399432</v>
      </c>
      <c r="AQ366" s="1">
        <f t="shared" ref="AQ366" si="1159">1-(3/(4*(W366+V366-2)-1))</f>
        <v>0.88888888888888884</v>
      </c>
      <c r="AR366" s="21">
        <f t="shared" ref="AR366" si="1160">AO366*AQ366</f>
        <v>-2.8384952130841112</v>
      </c>
      <c r="AS366" s="21">
        <f t="shared" si="1151"/>
        <v>0.84267589921180697</v>
      </c>
      <c r="AT366" s="21">
        <f t="shared" ref="AT366" si="1161">SQRT(AP366*AQ366^2)</f>
        <v>0.91797380093976921</v>
      </c>
      <c r="AU366" s="20">
        <f t="shared" si="1152"/>
        <v>1.1866958589124781</v>
      </c>
      <c r="AV366" s="20">
        <f t="shared" si="1153"/>
        <v>-3.3684305149098064</v>
      </c>
      <c r="AW366" s="20">
        <f t="shared" si="1154"/>
        <v>9.561273892177935</v>
      </c>
      <c r="AX366" s="14"/>
      <c r="AY366" s="14"/>
      <c r="AZ366" s="1" t="s">
        <v>271</v>
      </c>
      <c r="BA366" s="2"/>
    </row>
    <row r="367" spans="1:53" ht="14.25" hidden="1" customHeight="1">
      <c r="A367" s="2">
        <v>534</v>
      </c>
      <c r="B367" s="2" t="s">
        <v>68</v>
      </c>
      <c r="C367" s="1" t="s">
        <v>85</v>
      </c>
      <c r="D367" s="1">
        <v>2022</v>
      </c>
      <c r="E367" s="1">
        <v>2018</v>
      </c>
      <c r="F367" s="1" t="s">
        <v>143</v>
      </c>
      <c r="G367" s="1" t="s">
        <v>109</v>
      </c>
      <c r="H367" s="1">
        <v>33.299100000000003</v>
      </c>
      <c r="I367" s="1">
        <v>-116.800786</v>
      </c>
      <c r="J367" s="1" t="s">
        <v>128</v>
      </c>
      <c r="K367" s="1" t="s">
        <v>219</v>
      </c>
      <c r="L367" s="1" t="s">
        <v>220</v>
      </c>
      <c r="M367" s="1" t="s">
        <v>238</v>
      </c>
      <c r="N367" s="1" t="s">
        <v>239</v>
      </c>
      <c r="O367" s="1" t="s">
        <v>86</v>
      </c>
      <c r="P367" s="1" t="s">
        <v>211</v>
      </c>
      <c r="Q367" s="1" t="s">
        <v>93</v>
      </c>
      <c r="R367" s="1">
        <v>2018</v>
      </c>
      <c r="S367" s="1">
        <v>1</v>
      </c>
      <c r="U367" s="1">
        <v>9400</v>
      </c>
      <c r="V367" s="1">
        <v>3</v>
      </c>
      <c r="W367" s="1">
        <v>6</v>
      </c>
      <c r="X367" s="1" t="s">
        <v>97</v>
      </c>
      <c r="Y367" s="1" t="s">
        <v>133</v>
      </c>
      <c r="Z367" s="1" t="s">
        <v>0</v>
      </c>
      <c r="AA367" s="1" t="s">
        <v>98</v>
      </c>
      <c r="AB367" s="1" t="s">
        <v>203</v>
      </c>
      <c r="AC367" s="1" t="s">
        <v>99</v>
      </c>
      <c r="AD367" s="1" t="s">
        <v>102</v>
      </c>
      <c r="AE367" s="1" t="s">
        <v>315</v>
      </c>
      <c r="AF367" s="1" t="s">
        <v>371</v>
      </c>
      <c r="AG367" s="1">
        <v>0.13</v>
      </c>
      <c r="AH367" s="1">
        <f t="shared" si="1098"/>
        <v>0.36742346141747667</v>
      </c>
      <c r="AI367" s="1">
        <f>0.21-0.06</f>
        <v>0.15</v>
      </c>
      <c r="AJ367" s="1">
        <v>0.41</v>
      </c>
      <c r="AK367" s="1">
        <f t="shared" si="1099"/>
        <v>0.65817930687617332</v>
      </c>
      <c r="AL367" s="1">
        <f>0.61-0.23</f>
        <v>0.38</v>
      </c>
      <c r="AM367" s="12">
        <f t="shared" ref="AM367" si="1162">AG367-AJ367</f>
        <v>-0.27999999999999997</v>
      </c>
      <c r="AN367" s="1">
        <f t="shared" ref="AN367" si="1163">SQRT((((W367-1)*AH367^2)+((V367-1)*AK367^2))/(W367+V367-2))</f>
        <v>0.46925472826600262</v>
      </c>
      <c r="AO367" s="1">
        <f t="shared" ref="AO367" si="1164">AM367/AN367</f>
        <v>-0.59669084429827768</v>
      </c>
      <c r="AP367" s="1">
        <f t="shared" ref="AP367" si="1165">1/W367+1/V367+(AO367^2)/(2*(W367+V367))</f>
        <v>0.51977999798163288</v>
      </c>
      <c r="AQ367" s="1">
        <f t="shared" ref="AQ367" si="1166">1-(3/(4*(W367+V367-2)-1))</f>
        <v>0.88888888888888884</v>
      </c>
      <c r="AR367" s="21">
        <f t="shared" ref="AR367" si="1167">AO367*AQ367</f>
        <v>-0.53039186159846907</v>
      </c>
      <c r="AS367" s="21">
        <f t="shared" si="1151"/>
        <v>0.41069036877561116</v>
      </c>
      <c r="AT367" s="21">
        <f t="shared" ref="AT367" si="1168">SQRT(AP367*AQ367^2)</f>
        <v>0.640851284445628</v>
      </c>
      <c r="AU367" s="20">
        <f t="shared" si="1152"/>
        <v>2.4349244005436366</v>
      </c>
      <c r="AV367" s="20">
        <f t="shared" si="1153"/>
        <v>-1.2914640856558757</v>
      </c>
      <c r="AW367" s="20">
        <f t="shared" si="1154"/>
        <v>0.68498204057858469</v>
      </c>
      <c r="AX367" s="14"/>
      <c r="AY367" s="14"/>
      <c r="AZ367" s="1" t="s">
        <v>271</v>
      </c>
      <c r="BA367" s="2"/>
    </row>
    <row r="368" spans="1:53" ht="14.25" hidden="1" customHeight="1">
      <c r="A368" s="2">
        <v>534</v>
      </c>
      <c r="B368" s="2" t="s">
        <v>68</v>
      </c>
      <c r="C368" s="1" t="s">
        <v>85</v>
      </c>
      <c r="D368" s="1">
        <v>2022</v>
      </c>
      <c r="E368" s="1">
        <v>2018</v>
      </c>
      <c r="F368" s="1" t="s">
        <v>143</v>
      </c>
      <c r="G368" s="1" t="s">
        <v>109</v>
      </c>
      <c r="H368" s="1">
        <v>33.299100000000003</v>
      </c>
      <c r="I368" s="1">
        <v>-116.800786</v>
      </c>
      <c r="J368" s="1" t="s">
        <v>128</v>
      </c>
      <c r="K368" s="1" t="s">
        <v>219</v>
      </c>
      <c r="L368" s="1" t="s">
        <v>220</v>
      </c>
      <c r="M368" s="1" t="s">
        <v>238</v>
      </c>
      <c r="N368" s="1" t="s">
        <v>239</v>
      </c>
      <c r="O368" s="1" t="s">
        <v>86</v>
      </c>
      <c r="P368" s="1" t="s">
        <v>211</v>
      </c>
      <c r="Q368" s="1" t="s">
        <v>93</v>
      </c>
      <c r="R368" s="1">
        <v>2018</v>
      </c>
      <c r="S368" s="1">
        <v>1</v>
      </c>
      <c r="U368" s="1">
        <v>9400</v>
      </c>
      <c r="V368" s="1">
        <v>3</v>
      </c>
      <c r="W368" s="1">
        <v>6</v>
      </c>
      <c r="X368" s="1" t="s">
        <v>97</v>
      </c>
      <c r="Y368" s="1" t="s">
        <v>133</v>
      </c>
      <c r="Z368" s="1" t="s">
        <v>0</v>
      </c>
      <c r="AA368" s="1" t="s">
        <v>98</v>
      </c>
      <c r="AB368" s="1" t="s">
        <v>203</v>
      </c>
      <c r="AC368" s="1" t="s">
        <v>99</v>
      </c>
      <c r="AD368" s="1" t="s">
        <v>102</v>
      </c>
      <c r="AE368" s="1" t="s">
        <v>151</v>
      </c>
      <c r="AF368" s="1" t="s">
        <v>371</v>
      </c>
      <c r="AG368" s="1">
        <v>0.27</v>
      </c>
      <c r="AH368" s="1">
        <f t="shared" si="1098"/>
        <v>0.53888774341229917</v>
      </c>
      <c r="AI368" s="1">
        <f>0.37-0.15</f>
        <v>0.22</v>
      </c>
      <c r="AJ368" s="1">
        <v>0.67</v>
      </c>
      <c r="AK368" s="1">
        <f t="shared" si="1099"/>
        <v>0.77942286340599476</v>
      </c>
      <c r="AL368" s="1">
        <f>0.89-0.44</f>
        <v>0.45</v>
      </c>
      <c r="AM368" s="12">
        <f t="shared" ref="AM368" si="1169">AG368-AJ368</f>
        <v>-0.4</v>
      </c>
      <c r="AN368" s="1">
        <f t="shared" ref="AN368" si="1170">SQRT((((W368-1)*AH368^2)+((V368-1)*AK368^2))/(W368+V368-2))</f>
        <v>0.61725197448043856</v>
      </c>
      <c r="AO368" s="1">
        <f t="shared" ref="AO368" si="1171">AM368/AN368</f>
        <v>-0.64803356900833453</v>
      </c>
      <c r="AP368" s="1">
        <f t="shared" ref="AP368" si="1172">1/W368+1/V368+(AO368^2)/(2*(W368+V368))</f>
        <v>0.52333041703120442</v>
      </c>
      <c r="AQ368" s="1">
        <f t="shared" ref="AQ368" si="1173">1-(3/(4*(W368+V368-2)-1))</f>
        <v>0.88888888888888884</v>
      </c>
      <c r="AR368" s="21">
        <f t="shared" ref="AR368" si="1174">AO368*AQ368</f>
        <v>-0.57602983911851957</v>
      </c>
      <c r="AS368" s="21">
        <f t="shared" si="1151"/>
        <v>0.41349563814811213</v>
      </c>
      <c r="AT368" s="21">
        <f t="shared" ref="AT368" si="1175">SQRT(AP368*AQ368^2)</f>
        <v>0.6430362650334055</v>
      </c>
      <c r="AU368" s="20">
        <f t="shared" si="1152"/>
        <v>2.4184051964335471</v>
      </c>
      <c r="AV368" s="20">
        <f t="shared" si="1153"/>
        <v>-1.3930735562250078</v>
      </c>
      <c r="AW368" s="20">
        <f t="shared" si="1154"/>
        <v>0.80245193647255519</v>
      </c>
      <c r="AX368" s="14"/>
      <c r="AY368" s="14"/>
      <c r="AZ368" s="1" t="s">
        <v>271</v>
      </c>
      <c r="BA368" s="2"/>
    </row>
    <row r="369" spans="1:53" ht="14.25" hidden="1" customHeight="1">
      <c r="A369" s="2">
        <v>534</v>
      </c>
      <c r="B369" s="2" t="s">
        <v>68</v>
      </c>
      <c r="C369" s="1" t="s">
        <v>85</v>
      </c>
      <c r="D369" s="1">
        <v>2022</v>
      </c>
      <c r="E369" s="1">
        <v>2018</v>
      </c>
      <c r="F369" s="1" t="s">
        <v>143</v>
      </c>
      <c r="G369" s="1" t="s">
        <v>109</v>
      </c>
      <c r="H369" s="1">
        <v>33.299100000000003</v>
      </c>
      <c r="I369" s="1">
        <v>-116.800786</v>
      </c>
      <c r="J369" s="1" t="s">
        <v>128</v>
      </c>
      <c r="K369" s="1" t="s">
        <v>219</v>
      </c>
      <c r="L369" s="1" t="s">
        <v>220</v>
      </c>
      <c r="M369" s="1" t="s">
        <v>238</v>
      </c>
      <c r="N369" s="1" t="s">
        <v>239</v>
      </c>
      <c r="O369" s="1" t="s">
        <v>86</v>
      </c>
      <c r="P369" s="1" t="s">
        <v>211</v>
      </c>
      <c r="Q369" s="1" t="s">
        <v>93</v>
      </c>
      <c r="R369" s="1">
        <v>2018</v>
      </c>
      <c r="S369" s="1">
        <v>1</v>
      </c>
      <c r="U369" s="1">
        <v>9400</v>
      </c>
      <c r="V369" s="1">
        <v>3</v>
      </c>
      <c r="W369" s="1">
        <v>6</v>
      </c>
      <c r="X369" s="1" t="s">
        <v>97</v>
      </c>
      <c r="Y369" s="1" t="s">
        <v>133</v>
      </c>
      <c r="Z369" s="1" t="s">
        <v>0</v>
      </c>
      <c r="AA369" s="1" t="s">
        <v>98</v>
      </c>
      <c r="AB369" s="1" t="s">
        <v>203</v>
      </c>
      <c r="AC369" s="1" t="s">
        <v>99</v>
      </c>
      <c r="AD369" s="1" t="s">
        <v>102</v>
      </c>
      <c r="AE369" s="1" t="s">
        <v>257</v>
      </c>
      <c r="AF369" s="1" t="s">
        <v>373</v>
      </c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2" t="s">
        <v>286</v>
      </c>
    </row>
    <row r="370" spans="1:53" ht="14.25" hidden="1" customHeight="1">
      <c r="A370" s="2">
        <v>294</v>
      </c>
      <c r="B370" s="2" t="s">
        <v>44</v>
      </c>
      <c r="C370" s="1" t="s">
        <v>85</v>
      </c>
      <c r="D370" s="1">
        <v>2016</v>
      </c>
      <c r="E370" s="1">
        <v>2013</v>
      </c>
      <c r="F370" s="1" t="s">
        <v>143</v>
      </c>
      <c r="G370" s="1" t="s">
        <v>160</v>
      </c>
      <c r="H370" s="1">
        <v>43.7</v>
      </c>
      <c r="I370" s="1">
        <v>-121.61666700000001</v>
      </c>
      <c r="J370" s="1" t="s">
        <v>128</v>
      </c>
      <c r="K370" s="1" t="s">
        <v>177</v>
      </c>
      <c r="L370" s="1" t="s">
        <v>193</v>
      </c>
      <c r="M370" s="1" t="s">
        <v>237</v>
      </c>
      <c r="N370" s="1" t="s">
        <v>239</v>
      </c>
      <c r="O370" s="1" t="s">
        <v>121</v>
      </c>
      <c r="P370" s="1" t="s">
        <v>146</v>
      </c>
      <c r="Q370" s="1" t="s">
        <v>115</v>
      </c>
      <c r="R370" s="1">
        <v>2013</v>
      </c>
      <c r="S370" s="1" t="s">
        <v>311</v>
      </c>
      <c r="U370" s="1">
        <v>199</v>
      </c>
      <c r="V370" s="1">
        <v>10</v>
      </c>
      <c r="W370" s="1">
        <v>10</v>
      </c>
      <c r="X370" s="1" t="s">
        <v>97</v>
      </c>
      <c r="Y370" s="1" t="s">
        <v>133</v>
      </c>
      <c r="Z370" s="1" t="s">
        <v>0</v>
      </c>
      <c r="AA370" s="1" t="s">
        <v>98</v>
      </c>
      <c r="AB370" s="1" t="s">
        <v>203</v>
      </c>
      <c r="AC370" s="1" t="s">
        <v>99</v>
      </c>
      <c r="AD370" s="1" t="s">
        <v>111</v>
      </c>
      <c r="AE370" s="1" t="s">
        <v>223</v>
      </c>
      <c r="AF370" s="1" t="s">
        <v>321</v>
      </c>
      <c r="AG370" s="1">
        <v>55.84</v>
      </c>
      <c r="AH370" s="1">
        <v>13.78</v>
      </c>
      <c r="AJ370" s="1">
        <v>87.32</v>
      </c>
      <c r="AK370" s="1">
        <v>14.75</v>
      </c>
      <c r="AM370" s="12">
        <f t="shared" si="936"/>
        <v>-31.47999999999999</v>
      </c>
      <c r="AN370" s="1">
        <f t="shared" si="679"/>
        <v>14.273242448722016</v>
      </c>
      <c r="AO370" s="1">
        <f t="shared" ref="AO370:AO403" si="1176">AM370/AN370</f>
        <v>-2.2055254868047602</v>
      </c>
      <c r="AP370" s="1">
        <f t="shared" si="680"/>
        <v>0.32160856682363437</v>
      </c>
      <c r="AQ370" s="1">
        <f t="shared" si="681"/>
        <v>0.95774647887323949</v>
      </c>
      <c r="AR370" s="21">
        <f t="shared" si="526"/>
        <v>-2.1123342690524467</v>
      </c>
      <c r="AS370" s="21">
        <f t="shared" ref="AS370:AS372" si="1177">AP370*(AQ370^2)</f>
        <v>0.29500456516415102</v>
      </c>
      <c r="AT370" s="21">
        <f t="shared" si="594"/>
        <v>0.54314322711799601</v>
      </c>
      <c r="AU370" s="20">
        <f t="shared" ref="AU370:AU372" si="1178">1/AS370</f>
        <v>3.3897780512093583</v>
      </c>
      <c r="AV370" s="20">
        <f t="shared" ref="AV370:AV372" si="1179">AR370/AS370</f>
        <v>-7.1603443420513475</v>
      </c>
      <c r="AW370" s="20">
        <f t="shared" ref="AW370:AW372" si="1180">((AR370)^2)/AS370</f>
        <v>15.125040731930854</v>
      </c>
      <c r="AX370" s="14"/>
      <c r="AY370" s="14"/>
      <c r="AZ370" s="1" t="s">
        <v>271</v>
      </c>
      <c r="BA370" s="2"/>
    </row>
    <row r="371" spans="1:53" ht="14.25" hidden="1" customHeight="1">
      <c r="A371" s="2">
        <v>294</v>
      </c>
      <c r="B371" s="2" t="s">
        <v>44</v>
      </c>
      <c r="C371" s="1" t="s">
        <v>85</v>
      </c>
      <c r="D371" s="1">
        <v>2016</v>
      </c>
      <c r="E371" s="1">
        <v>2013</v>
      </c>
      <c r="F371" s="1" t="s">
        <v>143</v>
      </c>
      <c r="G371" s="1" t="s">
        <v>160</v>
      </c>
      <c r="H371" s="1">
        <v>43.7</v>
      </c>
      <c r="I371" s="1">
        <v>-121.61666700000001</v>
      </c>
      <c r="J371" s="1" t="s">
        <v>128</v>
      </c>
      <c r="K371" s="1" t="s">
        <v>177</v>
      </c>
      <c r="L371" s="1" t="s">
        <v>193</v>
      </c>
      <c r="M371" s="1" t="s">
        <v>237</v>
      </c>
      <c r="N371" s="1" t="s">
        <v>239</v>
      </c>
      <c r="O371" s="1" t="s">
        <v>121</v>
      </c>
      <c r="P371" s="1" t="s">
        <v>146</v>
      </c>
      <c r="Q371" s="1" t="s">
        <v>115</v>
      </c>
      <c r="R371" s="1">
        <v>2013</v>
      </c>
      <c r="S371" s="1" t="s">
        <v>311</v>
      </c>
      <c r="U371" s="1">
        <v>199</v>
      </c>
      <c r="V371" s="1">
        <v>10</v>
      </c>
      <c r="W371" s="1">
        <v>10</v>
      </c>
      <c r="X371" s="1" t="s">
        <v>97</v>
      </c>
      <c r="Y371" s="1" t="s">
        <v>133</v>
      </c>
      <c r="Z371" s="1" t="s">
        <v>0</v>
      </c>
      <c r="AA371" s="1" t="s">
        <v>98</v>
      </c>
      <c r="AB371" s="1" t="s">
        <v>203</v>
      </c>
      <c r="AC371" s="1" t="s">
        <v>99</v>
      </c>
      <c r="AD371" s="1" t="s">
        <v>111</v>
      </c>
      <c r="AE371" s="1" t="s">
        <v>262</v>
      </c>
      <c r="AF371" s="1" t="s">
        <v>321</v>
      </c>
      <c r="AG371" s="1">
        <v>74.81</v>
      </c>
      <c r="AH371" s="1">
        <v>20.48</v>
      </c>
      <c r="AJ371" s="1">
        <v>111.4</v>
      </c>
      <c r="AK371" s="1">
        <v>21.23</v>
      </c>
      <c r="AM371" s="12">
        <f t="shared" ref="AM371" si="1181">AG371-AJ371</f>
        <v>-36.590000000000003</v>
      </c>
      <c r="AN371" s="1">
        <f t="shared" ref="AN371" si="1182">SQRT((((W371-1)*AH371^2)+((V371-1)*AK371^2))/(W371+V371-2))</f>
        <v>20.858371221166816</v>
      </c>
      <c r="AO371" s="1">
        <f t="shared" ref="AO371" si="1183">AM371/AN371</f>
        <v>-1.7542117556556345</v>
      </c>
      <c r="AP371" s="1">
        <f t="shared" ref="AP371" si="1184">1/W371+1/V371+(AO371^2)/(2*(W371+V371))</f>
        <v>0.27693147209201063</v>
      </c>
      <c r="AQ371" s="1">
        <f t="shared" ref="AQ371" si="1185">1-(3/(4*(W371+V371-2)-1))</f>
        <v>0.95774647887323949</v>
      </c>
      <c r="AR371" s="21">
        <f t="shared" ref="AR371" si="1186">AO371*AQ371</f>
        <v>-1.6800901321772275</v>
      </c>
      <c r="AS371" s="21">
        <f t="shared" si="1177"/>
        <v>0.25402323486480011</v>
      </c>
      <c r="AT371" s="21">
        <f t="shared" ref="AT371" si="1187">SQRT(AP371*AQ371^2)</f>
        <v>0.50400717739413203</v>
      </c>
      <c r="AU371" s="20">
        <f t="shared" si="1178"/>
        <v>3.9366477658322649</v>
      </c>
      <c r="AV371" s="20">
        <f t="shared" si="1179"/>
        <v>-6.6139230652323171</v>
      </c>
      <c r="AW371" s="20">
        <f t="shared" si="1180"/>
        <v>11.111986876876177</v>
      </c>
      <c r="AX371" s="14"/>
      <c r="AY371" s="14"/>
      <c r="AZ371" s="1" t="s">
        <v>271</v>
      </c>
      <c r="BA371" s="2"/>
    </row>
    <row r="372" spans="1:53" ht="14.25" hidden="1" customHeight="1">
      <c r="A372" s="2">
        <v>294</v>
      </c>
      <c r="B372" s="2" t="s">
        <v>44</v>
      </c>
      <c r="C372" s="1" t="s">
        <v>85</v>
      </c>
      <c r="D372" s="1">
        <v>2016</v>
      </c>
      <c r="E372" s="1">
        <v>2013</v>
      </c>
      <c r="F372" s="1" t="s">
        <v>143</v>
      </c>
      <c r="G372" s="1" t="s">
        <v>160</v>
      </c>
      <c r="H372" s="1">
        <v>43.7</v>
      </c>
      <c r="I372" s="1">
        <v>-121.61666700000001</v>
      </c>
      <c r="J372" s="1" t="s">
        <v>128</v>
      </c>
      <c r="K372" s="1" t="s">
        <v>177</v>
      </c>
      <c r="L372" s="1" t="s">
        <v>193</v>
      </c>
      <c r="M372" s="1" t="s">
        <v>237</v>
      </c>
      <c r="N372" s="1" t="s">
        <v>239</v>
      </c>
      <c r="O372" s="1" t="s">
        <v>121</v>
      </c>
      <c r="P372" s="1" t="s">
        <v>146</v>
      </c>
      <c r="Q372" s="1" t="s">
        <v>115</v>
      </c>
      <c r="R372" s="1">
        <v>2013</v>
      </c>
      <c r="S372" s="1" t="s">
        <v>311</v>
      </c>
      <c r="U372" s="1">
        <v>199</v>
      </c>
      <c r="V372" s="1">
        <v>10</v>
      </c>
      <c r="W372" s="1">
        <v>10</v>
      </c>
      <c r="X372" s="1" t="s">
        <v>97</v>
      </c>
      <c r="Y372" s="1" t="s">
        <v>133</v>
      </c>
      <c r="Z372" s="1" t="s">
        <v>0</v>
      </c>
      <c r="AA372" s="1" t="s">
        <v>98</v>
      </c>
      <c r="AB372" s="1" t="s">
        <v>203</v>
      </c>
      <c r="AC372" s="1" t="s">
        <v>99</v>
      </c>
      <c r="AD372" s="1" t="s">
        <v>111</v>
      </c>
      <c r="AE372" s="1" t="s">
        <v>149</v>
      </c>
      <c r="AF372" s="1" t="s">
        <v>321</v>
      </c>
      <c r="AG372" s="1">
        <v>1.96</v>
      </c>
      <c r="AH372" s="1">
        <v>0.34</v>
      </c>
      <c r="AJ372" s="1">
        <v>2.46</v>
      </c>
      <c r="AK372" s="1">
        <v>0.4</v>
      </c>
      <c r="AM372" s="12">
        <f t="shared" ref="AM372" si="1188">AG372-AJ372</f>
        <v>-0.5</v>
      </c>
      <c r="AN372" s="1">
        <f t="shared" ref="AN372" si="1189">SQRT((((W372-1)*AH372^2)+((V372-1)*AK372^2))/(W372+V372-2))</f>
        <v>0.37121422386541175</v>
      </c>
      <c r="AO372" s="1">
        <f t="shared" ref="AO372" si="1190">AM372/AN372</f>
        <v>-1.3469311461009132</v>
      </c>
      <c r="AP372" s="1">
        <f t="shared" ref="AP372" si="1191">1/W372+1/V372+(AO372^2)/(2*(W372+V372))</f>
        <v>0.24535558780841799</v>
      </c>
      <c r="AQ372" s="1">
        <f t="shared" ref="AQ372" si="1192">1-(3/(4*(W372+V372-2)-1))</f>
        <v>0.95774647887323949</v>
      </c>
      <c r="AR372" s="21">
        <f t="shared" ref="AR372" si="1193">AO372*AQ372</f>
        <v>-1.2900185624628466</v>
      </c>
      <c r="AS372" s="21">
        <f t="shared" si="1177"/>
        <v>0.22505936084628542</v>
      </c>
      <c r="AT372" s="21">
        <f t="shared" ref="AT372" si="1194">SQRT(AP372*AQ372^2)</f>
        <v>0.4744042167248152</v>
      </c>
      <c r="AU372" s="20">
        <f t="shared" si="1178"/>
        <v>4.4432721937880011</v>
      </c>
      <c r="AV372" s="20">
        <f t="shared" si="1179"/>
        <v>-5.7319036080615362</v>
      </c>
      <c r="AW372" s="20">
        <f t="shared" si="1180"/>
        <v>7.3942620526471465</v>
      </c>
      <c r="AX372" s="14"/>
      <c r="AY372" s="14"/>
      <c r="AZ372" s="1" t="s">
        <v>271</v>
      </c>
      <c r="BA372" s="2"/>
    </row>
    <row r="373" spans="1:53" ht="14.25" hidden="1" customHeight="1">
      <c r="A373" s="2">
        <v>294</v>
      </c>
      <c r="B373" s="2" t="s">
        <v>44</v>
      </c>
      <c r="C373" s="1" t="s">
        <v>85</v>
      </c>
      <c r="D373" s="1">
        <v>2016</v>
      </c>
      <c r="E373" s="1">
        <v>2013</v>
      </c>
      <c r="F373" s="1" t="s">
        <v>143</v>
      </c>
      <c r="G373" s="1" t="s">
        <v>160</v>
      </c>
      <c r="H373" s="1">
        <v>43.7</v>
      </c>
      <c r="I373" s="1">
        <v>-121.61666700000001</v>
      </c>
      <c r="J373" s="1" t="s">
        <v>128</v>
      </c>
      <c r="K373" s="1" t="s">
        <v>177</v>
      </c>
      <c r="L373" s="1" t="s">
        <v>193</v>
      </c>
      <c r="M373" s="1" t="s">
        <v>237</v>
      </c>
      <c r="N373" s="1" t="s">
        <v>239</v>
      </c>
      <c r="O373" s="1" t="s">
        <v>121</v>
      </c>
      <c r="P373" s="1" t="s">
        <v>146</v>
      </c>
      <c r="Q373" s="1" t="s">
        <v>115</v>
      </c>
      <c r="R373" s="1">
        <v>2013</v>
      </c>
      <c r="S373" s="1" t="s">
        <v>311</v>
      </c>
      <c r="U373" s="1">
        <v>199</v>
      </c>
      <c r="V373" s="1">
        <v>10</v>
      </c>
      <c r="W373" s="1">
        <v>10</v>
      </c>
      <c r="X373" s="1" t="s">
        <v>97</v>
      </c>
      <c r="Y373" s="1" t="s">
        <v>133</v>
      </c>
      <c r="Z373" s="1" t="s">
        <v>0</v>
      </c>
      <c r="AA373" s="1" t="s">
        <v>98</v>
      </c>
      <c r="AB373" s="1" t="s">
        <v>203</v>
      </c>
      <c r="AC373" s="1" t="s">
        <v>99</v>
      </c>
      <c r="AD373" s="1" t="s">
        <v>111</v>
      </c>
      <c r="AE373" s="1" t="s">
        <v>257</v>
      </c>
      <c r="AF373" s="1" t="s">
        <v>323</v>
      </c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" t="s">
        <v>286</v>
      </c>
    </row>
    <row r="374" spans="1:53" ht="14.25" hidden="1" customHeight="1">
      <c r="A374" s="2">
        <v>294</v>
      </c>
      <c r="B374" s="2" t="s">
        <v>44</v>
      </c>
      <c r="C374" s="1" t="s">
        <v>85</v>
      </c>
      <c r="D374" s="1">
        <v>2016</v>
      </c>
      <c r="E374" s="1">
        <v>2013</v>
      </c>
      <c r="F374" s="1" t="s">
        <v>143</v>
      </c>
      <c r="G374" s="1" t="s">
        <v>160</v>
      </c>
      <c r="H374" s="1">
        <v>43.7</v>
      </c>
      <c r="I374" s="1">
        <v>-121.61666700000001</v>
      </c>
      <c r="J374" s="1" t="s">
        <v>128</v>
      </c>
      <c r="K374" s="1" t="s">
        <v>177</v>
      </c>
      <c r="L374" s="1" t="s">
        <v>193</v>
      </c>
      <c r="M374" s="1" t="s">
        <v>237</v>
      </c>
      <c r="N374" s="1" t="s">
        <v>239</v>
      </c>
      <c r="O374" s="1" t="s">
        <v>121</v>
      </c>
      <c r="P374" s="1" t="s">
        <v>129</v>
      </c>
      <c r="Q374" s="1" t="s">
        <v>115</v>
      </c>
      <c r="R374" s="1">
        <v>2013</v>
      </c>
      <c r="S374" s="1" t="s">
        <v>311</v>
      </c>
      <c r="U374" s="1">
        <v>199</v>
      </c>
      <c r="V374" s="1">
        <v>10</v>
      </c>
      <c r="W374" s="1">
        <v>10</v>
      </c>
      <c r="X374" s="1" t="s">
        <v>97</v>
      </c>
      <c r="Y374" s="1" t="s">
        <v>133</v>
      </c>
      <c r="Z374" s="1" t="s">
        <v>0</v>
      </c>
      <c r="AA374" s="1" t="s">
        <v>98</v>
      </c>
      <c r="AB374" s="1" t="s">
        <v>203</v>
      </c>
      <c r="AC374" s="1" t="s">
        <v>99</v>
      </c>
      <c r="AD374" s="1" t="s">
        <v>111</v>
      </c>
      <c r="AE374" s="1" t="s">
        <v>223</v>
      </c>
      <c r="AF374" s="1" t="s">
        <v>321</v>
      </c>
      <c r="AG374" s="1">
        <v>42.46</v>
      </c>
      <c r="AH374" s="1">
        <v>22.92</v>
      </c>
      <c r="AJ374" s="1">
        <v>80.459999999999994</v>
      </c>
      <c r="AK374" s="1">
        <v>16.559999999999999</v>
      </c>
      <c r="AM374" s="12">
        <f t="shared" ref="AM374:AM376" si="1195">AG374-AJ374</f>
        <v>-37.999999999999993</v>
      </c>
      <c r="AN374" s="1">
        <f t="shared" ref="AN374:AN376" si="1196">SQRT((((W374-1)*AH374^2)+((V374-1)*AK374^2))/(W374+V374-2))</f>
        <v>19.994499243541959</v>
      </c>
      <c r="AO374" s="1">
        <f t="shared" ref="AO374:AO376" si="1197">AM374/AN374</f>
        <v>-1.9005227156300823</v>
      </c>
      <c r="AP374" s="1">
        <f t="shared" ref="AP374:AP376" si="1198">1/W374+1/V374+(AO374^2)/(2*(W374+V374))</f>
        <v>0.29029966481564862</v>
      </c>
      <c r="AQ374" s="1">
        <f t="shared" ref="AQ374:AQ376" si="1199">1-(3/(4*(W374+V374-2)-1))</f>
        <v>0.95774647887323949</v>
      </c>
      <c r="AR374" s="21">
        <f t="shared" ref="AR374:AR376" si="1200">AO374*AQ374</f>
        <v>-1.8202189389133183</v>
      </c>
      <c r="AS374" s="21">
        <f t="shared" ref="AS374:AS376" si="1201">AP374*(AQ374^2)</f>
        <v>0.26628558819828591</v>
      </c>
      <c r="AT374" s="21">
        <f t="shared" ref="AT374:AT376" si="1202">SQRT(AP374*AQ374^2)</f>
        <v>0.5160286699382951</v>
      </c>
      <c r="AU374" s="20">
        <f t="shared" ref="AU374:AU376" si="1203">1/AS374</f>
        <v>3.7553665850491456</v>
      </c>
      <c r="AV374" s="20">
        <f t="shared" ref="AV374:AV376" si="1204">AR374/AS374</f>
        <v>-6.8355893806686874</v>
      </c>
      <c r="AW374" s="20">
        <f t="shared" ref="AW374:AW376" si="1205">((AR374)^2)/AS374</f>
        <v>12.442269249327905</v>
      </c>
      <c r="AX374" s="14"/>
      <c r="AY374" s="14"/>
      <c r="AZ374" s="1" t="s">
        <v>271</v>
      </c>
      <c r="BA374" s="2"/>
    </row>
    <row r="375" spans="1:53" ht="14.25" hidden="1" customHeight="1">
      <c r="A375" s="2">
        <v>294</v>
      </c>
      <c r="B375" s="2" t="s">
        <v>44</v>
      </c>
      <c r="C375" s="1" t="s">
        <v>85</v>
      </c>
      <c r="D375" s="1">
        <v>2016</v>
      </c>
      <c r="E375" s="1">
        <v>2013</v>
      </c>
      <c r="F375" s="1" t="s">
        <v>143</v>
      </c>
      <c r="G375" s="1" t="s">
        <v>160</v>
      </c>
      <c r="H375" s="1">
        <v>43.7</v>
      </c>
      <c r="I375" s="1">
        <v>-121.61666700000001</v>
      </c>
      <c r="J375" s="1" t="s">
        <v>128</v>
      </c>
      <c r="K375" s="1" t="s">
        <v>177</v>
      </c>
      <c r="L375" s="1" t="s">
        <v>193</v>
      </c>
      <c r="M375" s="1" t="s">
        <v>237</v>
      </c>
      <c r="N375" s="1" t="s">
        <v>239</v>
      </c>
      <c r="O375" s="1" t="s">
        <v>121</v>
      </c>
      <c r="P375" s="1" t="s">
        <v>129</v>
      </c>
      <c r="Q375" s="1" t="s">
        <v>115</v>
      </c>
      <c r="R375" s="1">
        <v>2013</v>
      </c>
      <c r="S375" s="1" t="s">
        <v>311</v>
      </c>
      <c r="U375" s="1">
        <v>199</v>
      </c>
      <c r="V375" s="1">
        <v>10</v>
      </c>
      <c r="W375" s="1">
        <v>10</v>
      </c>
      <c r="X375" s="1" t="s">
        <v>97</v>
      </c>
      <c r="Y375" s="1" t="s">
        <v>133</v>
      </c>
      <c r="Z375" s="1" t="s">
        <v>0</v>
      </c>
      <c r="AA375" s="1" t="s">
        <v>98</v>
      </c>
      <c r="AB375" s="1" t="s">
        <v>203</v>
      </c>
      <c r="AC375" s="1" t="s">
        <v>99</v>
      </c>
      <c r="AD375" s="1" t="s">
        <v>111</v>
      </c>
      <c r="AE375" s="1" t="s">
        <v>262</v>
      </c>
      <c r="AF375" s="1" t="s">
        <v>321</v>
      </c>
      <c r="AG375" s="1">
        <v>56.51</v>
      </c>
      <c r="AH375" s="1">
        <v>24.54</v>
      </c>
      <c r="AJ375" s="1">
        <v>104.28</v>
      </c>
      <c r="AK375" s="1">
        <v>13.42</v>
      </c>
      <c r="AM375" s="12">
        <f t="shared" si="1195"/>
        <v>-47.77</v>
      </c>
      <c r="AN375" s="1">
        <f t="shared" si="1196"/>
        <v>19.777613607308641</v>
      </c>
      <c r="AO375" s="1">
        <f t="shared" si="1197"/>
        <v>-2.4153571279371655</v>
      </c>
      <c r="AP375" s="1">
        <f t="shared" si="1198"/>
        <v>0.34584875138692184</v>
      </c>
      <c r="AQ375" s="1">
        <f t="shared" si="1199"/>
        <v>0.95774647887323949</v>
      </c>
      <c r="AR375" s="21">
        <f t="shared" si="1200"/>
        <v>-2.3132997845032008</v>
      </c>
      <c r="AS375" s="21">
        <f t="shared" si="1201"/>
        <v>0.31723956088338162</v>
      </c>
      <c r="AT375" s="21">
        <f t="shared" si="1202"/>
        <v>0.56324023372214949</v>
      </c>
      <c r="AU375" s="20">
        <f t="shared" si="1203"/>
        <v>3.1521919814017254</v>
      </c>
      <c r="AV375" s="20">
        <f t="shared" si="1204"/>
        <v>-7.2919650312893287</v>
      </c>
      <c r="AW375" s="20">
        <f t="shared" si="1205"/>
        <v>16.868501135486479</v>
      </c>
      <c r="AX375" s="14"/>
      <c r="AY375" s="14"/>
      <c r="AZ375" s="1" t="s">
        <v>271</v>
      </c>
      <c r="BA375" s="2"/>
    </row>
    <row r="376" spans="1:53" ht="14.25" hidden="1" customHeight="1">
      <c r="A376" s="2">
        <v>294</v>
      </c>
      <c r="B376" s="2" t="s">
        <v>44</v>
      </c>
      <c r="C376" s="1" t="s">
        <v>85</v>
      </c>
      <c r="D376" s="1">
        <v>2016</v>
      </c>
      <c r="E376" s="1">
        <v>2013</v>
      </c>
      <c r="F376" s="1" t="s">
        <v>143</v>
      </c>
      <c r="G376" s="1" t="s">
        <v>160</v>
      </c>
      <c r="H376" s="1">
        <v>43.7</v>
      </c>
      <c r="I376" s="1">
        <v>-121.61666700000001</v>
      </c>
      <c r="J376" s="1" t="s">
        <v>128</v>
      </c>
      <c r="K376" s="1" t="s">
        <v>177</v>
      </c>
      <c r="L376" s="1" t="s">
        <v>193</v>
      </c>
      <c r="M376" s="1" t="s">
        <v>237</v>
      </c>
      <c r="N376" s="1" t="s">
        <v>239</v>
      </c>
      <c r="O376" s="1" t="s">
        <v>121</v>
      </c>
      <c r="P376" s="1" t="s">
        <v>129</v>
      </c>
      <c r="Q376" s="1" t="s">
        <v>115</v>
      </c>
      <c r="R376" s="1">
        <v>2013</v>
      </c>
      <c r="S376" s="1" t="s">
        <v>311</v>
      </c>
      <c r="U376" s="1">
        <v>199</v>
      </c>
      <c r="V376" s="1">
        <v>10</v>
      </c>
      <c r="W376" s="1">
        <v>10</v>
      </c>
      <c r="X376" s="1" t="s">
        <v>97</v>
      </c>
      <c r="Y376" s="1" t="s">
        <v>133</v>
      </c>
      <c r="Z376" s="1" t="s">
        <v>0</v>
      </c>
      <c r="AA376" s="1" t="s">
        <v>98</v>
      </c>
      <c r="AB376" s="1" t="s">
        <v>203</v>
      </c>
      <c r="AC376" s="1" t="s">
        <v>99</v>
      </c>
      <c r="AD376" s="1" t="s">
        <v>111</v>
      </c>
      <c r="AE376" s="1" t="s">
        <v>149</v>
      </c>
      <c r="AF376" s="1" t="s">
        <v>321</v>
      </c>
      <c r="AG376" s="1">
        <v>0.79</v>
      </c>
      <c r="AH376" s="1">
        <v>0.47</v>
      </c>
      <c r="AJ376" s="1">
        <v>2.5299999999999998</v>
      </c>
      <c r="AK376" s="1">
        <v>0.57999999999999996</v>
      </c>
      <c r="AM376" s="12">
        <f t="shared" si="1195"/>
        <v>-1.7399999999999998</v>
      </c>
      <c r="AN376" s="1">
        <f t="shared" si="1196"/>
        <v>0.52787309080876621</v>
      </c>
      <c r="AO376" s="1">
        <f t="shared" si="1197"/>
        <v>-3.2962468257931214</v>
      </c>
      <c r="AP376" s="1">
        <f t="shared" si="1198"/>
        <v>0.47163107841378071</v>
      </c>
      <c r="AQ376" s="1">
        <f t="shared" si="1199"/>
        <v>0.95774647887323949</v>
      </c>
      <c r="AR376" s="21">
        <f t="shared" si="1200"/>
        <v>-3.1569687909004545</v>
      </c>
      <c r="AS376" s="21">
        <f t="shared" si="1201"/>
        <v>0.43261696222680462</v>
      </c>
      <c r="AT376" s="21">
        <f t="shared" si="1202"/>
        <v>0.65773624062142466</v>
      </c>
      <c r="AU376" s="20">
        <f t="shared" si="1203"/>
        <v>2.3115136190053915</v>
      </c>
      <c r="AV376" s="20">
        <f t="shared" si="1204"/>
        <v>-7.2973763549413855</v>
      </c>
      <c r="AW376" s="20">
        <f t="shared" si="1205"/>
        <v>23.03758940800487</v>
      </c>
      <c r="AX376" s="14"/>
      <c r="AY376" s="14"/>
      <c r="AZ376" s="1" t="s">
        <v>271</v>
      </c>
      <c r="BA376" s="2"/>
    </row>
    <row r="377" spans="1:53" ht="14.25" hidden="1" customHeight="1">
      <c r="A377" s="2">
        <v>294</v>
      </c>
      <c r="B377" s="2" t="s">
        <v>44</v>
      </c>
      <c r="C377" s="1" t="s">
        <v>85</v>
      </c>
      <c r="D377" s="1">
        <v>2016</v>
      </c>
      <c r="E377" s="1">
        <v>2013</v>
      </c>
      <c r="F377" s="1" t="s">
        <v>143</v>
      </c>
      <c r="G377" s="1" t="s">
        <v>160</v>
      </c>
      <c r="H377" s="1">
        <v>43.7</v>
      </c>
      <c r="I377" s="1">
        <v>-121.61666700000001</v>
      </c>
      <c r="J377" s="1" t="s">
        <v>128</v>
      </c>
      <c r="K377" s="1" t="s">
        <v>177</v>
      </c>
      <c r="L377" s="1" t="s">
        <v>193</v>
      </c>
      <c r="M377" s="1" t="s">
        <v>237</v>
      </c>
      <c r="N377" s="1" t="s">
        <v>239</v>
      </c>
      <c r="O377" s="1" t="s">
        <v>121</v>
      </c>
      <c r="P377" s="1" t="s">
        <v>129</v>
      </c>
      <c r="Q377" s="1" t="s">
        <v>115</v>
      </c>
      <c r="R377" s="1">
        <v>2013</v>
      </c>
      <c r="S377" s="1" t="s">
        <v>311</v>
      </c>
      <c r="U377" s="1">
        <v>199</v>
      </c>
      <c r="V377" s="1">
        <v>10</v>
      </c>
      <c r="W377" s="1">
        <v>10</v>
      </c>
      <c r="X377" s="1" t="s">
        <v>97</v>
      </c>
      <c r="Y377" s="1" t="s">
        <v>133</v>
      </c>
      <c r="Z377" s="1" t="s">
        <v>0</v>
      </c>
      <c r="AA377" s="1" t="s">
        <v>98</v>
      </c>
      <c r="AB377" s="1" t="s">
        <v>203</v>
      </c>
      <c r="AC377" s="1" t="s">
        <v>99</v>
      </c>
      <c r="AD377" s="1" t="s">
        <v>111</v>
      </c>
      <c r="AE377" s="1" t="s">
        <v>257</v>
      </c>
      <c r="AF377" s="1" t="s">
        <v>323</v>
      </c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" t="s">
        <v>286</v>
      </c>
    </row>
    <row r="378" spans="1:53" ht="14.25" hidden="1" customHeight="1">
      <c r="A378" s="2">
        <v>213</v>
      </c>
      <c r="B378" s="2" t="s">
        <v>33</v>
      </c>
      <c r="C378" s="1" t="s">
        <v>85</v>
      </c>
      <c r="D378" s="1">
        <v>2014</v>
      </c>
      <c r="E378" s="1">
        <v>2008</v>
      </c>
      <c r="F378" s="1" t="s">
        <v>120</v>
      </c>
      <c r="G378" s="1" t="s">
        <v>109</v>
      </c>
      <c r="H378" s="1">
        <v>41.05</v>
      </c>
      <c r="I378" s="1">
        <v>-2.4333330000000002</v>
      </c>
      <c r="J378" s="1" t="s">
        <v>135</v>
      </c>
      <c r="K378" s="1" t="s">
        <v>177</v>
      </c>
      <c r="L378" s="1" t="s">
        <v>178</v>
      </c>
      <c r="M378" s="1" t="s">
        <v>237</v>
      </c>
      <c r="N378" s="1" t="s">
        <v>239</v>
      </c>
      <c r="O378" s="1" t="s">
        <v>86</v>
      </c>
      <c r="P378" s="1" t="s">
        <v>129</v>
      </c>
      <c r="Q378" s="1" t="s">
        <v>93</v>
      </c>
      <c r="R378" s="1">
        <v>1994</v>
      </c>
      <c r="S378" s="1">
        <v>14</v>
      </c>
      <c r="V378" s="1">
        <v>3</v>
      </c>
      <c r="W378" s="1">
        <v>3</v>
      </c>
      <c r="X378" s="1" t="s">
        <v>134</v>
      </c>
      <c r="Y378" s="1" t="s">
        <v>147</v>
      </c>
      <c r="Z378" s="1" t="s">
        <v>1</v>
      </c>
      <c r="AA378" s="1" t="s">
        <v>98</v>
      </c>
      <c r="AB378" s="1" t="s">
        <v>159</v>
      </c>
      <c r="AC378" s="1" t="s">
        <v>378</v>
      </c>
      <c r="AD378" s="1" t="s">
        <v>100</v>
      </c>
      <c r="AE378" s="12" t="s">
        <v>351</v>
      </c>
      <c r="AF378" s="12" t="s">
        <v>323</v>
      </c>
      <c r="AG378" s="12">
        <v>82.39</v>
      </c>
      <c r="AH378" s="12">
        <f>83.1-80.96</f>
        <v>2.1400000000000006</v>
      </c>
      <c r="AI378" s="12"/>
      <c r="AJ378" s="12">
        <v>70.2</v>
      </c>
      <c r="AK378" s="12">
        <f>71.02-68.17</f>
        <v>2.8499999999999943</v>
      </c>
      <c r="AL378" s="12"/>
      <c r="AM378" s="12">
        <f t="shared" ref="AM378:AM385" si="1206">AG378-AJ378</f>
        <v>12.189999999999998</v>
      </c>
      <c r="AN378" s="1">
        <f t="shared" ref="AN378:AN385" si="1207">SQRT((((W378-1)*AH378^2)+((V378-1)*AK378^2))/(W378+V378-2))</f>
        <v>2.5201289649539733</v>
      </c>
      <c r="AO378" s="1">
        <f t="shared" ref="AO378:AO385" si="1208">AM378/AN378</f>
        <v>4.8370540434713947</v>
      </c>
      <c r="AP378" s="1">
        <f t="shared" ref="AP378:AP385" si="1209">1/W378+1/V378+(AO378^2)/(2*(W378+V378))</f>
        <v>2.6164243182885807</v>
      </c>
      <c r="AQ378" s="1">
        <f t="shared" ref="AQ378:AQ385" si="1210">1-(3/(4*(W378+V378-2)-1))</f>
        <v>0.8</v>
      </c>
      <c r="AR378" s="21">
        <f t="shared" ref="AR378:AR385" si="1211">AO378*AQ378</f>
        <v>3.8696432347771159</v>
      </c>
      <c r="AS378" s="21">
        <f t="shared" ref="AS378:AS385" si="1212">AP378*(AQ378^2)</f>
        <v>1.6745115637046919</v>
      </c>
      <c r="AT378" s="21">
        <f t="shared" ref="AT378:AT385" si="1213">SQRT(AP378*AQ378^2)</f>
        <v>1.2940291973926601</v>
      </c>
      <c r="AU378" s="20">
        <f t="shared" ref="AU378:AU385" si="1214">1/AS378</f>
        <v>0.59718906794981963</v>
      </c>
      <c r="AV378" s="20">
        <f t="shared" ref="AV378:AV385" si="1215">AR378/AS378</f>
        <v>2.310908636674871</v>
      </c>
      <c r="AW378" s="20">
        <f t="shared" ref="AW378:AW385" si="1216">((AR378)^2)/AS378</f>
        <v>8.9423919720969227</v>
      </c>
      <c r="AX378" s="14"/>
      <c r="AY378" s="14"/>
      <c r="AZ378" s="12" t="s">
        <v>271</v>
      </c>
      <c r="BA378" s="2"/>
    </row>
    <row r="379" spans="1:53" ht="14.25" hidden="1" customHeight="1">
      <c r="A379" s="2">
        <v>213</v>
      </c>
      <c r="B379" s="2" t="s">
        <v>33</v>
      </c>
      <c r="C379" s="1" t="s">
        <v>85</v>
      </c>
      <c r="D379" s="1">
        <v>2014</v>
      </c>
      <c r="E379" s="1">
        <v>2008</v>
      </c>
      <c r="F379" s="1" t="s">
        <v>120</v>
      </c>
      <c r="G379" s="1" t="s">
        <v>109</v>
      </c>
      <c r="H379" s="1">
        <v>41.05</v>
      </c>
      <c r="I379" s="1">
        <v>-2.4333330000000002</v>
      </c>
      <c r="J379" s="1" t="s">
        <v>135</v>
      </c>
      <c r="K379" s="1" t="s">
        <v>177</v>
      </c>
      <c r="L379" s="1" t="s">
        <v>178</v>
      </c>
      <c r="M379" s="1" t="s">
        <v>237</v>
      </c>
      <c r="N379" s="1" t="s">
        <v>239</v>
      </c>
      <c r="O379" s="1" t="s">
        <v>86</v>
      </c>
      <c r="P379" s="1" t="s">
        <v>129</v>
      </c>
      <c r="Q379" s="1" t="s">
        <v>93</v>
      </c>
      <c r="R379" s="1">
        <v>1994</v>
      </c>
      <c r="S379" s="1">
        <v>14</v>
      </c>
      <c r="V379" s="1">
        <v>3</v>
      </c>
      <c r="W379" s="1">
        <v>3</v>
      </c>
      <c r="X379" s="1" t="s">
        <v>134</v>
      </c>
      <c r="Y379" s="1" t="s">
        <v>147</v>
      </c>
      <c r="Z379" s="1" t="s">
        <v>1</v>
      </c>
      <c r="AA379" s="1" t="s">
        <v>98</v>
      </c>
      <c r="AB379" s="1" t="s">
        <v>159</v>
      </c>
      <c r="AC379" s="1" t="s">
        <v>378</v>
      </c>
      <c r="AD379" s="1" t="s">
        <v>100</v>
      </c>
      <c r="AE379" s="12" t="s">
        <v>223</v>
      </c>
      <c r="AF379" s="12" t="s">
        <v>323</v>
      </c>
      <c r="AG379" s="12">
        <v>10.07</v>
      </c>
      <c r="AH379" s="12">
        <f>12.63-9.03</f>
        <v>3.6000000000000014</v>
      </c>
      <c r="AI379" s="12"/>
      <c r="AJ379" s="12">
        <v>12.06</v>
      </c>
      <c r="AK379" s="12">
        <f>12.96-11.53</f>
        <v>1.4300000000000015</v>
      </c>
      <c r="AL379" s="12"/>
      <c r="AM379" s="12">
        <f t="shared" si="1206"/>
        <v>-1.9900000000000002</v>
      </c>
      <c r="AN379" s="1">
        <f t="shared" si="1207"/>
        <v>2.7390600577570412</v>
      </c>
      <c r="AO379" s="1">
        <f t="shared" si="1208"/>
        <v>-0.72652660330112273</v>
      </c>
      <c r="AP379" s="1">
        <f t="shared" si="1209"/>
        <v>0.71065340877535554</v>
      </c>
      <c r="AQ379" s="1">
        <f t="shared" si="1210"/>
        <v>0.8</v>
      </c>
      <c r="AR379" s="21">
        <f t="shared" si="1211"/>
        <v>-0.58122128264089823</v>
      </c>
      <c r="AS379" s="21">
        <f t="shared" si="1212"/>
        <v>0.45481818161622761</v>
      </c>
      <c r="AT379" s="21">
        <f t="shared" si="1213"/>
        <v>0.67440209194235723</v>
      </c>
      <c r="AU379" s="20">
        <f t="shared" si="1214"/>
        <v>2.1986807925013716</v>
      </c>
      <c r="AV379" s="20">
        <f t="shared" si="1215"/>
        <v>-1.2779200703355538</v>
      </c>
      <c r="AW379" s="20">
        <f t="shared" si="1216"/>
        <v>0.74275434239297744</v>
      </c>
      <c r="AX379" s="14"/>
      <c r="AY379" s="14"/>
      <c r="AZ379" s="12" t="s">
        <v>271</v>
      </c>
      <c r="BA379" s="2"/>
    </row>
    <row r="380" spans="1:53" ht="14.25" hidden="1" customHeight="1">
      <c r="A380" s="2">
        <v>213</v>
      </c>
      <c r="B380" s="2" t="s">
        <v>33</v>
      </c>
      <c r="C380" s="1" t="s">
        <v>85</v>
      </c>
      <c r="D380" s="1">
        <v>2014</v>
      </c>
      <c r="E380" s="1">
        <v>2008</v>
      </c>
      <c r="F380" s="1" t="s">
        <v>120</v>
      </c>
      <c r="G380" s="1" t="s">
        <v>109</v>
      </c>
      <c r="H380" s="1">
        <v>41.05</v>
      </c>
      <c r="I380" s="1">
        <v>-2.4333330000000002</v>
      </c>
      <c r="J380" s="1" t="s">
        <v>135</v>
      </c>
      <c r="K380" s="1" t="s">
        <v>177</v>
      </c>
      <c r="L380" s="1" t="s">
        <v>178</v>
      </c>
      <c r="M380" s="1" t="s">
        <v>237</v>
      </c>
      <c r="N380" s="1" t="s">
        <v>239</v>
      </c>
      <c r="O380" s="1" t="s">
        <v>86</v>
      </c>
      <c r="P380" s="1" t="s">
        <v>129</v>
      </c>
      <c r="Q380" s="1" t="s">
        <v>93</v>
      </c>
      <c r="R380" s="1">
        <v>1994</v>
      </c>
      <c r="S380" s="1">
        <v>14</v>
      </c>
      <c r="V380" s="1">
        <v>3</v>
      </c>
      <c r="W380" s="1">
        <v>3</v>
      </c>
      <c r="X380" s="1" t="s">
        <v>134</v>
      </c>
      <c r="Y380" s="1" t="s">
        <v>147</v>
      </c>
      <c r="Z380" s="1" t="s">
        <v>1</v>
      </c>
      <c r="AA380" s="1" t="s">
        <v>98</v>
      </c>
      <c r="AB380" s="1" t="s">
        <v>159</v>
      </c>
      <c r="AC380" s="1" t="s">
        <v>378</v>
      </c>
      <c r="AD380" s="1" t="s">
        <v>100</v>
      </c>
      <c r="AE380" s="12" t="s">
        <v>149</v>
      </c>
      <c r="AF380" s="12" t="s">
        <v>323</v>
      </c>
      <c r="AG380" s="12">
        <v>2.31</v>
      </c>
      <c r="AH380" s="12">
        <f>2.51-2.17</f>
        <v>0.33999999999999986</v>
      </c>
      <c r="AI380" s="12"/>
      <c r="AJ380" s="12">
        <v>2.5499999999999998</v>
      </c>
      <c r="AK380" s="12">
        <f>2.66-2.48</f>
        <v>0.18000000000000016</v>
      </c>
      <c r="AL380" s="12"/>
      <c r="AM380" s="12">
        <f t="shared" si="1206"/>
        <v>-0.23999999999999977</v>
      </c>
      <c r="AN380" s="1">
        <f t="shared" si="1207"/>
        <v>0.27202941017470883</v>
      </c>
      <c r="AO380" s="1">
        <f t="shared" si="1208"/>
        <v>-0.8822575465125686</v>
      </c>
      <c r="AP380" s="1">
        <f t="shared" si="1209"/>
        <v>0.73153153153153139</v>
      </c>
      <c r="AQ380" s="1">
        <f t="shared" si="1210"/>
        <v>0.8</v>
      </c>
      <c r="AR380" s="21">
        <f t="shared" si="1211"/>
        <v>-0.70580603721005497</v>
      </c>
      <c r="AS380" s="21">
        <f t="shared" si="1212"/>
        <v>0.46818018018018021</v>
      </c>
      <c r="AT380" s="21">
        <f t="shared" si="1213"/>
        <v>0.68423693277999853</v>
      </c>
      <c r="AU380" s="20">
        <f t="shared" si="1214"/>
        <v>2.135929802955665</v>
      </c>
      <c r="AV380" s="20">
        <f t="shared" si="1215"/>
        <v>-1.5075521499829914</v>
      </c>
      <c r="AW380" s="20">
        <f t="shared" si="1216"/>
        <v>1.0640394088669936</v>
      </c>
      <c r="AX380" s="14"/>
      <c r="AY380" s="14"/>
      <c r="AZ380" s="12" t="s">
        <v>271</v>
      </c>
      <c r="BA380" s="2"/>
    </row>
    <row r="381" spans="1:53" ht="14.25" hidden="1" customHeight="1">
      <c r="A381" s="2">
        <v>213</v>
      </c>
      <c r="B381" s="2" t="s">
        <v>33</v>
      </c>
      <c r="C381" s="1" t="s">
        <v>85</v>
      </c>
      <c r="D381" s="1">
        <v>2014</v>
      </c>
      <c r="E381" s="1">
        <v>2008</v>
      </c>
      <c r="F381" s="1" t="s">
        <v>120</v>
      </c>
      <c r="G381" s="1" t="s">
        <v>109</v>
      </c>
      <c r="H381" s="1">
        <v>41.05</v>
      </c>
      <c r="I381" s="1">
        <v>-2.4333330000000002</v>
      </c>
      <c r="J381" s="1" t="s">
        <v>135</v>
      </c>
      <c r="K381" s="1" t="s">
        <v>177</v>
      </c>
      <c r="L381" s="1" t="s">
        <v>178</v>
      </c>
      <c r="M381" s="1" t="s">
        <v>237</v>
      </c>
      <c r="N381" s="1" t="s">
        <v>239</v>
      </c>
      <c r="O381" s="1" t="s">
        <v>86</v>
      </c>
      <c r="P381" s="1" t="s">
        <v>129</v>
      </c>
      <c r="Q381" s="1" t="s">
        <v>93</v>
      </c>
      <c r="R381" s="1">
        <v>1994</v>
      </c>
      <c r="S381" s="1">
        <v>14</v>
      </c>
      <c r="V381" s="1">
        <v>3</v>
      </c>
      <c r="W381" s="1">
        <v>3</v>
      </c>
      <c r="X381" s="1" t="s">
        <v>134</v>
      </c>
      <c r="Y381" s="1" t="s">
        <v>147</v>
      </c>
      <c r="Z381" s="1" t="s">
        <v>1</v>
      </c>
      <c r="AA381" s="1" t="s">
        <v>98</v>
      </c>
      <c r="AB381" s="1" t="s">
        <v>159</v>
      </c>
      <c r="AC381" s="1" t="s">
        <v>378</v>
      </c>
      <c r="AD381" s="1" t="s">
        <v>100</v>
      </c>
      <c r="AE381" s="12" t="s">
        <v>254</v>
      </c>
      <c r="AF381" s="12" t="s">
        <v>323</v>
      </c>
      <c r="AG381" s="12">
        <v>0.13</v>
      </c>
      <c r="AH381" s="12">
        <f>0.14-0.12</f>
        <v>2.0000000000000018E-2</v>
      </c>
      <c r="AI381" s="12"/>
      <c r="AJ381" s="12">
        <v>0.12</v>
      </c>
      <c r="AK381" s="12">
        <f>0.13-0.11</f>
        <v>2.0000000000000004E-2</v>
      </c>
      <c r="AL381" s="12"/>
      <c r="AM381" s="12">
        <f t="shared" si="1206"/>
        <v>1.0000000000000009E-2</v>
      </c>
      <c r="AN381" s="1">
        <f t="shared" si="1207"/>
        <v>2.0000000000000011E-2</v>
      </c>
      <c r="AO381" s="1">
        <f t="shared" si="1208"/>
        <v>0.50000000000000022</v>
      </c>
      <c r="AP381" s="1">
        <f t="shared" si="1209"/>
        <v>0.6875</v>
      </c>
      <c r="AQ381" s="1">
        <f t="shared" si="1210"/>
        <v>0.8</v>
      </c>
      <c r="AR381" s="21">
        <f t="shared" si="1211"/>
        <v>0.40000000000000019</v>
      </c>
      <c r="AS381" s="21">
        <f t="shared" si="1212"/>
        <v>0.44000000000000006</v>
      </c>
      <c r="AT381" s="21">
        <f t="shared" si="1213"/>
        <v>0.66332495807108005</v>
      </c>
      <c r="AU381" s="20">
        <f t="shared" si="1214"/>
        <v>2.2727272727272725</v>
      </c>
      <c r="AV381" s="20">
        <f t="shared" si="1215"/>
        <v>0.90909090909090939</v>
      </c>
      <c r="AW381" s="20">
        <f t="shared" si="1216"/>
        <v>0.36363636363636392</v>
      </c>
      <c r="AX381" s="14"/>
      <c r="AY381" s="14"/>
      <c r="AZ381" s="12" t="s">
        <v>271</v>
      </c>
      <c r="BA381" s="2"/>
    </row>
    <row r="382" spans="1:53" ht="14.25" hidden="1" customHeight="1">
      <c r="A382" s="2">
        <v>213</v>
      </c>
      <c r="B382" s="2" t="s">
        <v>33</v>
      </c>
      <c r="C382" s="1" t="s">
        <v>85</v>
      </c>
      <c r="D382" s="1">
        <v>2014</v>
      </c>
      <c r="E382" s="1">
        <v>2008</v>
      </c>
      <c r="F382" s="1" t="s">
        <v>120</v>
      </c>
      <c r="G382" s="1" t="s">
        <v>109</v>
      </c>
      <c r="H382" s="1">
        <v>41.05</v>
      </c>
      <c r="I382" s="1">
        <v>-2.4333330000000002</v>
      </c>
      <c r="J382" s="1" t="s">
        <v>135</v>
      </c>
      <c r="K382" s="1" t="s">
        <v>177</v>
      </c>
      <c r="L382" s="1" t="s">
        <v>178</v>
      </c>
      <c r="M382" s="1" t="s">
        <v>237</v>
      </c>
      <c r="N382" s="1" t="s">
        <v>239</v>
      </c>
      <c r="O382" s="1" t="s">
        <v>86</v>
      </c>
      <c r="P382" s="1" t="s">
        <v>129</v>
      </c>
      <c r="Q382" s="1" t="s">
        <v>93</v>
      </c>
      <c r="R382" s="1">
        <v>2005</v>
      </c>
      <c r="S382" s="1">
        <v>3</v>
      </c>
      <c r="V382" s="1">
        <v>3</v>
      </c>
      <c r="W382" s="1">
        <v>3</v>
      </c>
      <c r="X382" s="1" t="s">
        <v>134</v>
      </c>
      <c r="Y382" s="1" t="s">
        <v>147</v>
      </c>
      <c r="Z382" s="1" t="s">
        <v>1</v>
      </c>
      <c r="AA382" s="1" t="s">
        <v>98</v>
      </c>
      <c r="AB382" s="1" t="s">
        <v>159</v>
      </c>
      <c r="AC382" s="1" t="s">
        <v>378</v>
      </c>
      <c r="AD382" s="1" t="s">
        <v>100</v>
      </c>
      <c r="AE382" s="12" t="s">
        <v>351</v>
      </c>
      <c r="AF382" s="12" t="s">
        <v>323</v>
      </c>
      <c r="AG382" s="12">
        <v>61.07</v>
      </c>
      <c r="AH382" s="12">
        <f>66.85-59.75</f>
        <v>7.0999999999999943</v>
      </c>
      <c r="AI382" s="12"/>
      <c r="AJ382" s="12">
        <v>70.2</v>
      </c>
      <c r="AK382" s="12">
        <f>71.02-68.17</f>
        <v>2.8499999999999943</v>
      </c>
      <c r="AL382" s="12"/>
      <c r="AM382" s="12">
        <f t="shared" si="1206"/>
        <v>-9.1300000000000026</v>
      </c>
      <c r="AN382" s="1">
        <f t="shared" si="1207"/>
        <v>5.4098290176307735</v>
      </c>
      <c r="AO382" s="1">
        <f t="shared" si="1208"/>
        <v>-1.6876688653643388</v>
      </c>
      <c r="AP382" s="1">
        <f t="shared" si="1209"/>
        <v>0.90401884992667947</v>
      </c>
      <c r="AQ382" s="1">
        <f t="shared" si="1210"/>
        <v>0.8</v>
      </c>
      <c r="AR382" s="21">
        <f t="shared" si="1211"/>
        <v>-1.3501350922914712</v>
      </c>
      <c r="AS382" s="21">
        <f t="shared" si="1212"/>
        <v>0.57857206395307492</v>
      </c>
      <c r="AT382" s="21">
        <f t="shared" si="1213"/>
        <v>0.76063924691871831</v>
      </c>
      <c r="AU382" s="20">
        <f t="shared" si="1214"/>
        <v>1.7283931636234426</v>
      </c>
      <c r="AV382" s="20">
        <f t="shared" si="1215"/>
        <v>-2.3335642634846847</v>
      </c>
      <c r="AW382" s="20">
        <f t="shared" si="1216"/>
        <v>3.1506270022479739</v>
      </c>
      <c r="AX382" s="14"/>
      <c r="AY382" s="14"/>
      <c r="AZ382" s="12" t="s">
        <v>271</v>
      </c>
      <c r="BA382" s="2"/>
    </row>
    <row r="383" spans="1:53" ht="14.25" hidden="1" customHeight="1">
      <c r="A383" s="2">
        <v>213</v>
      </c>
      <c r="B383" s="2" t="s">
        <v>33</v>
      </c>
      <c r="C383" s="1" t="s">
        <v>85</v>
      </c>
      <c r="D383" s="1">
        <v>2014</v>
      </c>
      <c r="E383" s="1">
        <v>2008</v>
      </c>
      <c r="F383" s="1" t="s">
        <v>120</v>
      </c>
      <c r="G383" s="1" t="s">
        <v>109</v>
      </c>
      <c r="H383" s="1">
        <v>41.05</v>
      </c>
      <c r="I383" s="1">
        <v>-2.4333330000000002</v>
      </c>
      <c r="J383" s="1" t="s">
        <v>135</v>
      </c>
      <c r="K383" s="1" t="s">
        <v>177</v>
      </c>
      <c r="L383" s="1" t="s">
        <v>178</v>
      </c>
      <c r="M383" s="1" t="s">
        <v>237</v>
      </c>
      <c r="N383" s="1" t="s">
        <v>239</v>
      </c>
      <c r="O383" s="1" t="s">
        <v>86</v>
      </c>
      <c r="P383" s="1" t="s">
        <v>129</v>
      </c>
      <c r="Q383" s="1" t="s">
        <v>93</v>
      </c>
      <c r="R383" s="1">
        <v>2005</v>
      </c>
      <c r="S383" s="1">
        <v>3</v>
      </c>
      <c r="V383" s="1">
        <v>3</v>
      </c>
      <c r="W383" s="1">
        <v>3</v>
      </c>
      <c r="X383" s="1" t="s">
        <v>134</v>
      </c>
      <c r="Y383" s="1" t="s">
        <v>147</v>
      </c>
      <c r="Z383" s="1" t="s">
        <v>1</v>
      </c>
      <c r="AA383" s="1" t="s">
        <v>98</v>
      </c>
      <c r="AB383" s="1" t="s">
        <v>159</v>
      </c>
      <c r="AC383" s="1" t="s">
        <v>378</v>
      </c>
      <c r="AD383" s="1" t="s">
        <v>100</v>
      </c>
      <c r="AE383" s="12" t="s">
        <v>223</v>
      </c>
      <c r="AF383" s="12" t="s">
        <v>323</v>
      </c>
      <c r="AG383" s="12">
        <v>9.08</v>
      </c>
      <c r="AH383" s="12">
        <f>10.59-8.46</f>
        <v>2.129999999999999</v>
      </c>
      <c r="AI383" s="12"/>
      <c r="AJ383" s="12">
        <v>12.06</v>
      </c>
      <c r="AK383" s="12">
        <f>12.96-11.53</f>
        <v>1.4300000000000015</v>
      </c>
      <c r="AL383" s="12"/>
      <c r="AM383" s="12">
        <f t="shared" si="1206"/>
        <v>-2.9800000000000004</v>
      </c>
      <c r="AN383" s="1">
        <f t="shared" si="1207"/>
        <v>1.814083790788066</v>
      </c>
      <c r="AO383" s="1">
        <f t="shared" si="1208"/>
        <v>-1.6427025119415473</v>
      </c>
      <c r="AP383" s="1">
        <f t="shared" si="1209"/>
        <v>0.8915392952282557</v>
      </c>
      <c r="AQ383" s="1">
        <f t="shared" si="1210"/>
        <v>0.8</v>
      </c>
      <c r="AR383" s="21">
        <f t="shared" si="1211"/>
        <v>-1.3141620095532378</v>
      </c>
      <c r="AS383" s="21">
        <f t="shared" si="1212"/>
        <v>0.57058514894608381</v>
      </c>
      <c r="AT383" s="21">
        <f t="shared" si="1213"/>
        <v>0.7553708684785797</v>
      </c>
      <c r="AU383" s="20">
        <f t="shared" si="1214"/>
        <v>1.7525867994410294</v>
      </c>
      <c r="AV383" s="20">
        <f t="shared" si="1215"/>
        <v>-2.3031829902699004</v>
      </c>
      <c r="AW383" s="20">
        <f t="shared" si="1216"/>
        <v>3.0267555868619276</v>
      </c>
      <c r="AX383" s="14"/>
      <c r="AY383" s="14"/>
      <c r="AZ383" s="12" t="s">
        <v>271</v>
      </c>
      <c r="BA383" s="2"/>
    </row>
    <row r="384" spans="1:53" ht="14.25" hidden="1" customHeight="1">
      <c r="A384" s="2">
        <v>213</v>
      </c>
      <c r="B384" s="2" t="s">
        <v>33</v>
      </c>
      <c r="C384" s="1" t="s">
        <v>85</v>
      </c>
      <c r="D384" s="1">
        <v>2014</v>
      </c>
      <c r="E384" s="1">
        <v>2008</v>
      </c>
      <c r="F384" s="1" t="s">
        <v>120</v>
      </c>
      <c r="G384" s="1" t="s">
        <v>109</v>
      </c>
      <c r="H384" s="1">
        <v>41.05</v>
      </c>
      <c r="I384" s="1">
        <v>-2.4333330000000002</v>
      </c>
      <c r="J384" s="1" t="s">
        <v>135</v>
      </c>
      <c r="K384" s="1" t="s">
        <v>177</v>
      </c>
      <c r="L384" s="1" t="s">
        <v>178</v>
      </c>
      <c r="M384" s="1" t="s">
        <v>237</v>
      </c>
      <c r="N384" s="1" t="s">
        <v>239</v>
      </c>
      <c r="O384" s="1" t="s">
        <v>86</v>
      </c>
      <c r="P384" s="1" t="s">
        <v>129</v>
      </c>
      <c r="Q384" s="1" t="s">
        <v>93</v>
      </c>
      <c r="R384" s="1">
        <v>2005</v>
      </c>
      <c r="S384" s="1">
        <v>3</v>
      </c>
      <c r="V384" s="1">
        <v>3</v>
      </c>
      <c r="W384" s="1">
        <v>3</v>
      </c>
      <c r="X384" s="1" t="s">
        <v>134</v>
      </c>
      <c r="Y384" s="1" t="s">
        <v>147</v>
      </c>
      <c r="Z384" s="1" t="s">
        <v>1</v>
      </c>
      <c r="AA384" s="1" t="s">
        <v>98</v>
      </c>
      <c r="AB384" s="1" t="s">
        <v>159</v>
      </c>
      <c r="AC384" s="1" t="s">
        <v>378</v>
      </c>
      <c r="AD384" s="1" t="s">
        <v>100</v>
      </c>
      <c r="AE384" s="12" t="s">
        <v>149</v>
      </c>
      <c r="AF384" s="12" t="s">
        <v>323</v>
      </c>
      <c r="AG384" s="12">
        <v>2.06</v>
      </c>
      <c r="AH384" s="12">
        <f>2.28-1.99</f>
        <v>0.28999999999999981</v>
      </c>
      <c r="AI384" s="12"/>
      <c r="AJ384" s="12">
        <v>2.5499999999999998</v>
      </c>
      <c r="AK384" s="12">
        <f>2.66-2.48</f>
        <v>0.18000000000000016</v>
      </c>
      <c r="AL384" s="12"/>
      <c r="AM384" s="12">
        <f t="shared" si="1206"/>
        <v>-0.48999999999999977</v>
      </c>
      <c r="AN384" s="1">
        <f t="shared" si="1207"/>
        <v>0.24135036772294335</v>
      </c>
      <c r="AO384" s="1">
        <f t="shared" si="1208"/>
        <v>-2.0302434366393518</v>
      </c>
      <c r="AP384" s="1">
        <f t="shared" si="1209"/>
        <v>1.0101573676680971</v>
      </c>
      <c r="AQ384" s="1">
        <f t="shared" si="1210"/>
        <v>0.8</v>
      </c>
      <c r="AR384" s="21">
        <f t="shared" si="1211"/>
        <v>-1.6241947493114814</v>
      </c>
      <c r="AS384" s="21">
        <f t="shared" si="1212"/>
        <v>0.64650071530758224</v>
      </c>
      <c r="AT384" s="21">
        <f t="shared" si="1213"/>
        <v>0.80405268192300827</v>
      </c>
      <c r="AU384" s="20">
        <f t="shared" si="1214"/>
        <v>1.546788698484634</v>
      </c>
      <c r="AV384" s="20">
        <f t="shared" si="1215"/>
        <v>-2.5122860823730826</v>
      </c>
      <c r="AW384" s="20">
        <f t="shared" si="1216"/>
        <v>4.080441863758673</v>
      </c>
      <c r="AX384" s="14"/>
      <c r="AY384" s="14"/>
      <c r="AZ384" s="12" t="s">
        <v>271</v>
      </c>
      <c r="BA384" s="2"/>
    </row>
    <row r="385" spans="1:53" ht="14.25" hidden="1" customHeight="1">
      <c r="A385" s="2">
        <v>213</v>
      </c>
      <c r="B385" s="2" t="s">
        <v>33</v>
      </c>
      <c r="C385" s="1" t="s">
        <v>85</v>
      </c>
      <c r="D385" s="1">
        <v>2014</v>
      </c>
      <c r="E385" s="1">
        <v>2008</v>
      </c>
      <c r="F385" s="1" t="s">
        <v>120</v>
      </c>
      <c r="G385" s="1" t="s">
        <v>109</v>
      </c>
      <c r="H385" s="1">
        <v>41.05</v>
      </c>
      <c r="I385" s="1">
        <v>-2.4333330000000002</v>
      </c>
      <c r="J385" s="1" t="s">
        <v>135</v>
      </c>
      <c r="K385" s="1" t="s">
        <v>177</v>
      </c>
      <c r="L385" s="1" t="s">
        <v>178</v>
      </c>
      <c r="M385" s="1" t="s">
        <v>237</v>
      </c>
      <c r="N385" s="1" t="s">
        <v>239</v>
      </c>
      <c r="O385" s="1" t="s">
        <v>86</v>
      </c>
      <c r="P385" s="1" t="s">
        <v>129</v>
      </c>
      <c r="Q385" s="1" t="s">
        <v>93</v>
      </c>
      <c r="R385" s="1">
        <v>2005</v>
      </c>
      <c r="S385" s="1">
        <v>3</v>
      </c>
      <c r="V385" s="1">
        <v>3</v>
      </c>
      <c r="W385" s="1">
        <v>3</v>
      </c>
      <c r="X385" s="1" t="s">
        <v>134</v>
      </c>
      <c r="Y385" s="1" t="s">
        <v>147</v>
      </c>
      <c r="Z385" s="1" t="s">
        <v>1</v>
      </c>
      <c r="AA385" s="1" t="s">
        <v>98</v>
      </c>
      <c r="AB385" s="1" t="s">
        <v>159</v>
      </c>
      <c r="AC385" s="1" t="s">
        <v>378</v>
      </c>
      <c r="AD385" s="1" t="s">
        <v>100</v>
      </c>
      <c r="AE385" s="12" t="s">
        <v>254</v>
      </c>
      <c r="AF385" s="12" t="s">
        <v>323</v>
      </c>
      <c r="AG385" s="12">
        <v>0.15</v>
      </c>
      <c r="AH385" s="12">
        <f>0.2-0.13</f>
        <v>7.0000000000000007E-2</v>
      </c>
      <c r="AI385" s="12"/>
      <c r="AJ385" s="12">
        <v>0.12</v>
      </c>
      <c r="AK385" s="12">
        <f>0.13-0.11</f>
        <v>2.0000000000000004E-2</v>
      </c>
      <c r="AL385" s="12"/>
      <c r="AM385" s="12">
        <f t="shared" si="1206"/>
        <v>0.03</v>
      </c>
      <c r="AN385" s="1">
        <f t="shared" si="1207"/>
        <v>5.1478150704935006E-2</v>
      </c>
      <c r="AO385" s="1">
        <f t="shared" si="1208"/>
        <v>0.5827715174143584</v>
      </c>
      <c r="AP385" s="1">
        <f t="shared" si="1209"/>
        <v>0.69496855345911945</v>
      </c>
      <c r="AQ385" s="1">
        <f t="shared" si="1210"/>
        <v>0.8</v>
      </c>
      <c r="AR385" s="21">
        <f t="shared" si="1211"/>
        <v>0.46621721393148674</v>
      </c>
      <c r="AS385" s="21">
        <f t="shared" si="1212"/>
        <v>0.44477987421383652</v>
      </c>
      <c r="AT385" s="21">
        <f t="shared" si="1213"/>
        <v>0.66691819154513732</v>
      </c>
      <c r="AU385" s="20">
        <f t="shared" si="1214"/>
        <v>2.248303167420814</v>
      </c>
      <c r="AV385" s="20">
        <f t="shared" si="1215"/>
        <v>1.048197638788269</v>
      </c>
      <c r="AW385" s="20">
        <f t="shared" si="1216"/>
        <v>0.48868778280542968</v>
      </c>
      <c r="AX385" s="14"/>
      <c r="AY385" s="14"/>
      <c r="AZ385" s="12" t="s">
        <v>271</v>
      </c>
      <c r="BA385" s="2"/>
    </row>
    <row r="386" spans="1:53" ht="14.25" hidden="1" customHeight="1">
      <c r="A386" s="2">
        <v>213</v>
      </c>
      <c r="B386" s="2" t="s">
        <v>33</v>
      </c>
      <c r="C386" s="1" t="s">
        <v>85</v>
      </c>
      <c r="D386" s="1">
        <v>2014</v>
      </c>
      <c r="E386" s="1">
        <v>2008</v>
      </c>
      <c r="F386" s="1" t="s">
        <v>120</v>
      </c>
      <c r="G386" s="1" t="s">
        <v>109</v>
      </c>
      <c r="H386" s="1">
        <v>41.05</v>
      </c>
      <c r="I386" s="1">
        <v>-2.4333330000000002</v>
      </c>
      <c r="J386" s="1" t="s">
        <v>135</v>
      </c>
      <c r="K386" s="1" t="s">
        <v>177</v>
      </c>
      <c r="L386" s="1" t="s">
        <v>178</v>
      </c>
      <c r="M386" s="1" t="s">
        <v>237</v>
      </c>
      <c r="N386" s="1" t="s">
        <v>239</v>
      </c>
      <c r="O386" s="1" t="s">
        <v>86</v>
      </c>
      <c r="P386" s="1" t="s">
        <v>129</v>
      </c>
      <c r="Q386" s="1" t="s">
        <v>93</v>
      </c>
      <c r="R386" s="1">
        <v>1994</v>
      </c>
      <c r="S386" s="1">
        <v>14</v>
      </c>
      <c r="V386" s="1">
        <v>3</v>
      </c>
      <c r="W386" s="1">
        <v>3</v>
      </c>
      <c r="X386" s="1" t="s">
        <v>134</v>
      </c>
      <c r="Y386" s="1" t="s">
        <v>147</v>
      </c>
      <c r="Z386" s="1" t="s">
        <v>1</v>
      </c>
      <c r="AA386" s="1" t="s">
        <v>98</v>
      </c>
      <c r="AB386" s="1" t="s">
        <v>159</v>
      </c>
      <c r="AC386" s="1" t="s">
        <v>378</v>
      </c>
      <c r="AD386" s="1" t="s">
        <v>100</v>
      </c>
      <c r="AE386" s="1" t="s">
        <v>257</v>
      </c>
      <c r="AF386" s="1" t="s">
        <v>319</v>
      </c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" t="s">
        <v>286</v>
      </c>
    </row>
    <row r="387" spans="1:53" ht="14.25" hidden="1" customHeight="1">
      <c r="A387" s="2">
        <v>213</v>
      </c>
      <c r="B387" s="2" t="s">
        <v>33</v>
      </c>
      <c r="C387" s="1" t="s">
        <v>85</v>
      </c>
      <c r="D387" s="1">
        <v>2014</v>
      </c>
      <c r="E387" s="1">
        <v>2008</v>
      </c>
      <c r="F387" s="1" t="s">
        <v>120</v>
      </c>
      <c r="G387" s="1" t="s">
        <v>109</v>
      </c>
      <c r="H387" s="1">
        <v>41.05</v>
      </c>
      <c r="I387" s="1">
        <v>-2.4333330000000002</v>
      </c>
      <c r="J387" s="1" t="s">
        <v>135</v>
      </c>
      <c r="K387" s="1" t="s">
        <v>177</v>
      </c>
      <c r="L387" s="1" t="s">
        <v>178</v>
      </c>
      <c r="M387" s="1" t="s">
        <v>237</v>
      </c>
      <c r="N387" s="1" t="s">
        <v>239</v>
      </c>
      <c r="O387" s="1" t="s">
        <v>86</v>
      </c>
      <c r="P387" s="1" t="s">
        <v>129</v>
      </c>
      <c r="Q387" s="1" t="s">
        <v>93</v>
      </c>
      <c r="R387" s="1">
        <v>2005</v>
      </c>
      <c r="S387" s="1">
        <v>3</v>
      </c>
      <c r="V387" s="1">
        <v>3</v>
      </c>
      <c r="W387" s="1">
        <v>3</v>
      </c>
      <c r="X387" s="1" t="s">
        <v>134</v>
      </c>
      <c r="Y387" s="1" t="s">
        <v>147</v>
      </c>
      <c r="Z387" s="1" t="s">
        <v>1</v>
      </c>
      <c r="AA387" s="1" t="s">
        <v>98</v>
      </c>
      <c r="AB387" s="1" t="s">
        <v>159</v>
      </c>
      <c r="AC387" s="1" t="s">
        <v>378</v>
      </c>
      <c r="AD387" s="1" t="s">
        <v>100</v>
      </c>
      <c r="AE387" s="1" t="s">
        <v>257</v>
      </c>
      <c r="AF387" s="1" t="s">
        <v>319</v>
      </c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" t="s">
        <v>286</v>
      </c>
    </row>
    <row r="388" spans="1:53" ht="14.25" hidden="1" customHeight="1">
      <c r="A388" s="2">
        <v>188</v>
      </c>
      <c r="B388" s="2" t="s">
        <v>28</v>
      </c>
      <c r="C388" s="1" t="s">
        <v>85</v>
      </c>
      <c r="D388" s="1">
        <v>2008</v>
      </c>
      <c r="E388" s="1">
        <v>1998</v>
      </c>
      <c r="F388" s="1" t="s">
        <v>96</v>
      </c>
      <c r="H388" s="1">
        <v>-34.461578000000003</v>
      </c>
      <c r="I388" s="1">
        <v>116.173176</v>
      </c>
      <c r="J388" s="1" t="s">
        <v>126</v>
      </c>
      <c r="K388" s="1" t="s">
        <v>112</v>
      </c>
      <c r="L388" s="1" t="s">
        <v>182</v>
      </c>
      <c r="M388" s="1" t="s">
        <v>238</v>
      </c>
      <c r="O388" s="1" t="s">
        <v>86</v>
      </c>
      <c r="Q388" s="1" t="s">
        <v>93</v>
      </c>
      <c r="R388" s="1">
        <v>1997</v>
      </c>
      <c r="S388" s="1">
        <v>1</v>
      </c>
      <c r="U388" s="1">
        <v>1600</v>
      </c>
      <c r="V388" s="1">
        <v>5</v>
      </c>
      <c r="W388" s="1">
        <v>5</v>
      </c>
      <c r="X388" s="1" t="s">
        <v>114</v>
      </c>
      <c r="Y388" s="1" t="s">
        <v>2</v>
      </c>
      <c r="AA388" s="1" t="s">
        <v>113</v>
      </c>
      <c r="AD388" s="1" t="s">
        <v>2</v>
      </c>
      <c r="AE388" s="1" t="s">
        <v>223</v>
      </c>
      <c r="AF388" s="1" t="s">
        <v>341</v>
      </c>
      <c r="AG388" s="1">
        <v>29.2</v>
      </c>
      <c r="AH388" s="1">
        <f>AI388*SQRT(W388)</f>
        <v>1.3416407864998772</v>
      </c>
      <c r="AI388" s="1">
        <f>29.8-AG388</f>
        <v>0.60000000000000142</v>
      </c>
      <c r="AJ388" s="1">
        <v>39.58</v>
      </c>
      <c r="AK388" s="1">
        <f>AL388*SQRT(V388)</f>
        <v>20.392939954798095</v>
      </c>
      <c r="AL388" s="1">
        <f>48.7-AJ388</f>
        <v>9.1200000000000045</v>
      </c>
      <c r="AM388" s="12">
        <f t="shared" si="936"/>
        <v>-10.379999999999999</v>
      </c>
      <c r="AN388" s="1">
        <f t="shared" si="679"/>
        <v>14.45115912306</v>
      </c>
      <c r="AO388" s="1">
        <f t="shared" si="1176"/>
        <v>-0.71828148258615654</v>
      </c>
      <c r="AP388" s="1">
        <f t="shared" si="680"/>
        <v>0.42579641441130839</v>
      </c>
      <c r="AQ388" s="1">
        <f t="shared" si="681"/>
        <v>0.90322580645161288</v>
      </c>
      <c r="AR388" s="21">
        <f t="shared" ref="AR388:AR403" si="1217">AO388*AQ388</f>
        <v>-0.64877037136814142</v>
      </c>
      <c r="AS388" s="21">
        <f t="shared" ref="AS388:AS389" si="1218">AP388*(AQ388^2)</f>
        <v>0.34737189271432439</v>
      </c>
      <c r="AT388" s="21">
        <f t="shared" si="594"/>
        <v>0.58938263692979997</v>
      </c>
      <c r="AU388" s="20">
        <f t="shared" ref="AU388:AU389" si="1219">1/AS388</f>
        <v>2.8787591079580848</v>
      </c>
      <c r="AV388" s="20">
        <f t="shared" ref="AV388:AV389" si="1220">AR388/AS388</f>
        <v>-1.8676536155493861</v>
      </c>
      <c r="AW388" s="20">
        <f t="shared" ref="AW388:AW389" si="1221">((AR388)^2)/AS388</f>
        <v>1.2116783297470273</v>
      </c>
      <c r="AX388" s="14"/>
      <c r="AY388" s="14"/>
      <c r="AZ388" s="1" t="s">
        <v>271</v>
      </c>
      <c r="BA388" s="2"/>
    </row>
    <row r="389" spans="1:53" ht="14.25" hidden="1" customHeight="1">
      <c r="A389" s="2">
        <v>188</v>
      </c>
      <c r="B389" s="2" t="s">
        <v>28</v>
      </c>
      <c r="C389" s="1" t="s">
        <v>85</v>
      </c>
      <c r="D389" s="1">
        <v>2008</v>
      </c>
      <c r="E389" s="1">
        <v>1998</v>
      </c>
      <c r="F389" s="1" t="s">
        <v>96</v>
      </c>
      <c r="H389" s="1">
        <v>-34.461578000000003</v>
      </c>
      <c r="I389" s="1">
        <v>116.173176</v>
      </c>
      <c r="J389" s="1" t="s">
        <v>126</v>
      </c>
      <c r="K389" s="1" t="s">
        <v>112</v>
      </c>
      <c r="L389" s="1" t="s">
        <v>182</v>
      </c>
      <c r="M389" s="1" t="s">
        <v>238</v>
      </c>
      <c r="O389" s="1" t="s">
        <v>86</v>
      </c>
      <c r="Q389" s="1" t="s">
        <v>93</v>
      </c>
      <c r="R389" s="1">
        <v>1997</v>
      </c>
      <c r="S389" s="1">
        <v>5</v>
      </c>
      <c r="U389" s="1">
        <v>1600</v>
      </c>
      <c r="V389" s="1">
        <v>5</v>
      </c>
      <c r="W389" s="1">
        <v>5</v>
      </c>
      <c r="X389" s="1" t="s">
        <v>114</v>
      </c>
      <c r="Y389" s="1" t="s">
        <v>2</v>
      </c>
      <c r="AA389" s="1" t="s">
        <v>113</v>
      </c>
      <c r="AD389" s="1" t="s">
        <v>2</v>
      </c>
      <c r="AE389" s="1" t="s">
        <v>223</v>
      </c>
      <c r="AF389" s="1" t="s">
        <v>341</v>
      </c>
      <c r="AG389" s="1">
        <v>44.6</v>
      </c>
      <c r="AH389" s="1">
        <f>AI389*SQRT(W389)</f>
        <v>11.85116028074888</v>
      </c>
      <c r="AI389" s="1">
        <f>49.9-AG389</f>
        <v>5.2999999999999972</v>
      </c>
      <c r="AJ389" s="1">
        <v>50.5</v>
      </c>
      <c r="AK389" s="1">
        <f>AL389*SQRT(V389)</f>
        <v>11.895881640298882</v>
      </c>
      <c r="AL389" s="1">
        <f>55.82-AJ389</f>
        <v>5.32</v>
      </c>
      <c r="AM389" s="12">
        <f t="shared" ref="AM389" si="1222">AG389-AJ389</f>
        <v>-5.8999999999999986</v>
      </c>
      <c r="AN389" s="1">
        <f t="shared" ref="AN389" si="1223">SQRT((((W389-1)*AH389^2)+((V389-1)*AK389^2))/(W389+V389-2))</f>
        <v>11.873542015759238</v>
      </c>
      <c r="AO389" s="1">
        <f t="shared" ref="AO389" si="1224">AM389/AN389</f>
        <v>-0.49690311384498276</v>
      </c>
      <c r="AP389" s="1">
        <f t="shared" ref="AP389" si="1225">1/W389+1/V389+(AO389^2)/(2*(W389+V389))</f>
        <v>0.412345635227442</v>
      </c>
      <c r="AQ389" s="1">
        <f t="shared" ref="AQ389" si="1226">1-(3/(4*(W389+V389-2)-1))</f>
        <v>0.90322580645161288</v>
      </c>
      <c r="AR389" s="21">
        <f t="shared" ref="AR389" si="1227">AO389*AQ389</f>
        <v>-0.44881571573095214</v>
      </c>
      <c r="AS389" s="21">
        <f t="shared" si="1218"/>
        <v>0.33639852031042089</v>
      </c>
      <c r="AT389" s="21">
        <f t="shared" ref="AT389" si="1228">SQRT(AP389*AQ389^2)</f>
        <v>0.57999872440413258</v>
      </c>
      <c r="AU389" s="20">
        <f t="shared" si="1219"/>
        <v>2.9726646807994959</v>
      </c>
      <c r="AV389" s="20">
        <f t="shared" si="1220"/>
        <v>-1.3341786263411481</v>
      </c>
      <c r="AW389" s="20">
        <f t="shared" si="1221"/>
        <v>0.59880033509424091</v>
      </c>
      <c r="AX389" s="14"/>
      <c r="AY389" s="14"/>
      <c r="AZ389" s="1" t="s">
        <v>271</v>
      </c>
      <c r="BA389" s="2"/>
    </row>
    <row r="390" spans="1:53" ht="14.25" hidden="1" customHeight="1">
      <c r="A390" s="2">
        <v>188</v>
      </c>
      <c r="B390" s="2" t="s">
        <v>28</v>
      </c>
      <c r="C390" s="1" t="s">
        <v>85</v>
      </c>
      <c r="D390" s="1">
        <v>2008</v>
      </c>
      <c r="E390" s="1">
        <v>1998</v>
      </c>
      <c r="F390" s="1" t="s">
        <v>96</v>
      </c>
      <c r="H390" s="1">
        <v>-34.461578000000003</v>
      </c>
      <c r="I390" s="1">
        <v>116.173176</v>
      </c>
      <c r="J390" s="1" t="s">
        <v>126</v>
      </c>
      <c r="K390" s="1" t="s">
        <v>112</v>
      </c>
      <c r="L390" s="1" t="s">
        <v>182</v>
      </c>
      <c r="M390" s="1" t="s">
        <v>238</v>
      </c>
      <c r="O390" s="1" t="s">
        <v>86</v>
      </c>
      <c r="Q390" s="1" t="s">
        <v>93</v>
      </c>
      <c r="R390" s="1">
        <v>1997</v>
      </c>
      <c r="S390" s="1">
        <v>1</v>
      </c>
      <c r="U390" s="1">
        <v>1600</v>
      </c>
      <c r="V390" s="1">
        <v>5</v>
      </c>
      <c r="W390" s="1">
        <v>5</v>
      </c>
      <c r="X390" s="1" t="s">
        <v>114</v>
      </c>
      <c r="Y390" s="1" t="s">
        <v>2</v>
      </c>
      <c r="AA390" s="1" t="s">
        <v>113</v>
      </c>
      <c r="AD390" s="1" t="s">
        <v>2</v>
      </c>
      <c r="AE390" s="1" t="s">
        <v>257</v>
      </c>
      <c r="AF390" s="1" t="s">
        <v>379</v>
      </c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" t="s">
        <v>286</v>
      </c>
    </row>
    <row r="391" spans="1:53" ht="14.25" hidden="1" customHeight="1">
      <c r="A391" s="2">
        <v>188</v>
      </c>
      <c r="B391" s="2" t="s">
        <v>28</v>
      </c>
      <c r="C391" s="1" t="s">
        <v>85</v>
      </c>
      <c r="D391" s="1">
        <v>2008</v>
      </c>
      <c r="E391" s="1">
        <v>1998</v>
      </c>
      <c r="F391" s="1" t="s">
        <v>96</v>
      </c>
      <c r="H391" s="1">
        <v>-34.461578000000003</v>
      </c>
      <c r="I391" s="1">
        <v>116.173176</v>
      </c>
      <c r="J391" s="1" t="s">
        <v>126</v>
      </c>
      <c r="K391" s="1" t="s">
        <v>112</v>
      </c>
      <c r="L391" s="1" t="s">
        <v>182</v>
      </c>
      <c r="M391" s="1" t="s">
        <v>238</v>
      </c>
      <c r="O391" s="1" t="s">
        <v>86</v>
      </c>
      <c r="Q391" s="1" t="s">
        <v>93</v>
      </c>
      <c r="R391" s="1">
        <v>1997</v>
      </c>
      <c r="S391" s="1">
        <v>5</v>
      </c>
      <c r="U391" s="1">
        <v>1600</v>
      </c>
      <c r="V391" s="1">
        <v>5</v>
      </c>
      <c r="W391" s="1">
        <v>5</v>
      </c>
      <c r="X391" s="1" t="s">
        <v>114</v>
      </c>
      <c r="Y391" s="1" t="s">
        <v>2</v>
      </c>
      <c r="AA391" s="1" t="s">
        <v>113</v>
      </c>
      <c r="AD391" s="1" t="s">
        <v>2</v>
      </c>
      <c r="AE391" s="1" t="s">
        <v>257</v>
      </c>
      <c r="AF391" s="1" t="s">
        <v>379</v>
      </c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" t="s">
        <v>286</v>
      </c>
    </row>
    <row r="392" spans="1:53" ht="14.25" hidden="1" customHeight="1">
      <c r="A392" s="2">
        <v>221</v>
      </c>
      <c r="B392" s="2" t="s">
        <v>35</v>
      </c>
      <c r="C392" s="1" t="s">
        <v>85</v>
      </c>
      <c r="D392" s="1">
        <v>2021</v>
      </c>
      <c r="E392" s="1">
        <v>2016</v>
      </c>
      <c r="F392" s="1" t="s">
        <v>153</v>
      </c>
      <c r="G392" s="1" t="s">
        <v>160</v>
      </c>
      <c r="H392" s="1">
        <v>53.646073000000001</v>
      </c>
      <c r="I392" s="1" t="s">
        <v>210</v>
      </c>
      <c r="J392" s="1" t="s">
        <v>128</v>
      </c>
      <c r="K392" s="1" t="s">
        <v>177</v>
      </c>
      <c r="L392" s="1" t="s">
        <v>188</v>
      </c>
      <c r="M392" s="1" t="s">
        <v>237</v>
      </c>
      <c r="N392" s="1" t="s">
        <v>239</v>
      </c>
      <c r="O392" s="1" t="s">
        <v>86</v>
      </c>
      <c r="Q392" s="1" t="s">
        <v>93</v>
      </c>
      <c r="R392" s="1">
        <v>2012</v>
      </c>
      <c r="S392" s="1">
        <v>4</v>
      </c>
      <c r="V392" s="1">
        <v>14</v>
      </c>
      <c r="W392" s="1">
        <v>3</v>
      </c>
      <c r="X392" s="1" t="s">
        <v>97</v>
      </c>
      <c r="Y392" s="1" t="s">
        <v>364</v>
      </c>
      <c r="Z392" s="1" t="s">
        <v>1</v>
      </c>
      <c r="AA392" s="1" t="s">
        <v>98</v>
      </c>
      <c r="AB392" s="1" t="s">
        <v>203</v>
      </c>
      <c r="AC392" s="1" t="s">
        <v>99</v>
      </c>
      <c r="AD392" s="1" t="s">
        <v>111</v>
      </c>
      <c r="AE392" s="1" t="s">
        <v>349</v>
      </c>
      <c r="AF392" s="1" t="s">
        <v>320</v>
      </c>
      <c r="AG392" s="1">
        <v>14.24</v>
      </c>
      <c r="AH392" s="1">
        <f>AI392*SQRT(W392)</f>
        <v>1.299038105676658</v>
      </c>
      <c r="AI392" s="1">
        <f>14.99-AG392</f>
        <v>0.75</v>
      </c>
      <c r="AJ392" s="1">
        <v>34.950000000000003</v>
      </c>
      <c r="AK392" s="1">
        <f>AL392*SQRT(V392)</f>
        <v>10.663723552305711</v>
      </c>
      <c r="AL392" s="1">
        <f>37.8-AJ392</f>
        <v>2.8499999999999943</v>
      </c>
      <c r="AM392" s="12">
        <f t="shared" si="936"/>
        <v>-20.71</v>
      </c>
      <c r="AN392" s="1">
        <f t="shared" si="679"/>
        <v>9.93871219021859</v>
      </c>
      <c r="AO392" s="1">
        <f t="shared" si="1176"/>
        <v>-2.0837709759200211</v>
      </c>
      <c r="AP392" s="1">
        <f t="shared" si="680"/>
        <v>0.53247077182327762</v>
      </c>
      <c r="AQ392" s="1">
        <f t="shared" si="681"/>
        <v>0.94915254237288138</v>
      </c>
      <c r="AR392" s="21">
        <f t="shared" si="1217"/>
        <v>-1.9778165195173083</v>
      </c>
      <c r="AS392" s="21">
        <f t="shared" ref="AS392:AS394" si="1229">AP392*(AQ392^2)</f>
        <v>0.47969788579080691</v>
      </c>
      <c r="AT392" s="21">
        <f t="shared" si="594"/>
        <v>0.69260225655913576</v>
      </c>
      <c r="AU392" s="20">
        <f t="shared" ref="AU392:AU394" si="1230">1/AS392</f>
        <v>2.0846454187544481</v>
      </c>
      <c r="AV392" s="20">
        <f t="shared" ref="AV392:AV394" si="1231">AR392/AS392</f>
        <v>-4.1230461465486234</v>
      </c>
      <c r="AW392" s="20">
        <f t="shared" ref="AW392:AW394" si="1232">((AR392)^2)/AS392</f>
        <v>8.1546287793760488</v>
      </c>
      <c r="AX392" s="14"/>
      <c r="AY392" s="14"/>
      <c r="AZ392" s="1" t="s">
        <v>271</v>
      </c>
      <c r="BA392" s="2"/>
    </row>
    <row r="393" spans="1:53" ht="14.25" customHeight="1">
      <c r="A393" s="2">
        <v>221</v>
      </c>
      <c r="B393" s="2" t="s">
        <v>35</v>
      </c>
      <c r="C393" s="1" t="s">
        <v>85</v>
      </c>
      <c r="D393" s="1">
        <v>2021</v>
      </c>
      <c r="E393" s="1">
        <v>2016</v>
      </c>
      <c r="F393" s="1" t="s">
        <v>153</v>
      </c>
      <c r="G393" s="1" t="s">
        <v>160</v>
      </c>
      <c r="H393" s="1">
        <v>53.646073000000001</v>
      </c>
      <c r="I393" s="1" t="s">
        <v>210</v>
      </c>
      <c r="J393" s="1" t="s">
        <v>128</v>
      </c>
      <c r="K393" s="1" t="s">
        <v>177</v>
      </c>
      <c r="L393" s="1" t="s">
        <v>188</v>
      </c>
      <c r="M393" s="1" t="s">
        <v>237</v>
      </c>
      <c r="N393" s="1" t="s">
        <v>239</v>
      </c>
      <c r="O393" s="1" t="s">
        <v>86</v>
      </c>
      <c r="Q393" s="1" t="s">
        <v>93</v>
      </c>
      <c r="R393" s="1">
        <v>2012</v>
      </c>
      <c r="S393" s="1">
        <v>4</v>
      </c>
      <c r="V393" s="1">
        <v>14</v>
      </c>
      <c r="W393" s="1">
        <v>3</v>
      </c>
      <c r="X393" s="1" t="s">
        <v>97</v>
      </c>
      <c r="Y393" s="1" t="s">
        <v>364</v>
      </c>
      <c r="Z393" s="1" t="s">
        <v>1</v>
      </c>
      <c r="AA393" s="1" t="s">
        <v>98</v>
      </c>
      <c r="AB393" s="1" t="s">
        <v>203</v>
      </c>
      <c r="AC393" s="1" t="s">
        <v>99</v>
      </c>
      <c r="AD393" s="1" t="s">
        <v>111</v>
      </c>
      <c r="AE393" s="1" t="s">
        <v>296</v>
      </c>
      <c r="AF393" s="1" t="s">
        <v>320</v>
      </c>
      <c r="AG393" s="1">
        <v>20.16</v>
      </c>
      <c r="AH393" s="1">
        <f t="shared" ref="AH393:AH394" si="1233">AI393*SQRT(W393)</f>
        <v>6.131459858793824</v>
      </c>
      <c r="AI393" s="1">
        <f>23.7-AG393</f>
        <v>3.5399999999999991</v>
      </c>
      <c r="AJ393" s="1">
        <v>26.5</v>
      </c>
      <c r="AK393" s="1">
        <f t="shared" ref="AK393:AK394" si="1234">AL393*SQRT(V393)</f>
        <v>10.963056143247647</v>
      </c>
      <c r="AL393" s="1">
        <f>29.43-AJ393</f>
        <v>2.9299999999999997</v>
      </c>
      <c r="AM393" s="12">
        <f t="shared" ref="AM393" si="1235">AG393-AJ393</f>
        <v>-6.34</v>
      </c>
      <c r="AN393" s="1">
        <f t="shared" ref="AN393" si="1236">SQRT((((W393-1)*AH393^2)+((V393-1)*AK393^2))/(W393+V393-2))</f>
        <v>10.448736446735237</v>
      </c>
      <c r="AO393" s="1">
        <f t="shared" ref="AO393" si="1237">AM393/AN393</f>
        <v>-0.60677193192876122</v>
      </c>
      <c r="AP393" s="1">
        <f t="shared" ref="AP393" si="1238">1/W393+1/V393+(AO393^2)/(2*(W393+V393))</f>
        <v>0.41559049821415656</v>
      </c>
      <c r="AQ393" s="1">
        <f t="shared" ref="AQ393" si="1239">1-(3/(4*(W393+V393-2)-1))</f>
        <v>0.94915254237288138</v>
      </c>
      <c r="AR393" s="21">
        <f t="shared" ref="AR393" si="1240">AO393*AQ393</f>
        <v>-0.57591912183068861</v>
      </c>
      <c r="AS393" s="21">
        <f t="shared" si="1229"/>
        <v>0.37440155196770902</v>
      </c>
      <c r="AT393" s="21">
        <f t="shared" ref="AT393" si="1241">SQRT(AP393*AQ393^2)</f>
        <v>0.61188360982110723</v>
      </c>
      <c r="AU393" s="20">
        <f t="shared" si="1230"/>
        <v>2.6709290993704187</v>
      </c>
      <c r="AV393" s="20">
        <f t="shared" si="1231"/>
        <v>-1.5382391413814434</v>
      </c>
      <c r="AW393" s="20">
        <f t="shared" si="1232"/>
        <v>0.88590133546999339</v>
      </c>
      <c r="AX393" s="14"/>
      <c r="AY393" s="14"/>
      <c r="AZ393" s="1" t="s">
        <v>271</v>
      </c>
      <c r="BA393" s="2"/>
    </row>
    <row r="394" spans="1:53" ht="14.25" hidden="1" customHeight="1">
      <c r="A394" s="2">
        <v>221</v>
      </c>
      <c r="B394" s="2" t="s">
        <v>35</v>
      </c>
      <c r="C394" s="1" t="s">
        <v>85</v>
      </c>
      <c r="D394" s="1">
        <v>2021</v>
      </c>
      <c r="E394" s="1">
        <v>2016</v>
      </c>
      <c r="F394" s="1" t="s">
        <v>153</v>
      </c>
      <c r="G394" s="1" t="s">
        <v>160</v>
      </c>
      <c r="H394" s="1">
        <v>53.646073000000001</v>
      </c>
      <c r="I394" s="1" t="s">
        <v>210</v>
      </c>
      <c r="J394" s="1" t="s">
        <v>128</v>
      </c>
      <c r="K394" s="1" t="s">
        <v>177</v>
      </c>
      <c r="L394" s="1" t="s">
        <v>188</v>
      </c>
      <c r="M394" s="1" t="s">
        <v>237</v>
      </c>
      <c r="N394" s="1" t="s">
        <v>239</v>
      </c>
      <c r="O394" s="1" t="s">
        <v>86</v>
      </c>
      <c r="Q394" s="1" t="s">
        <v>93</v>
      </c>
      <c r="R394" s="1">
        <v>2012</v>
      </c>
      <c r="S394" s="1">
        <v>4</v>
      </c>
      <c r="V394" s="1">
        <v>14</v>
      </c>
      <c r="W394" s="1">
        <v>3</v>
      </c>
      <c r="X394" s="1" t="s">
        <v>97</v>
      </c>
      <c r="Y394" s="1" t="s">
        <v>364</v>
      </c>
      <c r="Z394" s="1" t="s">
        <v>1</v>
      </c>
      <c r="AA394" s="1" t="s">
        <v>98</v>
      </c>
      <c r="AB394" s="1" t="s">
        <v>203</v>
      </c>
      <c r="AC394" s="1" t="s">
        <v>99</v>
      </c>
      <c r="AD394" s="1" t="s">
        <v>111</v>
      </c>
      <c r="AE394" s="1" t="s">
        <v>367</v>
      </c>
      <c r="AF394" s="1" t="s">
        <v>320</v>
      </c>
      <c r="AG394" s="1">
        <v>6.74</v>
      </c>
      <c r="AH394" s="1">
        <f t="shared" si="1233"/>
        <v>2.476832654823494</v>
      </c>
      <c r="AI394" s="1">
        <f>8.17-AG394</f>
        <v>1.4299999999999997</v>
      </c>
      <c r="AJ394" s="1">
        <v>10.76</v>
      </c>
      <c r="AK394" s="1">
        <f t="shared" si="1234"/>
        <v>5.3505700630867352</v>
      </c>
      <c r="AL394" s="1">
        <f>12.19-AJ394</f>
        <v>1.4299999999999997</v>
      </c>
      <c r="AM394" s="12">
        <f t="shared" ref="AM394" si="1242">AG394-AJ394</f>
        <v>-4.0199999999999996</v>
      </c>
      <c r="AN394" s="1">
        <f t="shared" ref="AN394" si="1243">SQRT((((W394-1)*AH394^2)+((V394-1)*AK394^2))/(W394+V394-2))</f>
        <v>5.0625500820568012</v>
      </c>
      <c r="AO394" s="1">
        <f t="shared" ref="AO394" si="1244">AM394/AN394</f>
        <v>-0.79406621857393322</v>
      </c>
      <c r="AP394" s="1">
        <f t="shared" ref="AP394" si="1245">1/W394+1/V394+(AO394^2)/(2*(W394+V394))</f>
        <v>0.42330723298191375</v>
      </c>
      <c r="AQ394" s="1">
        <f t="shared" ref="AQ394" si="1246">1-(3/(4*(W394+V394-2)-1))</f>
        <v>0.94915254237288138</v>
      </c>
      <c r="AR394" s="21">
        <f t="shared" ref="AR394" si="1247">AO394*AQ394</f>
        <v>-0.75368997017186889</v>
      </c>
      <c r="AS394" s="21">
        <f t="shared" si="1229"/>
        <v>0.3813534853867514</v>
      </c>
      <c r="AT394" s="21">
        <f t="shared" ref="AT394" si="1248">SQRT(AP394*AQ394^2)</f>
        <v>0.61753824609229779</v>
      </c>
      <c r="AU394" s="20">
        <f t="shared" si="1230"/>
        <v>2.6222390467622065</v>
      </c>
      <c r="AV394" s="20">
        <f t="shared" si="1231"/>
        <v>-1.9763552689377173</v>
      </c>
      <c r="AW394" s="20">
        <f t="shared" si="1232"/>
        <v>1.489559143694684</v>
      </c>
      <c r="AX394" s="14"/>
      <c r="AY394" s="14"/>
      <c r="AZ394" s="1" t="s">
        <v>271</v>
      </c>
      <c r="BA394" s="2"/>
    </row>
    <row r="395" spans="1:53" ht="14.25" hidden="1" customHeight="1">
      <c r="A395" s="2">
        <v>221</v>
      </c>
      <c r="B395" s="2" t="s">
        <v>35</v>
      </c>
      <c r="C395" s="1" t="s">
        <v>85</v>
      </c>
      <c r="D395" s="1">
        <v>2021</v>
      </c>
      <c r="E395" s="1">
        <v>2016</v>
      </c>
      <c r="F395" s="1" t="s">
        <v>153</v>
      </c>
      <c r="G395" s="1" t="s">
        <v>160</v>
      </c>
      <c r="H395" s="1">
        <v>53.646073000000001</v>
      </c>
      <c r="I395" s="1" t="s">
        <v>210</v>
      </c>
      <c r="J395" s="1" t="s">
        <v>128</v>
      </c>
      <c r="K395" s="1" t="s">
        <v>177</v>
      </c>
      <c r="L395" s="1" t="s">
        <v>188</v>
      </c>
      <c r="M395" s="1" t="s">
        <v>237</v>
      </c>
      <c r="N395" s="1" t="s">
        <v>239</v>
      </c>
      <c r="O395" s="1" t="s">
        <v>86</v>
      </c>
      <c r="Q395" s="1" t="s">
        <v>93</v>
      </c>
      <c r="R395" s="1">
        <v>2012</v>
      </c>
      <c r="S395" s="1">
        <v>4</v>
      </c>
      <c r="V395" s="1">
        <v>14</v>
      </c>
      <c r="W395" s="1">
        <v>3</v>
      </c>
      <c r="X395" s="1" t="s">
        <v>97</v>
      </c>
      <c r="Y395" s="1" t="s">
        <v>364</v>
      </c>
      <c r="Z395" s="1" t="s">
        <v>1</v>
      </c>
      <c r="AA395" s="1" t="s">
        <v>98</v>
      </c>
      <c r="AB395" s="1" t="s">
        <v>203</v>
      </c>
      <c r="AC395" s="1" t="s">
        <v>99</v>
      </c>
      <c r="AD395" s="1" t="s">
        <v>111</v>
      </c>
      <c r="AE395" s="1" t="s">
        <v>257</v>
      </c>
      <c r="AF395" s="1" t="s">
        <v>366</v>
      </c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" t="s">
        <v>286</v>
      </c>
    </row>
    <row r="396" spans="1:53" ht="14.25" hidden="1" customHeight="1">
      <c r="A396" s="2">
        <v>38</v>
      </c>
      <c r="B396" s="2" t="s">
        <v>7</v>
      </c>
      <c r="C396" s="1" t="s">
        <v>85</v>
      </c>
      <c r="D396" s="1">
        <v>2018</v>
      </c>
      <c r="E396" s="1">
        <v>2004</v>
      </c>
      <c r="F396" s="1" t="s">
        <v>154</v>
      </c>
      <c r="G396" s="1" t="s">
        <v>117</v>
      </c>
      <c r="H396" s="1">
        <v>63.266666999999998</v>
      </c>
      <c r="I396" s="1">
        <v>30.75</v>
      </c>
      <c r="J396" s="1" t="s">
        <v>126</v>
      </c>
      <c r="K396" s="1" t="s">
        <v>177</v>
      </c>
      <c r="L396" s="1" t="s">
        <v>183</v>
      </c>
      <c r="M396" s="1" t="s">
        <v>237</v>
      </c>
      <c r="N396" s="1" t="s">
        <v>239</v>
      </c>
      <c r="O396" s="1" t="s">
        <v>86</v>
      </c>
      <c r="P396" s="1" t="s">
        <v>146</v>
      </c>
      <c r="Q396" s="1" t="s">
        <v>93</v>
      </c>
      <c r="R396" s="1">
        <v>1992</v>
      </c>
      <c r="S396" s="1">
        <v>12</v>
      </c>
      <c r="U396" s="1">
        <v>143</v>
      </c>
      <c r="V396" s="1">
        <v>6</v>
      </c>
      <c r="W396" s="1">
        <v>4</v>
      </c>
      <c r="X396" s="1" t="s">
        <v>114</v>
      </c>
      <c r="Y396" s="1" t="s">
        <v>2</v>
      </c>
      <c r="Z396" s="1" t="s">
        <v>0</v>
      </c>
      <c r="AA396" s="1" t="s">
        <v>113</v>
      </c>
      <c r="AD396" s="1" t="s">
        <v>2</v>
      </c>
      <c r="AE396" s="1" t="s">
        <v>257</v>
      </c>
      <c r="AF396" s="1" t="s">
        <v>319</v>
      </c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" t="s">
        <v>286</v>
      </c>
    </row>
    <row r="397" spans="1:53" ht="14.25" hidden="1" customHeight="1">
      <c r="A397" s="2">
        <v>38</v>
      </c>
      <c r="B397" s="2" t="s">
        <v>7</v>
      </c>
      <c r="C397" s="1" t="s">
        <v>85</v>
      </c>
      <c r="D397" s="1">
        <v>2018</v>
      </c>
      <c r="E397" s="1">
        <v>2004</v>
      </c>
      <c r="F397" s="1" t="s">
        <v>154</v>
      </c>
      <c r="G397" s="1" t="s">
        <v>117</v>
      </c>
      <c r="H397" s="1">
        <v>63.266666999999998</v>
      </c>
      <c r="I397" s="1">
        <v>30.75</v>
      </c>
      <c r="J397" s="1" t="s">
        <v>126</v>
      </c>
      <c r="K397" s="1" t="s">
        <v>177</v>
      </c>
      <c r="L397" s="1" t="s">
        <v>183</v>
      </c>
      <c r="M397" s="1" t="s">
        <v>237</v>
      </c>
      <c r="N397" s="1" t="s">
        <v>239</v>
      </c>
      <c r="O397" s="1" t="s">
        <v>86</v>
      </c>
      <c r="P397" s="1" t="s">
        <v>211</v>
      </c>
      <c r="Q397" s="1" t="s">
        <v>93</v>
      </c>
      <c r="R397" s="1">
        <v>1992</v>
      </c>
      <c r="S397" s="1">
        <v>12</v>
      </c>
      <c r="U397" s="1">
        <v>143</v>
      </c>
      <c r="V397" s="1">
        <v>6</v>
      </c>
      <c r="W397" s="1">
        <v>4</v>
      </c>
      <c r="X397" s="1" t="s">
        <v>114</v>
      </c>
      <c r="Y397" s="1" t="s">
        <v>2</v>
      </c>
      <c r="Z397" s="1" t="s">
        <v>0</v>
      </c>
      <c r="AA397" s="1" t="s">
        <v>113</v>
      </c>
      <c r="AD397" s="1" t="s">
        <v>2</v>
      </c>
      <c r="AE397" s="1" t="s">
        <v>257</v>
      </c>
      <c r="AF397" s="1" t="s">
        <v>319</v>
      </c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" t="s">
        <v>286</v>
      </c>
    </row>
    <row r="398" spans="1:53" ht="14.25" hidden="1" customHeight="1">
      <c r="A398" s="2">
        <v>38</v>
      </c>
      <c r="B398" s="2" t="s">
        <v>7</v>
      </c>
      <c r="C398" s="1" t="s">
        <v>85</v>
      </c>
      <c r="D398" s="1">
        <v>2018</v>
      </c>
      <c r="E398" s="1">
        <v>2004</v>
      </c>
      <c r="F398" s="1" t="s">
        <v>154</v>
      </c>
      <c r="G398" s="1" t="s">
        <v>117</v>
      </c>
      <c r="H398" s="1">
        <v>63.266666999999998</v>
      </c>
      <c r="I398" s="1">
        <v>30.75</v>
      </c>
      <c r="J398" s="1" t="s">
        <v>126</v>
      </c>
      <c r="K398" s="1" t="s">
        <v>177</v>
      </c>
      <c r="L398" s="1" t="s">
        <v>183</v>
      </c>
      <c r="M398" s="1" t="s">
        <v>237</v>
      </c>
      <c r="N398" s="1" t="s">
        <v>239</v>
      </c>
      <c r="O398" s="1" t="s">
        <v>86</v>
      </c>
      <c r="P398" s="1" t="s">
        <v>129</v>
      </c>
      <c r="Q398" s="1" t="s">
        <v>93</v>
      </c>
      <c r="R398" s="1">
        <v>1992</v>
      </c>
      <c r="S398" s="1">
        <v>12</v>
      </c>
      <c r="U398" s="1">
        <v>143</v>
      </c>
      <c r="V398" s="1">
        <v>6</v>
      </c>
      <c r="W398" s="1">
        <v>4</v>
      </c>
      <c r="X398" s="1" t="s">
        <v>114</v>
      </c>
      <c r="Y398" s="1" t="s">
        <v>2</v>
      </c>
      <c r="Z398" s="1" t="s">
        <v>0</v>
      </c>
      <c r="AA398" s="1" t="s">
        <v>113</v>
      </c>
      <c r="AD398" s="1" t="s">
        <v>2</v>
      </c>
      <c r="AE398" s="1" t="s">
        <v>257</v>
      </c>
      <c r="AF398" s="1" t="s">
        <v>319</v>
      </c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" t="s">
        <v>286</v>
      </c>
    </row>
    <row r="399" spans="1:53" ht="14.25" hidden="1" customHeight="1">
      <c r="A399" s="2">
        <v>170</v>
      </c>
      <c r="B399" s="2" t="s">
        <v>23</v>
      </c>
      <c r="C399" s="1" t="s">
        <v>85</v>
      </c>
      <c r="D399" s="1">
        <v>2021</v>
      </c>
      <c r="E399" s="1">
        <v>2017</v>
      </c>
      <c r="F399" s="1" t="s">
        <v>143</v>
      </c>
      <c r="G399" s="1" t="s">
        <v>109</v>
      </c>
      <c r="H399" s="1">
        <v>38.460099999999997</v>
      </c>
      <c r="I399" s="1">
        <v>-122.5515</v>
      </c>
      <c r="J399" s="1" t="s">
        <v>128</v>
      </c>
      <c r="K399" s="1" t="s">
        <v>175</v>
      </c>
      <c r="L399" s="1" t="s">
        <v>176</v>
      </c>
      <c r="M399" s="1" t="s">
        <v>237</v>
      </c>
      <c r="N399" s="1" t="s">
        <v>239</v>
      </c>
      <c r="O399" s="1" t="s">
        <v>86</v>
      </c>
      <c r="P399" s="1" t="s">
        <v>129</v>
      </c>
      <c r="Q399" s="1" t="s">
        <v>93</v>
      </c>
      <c r="R399" s="1">
        <v>2017</v>
      </c>
      <c r="S399" s="1" t="s">
        <v>152</v>
      </c>
      <c r="U399" s="1">
        <v>90000</v>
      </c>
      <c r="V399" s="1">
        <v>45</v>
      </c>
      <c r="W399" s="1">
        <v>45</v>
      </c>
      <c r="X399" s="1" t="s">
        <v>97</v>
      </c>
      <c r="Y399" s="1" t="s">
        <v>133</v>
      </c>
      <c r="Z399" s="1" t="s">
        <v>1</v>
      </c>
      <c r="AA399" s="1" t="s">
        <v>98</v>
      </c>
      <c r="AB399" s="1" t="s">
        <v>203</v>
      </c>
      <c r="AC399" s="1" t="s">
        <v>99</v>
      </c>
      <c r="AD399" s="1" t="s">
        <v>100</v>
      </c>
      <c r="AE399" s="1" t="s">
        <v>223</v>
      </c>
      <c r="AF399" s="1" t="s">
        <v>323</v>
      </c>
      <c r="AG399" s="1">
        <v>222.85</v>
      </c>
      <c r="AH399" s="1">
        <f>325.47-120.9</f>
        <v>204.57000000000002</v>
      </c>
      <c r="AJ399" s="1">
        <v>383.9</v>
      </c>
      <c r="AK399" s="1">
        <f>487.27-280.6</f>
        <v>206.66999999999996</v>
      </c>
      <c r="AM399" s="12">
        <f t="shared" si="936"/>
        <v>-161.04999999999998</v>
      </c>
      <c r="AN399" s="1">
        <f t="shared" si="679"/>
        <v>205.62268089877631</v>
      </c>
      <c r="AO399" s="1">
        <f t="shared" si="1176"/>
        <v>-0.78323071801248179</v>
      </c>
      <c r="AP399" s="1">
        <f t="shared" si="680"/>
        <v>4.7852501986879709E-2</v>
      </c>
      <c r="AQ399" s="1">
        <f t="shared" si="681"/>
        <v>0.99145299145299148</v>
      </c>
      <c r="AR399" s="21">
        <f t="shared" si="1217"/>
        <v>-0.77653643837134945</v>
      </c>
      <c r="AS399" s="21">
        <f t="shared" ref="AS399:AS406" si="1249">AP399*(AQ399^2)</f>
        <v>4.7038006190039693E-2</v>
      </c>
      <c r="AT399" s="21">
        <f t="shared" si="594"/>
        <v>0.21688247091464005</v>
      </c>
      <c r="AU399" s="20">
        <f t="shared" ref="AU399:AU406" si="1250">1/AS399</f>
        <v>21.259404490060003</v>
      </c>
      <c r="AV399" s="20">
        <f t="shared" ref="AV399:AV406" si="1251">AR399/AS399</f>
        <v>-16.508702244607068</v>
      </c>
      <c r="AW399" s="20">
        <f t="shared" ref="AW399:AW406" si="1252">((AR399)^2)/AS399</f>
        <v>12.819608843160275</v>
      </c>
      <c r="AX399" s="14"/>
      <c r="AY399" s="14"/>
      <c r="AZ399" s="1" t="s">
        <v>271</v>
      </c>
      <c r="BA399" s="2"/>
    </row>
    <row r="400" spans="1:53" ht="14.25" hidden="1" customHeight="1">
      <c r="A400" s="2">
        <v>170</v>
      </c>
      <c r="B400" s="2" t="s">
        <v>23</v>
      </c>
      <c r="C400" s="1" t="s">
        <v>85</v>
      </c>
      <c r="D400" s="1">
        <v>2021</v>
      </c>
      <c r="E400" s="1">
        <v>2017</v>
      </c>
      <c r="F400" s="1" t="s">
        <v>143</v>
      </c>
      <c r="G400" s="1" t="s">
        <v>109</v>
      </c>
      <c r="H400" s="1">
        <v>38.460099999999997</v>
      </c>
      <c r="I400" s="1">
        <v>-122.5515</v>
      </c>
      <c r="J400" s="1" t="s">
        <v>128</v>
      </c>
      <c r="K400" s="1" t="s">
        <v>175</v>
      </c>
      <c r="L400" s="1" t="s">
        <v>176</v>
      </c>
      <c r="M400" s="1" t="s">
        <v>237</v>
      </c>
      <c r="N400" s="1" t="s">
        <v>239</v>
      </c>
      <c r="O400" s="1" t="s">
        <v>86</v>
      </c>
      <c r="P400" s="1" t="s">
        <v>129</v>
      </c>
      <c r="Q400" s="1" t="s">
        <v>93</v>
      </c>
      <c r="R400" s="1">
        <v>2017</v>
      </c>
      <c r="S400" s="1" t="s">
        <v>152</v>
      </c>
      <c r="U400" s="1">
        <v>90000</v>
      </c>
      <c r="V400" s="1">
        <v>45</v>
      </c>
      <c r="W400" s="1">
        <v>45</v>
      </c>
      <c r="X400" s="1" t="s">
        <v>97</v>
      </c>
      <c r="Y400" s="1" t="s">
        <v>133</v>
      </c>
      <c r="Z400" s="1" t="s">
        <v>1</v>
      </c>
      <c r="AA400" s="1" t="s">
        <v>98</v>
      </c>
      <c r="AB400" s="1" t="s">
        <v>203</v>
      </c>
      <c r="AC400" s="1" t="s">
        <v>99</v>
      </c>
      <c r="AD400" s="1" t="s">
        <v>100</v>
      </c>
      <c r="AE400" s="1" t="s">
        <v>150</v>
      </c>
      <c r="AF400" s="1" t="s">
        <v>323</v>
      </c>
      <c r="AG400" s="1">
        <v>16.14</v>
      </c>
      <c r="AH400" s="1">
        <f>25.53-6.67</f>
        <v>18.86</v>
      </c>
      <c r="AJ400" s="1">
        <v>34.18</v>
      </c>
      <c r="AK400" s="1">
        <f>41.72-26.4</f>
        <v>15.32</v>
      </c>
      <c r="AM400" s="12">
        <f t="shared" si="936"/>
        <v>-18.04</v>
      </c>
      <c r="AN400" s="1">
        <f t="shared" si="679"/>
        <v>17.1814143771693</v>
      </c>
      <c r="AO400" s="1">
        <f t="shared" ref="AO400" si="1253">AM400/AN400</f>
        <v>-1.0499717662343089</v>
      </c>
      <c r="AP400" s="1">
        <f t="shared" si="680"/>
        <v>5.0569115054939967E-2</v>
      </c>
      <c r="AQ400" s="1">
        <f t="shared" si="681"/>
        <v>0.99145299145299148</v>
      </c>
      <c r="AR400" s="21">
        <f t="shared" ref="AR400" si="1254">AO400*AQ400</f>
        <v>-1.0409976485741865</v>
      </c>
      <c r="AS400" s="21">
        <f t="shared" si="1249"/>
        <v>4.9708379880142615E-2</v>
      </c>
      <c r="AT400" s="21">
        <f t="shared" ref="AT400" si="1255">SQRT(AP400*AQ400^2)</f>
        <v>0.2229537617537381</v>
      </c>
      <c r="AU400" s="20">
        <f t="shared" si="1250"/>
        <v>20.117332377583232</v>
      </c>
      <c r="AV400" s="20">
        <f t="shared" si="1251"/>
        <v>-20.942095700649496</v>
      </c>
      <c r="AW400" s="20">
        <f t="shared" si="1252"/>
        <v>21.800672380591706</v>
      </c>
      <c r="AX400" s="14"/>
      <c r="AY400" s="14"/>
      <c r="AZ400" s="1" t="s">
        <v>271</v>
      </c>
      <c r="BA400" s="2"/>
    </row>
    <row r="401" spans="1:53" ht="14.25" customHeight="1">
      <c r="A401" s="2">
        <v>170</v>
      </c>
      <c r="B401" s="2" t="s">
        <v>23</v>
      </c>
      <c r="C401" s="1" t="s">
        <v>85</v>
      </c>
      <c r="D401" s="1">
        <v>2021</v>
      </c>
      <c r="E401" s="1">
        <v>2017</v>
      </c>
      <c r="F401" s="1" t="s">
        <v>143</v>
      </c>
      <c r="G401" s="1" t="s">
        <v>109</v>
      </c>
      <c r="H401" s="1">
        <v>38.460099999999997</v>
      </c>
      <c r="I401" s="1">
        <v>-122.5515</v>
      </c>
      <c r="J401" s="1" t="s">
        <v>128</v>
      </c>
      <c r="K401" s="1" t="s">
        <v>175</v>
      </c>
      <c r="L401" s="1" t="s">
        <v>176</v>
      </c>
      <c r="M401" s="1" t="s">
        <v>237</v>
      </c>
      <c r="N401" s="1" t="s">
        <v>239</v>
      </c>
      <c r="O401" s="1" t="s">
        <v>86</v>
      </c>
      <c r="P401" s="1" t="s">
        <v>129</v>
      </c>
      <c r="Q401" s="1" t="s">
        <v>93</v>
      </c>
      <c r="R401" s="1">
        <v>2017</v>
      </c>
      <c r="S401" s="1" t="s">
        <v>152</v>
      </c>
      <c r="U401" s="1">
        <v>90000</v>
      </c>
      <c r="V401" s="1">
        <v>45</v>
      </c>
      <c r="W401" s="1">
        <v>45</v>
      </c>
      <c r="X401" s="1" t="s">
        <v>97</v>
      </c>
      <c r="Y401" s="1" t="s">
        <v>133</v>
      </c>
      <c r="Z401" s="1" t="s">
        <v>1</v>
      </c>
      <c r="AA401" s="1" t="s">
        <v>98</v>
      </c>
      <c r="AB401" s="1" t="s">
        <v>203</v>
      </c>
      <c r="AC401" s="1" t="s">
        <v>99</v>
      </c>
      <c r="AD401" s="1" t="s">
        <v>100</v>
      </c>
      <c r="AE401" s="1" t="s">
        <v>151</v>
      </c>
      <c r="AF401" s="1" t="s">
        <v>323</v>
      </c>
      <c r="AG401" s="1">
        <v>86.75</v>
      </c>
      <c r="AH401" s="1">
        <f>120.03-53.47</f>
        <v>66.56</v>
      </c>
      <c r="AJ401" s="1">
        <v>133.94</v>
      </c>
      <c r="AK401" s="1">
        <f>167.72-99</f>
        <v>68.72</v>
      </c>
      <c r="AM401" s="12">
        <f t="shared" si="936"/>
        <v>-47.19</v>
      </c>
      <c r="AN401" s="1">
        <f t="shared" si="679"/>
        <v>67.648621567626932</v>
      </c>
      <c r="AO401" s="1">
        <f t="shared" ref="AO401" si="1256">AM401/AN401</f>
        <v>-0.69757518936029062</v>
      </c>
      <c r="AP401" s="1">
        <f t="shared" si="680"/>
        <v>4.71478396933947E-2</v>
      </c>
      <c r="AQ401" s="1">
        <f t="shared" si="681"/>
        <v>0.99145299145299148</v>
      </c>
      <c r="AR401" s="21">
        <f t="shared" ref="AR401" si="1257">AO401*AQ401</f>
        <v>-0.69161300825464711</v>
      </c>
      <c r="AS401" s="21">
        <f t="shared" si="1249"/>
        <v>4.6345337929309602E-2</v>
      </c>
      <c r="AT401" s="21">
        <f t="shared" ref="AT401" si="1258">SQRT(AP401*AQ401^2)</f>
        <v>0.21527967374861381</v>
      </c>
      <c r="AU401" s="20">
        <f t="shared" si="1250"/>
        <v>21.577143347736442</v>
      </c>
      <c r="AV401" s="20">
        <f t="shared" si="1251"/>
        <v>-14.923033020269747</v>
      </c>
      <c r="AW401" s="20">
        <f t="shared" si="1252"/>
        <v>10.320963759432193</v>
      </c>
      <c r="AX401" s="14"/>
      <c r="AY401" s="14"/>
      <c r="AZ401" s="1" t="s">
        <v>271</v>
      </c>
      <c r="BA401" s="2"/>
    </row>
    <row r="402" spans="1:53" ht="14.25" hidden="1" customHeight="1">
      <c r="A402" s="2">
        <v>170</v>
      </c>
      <c r="B402" s="2" t="s">
        <v>23</v>
      </c>
      <c r="C402" s="1" t="s">
        <v>85</v>
      </c>
      <c r="D402" s="1">
        <v>2021</v>
      </c>
      <c r="E402" s="1">
        <v>2017</v>
      </c>
      <c r="F402" s="1" t="s">
        <v>143</v>
      </c>
      <c r="G402" s="1" t="s">
        <v>109</v>
      </c>
      <c r="H402" s="1">
        <v>38.460099999999997</v>
      </c>
      <c r="I402" s="1">
        <v>-122.5515</v>
      </c>
      <c r="J402" s="1" t="s">
        <v>128</v>
      </c>
      <c r="K402" s="1" t="s">
        <v>175</v>
      </c>
      <c r="L402" s="1" t="s">
        <v>176</v>
      </c>
      <c r="M402" s="1" t="s">
        <v>237</v>
      </c>
      <c r="N402" s="1" t="s">
        <v>239</v>
      </c>
      <c r="O402" s="1" t="s">
        <v>86</v>
      </c>
      <c r="P402" s="1" t="s">
        <v>129</v>
      </c>
      <c r="Q402" s="1" t="s">
        <v>93</v>
      </c>
      <c r="R402" s="1">
        <v>2017</v>
      </c>
      <c r="S402" s="1" t="s">
        <v>152</v>
      </c>
      <c r="U402" s="1">
        <v>90000</v>
      </c>
      <c r="V402" s="1">
        <v>45</v>
      </c>
      <c r="W402" s="1">
        <v>45</v>
      </c>
      <c r="X402" s="1" t="s">
        <v>97</v>
      </c>
      <c r="Y402" s="1" t="s">
        <v>133</v>
      </c>
      <c r="Z402" s="1" t="s">
        <v>1</v>
      </c>
      <c r="AA402" s="1" t="s">
        <v>98</v>
      </c>
      <c r="AB402" s="1" t="s">
        <v>203</v>
      </c>
      <c r="AC402" s="1" t="s">
        <v>99</v>
      </c>
      <c r="AD402" s="1" t="s">
        <v>100</v>
      </c>
      <c r="AE402" s="1" t="s">
        <v>315</v>
      </c>
      <c r="AF402" s="1" t="s">
        <v>323</v>
      </c>
      <c r="AG402" s="1">
        <v>34.89</v>
      </c>
      <c r="AH402" s="1">
        <f>49-21.2</f>
        <v>27.8</v>
      </c>
      <c r="AJ402" s="1">
        <v>33.880000000000003</v>
      </c>
      <c r="AK402" s="1">
        <f>48.07-19.9</f>
        <v>28.17</v>
      </c>
      <c r="AM402" s="12">
        <f t="shared" si="936"/>
        <v>1.009999999999998</v>
      </c>
      <c r="AN402" s="1">
        <f t="shared" si="679"/>
        <v>27.985611481616765</v>
      </c>
      <c r="AO402" s="1">
        <f t="shared" ref="AO402" si="1259">AM402/AN402</f>
        <v>3.608997433068234E-2</v>
      </c>
      <c r="AP402" s="1">
        <f t="shared" si="680"/>
        <v>4.4451680479151053E-2</v>
      </c>
      <c r="AQ402" s="1">
        <f t="shared" si="681"/>
        <v>0.99145299145299148</v>
      </c>
      <c r="AR402" s="21">
        <f t="shared" ref="AR402" si="1260">AO402*AQ402</f>
        <v>3.5781513011616681E-2</v>
      </c>
      <c r="AS402" s="21">
        <f t="shared" si="1249"/>
        <v>4.369506994867825E-2</v>
      </c>
      <c r="AT402" s="21">
        <f t="shared" ref="AT402" si="1261">SQRT(AP402*AQ402^2)</f>
        <v>0.20903365745419625</v>
      </c>
      <c r="AU402" s="20">
        <f t="shared" si="1250"/>
        <v>22.885877083491188</v>
      </c>
      <c r="AV402" s="20">
        <f t="shared" si="1251"/>
        <v>0.81889130864519988</v>
      </c>
      <c r="AW402" s="20">
        <f t="shared" si="1252"/>
        <v>2.9301170015388033E-2</v>
      </c>
      <c r="AX402" s="14"/>
      <c r="AY402" s="14"/>
      <c r="AZ402" s="1" t="s">
        <v>271</v>
      </c>
      <c r="BA402" s="2"/>
    </row>
    <row r="403" spans="1:53" ht="14.25" hidden="1" customHeight="1">
      <c r="A403" s="2">
        <v>170</v>
      </c>
      <c r="B403" s="2" t="s">
        <v>23</v>
      </c>
      <c r="C403" s="1" t="s">
        <v>85</v>
      </c>
      <c r="D403" s="1">
        <v>2021</v>
      </c>
      <c r="E403" s="1">
        <v>2017</v>
      </c>
      <c r="F403" s="1" t="s">
        <v>143</v>
      </c>
      <c r="G403" s="1" t="s">
        <v>109</v>
      </c>
      <c r="H403" s="1">
        <v>38.460099999999997</v>
      </c>
      <c r="I403" s="1">
        <v>-122.5515</v>
      </c>
      <c r="J403" s="1" t="s">
        <v>128</v>
      </c>
      <c r="K403" s="1" t="s">
        <v>179</v>
      </c>
      <c r="L403" s="1" t="s">
        <v>184</v>
      </c>
      <c r="M403" s="1" t="s">
        <v>238</v>
      </c>
      <c r="N403" s="1" t="s">
        <v>239</v>
      </c>
      <c r="O403" s="1" t="s">
        <v>86</v>
      </c>
      <c r="P403" s="1" t="s">
        <v>129</v>
      </c>
      <c r="Q403" s="1" t="s">
        <v>93</v>
      </c>
      <c r="R403" s="1">
        <v>2017</v>
      </c>
      <c r="S403" s="1" t="s">
        <v>152</v>
      </c>
      <c r="U403" s="1">
        <v>90000</v>
      </c>
      <c r="V403" s="1">
        <v>45</v>
      </c>
      <c r="W403" s="1">
        <v>45</v>
      </c>
      <c r="X403" s="1" t="s">
        <v>97</v>
      </c>
      <c r="Y403" s="1" t="s">
        <v>133</v>
      </c>
      <c r="Z403" s="1" t="s">
        <v>1</v>
      </c>
      <c r="AA403" s="1" t="s">
        <v>98</v>
      </c>
      <c r="AB403" s="1" t="s">
        <v>203</v>
      </c>
      <c r="AC403" s="1" t="s">
        <v>99</v>
      </c>
      <c r="AD403" s="1" t="s">
        <v>100</v>
      </c>
      <c r="AE403" s="1" t="s">
        <v>223</v>
      </c>
      <c r="AF403" s="1" t="s">
        <v>323</v>
      </c>
      <c r="AG403" s="1">
        <v>326.97000000000003</v>
      </c>
      <c r="AH403" s="1">
        <f>443.07-210.4</f>
        <v>232.67</v>
      </c>
      <c r="AJ403" s="1">
        <v>396.63</v>
      </c>
      <c r="AK403" s="1">
        <f>505.99-288.06</f>
        <v>217.93</v>
      </c>
      <c r="AM403" s="12">
        <f t="shared" si="936"/>
        <v>-69.659999999999968</v>
      </c>
      <c r="AN403" s="1">
        <f t="shared" si="679"/>
        <v>225.42051126727574</v>
      </c>
      <c r="AO403" s="1">
        <f t="shared" si="1176"/>
        <v>-0.30902245589091831</v>
      </c>
      <c r="AP403" s="1">
        <f t="shared" si="680"/>
        <v>4.4974971545804751E-2</v>
      </c>
      <c r="AQ403" s="1">
        <f t="shared" si="681"/>
        <v>0.99145299145299148</v>
      </c>
      <c r="AR403" s="21">
        <f t="shared" si="1217"/>
        <v>-0.30638123831920105</v>
      </c>
      <c r="AS403" s="21">
        <f t="shared" si="1249"/>
        <v>4.4209454096014955E-2</v>
      </c>
      <c r="AT403" s="21">
        <f t="shared" ref="AT403" si="1262">SQRT(AP403*AQ403^2)</f>
        <v>0.21026044348858144</v>
      </c>
      <c r="AU403" s="20">
        <f t="shared" si="1250"/>
        <v>22.619596202843411</v>
      </c>
      <c r="AV403" s="20">
        <f t="shared" si="1251"/>
        <v>-6.9302198949074629</v>
      </c>
      <c r="AW403" s="20">
        <f t="shared" si="1252"/>
        <v>2.1232893532261117</v>
      </c>
      <c r="AX403" s="14"/>
      <c r="AY403" s="14"/>
      <c r="AZ403" s="1" t="s">
        <v>271</v>
      </c>
      <c r="BA403" s="2"/>
    </row>
    <row r="404" spans="1:53" ht="14.25" hidden="1" customHeight="1">
      <c r="A404" s="2">
        <v>170</v>
      </c>
      <c r="B404" s="2" t="s">
        <v>23</v>
      </c>
      <c r="C404" s="1" t="s">
        <v>85</v>
      </c>
      <c r="D404" s="1">
        <v>2021</v>
      </c>
      <c r="E404" s="1">
        <v>2017</v>
      </c>
      <c r="F404" s="1" t="s">
        <v>143</v>
      </c>
      <c r="G404" s="1" t="s">
        <v>109</v>
      </c>
      <c r="H404" s="1">
        <v>38.460099999999997</v>
      </c>
      <c r="I404" s="1">
        <v>-122.5515</v>
      </c>
      <c r="J404" s="1" t="s">
        <v>128</v>
      </c>
      <c r="K404" s="1" t="s">
        <v>179</v>
      </c>
      <c r="L404" s="1" t="s">
        <v>184</v>
      </c>
      <c r="M404" s="1" t="s">
        <v>238</v>
      </c>
      <c r="N404" s="1" t="s">
        <v>239</v>
      </c>
      <c r="O404" s="1" t="s">
        <v>86</v>
      </c>
      <c r="P404" s="1" t="s">
        <v>129</v>
      </c>
      <c r="Q404" s="1" t="s">
        <v>93</v>
      </c>
      <c r="R404" s="1">
        <v>2017</v>
      </c>
      <c r="S404" s="1" t="s">
        <v>152</v>
      </c>
      <c r="U404" s="1">
        <v>90000</v>
      </c>
      <c r="V404" s="1">
        <v>45</v>
      </c>
      <c r="W404" s="1">
        <v>45</v>
      </c>
      <c r="X404" s="1" t="s">
        <v>97</v>
      </c>
      <c r="Y404" s="1" t="s">
        <v>133</v>
      </c>
      <c r="Z404" s="1" t="s">
        <v>1</v>
      </c>
      <c r="AA404" s="1" t="s">
        <v>98</v>
      </c>
      <c r="AB404" s="1" t="s">
        <v>203</v>
      </c>
      <c r="AC404" s="1" t="s">
        <v>99</v>
      </c>
      <c r="AD404" s="1" t="s">
        <v>100</v>
      </c>
      <c r="AE404" s="1" t="s">
        <v>150</v>
      </c>
      <c r="AF404" s="1" t="s">
        <v>323</v>
      </c>
      <c r="AG404" s="1">
        <v>33.29</v>
      </c>
      <c r="AH404" s="1">
        <f>44.01-22.7</f>
        <v>21.31</v>
      </c>
      <c r="AJ404" s="1">
        <v>35.43</v>
      </c>
      <c r="AK404" s="1">
        <f>46.52-24.4</f>
        <v>22.120000000000005</v>
      </c>
      <c r="AM404" s="12">
        <f t="shared" si="936"/>
        <v>-2.1400000000000006</v>
      </c>
      <c r="AN404" s="1">
        <f t="shared" si="679"/>
        <v>21.71877643883283</v>
      </c>
      <c r="AO404" s="1">
        <f t="shared" ref="AO404" si="1263">AM404/AN404</f>
        <v>-9.853225415469144E-2</v>
      </c>
      <c r="AP404" s="1">
        <f t="shared" si="680"/>
        <v>4.4498381139493358E-2</v>
      </c>
      <c r="AQ404" s="1">
        <f t="shared" si="681"/>
        <v>0.99145299145299148</v>
      </c>
      <c r="AR404" s="21">
        <f t="shared" ref="AR404" si="1264">AO404*AQ404</f>
        <v>-9.7690098136275272E-2</v>
      </c>
      <c r="AS404" s="21">
        <f t="shared" si="1249"/>
        <v>4.3740975718680887E-2</v>
      </c>
      <c r="AT404" s="21">
        <f t="shared" ref="AT404" si="1265">SQRT(AP404*AQ404^2)</f>
        <v>0.20914343336256314</v>
      </c>
      <c r="AU404" s="20">
        <f t="shared" si="1250"/>
        <v>22.861858556413505</v>
      </c>
      <c r="AV404" s="20">
        <f t="shared" si="1251"/>
        <v>-2.2333772059536798</v>
      </c>
      <c r="AW404" s="20">
        <f t="shared" si="1252"/>
        <v>0.21817883842493524</v>
      </c>
      <c r="AX404" s="14"/>
      <c r="AY404" s="14"/>
      <c r="AZ404" s="1" t="s">
        <v>271</v>
      </c>
      <c r="BA404" s="2"/>
    </row>
    <row r="405" spans="1:53" ht="14.25" customHeight="1">
      <c r="A405" s="2">
        <v>170</v>
      </c>
      <c r="B405" s="2" t="s">
        <v>23</v>
      </c>
      <c r="C405" s="1" t="s">
        <v>85</v>
      </c>
      <c r="D405" s="1">
        <v>2021</v>
      </c>
      <c r="E405" s="1">
        <v>2017</v>
      </c>
      <c r="F405" s="1" t="s">
        <v>143</v>
      </c>
      <c r="G405" s="1" t="s">
        <v>109</v>
      </c>
      <c r="H405" s="1">
        <v>38.460099999999997</v>
      </c>
      <c r="I405" s="1">
        <v>-122.5515</v>
      </c>
      <c r="J405" s="1" t="s">
        <v>128</v>
      </c>
      <c r="K405" s="1" t="s">
        <v>179</v>
      </c>
      <c r="L405" s="1" t="s">
        <v>184</v>
      </c>
      <c r="M405" s="1" t="s">
        <v>238</v>
      </c>
      <c r="N405" s="1" t="s">
        <v>239</v>
      </c>
      <c r="O405" s="1" t="s">
        <v>86</v>
      </c>
      <c r="P405" s="1" t="s">
        <v>129</v>
      </c>
      <c r="Q405" s="1" t="s">
        <v>93</v>
      </c>
      <c r="R405" s="1">
        <v>2017</v>
      </c>
      <c r="S405" s="1" t="s">
        <v>152</v>
      </c>
      <c r="U405" s="1">
        <v>90000</v>
      </c>
      <c r="V405" s="1">
        <v>45</v>
      </c>
      <c r="W405" s="1">
        <v>45</v>
      </c>
      <c r="X405" s="1" t="s">
        <v>97</v>
      </c>
      <c r="Y405" s="1" t="s">
        <v>133</v>
      </c>
      <c r="Z405" s="1" t="s">
        <v>1</v>
      </c>
      <c r="AA405" s="1" t="s">
        <v>98</v>
      </c>
      <c r="AB405" s="1" t="s">
        <v>203</v>
      </c>
      <c r="AC405" s="1" t="s">
        <v>99</v>
      </c>
      <c r="AD405" s="1" t="s">
        <v>100</v>
      </c>
      <c r="AE405" s="1" t="s">
        <v>151</v>
      </c>
      <c r="AF405" s="1" t="s">
        <v>323</v>
      </c>
      <c r="AG405" s="1">
        <v>121.52</v>
      </c>
      <c r="AH405" s="1">
        <f>160.02-85.1</f>
        <v>74.920000000000016</v>
      </c>
      <c r="AJ405" s="1">
        <v>148.59</v>
      </c>
      <c r="AK405" s="1">
        <f>185.84-110.6</f>
        <v>75.240000000000009</v>
      </c>
      <c r="AM405" s="12">
        <f t="shared" si="936"/>
        <v>-27.070000000000007</v>
      </c>
      <c r="AN405" s="1">
        <f t="shared" si="679"/>
        <v>75.080170484622641</v>
      </c>
      <c r="AO405" s="1">
        <f t="shared" ref="AO405" si="1266">AM405/AN405</f>
        <v>-0.36054792930370722</v>
      </c>
      <c r="AP405" s="1">
        <f t="shared" si="680"/>
        <v>4.5166637829584397E-2</v>
      </c>
      <c r="AQ405" s="1">
        <f t="shared" si="681"/>
        <v>0.99145299145299148</v>
      </c>
      <c r="AR405" s="21">
        <f t="shared" ref="AR405" si="1267">AO405*AQ405</f>
        <v>-0.35746632307034221</v>
      </c>
      <c r="AS405" s="21">
        <f t="shared" si="1249"/>
        <v>4.4397858034545087E-2</v>
      </c>
      <c r="AT405" s="21">
        <f t="shared" ref="AT405" si="1268">SQRT(AP405*AQ405^2)</f>
        <v>0.21070799233665791</v>
      </c>
      <c r="AU405" s="20">
        <f t="shared" si="1250"/>
        <v>22.52360911695154</v>
      </c>
      <c r="AV405" s="20">
        <f t="shared" si="1251"/>
        <v>-8.0514317333103058</v>
      </c>
      <c r="AW405" s="20">
        <f t="shared" si="1252"/>
        <v>2.8781156971583068</v>
      </c>
      <c r="AX405" s="14"/>
      <c r="AY405" s="14"/>
      <c r="AZ405" s="1" t="s">
        <v>271</v>
      </c>
      <c r="BA405" s="2"/>
    </row>
    <row r="406" spans="1:53" ht="14.25" hidden="1" customHeight="1">
      <c r="A406" s="2">
        <v>170</v>
      </c>
      <c r="B406" s="2" t="s">
        <v>23</v>
      </c>
      <c r="C406" s="1" t="s">
        <v>85</v>
      </c>
      <c r="D406" s="1">
        <v>2021</v>
      </c>
      <c r="E406" s="1">
        <v>2017</v>
      </c>
      <c r="F406" s="1" t="s">
        <v>143</v>
      </c>
      <c r="G406" s="1" t="s">
        <v>109</v>
      </c>
      <c r="H406" s="1">
        <v>38.460099999999997</v>
      </c>
      <c r="I406" s="1">
        <v>-122.5515</v>
      </c>
      <c r="J406" s="1" t="s">
        <v>128</v>
      </c>
      <c r="K406" s="1" t="s">
        <v>179</v>
      </c>
      <c r="L406" s="1" t="s">
        <v>184</v>
      </c>
      <c r="M406" s="1" t="s">
        <v>238</v>
      </c>
      <c r="N406" s="1" t="s">
        <v>239</v>
      </c>
      <c r="O406" s="1" t="s">
        <v>86</v>
      </c>
      <c r="P406" s="1" t="s">
        <v>129</v>
      </c>
      <c r="Q406" s="1" t="s">
        <v>93</v>
      </c>
      <c r="R406" s="1">
        <v>2017</v>
      </c>
      <c r="S406" s="1" t="s">
        <v>152</v>
      </c>
      <c r="U406" s="1">
        <v>90000</v>
      </c>
      <c r="V406" s="1">
        <v>45</v>
      </c>
      <c r="W406" s="1">
        <v>45</v>
      </c>
      <c r="X406" s="1" t="s">
        <v>97</v>
      </c>
      <c r="Y406" s="1" t="s">
        <v>133</v>
      </c>
      <c r="Z406" s="1" t="s">
        <v>1</v>
      </c>
      <c r="AA406" s="1" t="s">
        <v>98</v>
      </c>
      <c r="AB406" s="1" t="s">
        <v>203</v>
      </c>
      <c r="AC406" s="1" t="s">
        <v>99</v>
      </c>
      <c r="AD406" s="1" t="s">
        <v>100</v>
      </c>
      <c r="AE406" s="1" t="s">
        <v>315</v>
      </c>
      <c r="AF406" s="1" t="s">
        <v>323</v>
      </c>
      <c r="AG406" s="1">
        <v>39.49</v>
      </c>
      <c r="AH406" s="1">
        <f>55.95-23.5</f>
        <v>32.450000000000003</v>
      </c>
      <c r="AJ406" s="1">
        <v>43.47</v>
      </c>
      <c r="AK406" s="1">
        <f>55.79-31.5</f>
        <v>24.29</v>
      </c>
      <c r="AM406" s="12">
        <f t="shared" si="936"/>
        <v>-3.9799999999999969</v>
      </c>
      <c r="AN406" s="1">
        <f t="shared" si="679"/>
        <v>28.661878863745137</v>
      </c>
      <c r="AO406" s="1">
        <f t="shared" ref="AO406" si="1269">AM406/AN406</f>
        <v>-0.13886040126400651</v>
      </c>
      <c r="AP406" s="1">
        <f t="shared" si="680"/>
        <v>4.4551567839106673E-2</v>
      </c>
      <c r="AQ406" s="1">
        <f t="shared" si="681"/>
        <v>0.99145299145299148</v>
      </c>
      <c r="AR406" s="21">
        <f t="shared" ref="AR406" si="1270">AO406*AQ406</f>
        <v>-0.137673560227562</v>
      </c>
      <c r="AS406" s="21">
        <f t="shared" si="1249"/>
        <v>4.3793257129302314E-2</v>
      </c>
      <c r="AT406" s="21">
        <f t="shared" ref="AT406" si="1271">SQRT(AP406*AQ406^2)</f>
        <v>0.20926838540329573</v>
      </c>
      <c r="AU406" s="20">
        <f t="shared" si="1250"/>
        <v>22.834565537051464</v>
      </c>
      <c r="AV406" s="20">
        <f t="shared" si="1251"/>
        <v>-3.1437159337354665</v>
      </c>
      <c r="AW406" s="20">
        <f t="shared" si="1252"/>
        <v>0.43280656494147607</v>
      </c>
      <c r="AX406" s="14"/>
      <c r="AY406" s="14"/>
      <c r="AZ406" s="1" t="s">
        <v>271</v>
      </c>
      <c r="BA406" s="2"/>
    </row>
    <row r="407" spans="1:53" ht="15" hidden="1" customHeight="1">
      <c r="A407" s="2">
        <v>170</v>
      </c>
      <c r="B407" s="2" t="s">
        <v>23</v>
      </c>
      <c r="C407" s="1" t="s">
        <v>85</v>
      </c>
      <c r="D407" s="1">
        <v>2021</v>
      </c>
      <c r="E407" s="1">
        <v>2017</v>
      </c>
      <c r="F407" s="1" t="s">
        <v>143</v>
      </c>
      <c r="G407" s="1" t="s">
        <v>109</v>
      </c>
      <c r="H407" s="1">
        <v>38.460099999999997</v>
      </c>
      <c r="I407" s="1">
        <v>-122.5515</v>
      </c>
      <c r="J407" s="1" t="s">
        <v>128</v>
      </c>
      <c r="K407" s="1" t="s">
        <v>175</v>
      </c>
      <c r="L407" s="1" t="s">
        <v>176</v>
      </c>
      <c r="M407" s="1" t="s">
        <v>237</v>
      </c>
      <c r="N407" s="1" t="s">
        <v>239</v>
      </c>
      <c r="O407" s="1" t="s">
        <v>86</v>
      </c>
      <c r="P407" s="1" t="s">
        <v>129</v>
      </c>
      <c r="Q407" s="1" t="s">
        <v>93</v>
      </c>
      <c r="R407" s="1">
        <v>2017</v>
      </c>
      <c r="S407" s="1" t="s">
        <v>152</v>
      </c>
      <c r="U407" s="1">
        <v>90000</v>
      </c>
      <c r="V407" s="1">
        <v>6</v>
      </c>
      <c r="W407" s="1">
        <v>6</v>
      </c>
      <c r="X407" s="1" t="s">
        <v>97</v>
      </c>
      <c r="Y407" s="1" t="s">
        <v>133</v>
      </c>
      <c r="Z407" s="1" t="s">
        <v>1</v>
      </c>
      <c r="AA407" s="1" t="s">
        <v>98</v>
      </c>
      <c r="AB407" s="1" t="s">
        <v>203</v>
      </c>
      <c r="AC407" s="1" t="s">
        <v>99</v>
      </c>
      <c r="AD407" s="1" t="s">
        <v>100</v>
      </c>
      <c r="AE407" s="1" t="s">
        <v>257</v>
      </c>
      <c r="AF407" s="1" t="s">
        <v>320</v>
      </c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" t="s">
        <v>286</v>
      </c>
    </row>
    <row r="408" spans="1:53" ht="14.25" hidden="1" customHeight="1">
      <c r="A408" s="2">
        <v>170</v>
      </c>
      <c r="B408" s="2" t="s">
        <v>23</v>
      </c>
      <c r="C408" s="1" t="s">
        <v>85</v>
      </c>
      <c r="D408" s="1">
        <v>2021</v>
      </c>
      <c r="E408" s="1">
        <v>2017</v>
      </c>
      <c r="F408" s="1" t="s">
        <v>143</v>
      </c>
      <c r="G408" s="1" t="s">
        <v>109</v>
      </c>
      <c r="H408" s="1">
        <v>38.460099999999997</v>
      </c>
      <c r="I408" s="1">
        <v>-122.5515</v>
      </c>
      <c r="J408" s="1" t="s">
        <v>128</v>
      </c>
      <c r="K408" s="1" t="s">
        <v>179</v>
      </c>
      <c r="L408" s="1" t="s">
        <v>184</v>
      </c>
      <c r="M408" s="1" t="s">
        <v>238</v>
      </c>
      <c r="N408" s="1" t="s">
        <v>239</v>
      </c>
      <c r="O408" s="1" t="s">
        <v>86</v>
      </c>
      <c r="P408" s="1" t="s">
        <v>129</v>
      </c>
      <c r="Q408" s="1" t="s">
        <v>93</v>
      </c>
      <c r="R408" s="1">
        <v>2017</v>
      </c>
      <c r="S408" s="1" t="s">
        <v>152</v>
      </c>
      <c r="U408" s="1">
        <v>90000</v>
      </c>
      <c r="V408" s="1">
        <v>3</v>
      </c>
      <c r="W408" s="1">
        <v>3</v>
      </c>
      <c r="X408" s="1" t="s">
        <v>97</v>
      </c>
      <c r="Y408" s="1" t="s">
        <v>133</v>
      </c>
      <c r="Z408" s="1" t="s">
        <v>1</v>
      </c>
      <c r="AA408" s="1" t="s">
        <v>98</v>
      </c>
      <c r="AB408" s="1" t="s">
        <v>203</v>
      </c>
      <c r="AC408" s="1" t="s">
        <v>99</v>
      </c>
      <c r="AD408" s="1" t="s">
        <v>100</v>
      </c>
      <c r="AE408" s="1" t="s">
        <v>257</v>
      </c>
      <c r="AF408" s="1" t="s">
        <v>320</v>
      </c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" t="s">
        <v>286</v>
      </c>
    </row>
    <row r="409" spans="1:53" ht="14.25" hidden="1" customHeight="1">
      <c r="A409" s="2">
        <v>227</v>
      </c>
      <c r="B409" s="2" t="s">
        <v>36</v>
      </c>
      <c r="C409" s="1" t="s">
        <v>85</v>
      </c>
      <c r="D409" s="1">
        <v>2015</v>
      </c>
      <c r="E409" s="1">
        <v>2011</v>
      </c>
      <c r="F409" s="1" t="s">
        <v>154</v>
      </c>
      <c r="G409" s="1" t="s">
        <v>117</v>
      </c>
      <c r="H409" s="1">
        <v>67.766666999999998</v>
      </c>
      <c r="I409" s="1">
        <v>29.583333</v>
      </c>
      <c r="J409" s="1" t="s">
        <v>128</v>
      </c>
      <c r="K409" s="1" t="s">
        <v>177</v>
      </c>
      <c r="L409" s="1" t="s">
        <v>183</v>
      </c>
      <c r="M409" s="1" t="s">
        <v>237</v>
      </c>
      <c r="N409" s="1" t="s">
        <v>239</v>
      </c>
      <c r="O409" s="1" t="s">
        <v>86</v>
      </c>
      <c r="P409" s="1" t="s">
        <v>2</v>
      </c>
      <c r="Q409" s="1" t="s">
        <v>93</v>
      </c>
      <c r="R409" s="1">
        <v>2009</v>
      </c>
      <c r="S409" s="1">
        <v>2</v>
      </c>
      <c r="U409" s="1" t="s">
        <v>2</v>
      </c>
      <c r="V409" s="1">
        <v>10</v>
      </c>
      <c r="W409" s="1">
        <v>10</v>
      </c>
      <c r="X409" s="1" t="s">
        <v>97</v>
      </c>
      <c r="Y409" s="1" t="s">
        <v>2</v>
      </c>
      <c r="Z409" s="1" t="s">
        <v>1</v>
      </c>
      <c r="AA409" s="1" t="s">
        <v>98</v>
      </c>
      <c r="AB409" s="1" t="s">
        <v>203</v>
      </c>
      <c r="AC409" s="1" t="s">
        <v>229</v>
      </c>
      <c r="AD409" s="1" t="s">
        <v>102</v>
      </c>
      <c r="AE409" s="1" t="s">
        <v>223</v>
      </c>
      <c r="AF409" s="1" t="s">
        <v>322</v>
      </c>
      <c r="AG409" s="1">
        <v>182.66</v>
      </c>
      <c r="AH409" s="1">
        <f>207.31-AG409</f>
        <v>24.650000000000006</v>
      </c>
      <c r="AJ409" s="1">
        <v>122.8</v>
      </c>
      <c r="AK409" s="1">
        <f>150.09-AJ409</f>
        <v>27.290000000000006</v>
      </c>
      <c r="AM409" s="12">
        <f t="shared" si="936"/>
        <v>59.86</v>
      </c>
      <c r="AN409" s="1">
        <f t="shared" ref="AN409:AN487" si="1272">SQRT((((W409-1)*AH409^2)+((V409-1)*AK409^2))/(W409+V409-2))</f>
        <v>26.003524761078069</v>
      </c>
      <c r="AO409" s="1">
        <f t="shared" ref="AO409:AO411" si="1273">AM409/AN409</f>
        <v>2.301995615978881</v>
      </c>
      <c r="AP409" s="1">
        <f t="shared" ref="AP409:AP487" si="1274">1/W409+1/V409+(AO409^2)/(2*(W409+V409))</f>
        <v>0.33247959539964972</v>
      </c>
      <c r="AQ409" s="1">
        <f t="shared" ref="AQ409:AQ487" si="1275">1-(3/(4*(W409+V409-2)-1))</f>
        <v>0.95774647887323949</v>
      </c>
      <c r="AR409" s="21">
        <f t="shared" ref="AR409:AR411" si="1276">AO409*AQ409</f>
        <v>2.2047281955854072</v>
      </c>
      <c r="AS409" s="21">
        <f t="shared" ref="AS409:AS411" si="1277">AP409*(AQ409^2)</f>
        <v>0.30497632396904989</v>
      </c>
      <c r="AT409" s="21">
        <f t="shared" ref="AT409:AT411" si="1278">SQRT(AP409*AQ409^2)</f>
        <v>0.5522466151721076</v>
      </c>
      <c r="AU409" s="20">
        <f t="shared" ref="AU409:AU411" si="1279">1/AS409</f>
        <v>3.2789430569091773</v>
      </c>
      <c r="AV409" s="20">
        <f t="shared" ref="AV409:AV411" si="1280">AR409/AS409</f>
        <v>7.229178209286669</v>
      </c>
      <c r="AW409" s="20">
        <f t="shared" ref="AW409:AW411" si="1281">((AR409)^2)/AS409</f>
        <v>15.938373028925945</v>
      </c>
      <c r="AX409" s="14"/>
      <c r="AY409" s="14"/>
      <c r="AZ409" s="1" t="s">
        <v>271</v>
      </c>
      <c r="BA409" s="2"/>
    </row>
    <row r="410" spans="1:53" ht="14.25" hidden="1" customHeight="1">
      <c r="A410" s="2">
        <v>227</v>
      </c>
      <c r="B410" s="2" t="s">
        <v>36</v>
      </c>
      <c r="C410" s="1" t="s">
        <v>85</v>
      </c>
      <c r="D410" s="1">
        <v>2015</v>
      </c>
      <c r="E410" s="1">
        <v>2011</v>
      </c>
      <c r="F410" s="1" t="s">
        <v>154</v>
      </c>
      <c r="G410" s="1" t="s">
        <v>117</v>
      </c>
      <c r="H410" s="1">
        <v>67.766666999999998</v>
      </c>
      <c r="I410" s="1">
        <v>29.583333</v>
      </c>
      <c r="J410" s="1" t="s">
        <v>128</v>
      </c>
      <c r="K410" s="1" t="s">
        <v>177</v>
      </c>
      <c r="L410" s="1" t="s">
        <v>183</v>
      </c>
      <c r="M410" s="1" t="s">
        <v>237</v>
      </c>
      <c r="N410" s="1" t="s">
        <v>239</v>
      </c>
      <c r="O410" s="1" t="s">
        <v>86</v>
      </c>
      <c r="P410" s="1" t="s">
        <v>2</v>
      </c>
      <c r="Q410" s="1" t="s">
        <v>93</v>
      </c>
      <c r="R410" s="1">
        <v>2009</v>
      </c>
      <c r="S410" s="1">
        <v>2</v>
      </c>
      <c r="U410" s="1" t="s">
        <v>2</v>
      </c>
      <c r="V410" s="1">
        <v>10</v>
      </c>
      <c r="W410" s="1">
        <v>10</v>
      </c>
      <c r="X410" s="1" t="s">
        <v>97</v>
      </c>
      <c r="Y410" s="1" t="s">
        <v>2</v>
      </c>
      <c r="Z410" s="1" t="s">
        <v>1</v>
      </c>
      <c r="AA410" s="1" t="s">
        <v>98</v>
      </c>
      <c r="AB410" s="1" t="s">
        <v>203</v>
      </c>
      <c r="AC410" s="1" t="s">
        <v>229</v>
      </c>
      <c r="AD410" s="1" t="s">
        <v>102</v>
      </c>
      <c r="AE410" s="1" t="s">
        <v>310</v>
      </c>
      <c r="AF410" s="1" t="s">
        <v>322</v>
      </c>
      <c r="AG410" s="1">
        <v>17.47</v>
      </c>
      <c r="AH410" s="1">
        <f>26.06-AG410</f>
        <v>8.59</v>
      </c>
      <c r="AJ410" s="1">
        <v>8.6</v>
      </c>
      <c r="AK410" s="1">
        <f>13.81-AJ410</f>
        <v>5.2100000000000009</v>
      </c>
      <c r="AM410" s="12">
        <f t="shared" si="936"/>
        <v>8.8699999999999992</v>
      </c>
      <c r="AN410" s="1">
        <f t="shared" si="1272"/>
        <v>7.103949605677113</v>
      </c>
      <c r="AO410" s="1">
        <f t="shared" si="1273"/>
        <v>1.2486011996638531</v>
      </c>
      <c r="AP410" s="1">
        <f t="shared" si="1274"/>
        <v>0.23897512389505032</v>
      </c>
      <c r="AQ410" s="1">
        <f t="shared" si="1275"/>
        <v>0.95774647887323949</v>
      </c>
      <c r="AR410" s="21">
        <f t="shared" si="1276"/>
        <v>1.195843402494958</v>
      </c>
      <c r="AS410" s="21">
        <f t="shared" si="1277"/>
        <v>0.21920669964108566</v>
      </c>
      <c r="AT410" s="21">
        <f t="shared" si="1278"/>
        <v>0.46819515123619732</v>
      </c>
      <c r="AU410" s="20">
        <f t="shared" si="1279"/>
        <v>4.561904365319732</v>
      </c>
      <c r="AV410" s="20">
        <f t="shared" si="1280"/>
        <v>5.4553232380805499</v>
      </c>
      <c r="AW410" s="20">
        <f t="shared" si="1281"/>
        <v>6.5237123027360573</v>
      </c>
      <c r="AX410" s="14"/>
      <c r="AY410" s="14"/>
      <c r="AZ410" s="1" t="s">
        <v>271</v>
      </c>
      <c r="BA410" s="2"/>
    </row>
    <row r="411" spans="1:53" ht="14.25" hidden="1" customHeight="1">
      <c r="A411" s="2">
        <v>227</v>
      </c>
      <c r="B411" s="2" t="s">
        <v>36</v>
      </c>
      <c r="C411" s="1" t="s">
        <v>85</v>
      </c>
      <c r="D411" s="1">
        <v>2015</v>
      </c>
      <c r="E411" s="1">
        <v>2011</v>
      </c>
      <c r="F411" s="1" t="s">
        <v>154</v>
      </c>
      <c r="G411" s="1" t="s">
        <v>117</v>
      </c>
      <c r="H411" s="1">
        <v>67.766666999999998</v>
      </c>
      <c r="I411" s="1">
        <v>29.583333</v>
      </c>
      <c r="J411" s="1" t="s">
        <v>128</v>
      </c>
      <c r="K411" s="1" t="s">
        <v>177</v>
      </c>
      <c r="L411" s="1" t="s">
        <v>183</v>
      </c>
      <c r="M411" s="1" t="s">
        <v>237</v>
      </c>
      <c r="N411" s="1" t="s">
        <v>239</v>
      </c>
      <c r="O411" s="1" t="s">
        <v>86</v>
      </c>
      <c r="P411" s="1" t="s">
        <v>2</v>
      </c>
      <c r="Q411" s="1" t="s">
        <v>93</v>
      </c>
      <c r="R411" s="1">
        <v>2009</v>
      </c>
      <c r="S411" s="1">
        <v>2</v>
      </c>
      <c r="U411" s="1" t="s">
        <v>2</v>
      </c>
      <c r="V411" s="1">
        <v>10</v>
      </c>
      <c r="W411" s="1">
        <v>10</v>
      </c>
      <c r="X411" s="1" t="s">
        <v>97</v>
      </c>
      <c r="Y411" s="1" t="s">
        <v>2</v>
      </c>
      <c r="Z411" s="1" t="s">
        <v>1</v>
      </c>
      <c r="AA411" s="1" t="s">
        <v>98</v>
      </c>
      <c r="AB411" s="1" t="s">
        <v>203</v>
      </c>
      <c r="AC411" s="1" t="s">
        <v>229</v>
      </c>
      <c r="AD411" s="1" t="s">
        <v>102</v>
      </c>
      <c r="AE411" s="1" t="s">
        <v>353</v>
      </c>
      <c r="AF411" s="1" t="s">
        <v>322</v>
      </c>
      <c r="AG411" s="1">
        <v>0.09</v>
      </c>
      <c r="AH411" s="1">
        <f>0.13-AG411</f>
        <v>4.0000000000000008E-2</v>
      </c>
      <c r="AJ411" s="1">
        <v>7.0000000000000007E-2</v>
      </c>
      <c r="AK411" s="1">
        <f>0.1-AJ411</f>
        <v>0.03</v>
      </c>
      <c r="AM411" s="12">
        <f t="shared" si="936"/>
        <v>1.999999999999999E-2</v>
      </c>
      <c r="AN411" s="1">
        <f t="shared" si="1272"/>
        <v>3.5355339059327383E-2</v>
      </c>
      <c r="AO411" s="1">
        <f t="shared" si="1273"/>
        <v>0.56568542494923768</v>
      </c>
      <c r="AP411" s="1">
        <f t="shared" si="1274"/>
        <v>0.20799999999999999</v>
      </c>
      <c r="AQ411" s="1">
        <f t="shared" si="1275"/>
        <v>0.95774647887323949</v>
      </c>
      <c r="AR411" s="21">
        <f t="shared" si="1276"/>
        <v>0.54178322389504452</v>
      </c>
      <c r="AS411" s="21">
        <f t="shared" si="1277"/>
        <v>0.1907938901011704</v>
      </c>
      <c r="AT411" s="21">
        <f t="shared" si="1278"/>
        <v>0.43679959947459934</v>
      </c>
      <c r="AU411" s="20">
        <f t="shared" si="1279"/>
        <v>5.2412579850944905</v>
      </c>
      <c r="AV411" s="20">
        <f t="shared" si="1280"/>
        <v>2.8396256484301383</v>
      </c>
      <c r="AW411" s="20">
        <f t="shared" si="1281"/>
        <v>1.5384615384615363</v>
      </c>
      <c r="AX411" s="14"/>
      <c r="AY411" s="14"/>
      <c r="AZ411" s="1" t="s">
        <v>271</v>
      </c>
      <c r="BA411" s="2"/>
    </row>
    <row r="412" spans="1:53" ht="14.25" hidden="1" customHeight="1">
      <c r="A412" s="2">
        <v>227</v>
      </c>
      <c r="B412" s="2" t="s">
        <v>36</v>
      </c>
      <c r="C412" s="1" t="s">
        <v>85</v>
      </c>
      <c r="D412" s="1">
        <v>2015</v>
      </c>
      <c r="E412" s="1">
        <v>2011</v>
      </c>
      <c r="F412" s="1" t="s">
        <v>154</v>
      </c>
      <c r="G412" s="1" t="s">
        <v>117</v>
      </c>
      <c r="H412" s="1">
        <v>67.766666999999998</v>
      </c>
      <c r="I412" s="1">
        <v>29.583333</v>
      </c>
      <c r="J412" s="1" t="s">
        <v>128</v>
      </c>
      <c r="K412" s="1" t="s">
        <v>177</v>
      </c>
      <c r="L412" s="1" t="s">
        <v>183</v>
      </c>
      <c r="M412" s="1" t="s">
        <v>237</v>
      </c>
      <c r="N412" s="1" t="s">
        <v>239</v>
      </c>
      <c r="O412" s="1" t="s">
        <v>86</v>
      </c>
      <c r="Q412" s="1" t="s">
        <v>93</v>
      </c>
      <c r="R412" s="1">
        <v>2009</v>
      </c>
      <c r="S412" s="1">
        <v>2</v>
      </c>
      <c r="V412" s="1">
        <v>10</v>
      </c>
      <c r="W412" s="1">
        <v>10</v>
      </c>
      <c r="X412" s="1" t="s">
        <v>97</v>
      </c>
      <c r="Z412" s="1" t="s">
        <v>1</v>
      </c>
      <c r="AA412" s="1" t="s">
        <v>98</v>
      </c>
      <c r="AB412" s="1" t="s">
        <v>203</v>
      </c>
      <c r="AC412" s="1" t="s">
        <v>229</v>
      </c>
      <c r="AD412" s="1" t="s">
        <v>102</v>
      </c>
      <c r="AE412" s="1" t="s">
        <v>257</v>
      </c>
      <c r="AF412" s="1" t="s">
        <v>320</v>
      </c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" t="s">
        <v>286</v>
      </c>
    </row>
    <row r="413" spans="1:53" ht="14.25" hidden="1" customHeight="1">
      <c r="A413" s="2">
        <v>133</v>
      </c>
      <c r="B413" s="2" t="s">
        <v>18</v>
      </c>
      <c r="C413" s="1" t="s">
        <v>85</v>
      </c>
      <c r="D413" s="1">
        <v>2004</v>
      </c>
      <c r="E413" s="1">
        <v>1996</v>
      </c>
      <c r="F413" s="1" t="s">
        <v>143</v>
      </c>
      <c r="G413" s="1" t="s">
        <v>142</v>
      </c>
      <c r="H413" s="1">
        <v>39.907029999999999</v>
      </c>
      <c r="I413" s="1">
        <v>-74.474993999999995</v>
      </c>
      <c r="J413" s="1" t="s">
        <v>135</v>
      </c>
      <c r="K413" s="1" t="s">
        <v>177</v>
      </c>
      <c r="L413" s="1" t="s">
        <v>199</v>
      </c>
      <c r="M413" s="1" t="s">
        <v>237</v>
      </c>
      <c r="N413" s="1" t="s">
        <v>239</v>
      </c>
      <c r="O413" s="1" t="s">
        <v>121</v>
      </c>
      <c r="P413" s="1" t="s">
        <v>211</v>
      </c>
      <c r="Q413" s="1" t="s">
        <v>93</v>
      </c>
      <c r="R413" s="1">
        <v>1996</v>
      </c>
      <c r="S413" s="1" t="s">
        <v>157</v>
      </c>
      <c r="U413" s="1" t="s">
        <v>2</v>
      </c>
      <c r="V413" s="1">
        <v>3</v>
      </c>
      <c r="W413" s="1">
        <v>3</v>
      </c>
      <c r="X413" s="1" t="s">
        <v>134</v>
      </c>
      <c r="Y413" s="1" t="s">
        <v>130</v>
      </c>
      <c r="Z413" s="1" t="s">
        <v>0</v>
      </c>
      <c r="AA413" s="1" t="s">
        <v>148</v>
      </c>
      <c r="AB413" s="1" t="s">
        <v>2</v>
      </c>
      <c r="AC413" s="1" t="s">
        <v>2</v>
      </c>
      <c r="AD413" s="1" t="s">
        <v>2</v>
      </c>
      <c r="AE413" s="1" t="s">
        <v>280</v>
      </c>
      <c r="AF413" s="1" t="s">
        <v>322</v>
      </c>
      <c r="AG413" s="1">
        <v>63.75</v>
      </c>
      <c r="AH413" s="1">
        <f>AI413*(SQRT(W413))</f>
        <v>42.22739868852922</v>
      </c>
      <c r="AI413" s="1">
        <f>88.13-AG413</f>
        <v>24.379999999999995</v>
      </c>
      <c r="AJ413" s="1">
        <v>181.88</v>
      </c>
      <c r="AK413" s="1">
        <f t="shared" ref="AK413:AK430" si="1282">AL413*(SQRT(V413))</f>
        <v>55.200459237220123</v>
      </c>
      <c r="AL413" s="1">
        <f>213.75-AJ413</f>
        <v>31.870000000000005</v>
      </c>
      <c r="AM413" s="12">
        <f t="shared" si="936"/>
        <v>-118.13</v>
      </c>
      <c r="AN413" s="1">
        <f t="shared" si="1272"/>
        <v>49.143890261150467</v>
      </c>
      <c r="AO413" s="1">
        <f t="shared" ref="AO413:AO463" si="1283">AM413/AN413</f>
        <v>-2.4037576059253261</v>
      </c>
      <c r="AP413" s="1">
        <f t="shared" si="1274"/>
        <v>1.1481708856703212</v>
      </c>
      <c r="AQ413" s="1">
        <f t="shared" si="1275"/>
        <v>0.8</v>
      </c>
      <c r="AR413" s="21">
        <f t="shared" ref="AR413:AR463" si="1284">AO413*AQ413</f>
        <v>-1.923006084740261</v>
      </c>
      <c r="AS413" s="21">
        <f t="shared" ref="AS413:AS439" si="1285">AP413*(AQ413^2)</f>
        <v>0.73482936682900568</v>
      </c>
      <c r="AT413" s="21">
        <f t="shared" ref="AT413:AT463" si="1286">SQRT(AP413*AQ413^2)</f>
        <v>0.8572218889115033</v>
      </c>
      <c r="AU413" s="20">
        <f t="shared" ref="AU413:AU439" si="1287">1/AS413</f>
        <v>1.3608601467784007</v>
      </c>
      <c r="AV413" s="20">
        <f t="shared" ref="AV413:AV439" si="1288">AR413/AS413</f>
        <v>-2.6169423427353893</v>
      </c>
      <c r="AW413" s="20">
        <f t="shared" ref="AW413:AW439" si="1289">((AR413)^2)/AS413</f>
        <v>5.0323960484945873</v>
      </c>
      <c r="AX413" s="14"/>
      <c r="AY413" s="14"/>
      <c r="AZ413" s="1" t="s">
        <v>271</v>
      </c>
      <c r="BA413" s="2"/>
    </row>
    <row r="414" spans="1:53" ht="14.25" hidden="1" customHeight="1">
      <c r="A414" s="2">
        <v>133</v>
      </c>
      <c r="B414" s="2" t="s">
        <v>18</v>
      </c>
      <c r="C414" s="1" t="s">
        <v>85</v>
      </c>
      <c r="D414" s="1">
        <v>2004</v>
      </c>
      <c r="E414" s="1">
        <v>1996</v>
      </c>
      <c r="F414" s="1" t="s">
        <v>143</v>
      </c>
      <c r="G414" s="1" t="s">
        <v>142</v>
      </c>
      <c r="H414" s="1">
        <v>39.907029999999999</v>
      </c>
      <c r="I414" s="1">
        <v>-74.474993999999995</v>
      </c>
      <c r="J414" s="1" t="s">
        <v>135</v>
      </c>
      <c r="K414" s="1" t="s">
        <v>177</v>
      </c>
      <c r="L414" s="1" t="s">
        <v>199</v>
      </c>
      <c r="M414" s="1" t="s">
        <v>237</v>
      </c>
      <c r="N414" s="1" t="s">
        <v>239</v>
      </c>
      <c r="O414" s="1" t="s">
        <v>121</v>
      </c>
      <c r="P414" s="1" t="s">
        <v>211</v>
      </c>
      <c r="Q414" s="1" t="s">
        <v>93</v>
      </c>
      <c r="R414" s="1">
        <v>1996</v>
      </c>
      <c r="S414" s="1" t="s">
        <v>157</v>
      </c>
      <c r="U414" s="1" t="s">
        <v>2</v>
      </c>
      <c r="V414" s="1">
        <v>3</v>
      </c>
      <c r="W414" s="1">
        <v>3</v>
      </c>
      <c r="X414" s="1" t="s">
        <v>134</v>
      </c>
      <c r="Y414" s="1" t="s">
        <v>130</v>
      </c>
      <c r="Z414" s="1" t="s">
        <v>0</v>
      </c>
      <c r="AA414" s="1" t="s">
        <v>148</v>
      </c>
      <c r="AB414" s="1" t="s">
        <v>2</v>
      </c>
      <c r="AC414" s="1" t="s">
        <v>2</v>
      </c>
      <c r="AD414" s="1" t="s">
        <v>2</v>
      </c>
      <c r="AE414" s="1" t="s">
        <v>223</v>
      </c>
      <c r="AF414" s="1" t="s">
        <v>322</v>
      </c>
      <c r="AG414" s="1">
        <v>2.1800000000000002</v>
      </c>
      <c r="AH414" s="1">
        <f>AI414*(SQRT(W414))</f>
        <v>0.57157676649772882</v>
      </c>
      <c r="AI414" s="1">
        <f>2.51-AG414</f>
        <v>0.32999999999999963</v>
      </c>
      <c r="AJ414" s="1">
        <v>4.78</v>
      </c>
      <c r="AK414" s="1">
        <f t="shared" si="1282"/>
        <v>0.8660254037844386</v>
      </c>
      <c r="AL414" s="1">
        <f>5.28-AJ414</f>
        <v>0.5</v>
      </c>
      <c r="AM414" s="12">
        <f t="shared" si="936"/>
        <v>-2.6</v>
      </c>
      <c r="AN414" s="1">
        <f t="shared" si="1272"/>
        <v>0.73372338111852453</v>
      </c>
      <c r="AO414" s="1">
        <f t="shared" ref="AO414:AO415" si="1290">AM414/AN414</f>
        <v>-3.5435697797123904</v>
      </c>
      <c r="AP414" s="1">
        <f t="shared" si="1274"/>
        <v>1.7130738986409098</v>
      </c>
      <c r="AQ414" s="1">
        <f t="shared" si="1275"/>
        <v>0.8</v>
      </c>
      <c r="AR414" s="21">
        <f t="shared" ref="AR414:AR415" si="1291">AO414*AQ414</f>
        <v>-2.8348558237699124</v>
      </c>
      <c r="AS414" s="21">
        <f t="shared" si="1285"/>
        <v>1.0963672951301824</v>
      </c>
      <c r="AT414" s="21">
        <f t="shared" ref="AT414:AT415" si="1292">SQRT(AP414*AQ414^2)</f>
        <v>1.0470755918892305</v>
      </c>
      <c r="AU414" s="20">
        <f t="shared" si="1287"/>
        <v>0.9121030921314196</v>
      </c>
      <c r="AV414" s="20">
        <f t="shared" si="1288"/>
        <v>-2.5856807626072995</v>
      </c>
      <c r="AW414" s="20">
        <f t="shared" si="1289"/>
        <v>7.3300321682871328</v>
      </c>
      <c r="AX414" s="14"/>
      <c r="AY414" s="14"/>
      <c r="AZ414" s="1" t="s">
        <v>271</v>
      </c>
      <c r="BA414" s="2"/>
    </row>
    <row r="415" spans="1:53" ht="14.25" hidden="1" customHeight="1">
      <c r="A415" s="2">
        <v>133</v>
      </c>
      <c r="B415" s="2" t="s">
        <v>18</v>
      </c>
      <c r="C415" s="1" t="s">
        <v>85</v>
      </c>
      <c r="D415" s="1">
        <v>2004</v>
      </c>
      <c r="E415" s="1">
        <v>1996</v>
      </c>
      <c r="F415" s="1" t="s">
        <v>143</v>
      </c>
      <c r="G415" s="1" t="s">
        <v>142</v>
      </c>
      <c r="H415" s="1">
        <v>39.907029999999999</v>
      </c>
      <c r="I415" s="1">
        <v>-74.474993999999995</v>
      </c>
      <c r="J415" s="1" t="s">
        <v>135</v>
      </c>
      <c r="K415" s="1" t="s">
        <v>177</v>
      </c>
      <c r="L415" s="1" t="s">
        <v>199</v>
      </c>
      <c r="M415" s="1" t="s">
        <v>237</v>
      </c>
      <c r="N415" s="1" t="s">
        <v>239</v>
      </c>
      <c r="O415" s="1" t="s">
        <v>121</v>
      </c>
      <c r="P415" s="1" t="s">
        <v>211</v>
      </c>
      <c r="Q415" s="1" t="s">
        <v>93</v>
      </c>
      <c r="R415" s="1">
        <v>1996</v>
      </c>
      <c r="S415" s="1" t="s">
        <v>157</v>
      </c>
      <c r="U415" s="1" t="s">
        <v>2</v>
      </c>
      <c r="V415" s="1">
        <v>3</v>
      </c>
      <c r="W415" s="1">
        <v>3</v>
      </c>
      <c r="X415" s="1" t="s">
        <v>134</v>
      </c>
      <c r="Y415" s="1" t="s">
        <v>130</v>
      </c>
      <c r="Z415" s="1" t="s">
        <v>0</v>
      </c>
      <c r="AA415" s="1" t="s">
        <v>148</v>
      </c>
      <c r="AB415" s="1" t="s">
        <v>2</v>
      </c>
      <c r="AC415" s="1" t="s">
        <v>2</v>
      </c>
      <c r="AD415" s="1" t="s">
        <v>2</v>
      </c>
      <c r="AE415" s="1" t="s">
        <v>254</v>
      </c>
      <c r="AF415" s="1" t="s">
        <v>322</v>
      </c>
      <c r="AG415" s="1">
        <v>1.58</v>
      </c>
      <c r="AH415" s="1">
        <f>AI415*(SQRT(W415))</f>
        <v>0.38105117766515295</v>
      </c>
      <c r="AI415" s="1">
        <f>1.8-AG415</f>
        <v>0.21999999999999997</v>
      </c>
      <c r="AJ415" s="1">
        <v>2.83</v>
      </c>
      <c r="AK415" s="1">
        <f t="shared" si="1282"/>
        <v>0.57157676649772959</v>
      </c>
      <c r="AL415" s="1">
        <f>3.16-AJ415</f>
        <v>0.33000000000000007</v>
      </c>
      <c r="AM415" s="12">
        <f t="shared" si="936"/>
        <v>-1.25</v>
      </c>
      <c r="AN415" s="1">
        <f t="shared" si="1272"/>
        <v>0.48574684764803161</v>
      </c>
      <c r="AO415" s="1">
        <f t="shared" si="1290"/>
        <v>-2.5733568957831721</v>
      </c>
      <c r="AP415" s="1">
        <f t="shared" si="1274"/>
        <v>1.2185138094229002</v>
      </c>
      <c r="AQ415" s="1">
        <f t="shared" si="1275"/>
        <v>0.8</v>
      </c>
      <c r="AR415" s="21">
        <f t="shared" si="1291"/>
        <v>-2.0586855166265376</v>
      </c>
      <c r="AS415" s="21">
        <f t="shared" si="1285"/>
        <v>0.7798488380306563</v>
      </c>
      <c r="AT415" s="21">
        <f t="shared" si="1292"/>
        <v>0.88309050387299282</v>
      </c>
      <c r="AU415" s="20">
        <f t="shared" si="1287"/>
        <v>1.28229978841193</v>
      </c>
      <c r="AV415" s="20">
        <f t="shared" si="1288"/>
        <v>-2.6398520023769141</v>
      </c>
      <c r="AW415" s="20">
        <f t="shared" si="1289"/>
        <v>5.4346250833309178</v>
      </c>
      <c r="AX415" s="14"/>
      <c r="AY415" s="14"/>
      <c r="AZ415" s="1" t="s">
        <v>271</v>
      </c>
      <c r="BA415" s="2"/>
    </row>
    <row r="416" spans="1:53" ht="14.25" hidden="1" customHeight="1">
      <c r="A416" s="2">
        <v>133</v>
      </c>
      <c r="B416" s="2" t="s">
        <v>18</v>
      </c>
      <c r="C416" s="1" t="s">
        <v>85</v>
      </c>
      <c r="D416" s="1">
        <v>2004</v>
      </c>
      <c r="E416" s="1">
        <v>1996</v>
      </c>
      <c r="F416" s="1" t="s">
        <v>143</v>
      </c>
      <c r="G416" s="1" t="s">
        <v>142</v>
      </c>
      <c r="H416" s="1">
        <v>39.907029999999999</v>
      </c>
      <c r="I416" s="1">
        <v>-74.474993999999995</v>
      </c>
      <c r="J416" s="1" t="s">
        <v>135</v>
      </c>
      <c r="K416" s="1" t="s">
        <v>177</v>
      </c>
      <c r="L416" s="1" t="s">
        <v>199</v>
      </c>
      <c r="M416" s="1" t="s">
        <v>237</v>
      </c>
      <c r="N416" s="1" t="s">
        <v>239</v>
      </c>
      <c r="O416" s="1" t="s">
        <v>121</v>
      </c>
      <c r="P416" s="1" t="s">
        <v>146</v>
      </c>
      <c r="Q416" s="1" t="s">
        <v>93</v>
      </c>
      <c r="R416" s="1">
        <v>1996</v>
      </c>
      <c r="S416" s="1" t="s">
        <v>157</v>
      </c>
      <c r="U416" s="1" t="s">
        <v>2</v>
      </c>
      <c r="V416" s="1">
        <v>3</v>
      </c>
      <c r="W416" s="1">
        <v>3</v>
      </c>
      <c r="X416" s="1" t="s">
        <v>134</v>
      </c>
      <c r="Y416" s="1" t="s">
        <v>130</v>
      </c>
      <c r="Z416" s="1" t="s">
        <v>0</v>
      </c>
      <c r="AA416" s="1" t="s">
        <v>148</v>
      </c>
      <c r="AB416" s="1" t="s">
        <v>2</v>
      </c>
      <c r="AC416" s="1" t="s">
        <v>2</v>
      </c>
      <c r="AD416" s="1" t="s">
        <v>2</v>
      </c>
      <c r="AE416" s="1" t="s">
        <v>280</v>
      </c>
      <c r="AF416" s="1" t="s">
        <v>322</v>
      </c>
      <c r="AG416" s="1">
        <v>241.88</v>
      </c>
      <c r="AH416" s="1">
        <f t="shared" ref="AH416:AH430" si="1293">AI416*(SQRT(W416))</f>
        <v>90.932667397366046</v>
      </c>
      <c r="AI416" s="1">
        <f>294.38-AG416</f>
        <v>52.5</v>
      </c>
      <c r="AJ416" s="1">
        <v>337.5</v>
      </c>
      <c r="AK416" s="1">
        <f t="shared" si="1282"/>
        <v>123.4086200392825</v>
      </c>
      <c r="AL416" s="1">
        <f>408.75-AJ416</f>
        <v>71.25</v>
      </c>
      <c r="AM416" s="12">
        <f t="shared" si="936"/>
        <v>-95.62</v>
      </c>
      <c r="AN416" s="1">
        <f t="shared" si="1272"/>
        <v>108.39381324595975</v>
      </c>
      <c r="AO416" s="1">
        <f t="shared" ref="AO416:AO418" si="1294">AM416/AN416</f>
        <v>-0.88215366852188981</v>
      </c>
      <c r="AP416" s="1">
        <f t="shared" si="1274"/>
        <v>0.73151625790721897</v>
      </c>
      <c r="AQ416" s="1">
        <f t="shared" si="1275"/>
        <v>0.8</v>
      </c>
      <c r="AR416" s="21">
        <f t="shared" ref="AR416:AR418" si="1295">AO416*AQ416</f>
        <v>-0.70572293481751192</v>
      </c>
      <c r="AS416" s="21">
        <f t="shared" si="1285"/>
        <v>0.46817040506062024</v>
      </c>
      <c r="AT416" s="21">
        <f t="shared" ref="AT416:AT418" si="1296">SQRT(AP416*AQ416^2)</f>
        <v>0.68422978966179204</v>
      </c>
      <c r="AU416" s="20">
        <f t="shared" si="1287"/>
        <v>2.135974399899363</v>
      </c>
      <c r="AV416" s="20">
        <f t="shared" si="1288"/>
        <v>-1.5074061221920523</v>
      </c>
      <c r="AW416" s="20">
        <f t="shared" si="1289"/>
        <v>1.0638110725152601</v>
      </c>
      <c r="AX416" s="14"/>
      <c r="AY416" s="14"/>
      <c r="AZ416" s="1" t="s">
        <v>271</v>
      </c>
      <c r="BA416" s="2"/>
    </row>
    <row r="417" spans="1:53" ht="14.25" hidden="1" customHeight="1">
      <c r="A417" s="2">
        <v>133</v>
      </c>
      <c r="B417" s="2" t="s">
        <v>18</v>
      </c>
      <c r="C417" s="1" t="s">
        <v>85</v>
      </c>
      <c r="D417" s="1">
        <v>2004</v>
      </c>
      <c r="E417" s="1">
        <v>1996</v>
      </c>
      <c r="F417" s="1" t="s">
        <v>143</v>
      </c>
      <c r="G417" s="1" t="s">
        <v>142</v>
      </c>
      <c r="H417" s="1">
        <v>39.907029999999999</v>
      </c>
      <c r="I417" s="1">
        <v>-74.474993999999995</v>
      </c>
      <c r="J417" s="1" t="s">
        <v>135</v>
      </c>
      <c r="K417" s="1" t="s">
        <v>177</v>
      </c>
      <c r="L417" s="1" t="s">
        <v>199</v>
      </c>
      <c r="M417" s="1" t="s">
        <v>237</v>
      </c>
      <c r="N417" s="1" t="s">
        <v>239</v>
      </c>
      <c r="O417" s="1" t="s">
        <v>121</v>
      </c>
      <c r="P417" s="1" t="s">
        <v>146</v>
      </c>
      <c r="Q417" s="1" t="s">
        <v>93</v>
      </c>
      <c r="R417" s="1">
        <v>1996</v>
      </c>
      <c r="S417" s="1" t="s">
        <v>157</v>
      </c>
      <c r="U417" s="1" t="s">
        <v>2</v>
      </c>
      <c r="V417" s="1">
        <v>3</v>
      </c>
      <c r="W417" s="1">
        <v>3</v>
      </c>
      <c r="X417" s="1" t="s">
        <v>134</v>
      </c>
      <c r="Y417" s="1" t="s">
        <v>130</v>
      </c>
      <c r="Z417" s="1" t="s">
        <v>0</v>
      </c>
      <c r="AA417" s="1" t="s">
        <v>148</v>
      </c>
      <c r="AB417" s="1" t="s">
        <v>2</v>
      </c>
      <c r="AC417" s="1" t="s">
        <v>2</v>
      </c>
      <c r="AD417" s="1" t="s">
        <v>2</v>
      </c>
      <c r="AE417" s="1" t="s">
        <v>223</v>
      </c>
      <c r="AF417" s="1" t="s">
        <v>322</v>
      </c>
      <c r="AG417" s="1">
        <v>3.26</v>
      </c>
      <c r="AH417" s="1">
        <f t="shared" si="1293"/>
        <v>0.81406387955737258</v>
      </c>
      <c r="AI417" s="1">
        <f>3.73-AG417</f>
        <v>0.4700000000000002</v>
      </c>
      <c r="AJ417" s="1">
        <v>3.65</v>
      </c>
      <c r="AK417" s="1">
        <f t="shared" si="1282"/>
        <v>0.77942286340599432</v>
      </c>
      <c r="AL417" s="1">
        <f>4.1-AJ417</f>
        <v>0.44999999999999973</v>
      </c>
      <c r="AM417" s="12">
        <f t="shared" si="936"/>
        <v>-0.39000000000000012</v>
      </c>
      <c r="AN417" s="1">
        <f t="shared" si="1272"/>
        <v>0.79693161563587112</v>
      </c>
      <c r="AO417" s="1">
        <f t="shared" si="1294"/>
        <v>-0.48937699590299155</v>
      </c>
      <c r="AP417" s="1">
        <f t="shared" si="1274"/>
        <v>0.68662415367658636</v>
      </c>
      <c r="AQ417" s="1">
        <f t="shared" si="1275"/>
        <v>0.8</v>
      </c>
      <c r="AR417" s="21">
        <f t="shared" si="1295"/>
        <v>-0.39150159672239326</v>
      </c>
      <c r="AS417" s="21">
        <f t="shared" si="1285"/>
        <v>0.43943945835301534</v>
      </c>
      <c r="AT417" s="21">
        <f t="shared" si="1296"/>
        <v>0.66290229925156796</v>
      </c>
      <c r="AU417" s="20">
        <f t="shared" si="1287"/>
        <v>2.2756263257467175</v>
      </c>
      <c r="AV417" s="20">
        <f t="shared" si="1288"/>
        <v>-0.89091134007335293</v>
      </c>
      <c r="AW417" s="20">
        <f t="shared" si="1289"/>
        <v>0.34879321217680476</v>
      </c>
      <c r="AX417" s="14"/>
      <c r="AY417" s="14"/>
      <c r="AZ417" s="1" t="s">
        <v>271</v>
      </c>
      <c r="BA417" s="2"/>
    </row>
    <row r="418" spans="1:53" ht="14.25" hidden="1" customHeight="1">
      <c r="A418" s="2">
        <v>133</v>
      </c>
      <c r="B418" s="2" t="s">
        <v>18</v>
      </c>
      <c r="C418" s="1" t="s">
        <v>85</v>
      </c>
      <c r="D418" s="1">
        <v>2004</v>
      </c>
      <c r="E418" s="1">
        <v>1996</v>
      </c>
      <c r="F418" s="1" t="s">
        <v>143</v>
      </c>
      <c r="G418" s="1" t="s">
        <v>142</v>
      </c>
      <c r="H418" s="1">
        <v>39.907029999999999</v>
      </c>
      <c r="I418" s="1">
        <v>-74.474993999999995</v>
      </c>
      <c r="J418" s="1" t="s">
        <v>135</v>
      </c>
      <c r="K418" s="1" t="s">
        <v>177</v>
      </c>
      <c r="L418" s="1" t="s">
        <v>199</v>
      </c>
      <c r="M418" s="1" t="s">
        <v>237</v>
      </c>
      <c r="N418" s="1" t="s">
        <v>239</v>
      </c>
      <c r="O418" s="1" t="s">
        <v>121</v>
      </c>
      <c r="P418" s="1" t="s">
        <v>146</v>
      </c>
      <c r="Q418" s="1" t="s">
        <v>93</v>
      </c>
      <c r="R418" s="1">
        <v>1996</v>
      </c>
      <c r="S418" s="1" t="s">
        <v>157</v>
      </c>
      <c r="U418" s="1" t="s">
        <v>2</v>
      </c>
      <c r="V418" s="1">
        <v>3</v>
      </c>
      <c r="W418" s="1">
        <v>3</v>
      </c>
      <c r="X418" s="1" t="s">
        <v>134</v>
      </c>
      <c r="Y418" s="1" t="s">
        <v>130</v>
      </c>
      <c r="Z418" s="1" t="s">
        <v>0</v>
      </c>
      <c r="AA418" s="1" t="s">
        <v>148</v>
      </c>
      <c r="AB418" s="1" t="s">
        <v>2</v>
      </c>
      <c r="AC418" s="1" t="s">
        <v>2</v>
      </c>
      <c r="AD418" s="1" t="s">
        <v>2</v>
      </c>
      <c r="AE418" s="1" t="s">
        <v>254</v>
      </c>
      <c r="AF418" s="1" t="s">
        <v>322</v>
      </c>
      <c r="AG418" s="1">
        <v>2.04</v>
      </c>
      <c r="AH418" s="1">
        <f t="shared" si="1293"/>
        <v>0.5022947341949745</v>
      </c>
      <c r="AI418" s="1">
        <f>2.33-AG418</f>
        <v>0.29000000000000004</v>
      </c>
      <c r="AJ418" s="1">
        <v>1.85</v>
      </c>
      <c r="AK418" s="1">
        <f t="shared" si="1282"/>
        <v>0.3983716857408417</v>
      </c>
      <c r="AL418" s="1">
        <f>2.08-AJ418</f>
        <v>0.22999999999999998</v>
      </c>
      <c r="AM418" s="12">
        <f t="shared" si="936"/>
        <v>0.18999999999999995</v>
      </c>
      <c r="AN418" s="1">
        <f t="shared" si="1272"/>
        <v>0.45332107826572549</v>
      </c>
      <c r="AO418" s="1">
        <f t="shared" si="1294"/>
        <v>0.41912897747196015</v>
      </c>
      <c r="AP418" s="1">
        <f t="shared" si="1274"/>
        <v>0.68130575831305751</v>
      </c>
      <c r="AQ418" s="1">
        <f t="shared" si="1275"/>
        <v>0.8</v>
      </c>
      <c r="AR418" s="21">
        <f t="shared" si="1295"/>
        <v>0.33530318197756814</v>
      </c>
      <c r="AS418" s="21">
        <f t="shared" si="1285"/>
        <v>0.43603568532035691</v>
      </c>
      <c r="AT418" s="21">
        <f t="shared" si="1296"/>
        <v>0.66032998214556105</v>
      </c>
      <c r="AU418" s="20">
        <f t="shared" si="1287"/>
        <v>2.2933902743884289</v>
      </c>
      <c r="AV418" s="20">
        <f t="shared" si="1288"/>
        <v>0.76898105651884829</v>
      </c>
      <c r="AW418" s="20">
        <f t="shared" si="1289"/>
        <v>0.257841795131242</v>
      </c>
      <c r="AX418" s="14"/>
      <c r="AY418" s="14"/>
      <c r="AZ418" s="1" t="s">
        <v>271</v>
      </c>
      <c r="BA418" s="2"/>
    </row>
    <row r="419" spans="1:53" ht="14.25" hidden="1" customHeight="1">
      <c r="A419" s="2">
        <v>133</v>
      </c>
      <c r="B419" s="2" t="s">
        <v>18</v>
      </c>
      <c r="C419" s="1" t="s">
        <v>85</v>
      </c>
      <c r="D419" s="1">
        <v>2004</v>
      </c>
      <c r="E419" s="1">
        <v>1996</v>
      </c>
      <c r="F419" s="1" t="s">
        <v>143</v>
      </c>
      <c r="G419" s="1" t="s">
        <v>142</v>
      </c>
      <c r="H419" s="1">
        <v>39.907029999999999</v>
      </c>
      <c r="I419" s="1">
        <v>-74.474993999999995</v>
      </c>
      <c r="J419" s="1" t="s">
        <v>135</v>
      </c>
      <c r="K419" s="1" t="s">
        <v>177</v>
      </c>
      <c r="L419" s="1" t="s">
        <v>199</v>
      </c>
      <c r="M419" s="1" t="s">
        <v>237</v>
      </c>
      <c r="N419" s="1" t="s">
        <v>239</v>
      </c>
      <c r="O419" s="1" t="s">
        <v>121</v>
      </c>
      <c r="P419" s="1" t="s">
        <v>211</v>
      </c>
      <c r="Q419" s="1" t="s">
        <v>93</v>
      </c>
      <c r="R419" s="1">
        <v>1996</v>
      </c>
      <c r="S419" s="1" t="s">
        <v>157</v>
      </c>
      <c r="U419" s="1" t="s">
        <v>2</v>
      </c>
      <c r="V419" s="1">
        <v>3</v>
      </c>
      <c r="W419" s="1">
        <v>3</v>
      </c>
      <c r="X419" s="1" t="s">
        <v>134</v>
      </c>
      <c r="Y419" s="1" t="s">
        <v>233</v>
      </c>
      <c r="Z419" s="1" t="s">
        <v>0</v>
      </c>
      <c r="AA419" s="1" t="s">
        <v>148</v>
      </c>
      <c r="AB419" s="1" t="s">
        <v>2</v>
      </c>
      <c r="AC419" s="1" t="s">
        <v>2</v>
      </c>
      <c r="AD419" s="1" t="s">
        <v>2</v>
      </c>
      <c r="AE419" s="1" t="s">
        <v>280</v>
      </c>
      <c r="AF419" s="1" t="s">
        <v>322</v>
      </c>
      <c r="AG419" s="1">
        <v>376.96</v>
      </c>
      <c r="AH419" s="1">
        <f t="shared" si="1293"/>
        <v>98.622972982971859</v>
      </c>
      <c r="AI419" s="1">
        <f>433.9-AG419</f>
        <v>56.94</v>
      </c>
      <c r="AJ419" s="1">
        <v>347.51</v>
      </c>
      <c r="AK419" s="1">
        <f t="shared" si="1282"/>
        <v>125.83349116987898</v>
      </c>
      <c r="AL419" s="1">
        <f>420.16-AJ419</f>
        <v>72.650000000000034</v>
      </c>
      <c r="AM419" s="12">
        <f t="shared" si="936"/>
        <v>29.449999999999989</v>
      </c>
      <c r="AN419" s="1">
        <f t="shared" si="1272"/>
        <v>113.04989672706475</v>
      </c>
      <c r="AO419" s="1">
        <f t="shared" si="1283"/>
        <v>0.26050443965553399</v>
      </c>
      <c r="AP419" s="1">
        <f t="shared" si="1274"/>
        <v>0.67232188025668693</v>
      </c>
      <c r="AQ419" s="1">
        <f t="shared" si="1275"/>
        <v>0.8</v>
      </c>
      <c r="AR419" s="21">
        <f t="shared" si="1284"/>
        <v>0.20840355172442721</v>
      </c>
      <c r="AS419" s="21">
        <f t="shared" si="1285"/>
        <v>0.43028600336427975</v>
      </c>
      <c r="AT419" s="21">
        <f t="shared" si="1286"/>
        <v>0.65596189170124797</v>
      </c>
      <c r="AU419" s="20">
        <f t="shared" si="1287"/>
        <v>2.3240356232396455</v>
      </c>
      <c r="AV419" s="20">
        <f t="shared" si="1288"/>
        <v>0.48433727821723482</v>
      </c>
      <c r="AW419" s="20">
        <f t="shared" si="1289"/>
        <v>0.1009376090130138</v>
      </c>
      <c r="AX419" s="14"/>
      <c r="AY419" s="14"/>
      <c r="AZ419" s="1" t="s">
        <v>271</v>
      </c>
      <c r="BA419" s="2"/>
    </row>
    <row r="420" spans="1:53" ht="14.25" hidden="1" customHeight="1">
      <c r="A420" s="2">
        <v>133</v>
      </c>
      <c r="B420" s="2" t="s">
        <v>18</v>
      </c>
      <c r="C420" s="1" t="s">
        <v>85</v>
      </c>
      <c r="D420" s="1">
        <v>2004</v>
      </c>
      <c r="E420" s="1">
        <v>1996</v>
      </c>
      <c r="F420" s="1" t="s">
        <v>143</v>
      </c>
      <c r="G420" s="1" t="s">
        <v>142</v>
      </c>
      <c r="H420" s="1">
        <v>39.907029999999999</v>
      </c>
      <c r="I420" s="1">
        <v>-74.474993999999995</v>
      </c>
      <c r="J420" s="1" t="s">
        <v>135</v>
      </c>
      <c r="K420" s="1" t="s">
        <v>177</v>
      </c>
      <c r="L420" s="1" t="s">
        <v>199</v>
      </c>
      <c r="M420" s="1" t="s">
        <v>237</v>
      </c>
      <c r="N420" s="1" t="s">
        <v>239</v>
      </c>
      <c r="O420" s="1" t="s">
        <v>121</v>
      </c>
      <c r="P420" s="1" t="s">
        <v>211</v>
      </c>
      <c r="Q420" s="1" t="s">
        <v>93</v>
      </c>
      <c r="R420" s="1">
        <v>1996</v>
      </c>
      <c r="S420" s="1" t="s">
        <v>157</v>
      </c>
      <c r="U420" s="1" t="s">
        <v>2</v>
      </c>
      <c r="V420" s="1">
        <v>3</v>
      </c>
      <c r="W420" s="1">
        <v>3</v>
      </c>
      <c r="X420" s="1" t="s">
        <v>134</v>
      </c>
      <c r="Y420" s="1" t="s">
        <v>233</v>
      </c>
      <c r="Z420" s="1" t="s">
        <v>0</v>
      </c>
      <c r="AA420" s="1" t="s">
        <v>148</v>
      </c>
      <c r="AB420" s="1" t="s">
        <v>2</v>
      </c>
      <c r="AC420" s="1" t="s">
        <v>2</v>
      </c>
      <c r="AD420" s="1" t="s">
        <v>2</v>
      </c>
      <c r="AE420" s="1" t="s">
        <v>223</v>
      </c>
      <c r="AF420" s="1" t="s">
        <v>322</v>
      </c>
      <c r="AG420" s="1">
        <v>6.06</v>
      </c>
      <c r="AH420" s="1">
        <f t="shared" si="1293"/>
        <v>0.79674337148168339</v>
      </c>
      <c r="AI420" s="1">
        <f>6.52-AG420</f>
        <v>0.45999999999999996</v>
      </c>
      <c r="AJ420" s="1">
        <v>5.22</v>
      </c>
      <c r="AK420" s="1">
        <f t="shared" si="1282"/>
        <v>0.7274613391789283</v>
      </c>
      <c r="AL420" s="1">
        <f>5.64-AJ420</f>
        <v>0.41999999999999993</v>
      </c>
      <c r="AM420" s="12">
        <f t="shared" si="936"/>
        <v>0.83999999999999986</v>
      </c>
      <c r="AN420" s="1">
        <f t="shared" si="1272"/>
        <v>0.76288924491042587</v>
      </c>
      <c r="AO420" s="1">
        <f t="shared" ref="AO420:AO421" si="1297">AM420/AN420</f>
        <v>1.1010772606954604</v>
      </c>
      <c r="AP420" s="1">
        <f t="shared" si="1274"/>
        <v>0.76769759450171815</v>
      </c>
      <c r="AQ420" s="1">
        <f t="shared" si="1275"/>
        <v>0.8</v>
      </c>
      <c r="AR420" s="21">
        <f t="shared" ref="AR420:AR421" si="1298">AO420*AQ420</f>
        <v>0.88086180855636842</v>
      </c>
      <c r="AS420" s="21">
        <f t="shared" si="1285"/>
        <v>0.49132646048109974</v>
      </c>
      <c r="AT420" s="21">
        <f t="shared" ref="AT420:AT421" si="1299">SQRT(AP420*AQ420^2)</f>
        <v>0.70094683142239811</v>
      </c>
      <c r="AU420" s="20">
        <f t="shared" si="1287"/>
        <v>2.0353066248880927</v>
      </c>
      <c r="AV420" s="20">
        <f t="shared" si="1288"/>
        <v>1.7928238745656835</v>
      </c>
      <c r="AW420" s="20">
        <f t="shared" si="1289"/>
        <v>1.5792300805729638</v>
      </c>
      <c r="AX420" s="14"/>
      <c r="AY420" s="14"/>
      <c r="AZ420" s="1" t="s">
        <v>271</v>
      </c>
      <c r="BA420" s="2"/>
    </row>
    <row r="421" spans="1:53" ht="14.25" hidden="1" customHeight="1">
      <c r="A421" s="2">
        <v>133</v>
      </c>
      <c r="B421" s="2" t="s">
        <v>18</v>
      </c>
      <c r="C421" s="1" t="s">
        <v>85</v>
      </c>
      <c r="D421" s="1">
        <v>2004</v>
      </c>
      <c r="E421" s="1">
        <v>1996</v>
      </c>
      <c r="F421" s="1" t="s">
        <v>143</v>
      </c>
      <c r="G421" s="1" t="s">
        <v>142</v>
      </c>
      <c r="H421" s="1">
        <v>39.907029999999999</v>
      </c>
      <c r="I421" s="1">
        <v>-74.474993999999995</v>
      </c>
      <c r="J421" s="1" t="s">
        <v>135</v>
      </c>
      <c r="K421" s="1" t="s">
        <v>177</v>
      </c>
      <c r="L421" s="1" t="s">
        <v>199</v>
      </c>
      <c r="M421" s="1" t="s">
        <v>237</v>
      </c>
      <c r="N421" s="1" t="s">
        <v>239</v>
      </c>
      <c r="O421" s="1" t="s">
        <v>121</v>
      </c>
      <c r="P421" s="1" t="s">
        <v>211</v>
      </c>
      <c r="Q421" s="1" t="s">
        <v>93</v>
      </c>
      <c r="R421" s="1">
        <v>1996</v>
      </c>
      <c r="S421" s="1" t="s">
        <v>157</v>
      </c>
      <c r="U421" s="1" t="s">
        <v>2</v>
      </c>
      <c r="V421" s="1">
        <v>3</v>
      </c>
      <c r="W421" s="1">
        <v>3</v>
      </c>
      <c r="X421" s="1" t="s">
        <v>134</v>
      </c>
      <c r="Y421" s="1" t="s">
        <v>233</v>
      </c>
      <c r="Z421" s="1" t="s">
        <v>0</v>
      </c>
      <c r="AA421" s="1" t="s">
        <v>148</v>
      </c>
      <c r="AB421" s="1" t="s">
        <v>2</v>
      </c>
      <c r="AC421" s="1" t="s">
        <v>2</v>
      </c>
      <c r="AD421" s="1" t="s">
        <v>2</v>
      </c>
      <c r="AE421" s="1" t="s">
        <v>254</v>
      </c>
      <c r="AF421" s="1" t="s">
        <v>322</v>
      </c>
      <c r="AG421" s="1">
        <v>3</v>
      </c>
      <c r="AH421" s="1">
        <f t="shared" si="1293"/>
        <v>0.38105117766515334</v>
      </c>
      <c r="AI421" s="1">
        <f>3.22-AG421</f>
        <v>0.2200000000000002</v>
      </c>
      <c r="AJ421" s="1">
        <v>2.95</v>
      </c>
      <c r="AK421" s="1">
        <f t="shared" si="1282"/>
        <v>0.4330127018922193</v>
      </c>
      <c r="AL421" s="1">
        <f>3.2-AJ421</f>
        <v>0.25</v>
      </c>
      <c r="AM421" s="12">
        <f t="shared" si="936"/>
        <v>4.9999999999999822E-2</v>
      </c>
      <c r="AN421" s="1">
        <f t="shared" si="1272"/>
        <v>0.40786027019066234</v>
      </c>
      <c r="AO421" s="1">
        <f t="shared" si="1297"/>
        <v>0.12259100396473119</v>
      </c>
      <c r="AP421" s="1">
        <f t="shared" si="1274"/>
        <v>0.66791904618775666</v>
      </c>
      <c r="AQ421" s="1">
        <f t="shared" si="1275"/>
        <v>0.8</v>
      </c>
      <c r="AR421" s="21">
        <f t="shared" si="1298"/>
        <v>9.8072803171784961E-2</v>
      </c>
      <c r="AS421" s="21">
        <f t="shared" si="1285"/>
        <v>0.42746818956016436</v>
      </c>
      <c r="AT421" s="21">
        <f t="shared" si="1299"/>
        <v>0.65381051502722431</v>
      </c>
      <c r="AU421" s="20">
        <f t="shared" si="1287"/>
        <v>2.3393553588839717</v>
      </c>
      <c r="AV421" s="20">
        <f t="shared" si="1288"/>
        <v>0.22942713766068815</v>
      </c>
      <c r="AW421" s="20">
        <f t="shared" si="1289"/>
        <v>2.2500562514062683E-2</v>
      </c>
      <c r="AX421" s="14"/>
      <c r="AY421" s="14"/>
      <c r="AZ421" s="1" t="s">
        <v>271</v>
      </c>
      <c r="BA421" s="2"/>
    </row>
    <row r="422" spans="1:53" ht="14.25" hidden="1" customHeight="1">
      <c r="A422" s="2">
        <v>133</v>
      </c>
      <c r="B422" s="2" t="s">
        <v>18</v>
      </c>
      <c r="C422" s="1" t="s">
        <v>85</v>
      </c>
      <c r="D422" s="1">
        <v>2004</v>
      </c>
      <c r="E422" s="1">
        <v>1996</v>
      </c>
      <c r="F422" s="1" t="s">
        <v>143</v>
      </c>
      <c r="G422" s="1" t="s">
        <v>142</v>
      </c>
      <c r="H422" s="1">
        <v>39.833232000000002</v>
      </c>
      <c r="I422" s="1">
        <v>-74.387434999999996</v>
      </c>
      <c r="J422" s="1" t="s">
        <v>135</v>
      </c>
      <c r="K422" s="1" t="s">
        <v>177</v>
      </c>
      <c r="L422" s="1" t="s">
        <v>199</v>
      </c>
      <c r="M422" s="1" t="s">
        <v>237</v>
      </c>
      <c r="N422" s="1" t="s">
        <v>239</v>
      </c>
      <c r="O422" s="1" t="s">
        <v>121</v>
      </c>
      <c r="P422" s="1" t="s">
        <v>146</v>
      </c>
      <c r="Q422" s="1" t="s">
        <v>93</v>
      </c>
      <c r="R422" s="1">
        <v>1996</v>
      </c>
      <c r="S422" s="1" t="s">
        <v>157</v>
      </c>
      <c r="U422" s="1" t="s">
        <v>2</v>
      </c>
      <c r="V422" s="1">
        <v>3</v>
      </c>
      <c r="W422" s="1">
        <v>3</v>
      </c>
      <c r="X422" s="1" t="s">
        <v>134</v>
      </c>
      <c r="Y422" s="1" t="s">
        <v>233</v>
      </c>
      <c r="Z422" s="1" t="s">
        <v>0</v>
      </c>
      <c r="AA422" s="1" t="s">
        <v>148</v>
      </c>
      <c r="AB422" s="1" t="s">
        <v>2</v>
      </c>
      <c r="AC422" s="1" t="s">
        <v>2</v>
      </c>
      <c r="AD422" s="1" t="s">
        <v>2</v>
      </c>
      <c r="AE422" s="1" t="s">
        <v>280</v>
      </c>
      <c r="AF422" s="1" t="s">
        <v>322</v>
      </c>
      <c r="AG422" s="1">
        <v>496.73</v>
      </c>
      <c r="AH422" s="1">
        <f t="shared" si="1293"/>
        <v>112.21957182238749</v>
      </c>
      <c r="AI422" s="1">
        <f>561.52-AG422</f>
        <v>64.789999999999964</v>
      </c>
      <c r="AJ422" s="1">
        <v>585.08000000000004</v>
      </c>
      <c r="AK422" s="1">
        <f t="shared" si="1282"/>
        <v>122.42135107896816</v>
      </c>
      <c r="AL422" s="1">
        <f>655.76-AJ422</f>
        <v>70.67999999999995</v>
      </c>
      <c r="AM422" s="12">
        <f t="shared" si="936"/>
        <v>-88.350000000000023</v>
      </c>
      <c r="AN422" s="1">
        <f t="shared" si="1272"/>
        <v>117.43129800014978</v>
      </c>
      <c r="AO422" s="1">
        <f t="shared" si="1283"/>
        <v>-0.75235479386327941</v>
      </c>
      <c r="AP422" s="1">
        <f t="shared" si="1274"/>
        <v>0.71383647798742145</v>
      </c>
      <c r="AQ422" s="1">
        <f t="shared" si="1275"/>
        <v>0.8</v>
      </c>
      <c r="AR422" s="21">
        <f t="shared" si="1284"/>
        <v>-0.6018838350906236</v>
      </c>
      <c r="AS422" s="21">
        <f t="shared" si="1285"/>
        <v>0.45685534591194982</v>
      </c>
      <c r="AT422" s="21">
        <f t="shared" si="1286"/>
        <v>0.67591075291931091</v>
      </c>
      <c r="AU422" s="20">
        <f t="shared" si="1287"/>
        <v>2.1888766519823784</v>
      </c>
      <c r="AV422" s="20">
        <f t="shared" si="1288"/>
        <v>-1.3174494738354781</v>
      </c>
      <c r="AW422" s="20">
        <f t="shared" si="1289"/>
        <v>0.79295154185022165</v>
      </c>
      <c r="AX422" s="14"/>
      <c r="AY422" s="14"/>
      <c r="AZ422" s="1" t="s">
        <v>271</v>
      </c>
      <c r="BA422" s="2"/>
    </row>
    <row r="423" spans="1:53" ht="14.25" hidden="1" customHeight="1">
      <c r="A423" s="2">
        <v>133</v>
      </c>
      <c r="B423" s="2" t="s">
        <v>18</v>
      </c>
      <c r="C423" s="1" t="s">
        <v>85</v>
      </c>
      <c r="D423" s="1">
        <v>2004</v>
      </c>
      <c r="E423" s="1">
        <v>1996</v>
      </c>
      <c r="F423" s="1" t="s">
        <v>143</v>
      </c>
      <c r="G423" s="1" t="s">
        <v>142</v>
      </c>
      <c r="H423" s="1">
        <v>39.833232000000002</v>
      </c>
      <c r="I423" s="1">
        <v>-74.387434999999996</v>
      </c>
      <c r="J423" s="1" t="s">
        <v>135</v>
      </c>
      <c r="K423" s="1" t="s">
        <v>177</v>
      </c>
      <c r="L423" s="1" t="s">
        <v>199</v>
      </c>
      <c r="M423" s="1" t="s">
        <v>237</v>
      </c>
      <c r="N423" s="1" t="s">
        <v>239</v>
      </c>
      <c r="O423" s="1" t="s">
        <v>121</v>
      </c>
      <c r="P423" s="1" t="s">
        <v>146</v>
      </c>
      <c r="Q423" s="1" t="s">
        <v>93</v>
      </c>
      <c r="R423" s="1">
        <v>1996</v>
      </c>
      <c r="S423" s="1" t="s">
        <v>157</v>
      </c>
      <c r="U423" s="1" t="s">
        <v>2</v>
      </c>
      <c r="V423" s="1">
        <v>3</v>
      </c>
      <c r="W423" s="1">
        <v>3</v>
      </c>
      <c r="X423" s="1" t="s">
        <v>134</v>
      </c>
      <c r="Y423" s="1" t="s">
        <v>233</v>
      </c>
      <c r="Z423" s="1" t="s">
        <v>0</v>
      </c>
      <c r="AA423" s="1" t="s">
        <v>148</v>
      </c>
      <c r="AB423" s="1" t="s">
        <v>2</v>
      </c>
      <c r="AC423" s="1" t="s">
        <v>2</v>
      </c>
      <c r="AD423" s="1" t="s">
        <v>2</v>
      </c>
      <c r="AE423" s="1" t="s">
        <v>223</v>
      </c>
      <c r="AF423" s="1" t="s">
        <v>322</v>
      </c>
      <c r="AG423" s="1">
        <v>6.21</v>
      </c>
      <c r="AH423" s="1">
        <f t="shared" si="1293"/>
        <v>0.67549981495186151</v>
      </c>
      <c r="AI423" s="1">
        <f>6.6-AG423</f>
        <v>0.38999999999999968</v>
      </c>
      <c r="AJ423" s="1">
        <v>6.46</v>
      </c>
      <c r="AK423" s="1">
        <f t="shared" si="1282"/>
        <v>0.9353074360871938</v>
      </c>
      <c r="AL423" s="1">
        <f>7-AJ423</f>
        <v>0.54</v>
      </c>
      <c r="AM423" s="12">
        <f t="shared" si="936"/>
        <v>-0.25</v>
      </c>
      <c r="AN423" s="1">
        <f t="shared" si="1272"/>
        <v>0.81581247845322868</v>
      </c>
      <c r="AO423" s="1">
        <f t="shared" ref="AO423:AO424" si="1300">AM423/AN423</f>
        <v>-0.30644297139705096</v>
      </c>
      <c r="AP423" s="1">
        <f t="shared" si="1274"/>
        <v>0.67449227455988781</v>
      </c>
      <c r="AQ423" s="1">
        <f t="shared" si="1275"/>
        <v>0.8</v>
      </c>
      <c r="AR423" s="21">
        <f t="shared" ref="AR423:AR424" si="1301">AO423*AQ423</f>
        <v>-0.24515437711764076</v>
      </c>
      <c r="AS423" s="21">
        <f t="shared" si="1285"/>
        <v>0.43167505571832826</v>
      </c>
      <c r="AT423" s="21">
        <f t="shared" ref="AT423:AT424" si="1302">SQRT(AP423*AQ423^2)</f>
        <v>0.65701982901456502</v>
      </c>
      <c r="AU423" s="20">
        <f t="shared" si="1287"/>
        <v>2.3165572964042398</v>
      </c>
      <c r="AV423" s="20">
        <f t="shared" si="1288"/>
        <v>-0.5679141610573073</v>
      </c>
      <c r="AW423" s="20">
        <f t="shared" si="1289"/>
        <v>0.13922664241029167</v>
      </c>
      <c r="AX423" s="14"/>
      <c r="AY423" s="14"/>
      <c r="AZ423" s="1" t="s">
        <v>271</v>
      </c>
      <c r="BA423" s="2"/>
    </row>
    <row r="424" spans="1:53" ht="14.25" hidden="1" customHeight="1">
      <c r="A424" s="2">
        <v>133</v>
      </c>
      <c r="B424" s="2" t="s">
        <v>18</v>
      </c>
      <c r="C424" s="1" t="s">
        <v>85</v>
      </c>
      <c r="D424" s="1">
        <v>2004</v>
      </c>
      <c r="E424" s="1">
        <v>1996</v>
      </c>
      <c r="F424" s="1" t="s">
        <v>143</v>
      </c>
      <c r="G424" s="1" t="s">
        <v>142</v>
      </c>
      <c r="H424" s="1">
        <v>39.833232000000002</v>
      </c>
      <c r="I424" s="1">
        <v>-74.387434999999996</v>
      </c>
      <c r="J424" s="1" t="s">
        <v>135</v>
      </c>
      <c r="K424" s="1" t="s">
        <v>177</v>
      </c>
      <c r="L424" s="1" t="s">
        <v>199</v>
      </c>
      <c r="M424" s="1" t="s">
        <v>237</v>
      </c>
      <c r="N424" s="1" t="s">
        <v>239</v>
      </c>
      <c r="O424" s="1" t="s">
        <v>121</v>
      </c>
      <c r="P424" s="1" t="s">
        <v>146</v>
      </c>
      <c r="Q424" s="1" t="s">
        <v>93</v>
      </c>
      <c r="R424" s="1">
        <v>1996</v>
      </c>
      <c r="S424" s="1" t="s">
        <v>157</v>
      </c>
      <c r="U424" s="1" t="s">
        <v>2</v>
      </c>
      <c r="V424" s="1">
        <v>3</v>
      </c>
      <c r="W424" s="1">
        <v>3</v>
      </c>
      <c r="X424" s="1" t="s">
        <v>134</v>
      </c>
      <c r="Y424" s="1" t="s">
        <v>233</v>
      </c>
      <c r="Z424" s="1" t="s">
        <v>0</v>
      </c>
      <c r="AA424" s="1" t="s">
        <v>148</v>
      </c>
      <c r="AB424" s="1" t="s">
        <v>2</v>
      </c>
      <c r="AC424" s="1" t="s">
        <v>2</v>
      </c>
      <c r="AD424" s="1" t="s">
        <v>2</v>
      </c>
      <c r="AE424" s="1" t="s">
        <v>254</v>
      </c>
      <c r="AF424" s="1" t="s">
        <v>322</v>
      </c>
      <c r="AG424" s="1">
        <v>3.44</v>
      </c>
      <c r="AH424" s="1">
        <f t="shared" si="1293"/>
        <v>0.4676537180435969</v>
      </c>
      <c r="AI424" s="1">
        <f>3.71-AG424</f>
        <v>0.27</v>
      </c>
      <c r="AJ424" s="1">
        <v>3.06</v>
      </c>
      <c r="AK424" s="1">
        <f t="shared" si="1282"/>
        <v>0.45033320996790771</v>
      </c>
      <c r="AL424" s="1">
        <f>3.32-AJ424</f>
        <v>0.25999999999999979</v>
      </c>
      <c r="AM424" s="12">
        <f t="shared" si="936"/>
        <v>0.37999999999999989</v>
      </c>
      <c r="AN424" s="1">
        <f t="shared" si="1272"/>
        <v>0.459075157245521</v>
      </c>
      <c r="AO424" s="1">
        <f t="shared" si="1300"/>
        <v>0.82775117320663383</v>
      </c>
      <c r="AP424" s="1">
        <f t="shared" si="1274"/>
        <v>0.72376433372874649</v>
      </c>
      <c r="AQ424" s="1">
        <f t="shared" si="1275"/>
        <v>0.8</v>
      </c>
      <c r="AR424" s="21">
        <f t="shared" si="1301"/>
        <v>0.66220093856530715</v>
      </c>
      <c r="AS424" s="21">
        <f t="shared" si="1285"/>
        <v>0.46320917358639785</v>
      </c>
      <c r="AT424" s="21">
        <f t="shared" si="1302"/>
        <v>0.68059472051022984</v>
      </c>
      <c r="AU424" s="20">
        <f t="shared" si="1287"/>
        <v>2.1588518902972025</v>
      </c>
      <c r="AV424" s="20">
        <f t="shared" si="1288"/>
        <v>1.429593747978295</v>
      </c>
      <c r="AW424" s="20">
        <f t="shared" si="1289"/>
        <v>0.94667832167832211</v>
      </c>
      <c r="AX424" s="14"/>
      <c r="AY424" s="14"/>
      <c r="AZ424" s="1" t="s">
        <v>271</v>
      </c>
      <c r="BA424" s="2"/>
    </row>
    <row r="425" spans="1:53" ht="14.25" hidden="1" customHeight="1">
      <c r="A425" s="2">
        <v>133</v>
      </c>
      <c r="B425" s="2" t="s">
        <v>18</v>
      </c>
      <c r="C425" s="1" t="s">
        <v>85</v>
      </c>
      <c r="D425" s="1">
        <v>2004</v>
      </c>
      <c r="E425" s="1">
        <v>1996</v>
      </c>
      <c r="F425" s="1" t="s">
        <v>143</v>
      </c>
      <c r="G425" s="1" t="s">
        <v>142</v>
      </c>
      <c r="H425" s="1">
        <v>39.833232000000002</v>
      </c>
      <c r="I425" s="1">
        <v>-74.387434999999996</v>
      </c>
      <c r="J425" s="1" t="s">
        <v>135</v>
      </c>
      <c r="K425" s="1" t="s">
        <v>177</v>
      </c>
      <c r="L425" s="1" t="s">
        <v>199</v>
      </c>
      <c r="M425" s="1" t="s">
        <v>237</v>
      </c>
      <c r="N425" s="1" t="s">
        <v>239</v>
      </c>
      <c r="O425" s="1" t="s">
        <v>121</v>
      </c>
      <c r="P425" s="1" t="s">
        <v>211</v>
      </c>
      <c r="Q425" s="1" t="s">
        <v>93</v>
      </c>
      <c r="R425" s="1">
        <v>1996</v>
      </c>
      <c r="S425" s="1" t="s">
        <v>157</v>
      </c>
      <c r="U425" s="1" t="s">
        <v>2</v>
      </c>
      <c r="V425" s="1">
        <v>3</v>
      </c>
      <c r="W425" s="1">
        <v>3</v>
      </c>
      <c r="X425" s="1" t="s">
        <v>134</v>
      </c>
      <c r="Y425" s="1" t="s">
        <v>221</v>
      </c>
      <c r="Z425" s="1" t="s">
        <v>0</v>
      </c>
      <c r="AA425" s="1" t="s">
        <v>148</v>
      </c>
      <c r="AB425" s="1" t="s">
        <v>2</v>
      </c>
      <c r="AC425" s="1" t="s">
        <v>2</v>
      </c>
      <c r="AD425" s="1" t="s">
        <v>2</v>
      </c>
      <c r="AE425" s="1" t="s">
        <v>280</v>
      </c>
      <c r="AF425" s="1" t="s">
        <v>322</v>
      </c>
      <c r="AG425" s="1">
        <v>188.46</v>
      </c>
      <c r="AH425" s="1">
        <f t="shared" si="1293"/>
        <v>73.283069668239193</v>
      </c>
      <c r="AI425" s="1">
        <f>230.77-AG425</f>
        <v>42.31</v>
      </c>
      <c r="AJ425" s="1">
        <v>119.23</v>
      </c>
      <c r="AK425" s="1">
        <f t="shared" si="1282"/>
        <v>53.295203348894347</v>
      </c>
      <c r="AL425" s="1">
        <f>150-AJ425</f>
        <v>30.769999999999996</v>
      </c>
      <c r="AM425" s="12">
        <f t="shared" si="936"/>
        <v>69.23</v>
      </c>
      <c r="AN425" s="1">
        <f t="shared" si="1272"/>
        <v>64.073344691845136</v>
      </c>
      <c r="AO425" s="1">
        <f t="shared" si="1283"/>
        <v>1.0804805076581427</v>
      </c>
      <c r="AP425" s="1">
        <f t="shared" si="1274"/>
        <v>0.76395317728576639</v>
      </c>
      <c r="AQ425" s="1">
        <f t="shared" si="1275"/>
        <v>0.8</v>
      </c>
      <c r="AR425" s="21">
        <f t="shared" si="1284"/>
        <v>0.86438440612651424</v>
      </c>
      <c r="AS425" s="21">
        <f t="shared" si="1285"/>
        <v>0.4889300334628906</v>
      </c>
      <c r="AT425" s="21">
        <f t="shared" si="1286"/>
        <v>0.69923532052013115</v>
      </c>
      <c r="AU425" s="20">
        <f t="shared" si="1287"/>
        <v>2.0452824158037721</v>
      </c>
      <c r="AV425" s="20">
        <f t="shared" si="1288"/>
        <v>1.767910226345546</v>
      </c>
      <c r="AW425" s="20">
        <f t="shared" si="1289"/>
        <v>1.5281540310846859</v>
      </c>
      <c r="AX425" s="14"/>
      <c r="AY425" s="14"/>
      <c r="AZ425" s="1" t="s">
        <v>271</v>
      </c>
      <c r="BA425" s="2"/>
    </row>
    <row r="426" spans="1:53" ht="14.25" hidden="1" customHeight="1">
      <c r="A426" s="2">
        <v>133</v>
      </c>
      <c r="B426" s="2" t="s">
        <v>18</v>
      </c>
      <c r="C426" s="1" t="s">
        <v>85</v>
      </c>
      <c r="D426" s="1">
        <v>2004</v>
      </c>
      <c r="E426" s="1">
        <v>1996</v>
      </c>
      <c r="F426" s="1" t="s">
        <v>143</v>
      </c>
      <c r="G426" s="1" t="s">
        <v>142</v>
      </c>
      <c r="H426" s="1">
        <v>39.833232000000002</v>
      </c>
      <c r="I426" s="1">
        <v>-74.387434999999996</v>
      </c>
      <c r="J426" s="1" t="s">
        <v>135</v>
      </c>
      <c r="K426" s="1" t="s">
        <v>177</v>
      </c>
      <c r="L426" s="1" t="s">
        <v>199</v>
      </c>
      <c r="M426" s="1" t="s">
        <v>237</v>
      </c>
      <c r="N426" s="1" t="s">
        <v>239</v>
      </c>
      <c r="O426" s="1" t="s">
        <v>121</v>
      </c>
      <c r="P426" s="1" t="s">
        <v>211</v>
      </c>
      <c r="Q426" s="1" t="s">
        <v>93</v>
      </c>
      <c r="R426" s="1">
        <v>1996</v>
      </c>
      <c r="S426" s="1" t="s">
        <v>157</v>
      </c>
      <c r="U426" s="1" t="s">
        <v>2</v>
      </c>
      <c r="V426" s="1">
        <v>3</v>
      </c>
      <c r="W426" s="1">
        <v>3</v>
      </c>
      <c r="X426" s="1" t="s">
        <v>134</v>
      </c>
      <c r="Y426" s="1" t="s">
        <v>221</v>
      </c>
      <c r="Z426" s="1" t="s">
        <v>0</v>
      </c>
      <c r="AA426" s="1" t="s">
        <v>148</v>
      </c>
      <c r="AB426" s="1" t="s">
        <v>2</v>
      </c>
      <c r="AC426" s="1" t="s">
        <v>2</v>
      </c>
      <c r="AD426" s="1" t="s">
        <v>2</v>
      </c>
      <c r="AE426" s="1" t="s">
        <v>223</v>
      </c>
      <c r="AF426" s="1" t="s">
        <v>322</v>
      </c>
      <c r="AG426" s="1">
        <v>3.93</v>
      </c>
      <c r="AH426" s="1">
        <f t="shared" si="1293"/>
        <v>0.71014083110323911</v>
      </c>
      <c r="AI426" s="1">
        <f>4.34-AG426</f>
        <v>0.4099999999999997</v>
      </c>
      <c r="AJ426" s="1">
        <v>3.08</v>
      </c>
      <c r="AK426" s="1">
        <f t="shared" si="1282"/>
        <v>0.71014083110323989</v>
      </c>
      <c r="AL426" s="1">
        <f>3.49-AJ426</f>
        <v>0.41000000000000014</v>
      </c>
      <c r="AM426" s="12">
        <f t="shared" si="936"/>
        <v>0.85000000000000009</v>
      </c>
      <c r="AN426" s="1">
        <f t="shared" si="1272"/>
        <v>0.71014083110323956</v>
      </c>
      <c r="AO426" s="1">
        <f t="shared" ref="AO426:AO427" si="1303">AM426/AN426</f>
        <v>1.1969456800272733</v>
      </c>
      <c r="AP426" s="1">
        <f t="shared" si="1274"/>
        <v>0.78605658007799595</v>
      </c>
      <c r="AQ426" s="1">
        <f t="shared" si="1275"/>
        <v>0.8</v>
      </c>
      <c r="AR426" s="21">
        <f t="shared" ref="AR426:AR427" si="1304">AO426*AQ426</f>
        <v>0.95755654402181867</v>
      </c>
      <c r="AS426" s="21">
        <f t="shared" si="1285"/>
        <v>0.50307621124991753</v>
      </c>
      <c r="AT426" s="21">
        <f t="shared" ref="AT426:AT427" si="1305">SQRT(AP426*AQ426^2)</f>
        <v>0.70927865557192504</v>
      </c>
      <c r="AU426" s="20">
        <f t="shared" si="1287"/>
        <v>1.9877703966869174</v>
      </c>
      <c r="AV426" s="20">
        <f t="shared" si="1288"/>
        <v>1.903402551360404</v>
      </c>
      <c r="AW426" s="20">
        <f t="shared" si="1289"/>
        <v>1.8226155689629806</v>
      </c>
      <c r="AX426" s="14"/>
      <c r="AY426" s="14"/>
      <c r="AZ426" s="1" t="s">
        <v>271</v>
      </c>
      <c r="BA426" s="2"/>
    </row>
    <row r="427" spans="1:53" ht="14.25" hidden="1" customHeight="1">
      <c r="A427" s="2">
        <v>133</v>
      </c>
      <c r="B427" s="2" t="s">
        <v>18</v>
      </c>
      <c r="C427" s="1" t="s">
        <v>85</v>
      </c>
      <c r="D427" s="1">
        <v>2004</v>
      </c>
      <c r="E427" s="1">
        <v>1996</v>
      </c>
      <c r="F427" s="1" t="s">
        <v>143</v>
      </c>
      <c r="G427" s="1" t="s">
        <v>142</v>
      </c>
      <c r="H427" s="1">
        <v>39.833232000000002</v>
      </c>
      <c r="I427" s="1">
        <v>-74.387434999999996</v>
      </c>
      <c r="J427" s="1" t="s">
        <v>135</v>
      </c>
      <c r="K427" s="1" t="s">
        <v>177</v>
      </c>
      <c r="L427" s="1" t="s">
        <v>199</v>
      </c>
      <c r="M427" s="1" t="s">
        <v>237</v>
      </c>
      <c r="N427" s="1" t="s">
        <v>239</v>
      </c>
      <c r="O427" s="1" t="s">
        <v>121</v>
      </c>
      <c r="P427" s="1" t="s">
        <v>211</v>
      </c>
      <c r="Q427" s="1" t="s">
        <v>93</v>
      </c>
      <c r="R427" s="1">
        <v>1996</v>
      </c>
      <c r="S427" s="1" t="s">
        <v>157</v>
      </c>
      <c r="U427" s="1" t="s">
        <v>2</v>
      </c>
      <c r="V427" s="1">
        <v>3</v>
      </c>
      <c r="W427" s="1">
        <v>3</v>
      </c>
      <c r="X427" s="1" t="s">
        <v>134</v>
      </c>
      <c r="Y427" s="1" t="s">
        <v>221</v>
      </c>
      <c r="Z427" s="1" t="s">
        <v>0</v>
      </c>
      <c r="AA427" s="1" t="s">
        <v>148</v>
      </c>
      <c r="AB427" s="1" t="s">
        <v>2</v>
      </c>
      <c r="AC427" s="1" t="s">
        <v>2</v>
      </c>
      <c r="AD427" s="1" t="s">
        <v>2</v>
      </c>
      <c r="AE427" s="1" t="s">
        <v>254</v>
      </c>
      <c r="AF427" s="1" t="s">
        <v>322</v>
      </c>
      <c r="AG427" s="1">
        <v>2.68</v>
      </c>
      <c r="AH427" s="1">
        <f t="shared" si="1293"/>
        <v>0.3983716857408417</v>
      </c>
      <c r="AI427" s="1">
        <f>2.91-AG427</f>
        <v>0.22999999999999998</v>
      </c>
      <c r="AJ427" s="1">
        <v>1.67</v>
      </c>
      <c r="AK427" s="1">
        <f t="shared" si="1282"/>
        <v>0.38105117766515295</v>
      </c>
      <c r="AL427" s="1">
        <f>1.89-AJ427</f>
        <v>0.21999999999999997</v>
      </c>
      <c r="AM427" s="12">
        <f t="shared" si="936"/>
        <v>1.0100000000000002</v>
      </c>
      <c r="AN427" s="1">
        <f t="shared" si="1272"/>
        <v>0.38980764487115943</v>
      </c>
      <c r="AO427" s="1">
        <f t="shared" si="1303"/>
        <v>2.5910215289231409</v>
      </c>
      <c r="AP427" s="1">
        <f t="shared" si="1274"/>
        <v>1.2261160469452674</v>
      </c>
      <c r="AQ427" s="1">
        <f t="shared" si="1275"/>
        <v>0.8</v>
      </c>
      <c r="AR427" s="21">
        <f t="shared" si="1304"/>
        <v>2.0728172231385127</v>
      </c>
      <c r="AS427" s="21">
        <f t="shared" si="1285"/>
        <v>0.7847142700449713</v>
      </c>
      <c r="AT427" s="21">
        <f t="shared" si="1305"/>
        <v>0.8858409959157294</v>
      </c>
      <c r="AU427" s="20">
        <f t="shared" si="1287"/>
        <v>1.2743491971194698</v>
      </c>
      <c r="AV427" s="20">
        <f t="shared" si="1288"/>
        <v>2.6414929640819724</v>
      </c>
      <c r="AW427" s="20">
        <f t="shared" si="1289"/>
        <v>5.4753321107483135</v>
      </c>
      <c r="AX427" s="14"/>
      <c r="AY427" s="14"/>
      <c r="AZ427" s="1" t="s">
        <v>271</v>
      </c>
      <c r="BA427" s="2"/>
    </row>
    <row r="428" spans="1:53" ht="14.25" hidden="1" customHeight="1">
      <c r="A428" s="2">
        <v>133</v>
      </c>
      <c r="B428" s="2" t="s">
        <v>18</v>
      </c>
      <c r="C428" s="1" t="s">
        <v>85</v>
      </c>
      <c r="D428" s="1">
        <v>2004</v>
      </c>
      <c r="E428" s="1">
        <v>1996</v>
      </c>
      <c r="F428" s="1" t="s">
        <v>143</v>
      </c>
      <c r="G428" s="1" t="s">
        <v>142</v>
      </c>
      <c r="H428" s="1">
        <v>39.833232000000002</v>
      </c>
      <c r="I428" s="1">
        <v>-74.387434999999996</v>
      </c>
      <c r="J428" s="1" t="s">
        <v>135</v>
      </c>
      <c r="K428" s="1" t="s">
        <v>177</v>
      </c>
      <c r="L428" s="1" t="s">
        <v>199</v>
      </c>
      <c r="M428" s="1" t="s">
        <v>237</v>
      </c>
      <c r="N428" s="1" t="s">
        <v>239</v>
      </c>
      <c r="O428" s="1" t="s">
        <v>121</v>
      </c>
      <c r="P428" s="1" t="s">
        <v>146</v>
      </c>
      <c r="Q428" s="1" t="s">
        <v>93</v>
      </c>
      <c r="R428" s="1">
        <v>1996</v>
      </c>
      <c r="S428" s="1" t="s">
        <v>157</v>
      </c>
      <c r="U428" s="1" t="s">
        <v>2</v>
      </c>
      <c r="V428" s="1">
        <v>3</v>
      </c>
      <c r="W428" s="1">
        <v>3</v>
      </c>
      <c r="X428" s="1" t="s">
        <v>134</v>
      </c>
      <c r="Y428" s="1" t="s">
        <v>221</v>
      </c>
      <c r="Z428" s="1" t="s">
        <v>0</v>
      </c>
      <c r="AA428" s="1" t="s">
        <v>148</v>
      </c>
      <c r="AB428" s="1" t="s">
        <v>2</v>
      </c>
      <c r="AC428" s="1" t="s">
        <v>2</v>
      </c>
      <c r="AD428" s="1" t="s">
        <v>2</v>
      </c>
      <c r="AE428" s="1" t="s">
        <v>280</v>
      </c>
      <c r="AF428" s="1" t="s">
        <v>322</v>
      </c>
      <c r="AG428" s="1">
        <v>153.85</v>
      </c>
      <c r="AH428" s="1">
        <f t="shared" si="1293"/>
        <v>63.271816000491086</v>
      </c>
      <c r="AI428" s="1">
        <f>190.38-AG428</f>
        <v>36.53</v>
      </c>
      <c r="AJ428" s="1">
        <v>228.85</v>
      </c>
      <c r="AK428" s="1">
        <f t="shared" si="1282"/>
        <v>56.620740899426643</v>
      </c>
      <c r="AL428" s="1">
        <f>261.54-AJ428</f>
        <v>32.690000000000026</v>
      </c>
      <c r="AM428" s="12">
        <f t="shared" si="936"/>
        <v>-75</v>
      </c>
      <c r="AN428" s="1">
        <f t="shared" si="1272"/>
        <v>60.038450179863922</v>
      </c>
      <c r="AO428" s="1">
        <f t="shared" si="1283"/>
        <v>-1.2491994675964166</v>
      </c>
      <c r="AP428" s="1">
        <f t="shared" si="1274"/>
        <v>0.79670827582026416</v>
      </c>
      <c r="AQ428" s="1">
        <f t="shared" si="1275"/>
        <v>0.8</v>
      </c>
      <c r="AR428" s="21">
        <f t="shared" si="1284"/>
        <v>-0.99935957407713338</v>
      </c>
      <c r="AS428" s="21">
        <f t="shared" si="1285"/>
        <v>0.50989329652496918</v>
      </c>
      <c r="AT428" s="21">
        <f t="shared" si="1286"/>
        <v>0.71406813157076909</v>
      </c>
      <c r="AU428" s="20">
        <f t="shared" si="1287"/>
        <v>1.9611946397711282</v>
      </c>
      <c r="AV428" s="20">
        <f t="shared" si="1288"/>
        <v>-1.9599386398840317</v>
      </c>
      <c r="AW428" s="20">
        <f t="shared" si="1289"/>
        <v>1.9586834443718222</v>
      </c>
      <c r="AX428" s="14"/>
      <c r="AY428" s="14"/>
      <c r="AZ428" s="1" t="s">
        <v>271</v>
      </c>
      <c r="BA428" s="2"/>
    </row>
    <row r="429" spans="1:53" ht="14.25" hidden="1" customHeight="1">
      <c r="A429" s="2">
        <v>133</v>
      </c>
      <c r="B429" s="2" t="s">
        <v>18</v>
      </c>
      <c r="C429" s="1" t="s">
        <v>85</v>
      </c>
      <c r="D429" s="1">
        <v>2004</v>
      </c>
      <c r="E429" s="1">
        <v>1996</v>
      </c>
      <c r="F429" s="1" t="s">
        <v>143</v>
      </c>
      <c r="G429" s="1" t="s">
        <v>142</v>
      </c>
      <c r="H429" s="1">
        <v>39.833232000000002</v>
      </c>
      <c r="I429" s="1">
        <v>-74.387434999999996</v>
      </c>
      <c r="J429" s="1" t="s">
        <v>135</v>
      </c>
      <c r="K429" s="1" t="s">
        <v>177</v>
      </c>
      <c r="L429" s="1" t="s">
        <v>199</v>
      </c>
      <c r="M429" s="1" t="s">
        <v>237</v>
      </c>
      <c r="N429" s="1" t="s">
        <v>239</v>
      </c>
      <c r="O429" s="1" t="s">
        <v>121</v>
      </c>
      <c r="P429" s="1" t="s">
        <v>146</v>
      </c>
      <c r="Q429" s="1" t="s">
        <v>93</v>
      </c>
      <c r="R429" s="1">
        <v>1996</v>
      </c>
      <c r="S429" s="1" t="s">
        <v>157</v>
      </c>
      <c r="U429" s="1" t="s">
        <v>2</v>
      </c>
      <c r="V429" s="1">
        <v>3</v>
      </c>
      <c r="W429" s="1">
        <v>3</v>
      </c>
      <c r="X429" s="1" t="s">
        <v>134</v>
      </c>
      <c r="Y429" s="1" t="s">
        <v>221</v>
      </c>
      <c r="Z429" s="1" t="s">
        <v>0</v>
      </c>
      <c r="AA429" s="1" t="s">
        <v>148</v>
      </c>
      <c r="AB429" s="1" t="s">
        <v>2</v>
      </c>
      <c r="AC429" s="1" t="s">
        <v>2</v>
      </c>
      <c r="AD429" s="1" t="s">
        <v>2</v>
      </c>
      <c r="AE429" s="1" t="s">
        <v>223</v>
      </c>
      <c r="AF429" s="1" t="s">
        <v>322</v>
      </c>
      <c r="AG429" s="1">
        <v>2.66</v>
      </c>
      <c r="AH429" s="1">
        <f t="shared" si="1293"/>
        <v>0.71014083110323911</v>
      </c>
      <c r="AI429" s="1">
        <f>3.07-AG429</f>
        <v>0.4099999999999997</v>
      </c>
      <c r="AJ429" s="1">
        <v>3.99</v>
      </c>
      <c r="AK429" s="1">
        <f t="shared" si="1282"/>
        <v>0.9353074360871938</v>
      </c>
      <c r="AL429" s="1">
        <f>4.53-AJ429</f>
        <v>0.54</v>
      </c>
      <c r="AM429" s="12">
        <f t="shared" si="936"/>
        <v>-1.33</v>
      </c>
      <c r="AN429" s="1">
        <f t="shared" si="1272"/>
        <v>0.83039147394466883</v>
      </c>
      <c r="AO429" s="1">
        <f t="shared" ref="AO429:AO430" si="1306">AM429/AN429</f>
        <v>-1.6016542097692847</v>
      </c>
      <c r="AP429" s="1">
        <f t="shared" si="1274"/>
        <v>0.88044135063930595</v>
      </c>
      <c r="AQ429" s="1">
        <f t="shared" si="1275"/>
        <v>0.8</v>
      </c>
      <c r="AR429" s="21">
        <f t="shared" ref="AR429:AR430" si="1307">AO429*AQ429</f>
        <v>-1.2813233678154279</v>
      </c>
      <c r="AS429" s="21">
        <f t="shared" si="1285"/>
        <v>0.56348246440915595</v>
      </c>
      <c r="AT429" s="21">
        <f t="shared" ref="AT429:AT430" si="1308">SQRT(AP429*AQ429^2)</f>
        <v>0.75065469052631384</v>
      </c>
      <c r="AU429" s="20">
        <f t="shared" si="1287"/>
        <v>1.7746781189518612</v>
      </c>
      <c r="AV429" s="20">
        <f t="shared" si="1288"/>
        <v>-2.2739365441637474</v>
      </c>
      <c r="AW429" s="20">
        <f t="shared" si="1289"/>
        <v>2.9136480309664683</v>
      </c>
      <c r="AX429" s="14"/>
      <c r="AY429" s="14"/>
      <c r="AZ429" s="1" t="s">
        <v>271</v>
      </c>
      <c r="BA429" s="2"/>
    </row>
    <row r="430" spans="1:53" ht="14.25" hidden="1" customHeight="1">
      <c r="A430" s="2">
        <v>133</v>
      </c>
      <c r="B430" s="2" t="s">
        <v>18</v>
      </c>
      <c r="C430" s="1" t="s">
        <v>85</v>
      </c>
      <c r="D430" s="1">
        <v>2004</v>
      </c>
      <c r="E430" s="1">
        <v>1996</v>
      </c>
      <c r="F430" s="1" t="s">
        <v>143</v>
      </c>
      <c r="G430" s="1" t="s">
        <v>142</v>
      </c>
      <c r="H430" s="1">
        <v>39.833232000000002</v>
      </c>
      <c r="I430" s="1">
        <v>-74.387434999999996</v>
      </c>
      <c r="J430" s="1" t="s">
        <v>135</v>
      </c>
      <c r="K430" s="1" t="s">
        <v>177</v>
      </c>
      <c r="L430" s="1" t="s">
        <v>199</v>
      </c>
      <c r="M430" s="1" t="s">
        <v>237</v>
      </c>
      <c r="N430" s="1" t="s">
        <v>239</v>
      </c>
      <c r="O430" s="1" t="s">
        <v>121</v>
      </c>
      <c r="P430" s="1" t="s">
        <v>146</v>
      </c>
      <c r="Q430" s="1" t="s">
        <v>93</v>
      </c>
      <c r="R430" s="1">
        <v>1996</v>
      </c>
      <c r="S430" s="1" t="s">
        <v>157</v>
      </c>
      <c r="U430" s="1" t="s">
        <v>2</v>
      </c>
      <c r="V430" s="1">
        <v>3</v>
      </c>
      <c r="W430" s="1">
        <v>3</v>
      </c>
      <c r="X430" s="1" t="s">
        <v>134</v>
      </c>
      <c r="Y430" s="1" t="s">
        <v>221</v>
      </c>
      <c r="Z430" s="1" t="s">
        <v>0</v>
      </c>
      <c r="AA430" s="1" t="s">
        <v>148</v>
      </c>
      <c r="AB430" s="1" t="s">
        <v>2</v>
      </c>
      <c r="AC430" s="1" t="s">
        <v>2</v>
      </c>
      <c r="AD430" s="1" t="s">
        <v>2</v>
      </c>
      <c r="AE430" s="1" t="s">
        <v>254</v>
      </c>
      <c r="AF430" s="1" t="s">
        <v>322</v>
      </c>
      <c r="AG430" s="1">
        <v>1.89</v>
      </c>
      <c r="AH430" s="1">
        <f t="shared" si="1293"/>
        <v>0.39837168574084209</v>
      </c>
      <c r="AI430" s="1">
        <f>2.12-AG430</f>
        <v>0.2300000000000002</v>
      </c>
      <c r="AJ430" s="1">
        <v>2.04</v>
      </c>
      <c r="AK430" s="1">
        <f t="shared" si="1282"/>
        <v>0.3983716857408417</v>
      </c>
      <c r="AL430" s="1">
        <f>2.27-AJ430</f>
        <v>0.22999999999999998</v>
      </c>
      <c r="AM430" s="12">
        <f t="shared" si="936"/>
        <v>-0.15000000000000013</v>
      </c>
      <c r="AN430" s="1">
        <f t="shared" si="1272"/>
        <v>0.39837168574084192</v>
      </c>
      <c r="AO430" s="1">
        <f t="shared" si="1306"/>
        <v>-0.37653278425410397</v>
      </c>
      <c r="AP430" s="1">
        <f t="shared" si="1274"/>
        <v>0.67848141146817897</v>
      </c>
      <c r="AQ430" s="1">
        <f t="shared" si="1275"/>
        <v>0.8</v>
      </c>
      <c r="AR430" s="21">
        <f t="shared" si="1307"/>
        <v>-0.3012262274032832</v>
      </c>
      <c r="AS430" s="21">
        <f t="shared" si="1285"/>
        <v>0.43422810333963463</v>
      </c>
      <c r="AT430" s="21">
        <f t="shared" si="1308"/>
        <v>0.65895986474111956</v>
      </c>
      <c r="AU430" s="20">
        <f t="shared" si="1287"/>
        <v>2.302937079173438</v>
      </c>
      <c r="AV430" s="20">
        <f t="shared" si="1288"/>
        <v>-0.69370504830655089</v>
      </c>
      <c r="AW430" s="20">
        <f t="shared" si="1289"/>
        <v>0.20896215463199466</v>
      </c>
      <c r="AX430" s="14"/>
      <c r="AY430" s="14"/>
      <c r="AZ430" s="1" t="s">
        <v>271</v>
      </c>
      <c r="BA430" s="2"/>
    </row>
    <row r="431" spans="1:53" s="16" customFormat="1" ht="14.25" hidden="1">
      <c r="A431" s="17">
        <v>320</v>
      </c>
      <c r="B431" s="17" t="s">
        <v>244</v>
      </c>
      <c r="C431" s="12" t="s">
        <v>85</v>
      </c>
      <c r="D431" s="16">
        <v>2024</v>
      </c>
      <c r="E431" s="16">
        <v>2021</v>
      </c>
      <c r="F431" s="16" t="s">
        <v>120</v>
      </c>
      <c r="G431" s="16" t="s">
        <v>109</v>
      </c>
      <c r="H431" s="16">
        <v>42.345813999999997</v>
      </c>
      <c r="I431" s="16">
        <v>-6.3904769999999997</v>
      </c>
      <c r="J431" s="16" t="s">
        <v>126</v>
      </c>
      <c r="K431" s="16" t="s">
        <v>177</v>
      </c>
      <c r="L431" s="16" t="s">
        <v>178</v>
      </c>
      <c r="M431" s="16" t="s">
        <v>237</v>
      </c>
      <c r="N431" s="16" t="s">
        <v>239</v>
      </c>
      <c r="O431" s="16" t="s">
        <v>86</v>
      </c>
      <c r="Q431" s="16" t="s">
        <v>93</v>
      </c>
      <c r="R431" s="16">
        <v>2012</v>
      </c>
      <c r="S431" s="16">
        <v>9</v>
      </c>
      <c r="T431" s="16">
        <v>11891</v>
      </c>
      <c r="V431" s="16">
        <v>9</v>
      </c>
      <c r="W431" s="16">
        <v>9</v>
      </c>
      <c r="X431" s="16" t="s">
        <v>114</v>
      </c>
      <c r="Y431" s="16" t="s">
        <v>2</v>
      </c>
      <c r="Z431" s="16" t="s">
        <v>1</v>
      </c>
      <c r="AA431" s="16" t="s">
        <v>113</v>
      </c>
      <c r="AB431" s="1" t="s">
        <v>2</v>
      </c>
      <c r="AC431" s="1" t="s">
        <v>2</v>
      </c>
      <c r="AD431" s="1" t="s">
        <v>2</v>
      </c>
      <c r="AE431" s="16" t="s">
        <v>223</v>
      </c>
      <c r="AF431" s="16" t="s">
        <v>319</v>
      </c>
      <c r="AG431" s="16">
        <v>9.0299999999999994</v>
      </c>
      <c r="AH431" s="16">
        <f>11.1-5.94</f>
        <v>5.1599999999999993</v>
      </c>
      <c r="AJ431" s="16">
        <v>26.58</v>
      </c>
      <c r="AK431" s="16">
        <f>30.97-22.71</f>
        <v>8.259999999999998</v>
      </c>
      <c r="AM431" s="12">
        <f t="shared" ref="AM431:AM432" si="1309">AG431-AJ431</f>
        <v>-17.549999999999997</v>
      </c>
      <c r="AN431" s="1">
        <f t="shared" ref="AN431:AN432" si="1310">SQRT((((W431-1)*AH431^2)+((V431-1)*AK431^2))/(W431+V431-2))</f>
        <v>6.8866973216484535</v>
      </c>
      <c r="AO431" s="1">
        <f t="shared" ref="AO431:AO432" si="1311">AM431/AN431</f>
        <v>-2.5483913667631746</v>
      </c>
      <c r="AP431" s="1">
        <f t="shared" ref="AP431:AP432" si="1312">1/W431+1/V431+(AO431^2)/(2*(W431+V431))</f>
        <v>0.40261940439425226</v>
      </c>
      <c r="AQ431" s="1">
        <f t="shared" ref="AQ431:AQ432" si="1313">1-(3/(4*(W431+V431-2)-1))</f>
        <v>0.95238095238095233</v>
      </c>
      <c r="AR431" s="21">
        <f t="shared" ref="AR431:AR432" si="1314">AO431*AQ431</f>
        <v>-2.427039396917309</v>
      </c>
      <c r="AS431" s="21">
        <f t="shared" si="1285"/>
        <v>0.36518766838480926</v>
      </c>
      <c r="AT431" s="21">
        <f t="shared" ref="AT431:AT432" si="1315">SQRT(AP431*AQ431^2)</f>
        <v>0.60430759418098434</v>
      </c>
      <c r="AU431" s="20">
        <f t="shared" si="1287"/>
        <v>2.7383180938800753</v>
      </c>
      <c r="AV431" s="20">
        <f t="shared" si="1288"/>
        <v>-6.6460058951384537</v>
      </c>
      <c r="AW431" s="20">
        <f t="shared" si="1289"/>
        <v>16.130118139645713</v>
      </c>
      <c r="AX431" s="15"/>
      <c r="AY431" s="15"/>
      <c r="AZ431" s="1" t="s">
        <v>271</v>
      </c>
      <c r="BA431" s="17"/>
    </row>
    <row r="432" spans="1:53" s="16" customFormat="1" ht="14.25" hidden="1">
      <c r="A432" s="17">
        <v>320</v>
      </c>
      <c r="B432" s="17" t="s">
        <v>244</v>
      </c>
      <c r="C432" s="12" t="s">
        <v>85</v>
      </c>
      <c r="D432" s="16">
        <v>2024</v>
      </c>
      <c r="E432" s="16">
        <v>2021</v>
      </c>
      <c r="F432" s="16" t="s">
        <v>120</v>
      </c>
      <c r="G432" s="16" t="s">
        <v>109</v>
      </c>
      <c r="H432" s="16">
        <v>42.345813999999997</v>
      </c>
      <c r="I432" s="16">
        <v>-6.3904769999999997</v>
      </c>
      <c r="J432" s="16" t="s">
        <v>126</v>
      </c>
      <c r="K432" s="16" t="s">
        <v>177</v>
      </c>
      <c r="L432" s="16" t="s">
        <v>178</v>
      </c>
      <c r="M432" s="16" t="s">
        <v>237</v>
      </c>
      <c r="N432" s="16" t="s">
        <v>239</v>
      </c>
      <c r="O432" s="16" t="s">
        <v>86</v>
      </c>
      <c r="Q432" s="16" t="s">
        <v>93</v>
      </c>
      <c r="R432" s="16">
        <v>2012</v>
      </c>
      <c r="S432" s="16">
        <v>9</v>
      </c>
      <c r="T432" s="16">
        <v>11891</v>
      </c>
      <c r="V432" s="16">
        <v>9</v>
      </c>
      <c r="W432" s="16">
        <v>9</v>
      </c>
      <c r="X432" s="16" t="s">
        <v>114</v>
      </c>
      <c r="Y432" s="16" t="s">
        <v>2</v>
      </c>
      <c r="Z432" s="16" t="s">
        <v>1</v>
      </c>
      <c r="AA432" s="16" t="s">
        <v>113</v>
      </c>
      <c r="AB432" s="1" t="s">
        <v>2</v>
      </c>
      <c r="AC432" s="1" t="s">
        <v>2</v>
      </c>
      <c r="AD432" s="1" t="s">
        <v>2</v>
      </c>
      <c r="AE432" s="16" t="s">
        <v>298</v>
      </c>
      <c r="AF432" s="16" t="s">
        <v>319</v>
      </c>
      <c r="AG432" s="16">
        <v>22.44</v>
      </c>
      <c r="AH432" s="16">
        <f>35.9-8.97</f>
        <v>26.93</v>
      </c>
      <c r="AJ432" s="16">
        <v>224.36</v>
      </c>
      <c r="AK432" s="16">
        <f>350-188.46</f>
        <v>161.54</v>
      </c>
      <c r="AM432" s="12">
        <f t="shared" si="1309"/>
        <v>-201.92000000000002</v>
      </c>
      <c r="AN432" s="1">
        <f t="shared" si="1310"/>
        <v>115.80241038078611</v>
      </c>
      <c r="AO432" s="1">
        <f t="shared" si="1311"/>
        <v>-1.7436597332994934</v>
      </c>
      <c r="AP432" s="1">
        <f t="shared" si="1312"/>
        <v>0.30667636848694613</v>
      </c>
      <c r="AQ432" s="1">
        <f t="shared" si="1313"/>
        <v>0.95238095238095233</v>
      </c>
      <c r="AR432" s="21">
        <f t="shared" si="1314"/>
        <v>-1.6606283174280889</v>
      </c>
      <c r="AS432" s="21">
        <f t="shared" si="1285"/>
        <v>0.27816450656412345</v>
      </c>
      <c r="AT432" s="21">
        <f t="shared" si="1315"/>
        <v>0.52741303222818026</v>
      </c>
      <c r="AU432" s="20">
        <f t="shared" si="1287"/>
        <v>3.5949949630596616</v>
      </c>
      <c r="AV432" s="20">
        <f t="shared" si="1288"/>
        <v>-5.9699504366682206</v>
      </c>
      <c r="AW432" s="20">
        <f t="shared" si="1289"/>
        <v>9.9138687487734334</v>
      </c>
      <c r="AX432" s="15"/>
      <c r="AY432" s="15"/>
      <c r="AZ432" s="1" t="s">
        <v>271</v>
      </c>
      <c r="BA432" s="17"/>
    </row>
    <row r="433" spans="1:53" s="16" customFormat="1" ht="14.25" hidden="1">
      <c r="A433" s="17">
        <v>320</v>
      </c>
      <c r="B433" s="17" t="s">
        <v>244</v>
      </c>
      <c r="C433" s="12" t="s">
        <v>85</v>
      </c>
      <c r="D433" s="16">
        <v>2024</v>
      </c>
      <c r="E433" s="16">
        <v>2021</v>
      </c>
      <c r="F433" s="16" t="s">
        <v>120</v>
      </c>
      <c r="G433" s="16" t="s">
        <v>109</v>
      </c>
      <c r="H433" s="16">
        <v>42.345813999999997</v>
      </c>
      <c r="I433" s="16">
        <v>-6.3904769999999997</v>
      </c>
      <c r="J433" s="16" t="s">
        <v>126</v>
      </c>
      <c r="K433" s="16" t="s">
        <v>177</v>
      </c>
      <c r="L433" s="16" t="s">
        <v>178</v>
      </c>
      <c r="M433" s="16" t="s">
        <v>237</v>
      </c>
      <c r="N433" s="16" t="s">
        <v>239</v>
      </c>
      <c r="O433" s="16" t="s">
        <v>86</v>
      </c>
      <c r="Q433" s="16" t="s">
        <v>93</v>
      </c>
      <c r="R433" s="16">
        <v>2012</v>
      </c>
      <c r="S433" s="16">
        <v>9</v>
      </c>
      <c r="T433" s="16">
        <v>11891</v>
      </c>
      <c r="V433" s="16">
        <v>9</v>
      </c>
      <c r="W433" s="16">
        <v>9</v>
      </c>
      <c r="X433" s="16" t="s">
        <v>114</v>
      </c>
      <c r="Y433" s="16" t="s">
        <v>2</v>
      </c>
      <c r="Z433" s="16" t="s">
        <v>1</v>
      </c>
      <c r="AA433" s="16" t="s">
        <v>113</v>
      </c>
      <c r="AB433" s="1" t="s">
        <v>2</v>
      </c>
      <c r="AC433" s="1" t="s">
        <v>2</v>
      </c>
      <c r="AD433" s="1" t="s">
        <v>2</v>
      </c>
      <c r="AE433" s="16" t="s">
        <v>149</v>
      </c>
      <c r="AF433" s="16" t="s">
        <v>319</v>
      </c>
      <c r="AG433" s="16">
        <v>0.72</v>
      </c>
      <c r="AH433" s="16">
        <f>1.03</f>
        <v>1.03</v>
      </c>
      <c r="AJ433" s="16">
        <v>3.17</v>
      </c>
      <c r="AK433" s="16">
        <f>4.48-2.85</f>
        <v>1.6300000000000003</v>
      </c>
      <c r="AM433" s="12">
        <f t="shared" ref="AM433" si="1316">AG433-AJ433</f>
        <v>-2.4500000000000002</v>
      </c>
      <c r="AN433" s="1">
        <f t="shared" ref="AN433" si="1317">SQRT((((W433-1)*AH433^2)+((V433-1)*AK433^2))/(W433+V433-2))</f>
        <v>1.3634148304899725</v>
      </c>
      <c r="AO433" s="1">
        <f t="shared" ref="AO433" si="1318">AM433/AN433</f>
        <v>-1.7969585963206369</v>
      </c>
      <c r="AP433" s="1">
        <f t="shared" ref="AP433" si="1319">1/W433+1/V433+(AO433^2)/(2*(W433+V433))</f>
        <v>0.31191833880251757</v>
      </c>
      <c r="AQ433" s="1">
        <f t="shared" ref="AQ433" si="1320">1-(3/(4*(W433+V433-2)-1))</f>
        <v>0.95238095238095233</v>
      </c>
      <c r="AR433" s="21">
        <f t="shared" ref="AR433" si="1321">AO433*AQ433</f>
        <v>-1.7113891393529874</v>
      </c>
      <c r="AS433" s="21">
        <f t="shared" si="1285"/>
        <v>0.28291912816554882</v>
      </c>
      <c r="AT433" s="21">
        <f t="shared" ref="AT433" si="1322">SQRT(AP433*AQ433^2)</f>
        <v>0.53190142711366062</v>
      </c>
      <c r="AU433" s="20">
        <f t="shared" si="1287"/>
        <v>3.5345789677920068</v>
      </c>
      <c r="AV433" s="20">
        <f t="shared" si="1288"/>
        <v>-6.0490400576647332</v>
      </c>
      <c r="AW433" s="20">
        <f t="shared" si="1289"/>
        <v>10.352261458198592</v>
      </c>
      <c r="AX433" s="15"/>
      <c r="AY433" s="15"/>
      <c r="AZ433" s="1" t="s">
        <v>271</v>
      </c>
      <c r="BA433" s="17"/>
    </row>
    <row r="434" spans="1:53" s="16" customFormat="1" ht="14.25" hidden="1">
      <c r="A434" s="17">
        <v>320</v>
      </c>
      <c r="B434" s="17" t="s">
        <v>244</v>
      </c>
      <c r="C434" s="12" t="s">
        <v>85</v>
      </c>
      <c r="D434" s="16">
        <v>2024</v>
      </c>
      <c r="E434" s="16">
        <v>2021</v>
      </c>
      <c r="F434" s="16" t="s">
        <v>120</v>
      </c>
      <c r="G434" s="16" t="s">
        <v>109</v>
      </c>
      <c r="H434" s="16">
        <v>42.345813999999997</v>
      </c>
      <c r="I434" s="16">
        <v>-6.3904769999999997</v>
      </c>
      <c r="J434" s="16" t="s">
        <v>126</v>
      </c>
      <c r="K434" s="16" t="s">
        <v>177</v>
      </c>
      <c r="L434" s="16" t="s">
        <v>178</v>
      </c>
      <c r="M434" s="16" t="s">
        <v>237</v>
      </c>
      <c r="N434" s="16" t="s">
        <v>239</v>
      </c>
      <c r="O434" s="16" t="s">
        <v>86</v>
      </c>
      <c r="Q434" s="16" t="s">
        <v>93</v>
      </c>
      <c r="R434" s="16">
        <v>2012</v>
      </c>
      <c r="S434" s="16">
        <v>9</v>
      </c>
      <c r="T434" s="16">
        <v>11891</v>
      </c>
      <c r="V434" s="16">
        <v>9</v>
      </c>
      <c r="W434" s="16">
        <v>9</v>
      </c>
      <c r="X434" s="16" t="s">
        <v>114</v>
      </c>
      <c r="Y434" s="16" t="s">
        <v>2</v>
      </c>
      <c r="Z434" s="16" t="s">
        <v>1</v>
      </c>
      <c r="AA434" s="16" t="s">
        <v>113</v>
      </c>
      <c r="AB434" s="1" t="s">
        <v>2</v>
      </c>
      <c r="AC434" s="1" t="s">
        <v>2</v>
      </c>
      <c r="AD434" s="1" t="s">
        <v>2</v>
      </c>
      <c r="AE434" s="16" t="s">
        <v>150</v>
      </c>
      <c r="AF434" s="16" t="s">
        <v>319</v>
      </c>
      <c r="AG434" s="16">
        <v>2.96</v>
      </c>
      <c r="AH434" s="16">
        <f>4.17-1.1</f>
        <v>3.07</v>
      </c>
      <c r="AJ434" s="16">
        <v>11.96</v>
      </c>
      <c r="AK434" s="16">
        <f>14.6-8.34</f>
        <v>6.26</v>
      </c>
      <c r="AM434" s="12">
        <f t="shared" ref="AM434:AM439" si="1323">AG434-AJ434</f>
        <v>-9</v>
      </c>
      <c r="AN434" s="1">
        <f t="shared" ref="AN434:AN439" si="1324">SQRT((((W434-1)*AH434^2)+((V434-1)*AK434^2))/(W434+V434-2))</f>
        <v>4.9301369149345131</v>
      </c>
      <c r="AO434" s="1">
        <f t="shared" ref="AO434:AO439" si="1325">AM434/AN434</f>
        <v>-1.8255071117268447</v>
      </c>
      <c r="AP434" s="1">
        <f t="shared" ref="AP434:AP439" si="1326">1/W434+1/V434+(AO434^2)/(2*(W434+V434))</f>
        <v>0.31479100597125798</v>
      </c>
      <c r="AQ434" s="1">
        <f t="shared" ref="AQ434:AQ439" si="1327">1-(3/(4*(W434+V434-2)-1))</f>
        <v>0.95238095238095233</v>
      </c>
      <c r="AR434" s="21">
        <f t="shared" ref="AR434:AR439" si="1328">AO434*AQ434</f>
        <v>-1.7385782016446139</v>
      </c>
      <c r="AS434" s="21">
        <f t="shared" si="1285"/>
        <v>0.28552472196939499</v>
      </c>
      <c r="AT434" s="21">
        <f t="shared" ref="AT434:AT439" si="1329">SQRT(AP434*AQ434^2)</f>
        <v>0.53434513375663395</v>
      </c>
      <c r="AU434" s="20">
        <f t="shared" si="1287"/>
        <v>3.5023236975857688</v>
      </c>
      <c r="AV434" s="20">
        <f t="shared" si="1288"/>
        <v>-6.0890636357259798</v>
      </c>
      <c r="AW434" s="20">
        <f t="shared" si="1289"/>
        <v>10.586313305500088</v>
      </c>
      <c r="AX434" s="15"/>
      <c r="AY434" s="15"/>
      <c r="AZ434" s="1" t="s">
        <v>271</v>
      </c>
      <c r="BA434" s="17"/>
    </row>
    <row r="435" spans="1:53" s="16" customFormat="1" ht="14.25" hidden="1">
      <c r="A435" s="17">
        <v>320</v>
      </c>
      <c r="B435" s="17" t="s">
        <v>244</v>
      </c>
      <c r="C435" s="12" t="s">
        <v>85</v>
      </c>
      <c r="D435" s="16">
        <v>2024</v>
      </c>
      <c r="E435" s="16">
        <v>2021</v>
      </c>
      <c r="F435" s="16" t="s">
        <v>120</v>
      </c>
      <c r="G435" s="16" t="s">
        <v>109</v>
      </c>
      <c r="H435" s="16">
        <v>42.345813999999997</v>
      </c>
      <c r="I435" s="16">
        <v>-6.3904769999999997</v>
      </c>
      <c r="J435" s="16" t="s">
        <v>126</v>
      </c>
      <c r="K435" s="16" t="s">
        <v>177</v>
      </c>
      <c r="L435" s="16" t="s">
        <v>178</v>
      </c>
      <c r="M435" s="16" t="s">
        <v>237</v>
      </c>
      <c r="N435" s="16" t="s">
        <v>239</v>
      </c>
      <c r="O435" s="16" t="s">
        <v>86</v>
      </c>
      <c r="Q435" s="16" t="s">
        <v>93</v>
      </c>
      <c r="R435" s="16">
        <v>2012</v>
      </c>
      <c r="S435" s="16">
        <v>9</v>
      </c>
      <c r="T435" s="16">
        <v>11891</v>
      </c>
      <c r="V435" s="16">
        <v>9</v>
      </c>
      <c r="W435" s="16">
        <v>9</v>
      </c>
      <c r="X435" s="16" t="s">
        <v>114</v>
      </c>
      <c r="Y435" s="16" t="s">
        <v>2</v>
      </c>
      <c r="Z435" s="16" t="s">
        <v>1</v>
      </c>
      <c r="AA435" s="16" t="s">
        <v>113</v>
      </c>
      <c r="AB435" s="1" t="s">
        <v>2</v>
      </c>
      <c r="AC435" s="1" t="s">
        <v>2</v>
      </c>
      <c r="AD435" s="1" t="s">
        <v>2</v>
      </c>
      <c r="AE435" s="16" t="s">
        <v>308</v>
      </c>
      <c r="AF435" s="16" t="s">
        <v>319</v>
      </c>
      <c r="AG435" s="16">
        <v>16.57</v>
      </c>
      <c r="AH435" s="16">
        <v>0</v>
      </c>
      <c r="AJ435" s="16">
        <v>161.54</v>
      </c>
      <c r="AK435" s="16">
        <f>256.8-124.26</f>
        <v>132.54000000000002</v>
      </c>
      <c r="AM435" s="12">
        <f t="shared" si="1323"/>
        <v>-144.97</v>
      </c>
      <c r="AN435" s="1">
        <f t="shared" si="1324"/>
        <v>93.719932778465022</v>
      </c>
      <c r="AO435" s="1">
        <f t="shared" si="1325"/>
        <v>-1.5468427654838355</v>
      </c>
      <c r="AP435" s="1">
        <f t="shared" si="1326"/>
        <v>0.28868673725360222</v>
      </c>
      <c r="AQ435" s="1">
        <f t="shared" si="1327"/>
        <v>0.95238095238095233</v>
      </c>
      <c r="AR435" s="21">
        <f t="shared" si="1328"/>
        <v>-1.4731835861750813</v>
      </c>
      <c r="AS435" s="21">
        <f t="shared" si="1285"/>
        <v>0.26184738072889091</v>
      </c>
      <c r="AT435" s="21">
        <f t="shared" si="1329"/>
        <v>0.51171025075611976</v>
      </c>
      <c r="AU435" s="20">
        <f t="shared" si="1287"/>
        <v>3.8190185336830642</v>
      </c>
      <c r="AV435" s="20">
        <f t="shared" si="1288"/>
        <v>-5.6261154191203167</v>
      </c>
      <c r="AW435" s="20">
        <f t="shared" si="1289"/>
        <v>8.2883008893745895</v>
      </c>
      <c r="AX435" s="15"/>
      <c r="AY435" s="15"/>
      <c r="AZ435" s="1" t="s">
        <v>271</v>
      </c>
      <c r="BA435" s="17"/>
    </row>
    <row r="436" spans="1:53" s="16" customFormat="1" ht="14.25" hidden="1">
      <c r="A436" s="17">
        <v>320</v>
      </c>
      <c r="B436" s="17" t="s">
        <v>244</v>
      </c>
      <c r="C436" s="12" t="s">
        <v>85</v>
      </c>
      <c r="D436" s="16">
        <v>2024</v>
      </c>
      <c r="E436" s="16">
        <v>2021</v>
      </c>
      <c r="F436" s="16" t="s">
        <v>120</v>
      </c>
      <c r="G436" s="16" t="s">
        <v>109</v>
      </c>
      <c r="H436" s="16">
        <v>42.345813999999997</v>
      </c>
      <c r="I436" s="16">
        <v>-6.3904769999999997</v>
      </c>
      <c r="J436" s="16" t="s">
        <v>126</v>
      </c>
      <c r="K436" s="16" t="s">
        <v>177</v>
      </c>
      <c r="L436" s="16" t="s">
        <v>178</v>
      </c>
      <c r="M436" s="16" t="s">
        <v>237</v>
      </c>
      <c r="N436" s="16" t="s">
        <v>239</v>
      </c>
      <c r="O436" s="16" t="s">
        <v>86</v>
      </c>
      <c r="Q436" s="16" t="s">
        <v>93</v>
      </c>
      <c r="R436" s="16">
        <v>2012</v>
      </c>
      <c r="S436" s="16">
        <v>9</v>
      </c>
      <c r="T436" s="16">
        <v>11891</v>
      </c>
      <c r="V436" s="16">
        <v>9</v>
      </c>
      <c r="W436" s="16">
        <v>9</v>
      </c>
      <c r="X436" s="16" t="s">
        <v>114</v>
      </c>
      <c r="Y436" s="16" t="s">
        <v>2</v>
      </c>
      <c r="Z436" s="16" t="s">
        <v>1</v>
      </c>
      <c r="AA436" s="16" t="s">
        <v>113</v>
      </c>
      <c r="AB436" s="1" t="s">
        <v>2</v>
      </c>
      <c r="AC436" s="1" t="s">
        <v>2</v>
      </c>
      <c r="AD436" s="1" t="s">
        <v>2</v>
      </c>
      <c r="AE436" s="16" t="s">
        <v>349</v>
      </c>
      <c r="AF436" s="16" t="s">
        <v>319</v>
      </c>
      <c r="AG436" s="16">
        <v>0.33</v>
      </c>
      <c r="AH436" s="16">
        <f>0.65-0.15</f>
        <v>0.5</v>
      </c>
      <c r="AJ436" s="16">
        <v>2.84</v>
      </c>
      <c r="AK436" s="16">
        <f>3.75-2.4</f>
        <v>1.35</v>
      </c>
      <c r="AM436" s="12">
        <f t="shared" si="1323"/>
        <v>-2.5099999999999998</v>
      </c>
      <c r="AN436" s="1">
        <f t="shared" si="1324"/>
        <v>1.0179636535751166</v>
      </c>
      <c r="AO436" s="1">
        <f t="shared" si="1325"/>
        <v>-2.4657068955112593</v>
      </c>
      <c r="AP436" s="1">
        <f t="shared" si="1326"/>
        <v>0.39110306929366034</v>
      </c>
      <c r="AQ436" s="1">
        <f t="shared" si="1327"/>
        <v>0.95238095238095233</v>
      </c>
      <c r="AR436" s="21">
        <f t="shared" si="1328"/>
        <v>-2.3482922814392944</v>
      </c>
      <c r="AS436" s="21">
        <f t="shared" si="1285"/>
        <v>0.35474201296477126</v>
      </c>
      <c r="AT436" s="21">
        <f t="shared" si="1329"/>
        <v>0.59560222713214506</v>
      </c>
      <c r="AU436" s="20">
        <f t="shared" si="1287"/>
        <v>2.8189500071966611</v>
      </c>
      <c r="AV436" s="20">
        <f t="shared" si="1288"/>
        <v>-6.6197185436631623</v>
      </c>
      <c r="AW436" s="20">
        <f t="shared" si="1289"/>
        <v>15.545033961384773</v>
      </c>
      <c r="AX436" s="15"/>
      <c r="AY436" s="15"/>
      <c r="AZ436" s="1" t="s">
        <v>271</v>
      </c>
      <c r="BA436" s="17"/>
    </row>
    <row r="437" spans="1:53" s="16" customFormat="1" ht="14.25">
      <c r="A437" s="17">
        <v>320</v>
      </c>
      <c r="B437" s="17" t="s">
        <v>244</v>
      </c>
      <c r="C437" s="12" t="s">
        <v>85</v>
      </c>
      <c r="D437" s="16">
        <v>2024</v>
      </c>
      <c r="E437" s="16">
        <v>2021</v>
      </c>
      <c r="F437" s="16" t="s">
        <v>120</v>
      </c>
      <c r="G437" s="16" t="s">
        <v>109</v>
      </c>
      <c r="H437" s="16">
        <v>42.345813999999997</v>
      </c>
      <c r="I437" s="16">
        <v>-6.3904769999999997</v>
      </c>
      <c r="J437" s="16" t="s">
        <v>126</v>
      </c>
      <c r="K437" s="16" t="s">
        <v>177</v>
      </c>
      <c r="L437" s="16" t="s">
        <v>178</v>
      </c>
      <c r="M437" s="16" t="s">
        <v>237</v>
      </c>
      <c r="N437" s="16" t="s">
        <v>239</v>
      </c>
      <c r="O437" s="16" t="s">
        <v>86</v>
      </c>
      <c r="Q437" s="16" t="s">
        <v>93</v>
      </c>
      <c r="R437" s="16">
        <v>2012</v>
      </c>
      <c r="S437" s="16">
        <v>9</v>
      </c>
      <c r="T437" s="16">
        <v>11891</v>
      </c>
      <c r="V437" s="16">
        <v>9</v>
      </c>
      <c r="W437" s="16">
        <v>9</v>
      </c>
      <c r="X437" s="16" t="s">
        <v>114</v>
      </c>
      <c r="Y437" s="16" t="s">
        <v>2</v>
      </c>
      <c r="Z437" s="16" t="s">
        <v>1</v>
      </c>
      <c r="AA437" s="16" t="s">
        <v>113</v>
      </c>
      <c r="AB437" s="1" t="s">
        <v>2</v>
      </c>
      <c r="AC437" s="1" t="s">
        <v>2</v>
      </c>
      <c r="AD437" s="1" t="s">
        <v>2</v>
      </c>
      <c r="AE437" s="16" t="s">
        <v>151</v>
      </c>
      <c r="AF437" s="16" t="s">
        <v>319</v>
      </c>
      <c r="AG437" s="16">
        <v>5.92</v>
      </c>
      <c r="AH437" s="16">
        <f>8.37-3.27</f>
        <v>5.0999999999999996</v>
      </c>
      <c r="AJ437" s="16">
        <v>14.08</v>
      </c>
      <c r="AK437" s="16">
        <f>18.37-11.22</f>
        <v>7.15</v>
      </c>
      <c r="AM437" s="12">
        <f t="shared" si="1323"/>
        <v>-8.16</v>
      </c>
      <c r="AN437" s="1">
        <f t="shared" si="1324"/>
        <v>6.2101731054778169</v>
      </c>
      <c r="AO437" s="1">
        <f t="shared" si="1325"/>
        <v>-1.3139730344718243</v>
      </c>
      <c r="AP437" s="1">
        <f t="shared" si="1326"/>
        <v>0.2701812537588637</v>
      </c>
      <c r="AQ437" s="1">
        <f t="shared" si="1327"/>
        <v>0.95238095238095233</v>
      </c>
      <c r="AR437" s="21">
        <f t="shared" si="1328"/>
        <v>-1.251402889973166</v>
      </c>
      <c r="AS437" s="21">
        <f t="shared" si="1285"/>
        <v>0.24506236168604414</v>
      </c>
      <c r="AT437" s="21">
        <f t="shared" si="1329"/>
        <v>0.49503773763829778</v>
      </c>
      <c r="AU437" s="20">
        <f t="shared" si="1287"/>
        <v>4.0805939888930247</v>
      </c>
      <c r="AV437" s="20">
        <f t="shared" si="1288"/>
        <v>-5.1064671105078601</v>
      </c>
      <c r="AW437" s="20">
        <f t="shared" si="1289"/>
        <v>6.3902476996424582</v>
      </c>
      <c r="AX437" s="15"/>
      <c r="AY437" s="15"/>
      <c r="AZ437" s="1" t="s">
        <v>271</v>
      </c>
      <c r="BA437" s="17"/>
    </row>
    <row r="438" spans="1:53" s="16" customFormat="1" ht="14.25">
      <c r="A438" s="17">
        <v>320</v>
      </c>
      <c r="B438" s="17" t="s">
        <v>244</v>
      </c>
      <c r="C438" s="12" t="s">
        <v>85</v>
      </c>
      <c r="D438" s="16">
        <v>2024</v>
      </c>
      <c r="E438" s="16">
        <v>2021</v>
      </c>
      <c r="F438" s="16" t="s">
        <v>120</v>
      </c>
      <c r="G438" s="16" t="s">
        <v>109</v>
      </c>
      <c r="H438" s="16">
        <v>42.345813999999997</v>
      </c>
      <c r="I438" s="16">
        <v>-6.3904769999999997</v>
      </c>
      <c r="J438" s="16" t="s">
        <v>126</v>
      </c>
      <c r="K438" s="16" t="s">
        <v>177</v>
      </c>
      <c r="L438" s="16" t="s">
        <v>178</v>
      </c>
      <c r="M438" s="16" t="s">
        <v>237</v>
      </c>
      <c r="N438" s="16" t="s">
        <v>239</v>
      </c>
      <c r="O438" s="16" t="s">
        <v>86</v>
      </c>
      <c r="Q438" s="16" t="s">
        <v>93</v>
      </c>
      <c r="R438" s="16">
        <v>2012</v>
      </c>
      <c r="S438" s="16">
        <v>9</v>
      </c>
      <c r="T438" s="16">
        <v>11891</v>
      </c>
      <c r="V438" s="16">
        <v>9</v>
      </c>
      <c r="W438" s="16">
        <v>9</v>
      </c>
      <c r="X438" s="16" t="s">
        <v>114</v>
      </c>
      <c r="Y438" s="16" t="s">
        <v>2</v>
      </c>
      <c r="Z438" s="16" t="s">
        <v>1</v>
      </c>
      <c r="AA438" s="16" t="s">
        <v>113</v>
      </c>
      <c r="AB438" s="1" t="s">
        <v>2</v>
      </c>
      <c r="AC438" s="1" t="s">
        <v>2</v>
      </c>
      <c r="AD438" s="1" t="s">
        <v>2</v>
      </c>
      <c r="AE438" s="16" t="s">
        <v>309</v>
      </c>
      <c r="AF438" s="16" t="s">
        <v>319</v>
      </c>
      <c r="AG438" s="16">
        <v>7.4</v>
      </c>
      <c r="AH438" s="16">
        <f>24.66-4.93</f>
        <v>19.73</v>
      </c>
      <c r="AJ438" s="16">
        <v>50.96</v>
      </c>
      <c r="AK438" s="16">
        <f>72.33-36.16</f>
        <v>36.17</v>
      </c>
      <c r="AM438" s="12">
        <f t="shared" si="1323"/>
        <v>-43.56</v>
      </c>
      <c r="AN438" s="1">
        <f t="shared" si="1324"/>
        <v>29.133672957593244</v>
      </c>
      <c r="AO438" s="1">
        <f t="shared" si="1325"/>
        <v>-1.4951770778578317</v>
      </c>
      <c r="AP438" s="1">
        <f t="shared" si="1326"/>
        <v>0.28432095817087455</v>
      </c>
      <c r="AQ438" s="1">
        <f t="shared" si="1327"/>
        <v>0.95238095238095233</v>
      </c>
      <c r="AR438" s="21">
        <f t="shared" si="1328"/>
        <v>-1.423978169388411</v>
      </c>
      <c r="AS438" s="21">
        <f t="shared" si="1285"/>
        <v>0.25788749040442133</v>
      </c>
      <c r="AT438" s="21">
        <f t="shared" si="1329"/>
        <v>0.50782624036615254</v>
      </c>
      <c r="AU438" s="20">
        <f t="shared" si="1287"/>
        <v>3.8776599765726969</v>
      </c>
      <c r="AV438" s="20">
        <f t="shared" si="1288"/>
        <v>-5.5217031549506981</v>
      </c>
      <c r="AW438" s="20">
        <f t="shared" si="1289"/>
        <v>7.8627847504929083</v>
      </c>
      <c r="AX438" s="15"/>
      <c r="AY438" s="15"/>
      <c r="AZ438" s="1" t="s">
        <v>271</v>
      </c>
      <c r="BA438" s="17"/>
    </row>
    <row r="439" spans="1:53" s="16" customFormat="1" ht="14.25">
      <c r="A439" s="17">
        <v>320</v>
      </c>
      <c r="B439" s="17" t="s">
        <v>244</v>
      </c>
      <c r="C439" s="12" t="s">
        <v>85</v>
      </c>
      <c r="D439" s="16">
        <v>2024</v>
      </c>
      <c r="E439" s="16">
        <v>2021</v>
      </c>
      <c r="F439" s="16" t="s">
        <v>120</v>
      </c>
      <c r="G439" s="16" t="s">
        <v>109</v>
      </c>
      <c r="H439" s="16">
        <v>42.345813999999997</v>
      </c>
      <c r="I439" s="16">
        <v>-6.3904769999999997</v>
      </c>
      <c r="J439" s="16" t="s">
        <v>126</v>
      </c>
      <c r="K439" s="16" t="s">
        <v>177</v>
      </c>
      <c r="L439" s="16" t="s">
        <v>178</v>
      </c>
      <c r="M439" s="16" t="s">
        <v>237</v>
      </c>
      <c r="N439" s="16" t="s">
        <v>239</v>
      </c>
      <c r="O439" s="16" t="s">
        <v>86</v>
      </c>
      <c r="Q439" s="16" t="s">
        <v>93</v>
      </c>
      <c r="R439" s="16">
        <v>2012</v>
      </c>
      <c r="S439" s="16">
        <v>9</v>
      </c>
      <c r="T439" s="16">
        <v>11891</v>
      </c>
      <c r="V439" s="16">
        <v>9</v>
      </c>
      <c r="W439" s="16">
        <v>9</v>
      </c>
      <c r="X439" s="16" t="s">
        <v>114</v>
      </c>
      <c r="Y439" s="16" t="s">
        <v>2</v>
      </c>
      <c r="Z439" s="16" t="s">
        <v>1</v>
      </c>
      <c r="AA439" s="16" t="s">
        <v>113</v>
      </c>
      <c r="AB439" s="1" t="s">
        <v>2</v>
      </c>
      <c r="AC439" s="1" t="s">
        <v>2</v>
      </c>
      <c r="AD439" s="1" t="s">
        <v>2</v>
      </c>
      <c r="AE439" s="16" t="s">
        <v>296</v>
      </c>
      <c r="AF439" s="16" t="s">
        <v>319</v>
      </c>
      <c r="AG439" s="16">
        <v>2.0299999999999998</v>
      </c>
      <c r="AH439" s="16">
        <f>2.89-1.42</f>
        <v>1.4700000000000002</v>
      </c>
      <c r="AJ439" s="16">
        <v>2.5499999999999998</v>
      </c>
      <c r="AK439" s="16">
        <f>5.68-1.56</f>
        <v>4.1199999999999992</v>
      </c>
      <c r="AM439" s="12">
        <f t="shared" si="1323"/>
        <v>-0.52</v>
      </c>
      <c r="AN439" s="1">
        <f t="shared" si="1324"/>
        <v>3.0931618127734599</v>
      </c>
      <c r="AO439" s="1">
        <f t="shared" si="1325"/>
        <v>-0.16811276986952906</v>
      </c>
      <c r="AP439" s="1">
        <f t="shared" si="1326"/>
        <v>0.22300727509425569</v>
      </c>
      <c r="AQ439" s="1">
        <f t="shared" si="1327"/>
        <v>0.95238095238095233</v>
      </c>
      <c r="AR439" s="21">
        <f t="shared" si="1328"/>
        <v>-0.16010739987574193</v>
      </c>
      <c r="AS439" s="21">
        <f t="shared" si="1285"/>
        <v>0.20227417242109358</v>
      </c>
      <c r="AT439" s="21">
        <f t="shared" si="1329"/>
        <v>0.4497490104726119</v>
      </c>
      <c r="AU439" s="20">
        <f t="shared" si="1287"/>
        <v>4.9437849035822721</v>
      </c>
      <c r="AV439" s="20">
        <f t="shared" si="1288"/>
        <v>-0.79153654645750315</v>
      </c>
      <c r="AW439" s="20">
        <f t="shared" si="1289"/>
        <v>0.12673085835993525</v>
      </c>
      <c r="AX439" s="15"/>
      <c r="AY439" s="15"/>
      <c r="AZ439" s="1" t="s">
        <v>271</v>
      </c>
      <c r="BA439" s="17"/>
    </row>
    <row r="440" spans="1:53" s="16" customFormat="1" ht="14.25" hidden="1">
      <c r="A440" s="17">
        <v>320</v>
      </c>
      <c r="B440" s="17" t="s">
        <v>244</v>
      </c>
      <c r="C440" s="12" t="s">
        <v>85</v>
      </c>
      <c r="D440" s="16">
        <v>2024</v>
      </c>
      <c r="E440" s="16">
        <v>2021</v>
      </c>
      <c r="F440" s="16" t="s">
        <v>120</v>
      </c>
      <c r="G440" s="16" t="s">
        <v>109</v>
      </c>
      <c r="H440" s="16">
        <v>42.345813999999997</v>
      </c>
      <c r="I440" s="16">
        <v>-6.3904769999999997</v>
      </c>
      <c r="J440" s="16" t="s">
        <v>126</v>
      </c>
      <c r="K440" s="16" t="s">
        <v>177</v>
      </c>
      <c r="L440" s="16" t="s">
        <v>178</v>
      </c>
      <c r="M440" s="16" t="s">
        <v>237</v>
      </c>
      <c r="N440" s="16" t="s">
        <v>239</v>
      </c>
      <c r="O440" s="16" t="s">
        <v>86</v>
      </c>
      <c r="Q440" s="16" t="s">
        <v>93</v>
      </c>
      <c r="R440" s="16">
        <v>2012</v>
      </c>
      <c r="S440" s="16">
        <v>9</v>
      </c>
      <c r="T440" s="16">
        <v>11891</v>
      </c>
      <c r="V440" s="16">
        <v>9</v>
      </c>
      <c r="W440" s="16">
        <v>9</v>
      </c>
      <c r="X440" s="16" t="s">
        <v>114</v>
      </c>
      <c r="Y440" s="16" t="s">
        <v>2</v>
      </c>
      <c r="Z440" s="16" t="s">
        <v>1</v>
      </c>
      <c r="AA440" s="16" t="s">
        <v>113</v>
      </c>
      <c r="AB440" s="1" t="s">
        <v>2</v>
      </c>
      <c r="AC440" s="1" t="s">
        <v>2</v>
      </c>
      <c r="AD440" s="1" t="s">
        <v>2</v>
      </c>
      <c r="AE440" s="16" t="s">
        <v>257</v>
      </c>
      <c r="AF440" s="16" t="s">
        <v>334</v>
      </c>
      <c r="AG440" s="15"/>
      <c r="AH440" s="15"/>
      <c r="AI440" s="15"/>
      <c r="AJ440" s="15"/>
      <c r="AK440" s="15"/>
      <c r="AL440" s="15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5"/>
      <c r="AY440" s="15"/>
      <c r="AZ440" s="16" t="s">
        <v>286</v>
      </c>
    </row>
    <row r="441" spans="1:53" s="16" customFormat="1" ht="14.25" hidden="1">
      <c r="A441" s="17">
        <v>320</v>
      </c>
      <c r="B441" s="17" t="s">
        <v>244</v>
      </c>
      <c r="C441" s="12" t="s">
        <v>85</v>
      </c>
      <c r="D441" s="16">
        <v>2024</v>
      </c>
      <c r="E441" s="16">
        <v>2021</v>
      </c>
      <c r="F441" s="16" t="s">
        <v>120</v>
      </c>
      <c r="G441" s="16" t="s">
        <v>109</v>
      </c>
      <c r="H441" s="16">
        <v>42.345813999999997</v>
      </c>
      <c r="I441" s="16">
        <v>-6.3904769999999997</v>
      </c>
      <c r="J441" s="16" t="s">
        <v>126</v>
      </c>
      <c r="K441" s="16" t="s">
        <v>177</v>
      </c>
      <c r="L441" s="16" t="s">
        <v>178</v>
      </c>
      <c r="M441" s="16" t="s">
        <v>237</v>
      </c>
      <c r="N441" s="16" t="s">
        <v>239</v>
      </c>
      <c r="O441" s="16" t="s">
        <v>86</v>
      </c>
      <c r="Q441" s="16" t="s">
        <v>93</v>
      </c>
      <c r="R441" s="16">
        <v>2005</v>
      </c>
      <c r="S441" s="16">
        <v>16</v>
      </c>
      <c r="T441" s="16">
        <v>1172</v>
      </c>
      <c r="V441" s="16">
        <v>9</v>
      </c>
      <c r="W441" s="16">
        <v>9</v>
      </c>
      <c r="X441" s="16" t="s">
        <v>114</v>
      </c>
      <c r="Y441" s="16" t="s">
        <v>2</v>
      </c>
      <c r="Z441" s="16" t="s">
        <v>1</v>
      </c>
      <c r="AA441" s="16" t="s">
        <v>113</v>
      </c>
      <c r="AB441" s="1" t="s">
        <v>2</v>
      </c>
      <c r="AC441" s="1" t="s">
        <v>2</v>
      </c>
      <c r="AD441" s="1" t="s">
        <v>2</v>
      </c>
      <c r="AE441" s="16" t="s">
        <v>223</v>
      </c>
      <c r="AF441" s="16" t="s">
        <v>319</v>
      </c>
      <c r="AG441" s="16">
        <v>10.89</v>
      </c>
      <c r="AH441" s="16">
        <f>15.74-8.77</f>
        <v>6.9700000000000006</v>
      </c>
      <c r="AJ441" s="16">
        <v>26.58</v>
      </c>
      <c r="AK441" s="16">
        <f>30.97-22.71</f>
        <v>8.259999999999998</v>
      </c>
      <c r="AM441" s="12">
        <f t="shared" ref="AM441:AM449" si="1330">AG441-AJ441</f>
        <v>-15.689999999999998</v>
      </c>
      <c r="AN441" s="1">
        <f t="shared" ref="AN441:AN449" si="1331">SQRT((((W441-1)*AH441^2)+((V441-1)*AK441^2))/(W441+V441-2))</f>
        <v>7.6422673337171343</v>
      </c>
      <c r="AO441" s="1">
        <f t="shared" ref="AO441:AO449" si="1332">AM441/AN441</f>
        <v>-2.053055633211998</v>
      </c>
      <c r="AP441" s="1">
        <f t="shared" ref="AP441:AP449" si="1333">1/W441+1/V441+(AO441^2)/(2*(W441+V441))</f>
        <v>0.3393065953628755</v>
      </c>
      <c r="AQ441" s="1">
        <f t="shared" ref="AQ441:AQ449" si="1334">1-(3/(4*(W441+V441-2)-1))</f>
        <v>0.95238095238095233</v>
      </c>
      <c r="AR441" s="21">
        <f t="shared" ref="AR441:AR449" si="1335">AO441*AQ441</f>
        <v>-1.9552910792495217</v>
      </c>
      <c r="AS441" s="21">
        <f t="shared" ref="AS441:AS449" si="1336">AP441*(AQ441^2)</f>
        <v>0.30776108422936549</v>
      </c>
      <c r="AT441" s="21">
        <f t="shared" ref="AT441:AT449" si="1337">SQRT(AP441*AQ441^2)</f>
        <v>0.55476218709404257</v>
      </c>
      <c r="AU441" s="20">
        <f t="shared" ref="AU441:AU449" si="1338">1/AS441</f>
        <v>3.2492737101703502</v>
      </c>
      <c r="AV441" s="20">
        <f t="shared" ref="AV441:AV449" si="1339">AR441/AS441</f>
        <v>-6.3532758995360812</v>
      </c>
      <c r="AW441" s="20">
        <f t="shared" ref="AW441:AW449" si="1340">((AR441)^2)/AS441</f>
        <v>12.42250369037388</v>
      </c>
      <c r="AX441" s="15"/>
      <c r="AY441" s="15"/>
      <c r="AZ441" s="1" t="s">
        <v>271</v>
      </c>
      <c r="BA441" s="17"/>
    </row>
    <row r="442" spans="1:53" s="16" customFormat="1" ht="14.25" hidden="1">
      <c r="A442" s="17">
        <v>320</v>
      </c>
      <c r="B442" s="17" t="s">
        <v>244</v>
      </c>
      <c r="C442" s="12" t="s">
        <v>85</v>
      </c>
      <c r="D442" s="16">
        <v>2024</v>
      </c>
      <c r="E442" s="16">
        <v>2021</v>
      </c>
      <c r="F442" s="16" t="s">
        <v>120</v>
      </c>
      <c r="G442" s="16" t="s">
        <v>109</v>
      </c>
      <c r="H442" s="16">
        <v>42.345813999999997</v>
      </c>
      <c r="I442" s="16">
        <v>-6.3904769999999997</v>
      </c>
      <c r="J442" s="16" t="s">
        <v>126</v>
      </c>
      <c r="K442" s="16" t="s">
        <v>177</v>
      </c>
      <c r="L442" s="16" t="s">
        <v>178</v>
      </c>
      <c r="M442" s="16" t="s">
        <v>237</v>
      </c>
      <c r="N442" s="16" t="s">
        <v>239</v>
      </c>
      <c r="O442" s="16" t="s">
        <v>86</v>
      </c>
      <c r="Q442" s="16" t="s">
        <v>93</v>
      </c>
      <c r="R442" s="16">
        <v>2005</v>
      </c>
      <c r="S442" s="16">
        <v>16</v>
      </c>
      <c r="T442" s="16">
        <v>1172</v>
      </c>
      <c r="V442" s="16">
        <v>9</v>
      </c>
      <c r="W442" s="16">
        <v>9</v>
      </c>
      <c r="X442" s="16" t="s">
        <v>114</v>
      </c>
      <c r="Y442" s="16" t="s">
        <v>2</v>
      </c>
      <c r="Z442" s="16" t="s">
        <v>1</v>
      </c>
      <c r="AA442" s="16" t="s">
        <v>113</v>
      </c>
      <c r="AB442" s="1" t="s">
        <v>2</v>
      </c>
      <c r="AC442" s="1" t="s">
        <v>2</v>
      </c>
      <c r="AD442" s="1" t="s">
        <v>2</v>
      </c>
      <c r="AE442" s="16" t="s">
        <v>298</v>
      </c>
      <c r="AF442" s="16" t="s">
        <v>319</v>
      </c>
      <c r="AG442" s="16">
        <v>61.63</v>
      </c>
      <c r="AH442" s="16">
        <f>215.4-22.4</f>
        <v>193</v>
      </c>
      <c r="AJ442" s="16">
        <v>224.36</v>
      </c>
      <c r="AK442" s="16">
        <f>350-188.46</f>
        <v>161.54</v>
      </c>
      <c r="AM442" s="12">
        <f t="shared" si="1330"/>
        <v>-162.73000000000002</v>
      </c>
      <c r="AN442" s="1">
        <f t="shared" si="1331"/>
        <v>177.9665299993232</v>
      </c>
      <c r="AO442" s="1">
        <f t="shared" si="1332"/>
        <v>-0.9143854184301895</v>
      </c>
      <c r="AP442" s="1">
        <f t="shared" si="1333"/>
        <v>0.24544724148438202</v>
      </c>
      <c r="AQ442" s="1">
        <f t="shared" si="1334"/>
        <v>0.95238095238095233</v>
      </c>
      <c r="AR442" s="21">
        <f t="shared" si="1335"/>
        <v>-0.87084325564779952</v>
      </c>
      <c r="AS442" s="21">
        <f t="shared" si="1336"/>
        <v>0.22262788343254603</v>
      </c>
      <c r="AT442" s="21">
        <f t="shared" si="1337"/>
        <v>0.47183459329784844</v>
      </c>
      <c r="AU442" s="20">
        <f t="shared" si="1338"/>
        <v>4.4918003287894068</v>
      </c>
      <c r="AV442" s="20">
        <f t="shared" si="1339"/>
        <v>-3.9116540220428235</v>
      </c>
      <c r="AW442" s="20">
        <f t="shared" si="1340"/>
        <v>3.4064375235235818</v>
      </c>
      <c r="AX442" s="15"/>
      <c r="AY442" s="15"/>
      <c r="AZ442" s="1" t="s">
        <v>271</v>
      </c>
      <c r="BA442" s="17"/>
    </row>
    <row r="443" spans="1:53" s="16" customFormat="1" ht="14.25" hidden="1">
      <c r="A443" s="17">
        <v>320</v>
      </c>
      <c r="B443" s="17" t="s">
        <v>244</v>
      </c>
      <c r="C443" s="12" t="s">
        <v>85</v>
      </c>
      <c r="D443" s="16">
        <v>2024</v>
      </c>
      <c r="E443" s="16">
        <v>2021</v>
      </c>
      <c r="F443" s="16" t="s">
        <v>120</v>
      </c>
      <c r="G443" s="16" t="s">
        <v>109</v>
      </c>
      <c r="H443" s="16">
        <v>42.345813999999997</v>
      </c>
      <c r="I443" s="16">
        <v>-6.3904769999999997</v>
      </c>
      <c r="J443" s="16" t="s">
        <v>126</v>
      </c>
      <c r="K443" s="16" t="s">
        <v>177</v>
      </c>
      <c r="L443" s="16" t="s">
        <v>178</v>
      </c>
      <c r="M443" s="16" t="s">
        <v>237</v>
      </c>
      <c r="N443" s="16" t="s">
        <v>239</v>
      </c>
      <c r="O443" s="16" t="s">
        <v>86</v>
      </c>
      <c r="Q443" s="16" t="s">
        <v>93</v>
      </c>
      <c r="R443" s="16">
        <v>2005</v>
      </c>
      <c r="S443" s="16">
        <v>16</v>
      </c>
      <c r="T443" s="16">
        <v>1172</v>
      </c>
      <c r="V443" s="16">
        <v>9</v>
      </c>
      <c r="W443" s="16">
        <v>9</v>
      </c>
      <c r="X443" s="16" t="s">
        <v>114</v>
      </c>
      <c r="Y443" s="16" t="s">
        <v>2</v>
      </c>
      <c r="Z443" s="16" t="s">
        <v>1</v>
      </c>
      <c r="AA443" s="16" t="s">
        <v>113</v>
      </c>
      <c r="AB443" s="1" t="s">
        <v>2</v>
      </c>
      <c r="AC443" s="1" t="s">
        <v>2</v>
      </c>
      <c r="AD443" s="1" t="s">
        <v>2</v>
      </c>
      <c r="AE443" s="16" t="s">
        <v>149</v>
      </c>
      <c r="AF443" s="16" t="s">
        <v>319</v>
      </c>
      <c r="AG443" s="16">
        <v>1.06</v>
      </c>
      <c r="AH443" s="16">
        <f>1.52-0.91</f>
        <v>0.61</v>
      </c>
      <c r="AJ443" s="16">
        <v>3.17</v>
      </c>
      <c r="AK443" s="16">
        <f>4.48-2.85</f>
        <v>1.6300000000000003</v>
      </c>
      <c r="AM443" s="12">
        <f t="shared" ref="AM443:AM448" si="1341">AG443-AJ443</f>
        <v>-2.11</v>
      </c>
      <c r="AN443" s="1">
        <f t="shared" ref="AN443:AN448" si="1342">SQRT((((W443-1)*AH443^2)+((V443-1)*AK443^2))/(W443+V443-2))</f>
        <v>1.2306502346320829</v>
      </c>
      <c r="AO443" s="1">
        <f t="shared" ref="AO443:AO448" si="1343">AM443/AN443</f>
        <v>-1.7145407692794279</v>
      </c>
      <c r="AP443" s="1">
        <f t="shared" ref="AP443:AP448" si="1344">1/W443+1/V443+(AO443^2)/(2*(W443+V443))</f>
        <v>0.30387916804225812</v>
      </c>
      <c r="AQ443" s="1">
        <f t="shared" ref="AQ443:AQ448" si="1345">1-(3/(4*(W443+V443-2)-1))</f>
        <v>0.95238095238095233</v>
      </c>
      <c r="AR443" s="21">
        <f t="shared" ref="AR443:AR448" si="1346">AO443*AQ443</f>
        <v>-1.6328959707423121</v>
      </c>
      <c r="AS443" s="21">
        <f t="shared" si="1336"/>
        <v>0.27562736330363546</v>
      </c>
      <c r="AT443" s="21">
        <f t="shared" ref="AT443:AT448" si="1347">SQRT(AP443*AQ443^2)</f>
        <v>0.52500225076054241</v>
      </c>
      <c r="AU443" s="20">
        <f t="shared" si="1338"/>
        <v>3.6280868053669408</v>
      </c>
      <c r="AV443" s="20">
        <f t="shared" si="1339"/>
        <v>-5.9242883259870247</v>
      </c>
      <c r="AW443" s="20">
        <f t="shared" si="1340"/>
        <v>9.6737465370199303</v>
      </c>
      <c r="AX443" s="15"/>
      <c r="AY443" s="15"/>
      <c r="AZ443" s="1" t="s">
        <v>271</v>
      </c>
      <c r="BA443" s="17"/>
    </row>
    <row r="444" spans="1:53" s="16" customFormat="1" ht="14.25" hidden="1">
      <c r="A444" s="17">
        <v>320</v>
      </c>
      <c r="B444" s="17" t="s">
        <v>244</v>
      </c>
      <c r="C444" s="12" t="s">
        <v>85</v>
      </c>
      <c r="D444" s="16">
        <v>2024</v>
      </c>
      <c r="E444" s="16">
        <v>2021</v>
      </c>
      <c r="F444" s="16" t="s">
        <v>120</v>
      </c>
      <c r="G444" s="16" t="s">
        <v>109</v>
      </c>
      <c r="H444" s="16">
        <v>42.345813999999997</v>
      </c>
      <c r="I444" s="16">
        <v>-6.3904769999999997</v>
      </c>
      <c r="J444" s="16" t="s">
        <v>126</v>
      </c>
      <c r="K444" s="16" t="s">
        <v>177</v>
      </c>
      <c r="L444" s="16" t="s">
        <v>178</v>
      </c>
      <c r="M444" s="16" t="s">
        <v>237</v>
      </c>
      <c r="N444" s="16" t="s">
        <v>239</v>
      </c>
      <c r="O444" s="16" t="s">
        <v>86</v>
      </c>
      <c r="Q444" s="16" t="s">
        <v>93</v>
      </c>
      <c r="R444" s="16">
        <v>2005</v>
      </c>
      <c r="S444" s="16">
        <v>16</v>
      </c>
      <c r="T444" s="16">
        <v>1172</v>
      </c>
      <c r="V444" s="16">
        <v>9</v>
      </c>
      <c r="W444" s="16">
        <v>9</v>
      </c>
      <c r="X444" s="16" t="s">
        <v>114</v>
      </c>
      <c r="Y444" s="16" t="s">
        <v>2</v>
      </c>
      <c r="Z444" s="16" t="s">
        <v>1</v>
      </c>
      <c r="AA444" s="16" t="s">
        <v>113</v>
      </c>
      <c r="AB444" s="1" t="s">
        <v>2</v>
      </c>
      <c r="AC444" s="1" t="s">
        <v>2</v>
      </c>
      <c r="AD444" s="1" t="s">
        <v>2</v>
      </c>
      <c r="AE444" s="16" t="s">
        <v>150</v>
      </c>
      <c r="AF444" s="16" t="s">
        <v>319</v>
      </c>
      <c r="AG444" s="16">
        <v>6.03</v>
      </c>
      <c r="AH444" s="16">
        <f>7.57-2.74</f>
        <v>4.83</v>
      </c>
      <c r="AJ444" s="16">
        <v>11.96</v>
      </c>
      <c r="AK444" s="16">
        <f>14.6-8.34</f>
        <v>6.26</v>
      </c>
      <c r="AM444" s="12">
        <f t="shared" ref="AM444:AM446" si="1348">AG444-AJ444</f>
        <v>-5.9300000000000006</v>
      </c>
      <c r="AN444" s="1">
        <f t="shared" ref="AN444:AN446" si="1349">SQRT((((W444-1)*AH444^2)+((V444-1)*AK444^2))/(W444+V444-2))</f>
        <v>5.5909077974869161</v>
      </c>
      <c r="AO444" s="1">
        <f t="shared" ref="AO444:AO446" si="1350">AM444/AN444</f>
        <v>-1.0606506518790213</v>
      </c>
      <c r="AP444" s="1">
        <f t="shared" ref="AP444:AP446" si="1351">1/W444+1/V444+(AO444^2)/(2*(W444+V444))</f>
        <v>0.25347166125920534</v>
      </c>
      <c r="AQ444" s="1">
        <f t="shared" ref="AQ444:AQ446" si="1352">1-(3/(4*(W444+V444-2)-1))</f>
        <v>0.95238095238095233</v>
      </c>
      <c r="AR444" s="21">
        <f t="shared" ref="AR444:AR446" si="1353">AO444*AQ444</f>
        <v>-1.0101434779800202</v>
      </c>
      <c r="AS444" s="21">
        <f t="shared" si="1336"/>
        <v>0.2299062687158325</v>
      </c>
      <c r="AT444" s="21">
        <f t="shared" ref="AT444:AT446" si="1354">SQRT(AP444*AQ444^2)</f>
        <v>0.47948542075420031</v>
      </c>
      <c r="AU444" s="20">
        <f t="shared" si="1338"/>
        <v>4.3495986672551963</v>
      </c>
      <c r="AV444" s="20">
        <f t="shared" si="1339"/>
        <v>-4.3937187255584247</v>
      </c>
      <c r="AW444" s="20">
        <f t="shared" si="1340"/>
        <v>4.4382863147015286</v>
      </c>
      <c r="AX444" s="15"/>
      <c r="AY444" s="15"/>
      <c r="AZ444" s="1" t="s">
        <v>271</v>
      </c>
      <c r="BA444" s="17"/>
    </row>
    <row r="445" spans="1:53" s="16" customFormat="1" ht="14.25" hidden="1">
      <c r="A445" s="17">
        <v>320</v>
      </c>
      <c r="B445" s="17" t="s">
        <v>244</v>
      </c>
      <c r="C445" s="12" t="s">
        <v>85</v>
      </c>
      <c r="D445" s="16">
        <v>2024</v>
      </c>
      <c r="E445" s="16">
        <v>2021</v>
      </c>
      <c r="F445" s="16" t="s">
        <v>120</v>
      </c>
      <c r="G445" s="16" t="s">
        <v>109</v>
      </c>
      <c r="H445" s="16">
        <v>42.345813999999997</v>
      </c>
      <c r="I445" s="16">
        <v>-6.3904769999999997</v>
      </c>
      <c r="J445" s="16" t="s">
        <v>126</v>
      </c>
      <c r="K445" s="16" t="s">
        <v>177</v>
      </c>
      <c r="L445" s="16" t="s">
        <v>178</v>
      </c>
      <c r="M445" s="16" t="s">
        <v>237</v>
      </c>
      <c r="N445" s="16" t="s">
        <v>239</v>
      </c>
      <c r="O445" s="16" t="s">
        <v>86</v>
      </c>
      <c r="Q445" s="16" t="s">
        <v>93</v>
      </c>
      <c r="R445" s="16">
        <v>2005</v>
      </c>
      <c r="S445" s="16">
        <v>16</v>
      </c>
      <c r="T445" s="16">
        <v>1172</v>
      </c>
      <c r="V445" s="16">
        <v>9</v>
      </c>
      <c r="W445" s="16">
        <v>9</v>
      </c>
      <c r="X445" s="16" t="s">
        <v>114</v>
      </c>
      <c r="Y445" s="16" t="s">
        <v>2</v>
      </c>
      <c r="Z445" s="16" t="s">
        <v>1</v>
      </c>
      <c r="AA445" s="16" t="s">
        <v>113</v>
      </c>
      <c r="AB445" s="1" t="s">
        <v>2</v>
      </c>
      <c r="AC445" s="1" t="s">
        <v>2</v>
      </c>
      <c r="AD445" s="1" t="s">
        <v>2</v>
      </c>
      <c r="AE445" s="16" t="s">
        <v>308</v>
      </c>
      <c r="AF445" s="16" t="s">
        <v>319</v>
      </c>
      <c r="AG445" s="16">
        <v>41.42</v>
      </c>
      <c r="AH445" s="16">
        <f>190.53-8.28</f>
        <v>182.25</v>
      </c>
      <c r="AJ445" s="16">
        <v>161.54</v>
      </c>
      <c r="AK445" s="16">
        <f>256.8-124.26</f>
        <v>132.54000000000002</v>
      </c>
      <c r="AM445" s="12">
        <f t="shared" si="1348"/>
        <v>-120.11999999999999</v>
      </c>
      <c r="AN445" s="1">
        <f t="shared" si="1349"/>
        <v>159.34540172217083</v>
      </c>
      <c r="AO445" s="1">
        <f t="shared" si="1350"/>
        <v>-0.75383411571196191</v>
      </c>
      <c r="AP445" s="1">
        <f t="shared" si="1351"/>
        <v>0.23800738538920096</v>
      </c>
      <c r="AQ445" s="1">
        <f t="shared" si="1352"/>
        <v>0.95238095238095233</v>
      </c>
      <c r="AR445" s="21">
        <f t="shared" si="1353"/>
        <v>-0.71793725305901135</v>
      </c>
      <c r="AS445" s="21">
        <f t="shared" si="1336"/>
        <v>0.21587971463873101</v>
      </c>
      <c r="AT445" s="21">
        <f t="shared" si="1354"/>
        <v>0.46462857707929567</v>
      </c>
      <c r="AU445" s="20">
        <f t="shared" si="1338"/>
        <v>4.6322091988748157</v>
      </c>
      <c r="AV445" s="20">
        <f t="shared" si="1339"/>
        <v>-3.3256355478348687</v>
      </c>
      <c r="AW445" s="20">
        <f t="shared" si="1340"/>
        <v>2.3875976498879661</v>
      </c>
      <c r="AX445" s="15"/>
      <c r="AY445" s="15"/>
      <c r="AZ445" s="1" t="s">
        <v>271</v>
      </c>
      <c r="BA445" s="17"/>
    </row>
    <row r="446" spans="1:53" s="16" customFormat="1" ht="14.25" hidden="1">
      <c r="A446" s="17">
        <v>320</v>
      </c>
      <c r="B446" s="17" t="s">
        <v>244</v>
      </c>
      <c r="C446" s="12" t="s">
        <v>85</v>
      </c>
      <c r="D446" s="16">
        <v>2024</v>
      </c>
      <c r="E446" s="16">
        <v>2021</v>
      </c>
      <c r="F446" s="16" t="s">
        <v>120</v>
      </c>
      <c r="G446" s="16" t="s">
        <v>109</v>
      </c>
      <c r="H446" s="16">
        <v>42.345813999999997</v>
      </c>
      <c r="I446" s="16">
        <v>-6.3904769999999997</v>
      </c>
      <c r="J446" s="16" t="s">
        <v>126</v>
      </c>
      <c r="K446" s="16" t="s">
        <v>177</v>
      </c>
      <c r="L446" s="16" t="s">
        <v>178</v>
      </c>
      <c r="M446" s="16" t="s">
        <v>237</v>
      </c>
      <c r="N446" s="16" t="s">
        <v>239</v>
      </c>
      <c r="O446" s="16" t="s">
        <v>86</v>
      </c>
      <c r="Q446" s="16" t="s">
        <v>93</v>
      </c>
      <c r="R446" s="16">
        <v>2005</v>
      </c>
      <c r="S446" s="16">
        <v>16</v>
      </c>
      <c r="T446" s="16">
        <v>1172</v>
      </c>
      <c r="V446" s="16">
        <v>9</v>
      </c>
      <c r="W446" s="16">
        <v>9</v>
      </c>
      <c r="X446" s="16" t="s">
        <v>114</v>
      </c>
      <c r="Y446" s="16" t="s">
        <v>2</v>
      </c>
      <c r="Z446" s="16" t="s">
        <v>1</v>
      </c>
      <c r="AA446" s="16" t="s">
        <v>113</v>
      </c>
      <c r="AB446" s="1" t="s">
        <v>2</v>
      </c>
      <c r="AC446" s="1" t="s">
        <v>2</v>
      </c>
      <c r="AD446" s="1" t="s">
        <v>2</v>
      </c>
      <c r="AE446" s="16" t="s">
        <v>349</v>
      </c>
      <c r="AF446" s="16" t="s">
        <v>319</v>
      </c>
      <c r="AG446" s="16">
        <v>0.76</v>
      </c>
      <c r="AH446" s="16">
        <f>1.09-0.4</f>
        <v>0.69000000000000006</v>
      </c>
      <c r="AJ446" s="16">
        <v>2.84</v>
      </c>
      <c r="AK446" s="16">
        <f>3.75-2.4</f>
        <v>1.35</v>
      </c>
      <c r="AM446" s="12">
        <f t="shared" si="1348"/>
        <v>-2.08</v>
      </c>
      <c r="AN446" s="1">
        <f t="shared" si="1349"/>
        <v>1.0720541031123383</v>
      </c>
      <c r="AO446" s="1">
        <f t="shared" si="1350"/>
        <v>-1.9402005868560546</v>
      </c>
      <c r="AP446" s="1">
        <f t="shared" si="1351"/>
        <v>0.32678828658990494</v>
      </c>
      <c r="AQ446" s="1">
        <f t="shared" si="1352"/>
        <v>0.95238095238095233</v>
      </c>
      <c r="AR446" s="21">
        <f t="shared" si="1353"/>
        <v>-1.8478100827200519</v>
      </c>
      <c r="AS446" s="21">
        <f t="shared" si="1336"/>
        <v>0.29640660915184119</v>
      </c>
      <c r="AT446" s="21">
        <f t="shared" si="1354"/>
        <v>0.5444323733503007</v>
      </c>
      <c r="AU446" s="20">
        <f t="shared" si="1338"/>
        <v>3.3737439352701029</v>
      </c>
      <c r="AV446" s="20">
        <f t="shared" si="1339"/>
        <v>-6.2340380601077223</v>
      </c>
      <c r="AW446" s="20">
        <f t="shared" si="1340"/>
        <v>11.519318383527603</v>
      </c>
      <c r="AX446" s="15"/>
      <c r="AY446" s="15"/>
      <c r="AZ446" s="1" t="s">
        <v>271</v>
      </c>
      <c r="BA446" s="17"/>
    </row>
    <row r="447" spans="1:53" s="16" customFormat="1" ht="14.25">
      <c r="A447" s="17">
        <v>320</v>
      </c>
      <c r="B447" s="17" t="s">
        <v>244</v>
      </c>
      <c r="C447" s="12" t="s">
        <v>85</v>
      </c>
      <c r="D447" s="16">
        <v>2024</v>
      </c>
      <c r="E447" s="16">
        <v>2021</v>
      </c>
      <c r="F447" s="16" t="s">
        <v>120</v>
      </c>
      <c r="G447" s="16" t="s">
        <v>109</v>
      </c>
      <c r="H447" s="16">
        <v>42.345813999999997</v>
      </c>
      <c r="I447" s="16">
        <v>-6.3904769999999997</v>
      </c>
      <c r="J447" s="16" t="s">
        <v>126</v>
      </c>
      <c r="K447" s="16" t="s">
        <v>177</v>
      </c>
      <c r="L447" s="16" t="s">
        <v>178</v>
      </c>
      <c r="M447" s="16" t="s">
        <v>237</v>
      </c>
      <c r="N447" s="16" t="s">
        <v>239</v>
      </c>
      <c r="O447" s="16" t="s">
        <v>86</v>
      </c>
      <c r="Q447" s="16" t="s">
        <v>93</v>
      </c>
      <c r="R447" s="16">
        <v>2005</v>
      </c>
      <c r="S447" s="16">
        <v>16</v>
      </c>
      <c r="T447" s="16">
        <v>1172</v>
      </c>
      <c r="V447" s="16">
        <v>9</v>
      </c>
      <c r="W447" s="16">
        <v>9</v>
      </c>
      <c r="X447" s="16" t="s">
        <v>114</v>
      </c>
      <c r="Y447" s="16" t="s">
        <v>2</v>
      </c>
      <c r="Z447" s="16" t="s">
        <v>1</v>
      </c>
      <c r="AA447" s="16" t="s">
        <v>113</v>
      </c>
      <c r="AB447" s="1" t="s">
        <v>2</v>
      </c>
      <c r="AC447" s="1" t="s">
        <v>2</v>
      </c>
      <c r="AD447" s="1" t="s">
        <v>2</v>
      </c>
      <c r="AE447" s="16" t="s">
        <v>151</v>
      </c>
      <c r="AF447" s="16" t="s">
        <v>319</v>
      </c>
      <c r="AG447" s="16">
        <v>6.12</v>
      </c>
      <c r="AH447" s="16">
        <f>8.77-4.29</f>
        <v>4.4799999999999995</v>
      </c>
      <c r="AJ447" s="16">
        <v>14.08</v>
      </c>
      <c r="AK447" s="16">
        <f>18.37-11.22</f>
        <v>7.15</v>
      </c>
      <c r="AM447" s="12">
        <f t="shared" si="1341"/>
        <v>-7.96</v>
      </c>
      <c r="AN447" s="1">
        <f t="shared" si="1342"/>
        <v>5.9662760579778737</v>
      </c>
      <c r="AO447" s="1">
        <f t="shared" si="1343"/>
        <v>-1.3341655536297545</v>
      </c>
      <c r="AP447" s="1">
        <f t="shared" si="1344"/>
        <v>0.27166660345811633</v>
      </c>
      <c r="AQ447" s="1">
        <f t="shared" si="1345"/>
        <v>0.95238095238095233</v>
      </c>
      <c r="AR447" s="21">
        <f t="shared" si="1346"/>
        <v>-1.2706338605997662</v>
      </c>
      <c r="AS447" s="21">
        <f t="shared" si="1336"/>
        <v>0.24640961764908509</v>
      </c>
      <c r="AT447" s="21">
        <f t="shared" si="1347"/>
        <v>0.49639663339821827</v>
      </c>
      <c r="AU447" s="20">
        <f t="shared" si="1338"/>
        <v>4.0582831528277117</v>
      </c>
      <c r="AV447" s="20">
        <f t="shared" si="1339"/>
        <v>-5.1565919898844665</v>
      </c>
      <c r="AW447" s="20">
        <f t="shared" si="1340"/>
        <v>6.5521403876447302</v>
      </c>
      <c r="AX447" s="15"/>
      <c r="AY447" s="15"/>
      <c r="AZ447" s="1" t="s">
        <v>271</v>
      </c>
      <c r="BA447" s="17"/>
    </row>
    <row r="448" spans="1:53" s="16" customFormat="1" ht="14.25">
      <c r="A448" s="17">
        <v>320</v>
      </c>
      <c r="B448" s="17" t="s">
        <v>244</v>
      </c>
      <c r="C448" s="12" t="s">
        <v>85</v>
      </c>
      <c r="D448" s="16">
        <v>2024</v>
      </c>
      <c r="E448" s="16">
        <v>2021</v>
      </c>
      <c r="F448" s="16" t="s">
        <v>120</v>
      </c>
      <c r="G448" s="16" t="s">
        <v>109</v>
      </c>
      <c r="H448" s="16">
        <v>42.345813999999997</v>
      </c>
      <c r="I448" s="16">
        <v>-6.3904769999999997</v>
      </c>
      <c r="J448" s="16" t="s">
        <v>126</v>
      </c>
      <c r="K448" s="16" t="s">
        <v>177</v>
      </c>
      <c r="L448" s="16" t="s">
        <v>178</v>
      </c>
      <c r="M448" s="16" t="s">
        <v>237</v>
      </c>
      <c r="N448" s="16" t="s">
        <v>239</v>
      </c>
      <c r="O448" s="16" t="s">
        <v>86</v>
      </c>
      <c r="Q448" s="16" t="s">
        <v>93</v>
      </c>
      <c r="R448" s="16">
        <v>2005</v>
      </c>
      <c r="S448" s="16">
        <v>16</v>
      </c>
      <c r="T448" s="16">
        <v>1172</v>
      </c>
      <c r="V448" s="16">
        <v>9</v>
      </c>
      <c r="W448" s="16">
        <v>9</v>
      </c>
      <c r="X448" s="16" t="s">
        <v>114</v>
      </c>
      <c r="Y448" s="16" t="s">
        <v>2</v>
      </c>
      <c r="Z448" s="16" t="s">
        <v>1</v>
      </c>
      <c r="AA448" s="16" t="s">
        <v>113</v>
      </c>
      <c r="AB448" s="1" t="s">
        <v>2</v>
      </c>
      <c r="AC448" s="1" t="s">
        <v>2</v>
      </c>
      <c r="AD448" s="1" t="s">
        <v>2</v>
      </c>
      <c r="AE448" s="16" t="s">
        <v>309</v>
      </c>
      <c r="AF448" s="16" t="s">
        <v>319</v>
      </c>
      <c r="AG448" s="16">
        <v>13.15</v>
      </c>
      <c r="AH448" s="16">
        <f>24.66-8.22</f>
        <v>16.439999999999998</v>
      </c>
      <c r="AJ448" s="16">
        <v>50.96</v>
      </c>
      <c r="AK448" s="16">
        <f>72.33-36.16</f>
        <v>36.17</v>
      </c>
      <c r="AM448" s="12">
        <f t="shared" si="1341"/>
        <v>-37.81</v>
      </c>
      <c r="AN448" s="1">
        <f t="shared" si="1342"/>
        <v>28.093971773318206</v>
      </c>
      <c r="AO448" s="1">
        <f t="shared" si="1343"/>
        <v>-1.3458403213713426</v>
      </c>
      <c r="AP448" s="1">
        <f t="shared" si="1344"/>
        <v>0.27253572696191442</v>
      </c>
      <c r="AQ448" s="1">
        <f t="shared" si="1345"/>
        <v>0.95238095238095233</v>
      </c>
      <c r="AR448" s="21">
        <f t="shared" si="1346"/>
        <v>-1.2817526870203262</v>
      </c>
      <c r="AS448" s="21">
        <f t="shared" si="1336"/>
        <v>0.24719793828745071</v>
      </c>
      <c r="AT448" s="21">
        <f t="shared" si="1347"/>
        <v>0.49719004242588238</v>
      </c>
      <c r="AU448" s="20">
        <f t="shared" si="1338"/>
        <v>4.0453411825674852</v>
      </c>
      <c r="AV448" s="20">
        <f t="shared" si="1339"/>
        <v>-5.185126930669858</v>
      </c>
      <c r="AW448" s="20">
        <f t="shared" si="1340"/>
        <v>6.6460503759275467</v>
      </c>
      <c r="AX448" s="15"/>
      <c r="AY448" s="15"/>
      <c r="AZ448" s="1" t="s">
        <v>271</v>
      </c>
      <c r="BA448" s="17"/>
    </row>
    <row r="449" spans="1:53" s="16" customFormat="1" ht="14.25">
      <c r="A449" s="17">
        <v>320</v>
      </c>
      <c r="B449" s="17" t="s">
        <v>244</v>
      </c>
      <c r="C449" s="12" t="s">
        <v>85</v>
      </c>
      <c r="D449" s="16">
        <v>2024</v>
      </c>
      <c r="E449" s="16">
        <v>2021</v>
      </c>
      <c r="F449" s="16" t="s">
        <v>120</v>
      </c>
      <c r="G449" s="16" t="s">
        <v>109</v>
      </c>
      <c r="H449" s="16">
        <v>42.345813999999997</v>
      </c>
      <c r="I449" s="16">
        <v>-6.3904769999999997</v>
      </c>
      <c r="J449" s="16" t="s">
        <v>126</v>
      </c>
      <c r="K449" s="16" t="s">
        <v>177</v>
      </c>
      <c r="L449" s="16" t="s">
        <v>178</v>
      </c>
      <c r="M449" s="16" t="s">
        <v>237</v>
      </c>
      <c r="N449" s="16" t="s">
        <v>239</v>
      </c>
      <c r="O449" s="16" t="s">
        <v>86</v>
      </c>
      <c r="Q449" s="16" t="s">
        <v>93</v>
      </c>
      <c r="R449" s="16">
        <v>2005</v>
      </c>
      <c r="S449" s="16">
        <v>16</v>
      </c>
      <c r="T449" s="16">
        <v>1172</v>
      </c>
      <c r="V449" s="16">
        <v>9</v>
      </c>
      <c r="W449" s="16">
        <v>9</v>
      </c>
      <c r="X449" s="16" t="s">
        <v>114</v>
      </c>
      <c r="Y449" s="16" t="s">
        <v>2</v>
      </c>
      <c r="Z449" s="16" t="s">
        <v>1</v>
      </c>
      <c r="AA449" s="16" t="s">
        <v>113</v>
      </c>
      <c r="AB449" s="1" t="s">
        <v>2</v>
      </c>
      <c r="AC449" s="1" t="s">
        <v>2</v>
      </c>
      <c r="AD449" s="1" t="s">
        <v>2</v>
      </c>
      <c r="AE449" s="16" t="s">
        <v>296</v>
      </c>
      <c r="AF449" s="16" t="s">
        <v>319</v>
      </c>
      <c r="AG449" s="16">
        <v>2.41</v>
      </c>
      <c r="AH449" s="16">
        <f>3.12-1.51</f>
        <v>1.61</v>
      </c>
      <c r="AJ449" s="16">
        <v>2.5499999999999998</v>
      </c>
      <c r="AK449" s="16">
        <f>5.68-1.56</f>
        <v>4.1199999999999992</v>
      </c>
      <c r="AM449" s="12">
        <f t="shared" si="1330"/>
        <v>-0.13999999999999968</v>
      </c>
      <c r="AN449" s="1">
        <f t="shared" si="1331"/>
        <v>3.1278187287629051</v>
      </c>
      <c r="AO449" s="1">
        <f t="shared" si="1332"/>
        <v>-4.4759627120517814E-2</v>
      </c>
      <c r="AP449" s="1">
        <f t="shared" si="1333"/>
        <v>0.22227787289499909</v>
      </c>
      <c r="AQ449" s="1">
        <f t="shared" si="1334"/>
        <v>0.95238095238095233</v>
      </c>
      <c r="AR449" s="21">
        <f t="shared" si="1335"/>
        <v>-4.2628216305255061E-2</v>
      </c>
      <c r="AS449" s="21">
        <f t="shared" si="1336"/>
        <v>0.20161258312471572</v>
      </c>
      <c r="AT449" s="21">
        <f t="shared" si="1337"/>
        <v>0.4490128986173067</v>
      </c>
      <c r="AU449" s="20">
        <f t="shared" si="1338"/>
        <v>4.9600078750114971</v>
      </c>
      <c r="AV449" s="20">
        <f t="shared" si="1339"/>
        <v>-0.21143628857175858</v>
      </c>
      <c r="AW449" s="20">
        <f t="shared" si="1340"/>
        <v>9.0131518440172542E-3</v>
      </c>
      <c r="AX449" s="15"/>
      <c r="AY449" s="15"/>
      <c r="AZ449" s="1" t="s">
        <v>271</v>
      </c>
      <c r="BA449" s="17"/>
    </row>
    <row r="450" spans="1:53" s="16" customFormat="1" ht="14.25" hidden="1">
      <c r="A450" s="17">
        <v>320</v>
      </c>
      <c r="B450" s="17" t="s">
        <v>244</v>
      </c>
      <c r="C450" s="12" t="s">
        <v>85</v>
      </c>
      <c r="D450" s="16">
        <v>2024</v>
      </c>
      <c r="E450" s="16">
        <v>2021</v>
      </c>
      <c r="F450" s="16" t="s">
        <v>120</v>
      </c>
      <c r="G450" s="16" t="s">
        <v>109</v>
      </c>
      <c r="H450" s="16">
        <v>42.345813999999997</v>
      </c>
      <c r="I450" s="16">
        <v>-6.3904769999999997</v>
      </c>
      <c r="J450" s="16" t="s">
        <v>126</v>
      </c>
      <c r="K450" s="16" t="s">
        <v>177</v>
      </c>
      <c r="L450" s="16" t="s">
        <v>178</v>
      </c>
      <c r="M450" s="16" t="s">
        <v>237</v>
      </c>
      <c r="N450" s="16" t="s">
        <v>239</v>
      </c>
      <c r="O450" s="16" t="s">
        <v>86</v>
      </c>
      <c r="Q450" s="16" t="s">
        <v>93</v>
      </c>
      <c r="R450" s="16">
        <v>2005</v>
      </c>
      <c r="S450" s="16">
        <v>16</v>
      </c>
      <c r="T450" s="16">
        <v>1172</v>
      </c>
      <c r="V450" s="16">
        <v>9</v>
      </c>
      <c r="W450" s="16">
        <v>9</v>
      </c>
      <c r="X450" s="16" t="s">
        <v>114</v>
      </c>
      <c r="Y450" s="16" t="s">
        <v>2</v>
      </c>
      <c r="Z450" s="16" t="s">
        <v>1</v>
      </c>
      <c r="AA450" s="16" t="s">
        <v>113</v>
      </c>
      <c r="AB450" s="1" t="s">
        <v>2</v>
      </c>
      <c r="AC450" s="1" t="s">
        <v>2</v>
      </c>
      <c r="AD450" s="1" t="s">
        <v>2</v>
      </c>
      <c r="AE450" s="16" t="s">
        <v>257</v>
      </c>
      <c r="AF450" s="16" t="s">
        <v>334</v>
      </c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6" t="s">
        <v>286</v>
      </c>
    </row>
    <row r="451" spans="1:53" s="12" customFormat="1" ht="14.25" hidden="1" customHeight="1">
      <c r="A451" s="2">
        <v>252</v>
      </c>
      <c r="B451" s="2" t="s">
        <v>38</v>
      </c>
      <c r="C451" s="12" t="s">
        <v>85</v>
      </c>
      <c r="D451" s="12">
        <v>2011</v>
      </c>
      <c r="E451" s="12" t="s">
        <v>232</v>
      </c>
      <c r="F451" s="12" t="s">
        <v>212</v>
      </c>
      <c r="G451" s="12" t="s">
        <v>109</v>
      </c>
      <c r="H451" s="12">
        <v>41.831111</v>
      </c>
      <c r="I451" s="12">
        <v>-6.5036110000000003</v>
      </c>
      <c r="J451" s="12" t="s">
        <v>126</v>
      </c>
      <c r="K451" s="12" t="s">
        <v>177</v>
      </c>
      <c r="L451" s="12" t="s">
        <v>178</v>
      </c>
      <c r="M451" s="16" t="s">
        <v>237</v>
      </c>
      <c r="N451" s="16" t="s">
        <v>239</v>
      </c>
      <c r="O451" s="12" t="s">
        <v>86</v>
      </c>
      <c r="P451" s="12" t="s">
        <v>146</v>
      </c>
      <c r="Q451" s="12" t="s">
        <v>93</v>
      </c>
      <c r="R451" s="12">
        <v>2002</v>
      </c>
      <c r="S451" s="12">
        <v>2.5</v>
      </c>
      <c r="U451" s="12">
        <v>1427</v>
      </c>
      <c r="V451" s="12">
        <v>6</v>
      </c>
      <c r="W451" s="12">
        <v>6</v>
      </c>
      <c r="X451" s="12" t="s">
        <v>114</v>
      </c>
      <c r="Y451" s="12" t="s">
        <v>2</v>
      </c>
      <c r="Z451" s="12" t="s">
        <v>0</v>
      </c>
      <c r="AA451" s="12" t="s">
        <v>113</v>
      </c>
      <c r="AB451" s="12" t="s">
        <v>2</v>
      </c>
      <c r="AC451" s="12" t="s">
        <v>2</v>
      </c>
      <c r="AD451" s="12" t="s">
        <v>2</v>
      </c>
      <c r="AE451" s="12" t="s">
        <v>308</v>
      </c>
      <c r="AF451" s="12" t="s">
        <v>335</v>
      </c>
      <c r="AG451" s="12">
        <f>((27*100)/60)/100</f>
        <v>0.45</v>
      </c>
      <c r="AH451" s="14"/>
      <c r="AI451" s="14"/>
      <c r="AJ451" s="12">
        <f>((40*100)/85)/100</f>
        <v>0.4705882352941177</v>
      </c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2">
        <f t="shared" ref="AX451:AX452" si="1355">LOG(AG451/AJ451)</f>
        <v>-1.9428551838326008E-2</v>
      </c>
      <c r="AY451" s="12">
        <f>((1-AG451)/(AG451*W451))+((1-AJ451)/(V451*AJ451))</f>
        <v>0.39120370370370366</v>
      </c>
      <c r="AZ451" s="12" t="s">
        <v>284</v>
      </c>
    </row>
    <row r="452" spans="1:53" s="12" customFormat="1" ht="14.25" hidden="1" customHeight="1">
      <c r="A452" s="2">
        <v>252</v>
      </c>
      <c r="B452" s="2" t="s">
        <v>38</v>
      </c>
      <c r="C452" s="12" t="s">
        <v>85</v>
      </c>
      <c r="D452" s="12">
        <v>2011</v>
      </c>
      <c r="E452" s="12" t="s">
        <v>232</v>
      </c>
      <c r="F452" s="12" t="s">
        <v>212</v>
      </c>
      <c r="G452" s="12" t="s">
        <v>109</v>
      </c>
      <c r="H452" s="12">
        <v>41.831111</v>
      </c>
      <c r="I452" s="12">
        <v>-6.5036110000000003</v>
      </c>
      <c r="J452" s="12" t="s">
        <v>126</v>
      </c>
      <c r="K452" s="12" t="s">
        <v>177</v>
      </c>
      <c r="L452" s="12" t="s">
        <v>178</v>
      </c>
      <c r="M452" s="16" t="s">
        <v>237</v>
      </c>
      <c r="N452" s="16" t="s">
        <v>239</v>
      </c>
      <c r="O452" s="12" t="s">
        <v>86</v>
      </c>
      <c r="P452" s="12" t="s">
        <v>146</v>
      </c>
      <c r="Q452" s="12" t="s">
        <v>93</v>
      </c>
      <c r="R452" s="12">
        <v>2002</v>
      </c>
      <c r="S452" s="12">
        <v>2.5</v>
      </c>
      <c r="U452" s="12">
        <v>1427</v>
      </c>
      <c r="V452" s="12">
        <v>6</v>
      </c>
      <c r="W452" s="12">
        <v>6</v>
      </c>
      <c r="X452" s="12" t="s">
        <v>114</v>
      </c>
      <c r="Y452" s="12" t="s">
        <v>2</v>
      </c>
      <c r="Z452" s="12" t="s">
        <v>0</v>
      </c>
      <c r="AA452" s="12" t="s">
        <v>113</v>
      </c>
      <c r="AB452" s="12" t="s">
        <v>2</v>
      </c>
      <c r="AC452" s="12" t="s">
        <v>2</v>
      </c>
      <c r="AD452" s="12" t="s">
        <v>2</v>
      </c>
      <c r="AE452" s="12" t="s">
        <v>309</v>
      </c>
      <c r="AF452" s="12" t="s">
        <v>335</v>
      </c>
      <c r="AG452" s="12">
        <f>((33*100)/60)/100</f>
        <v>0.55000000000000004</v>
      </c>
      <c r="AH452" s="14"/>
      <c r="AI452" s="14"/>
      <c r="AJ452" s="12">
        <f>((45*100)/85)/100</f>
        <v>0.52941176470588236</v>
      </c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2">
        <f t="shared" si="1355"/>
        <v>1.6569101433192936E-2</v>
      </c>
      <c r="AY452" s="12">
        <f>((1-AG452)/(AG452*W452))+((1-AJ452)/(V452*AJ452))</f>
        <v>0.28451178451178449</v>
      </c>
      <c r="AZ452" s="12" t="s">
        <v>284</v>
      </c>
    </row>
    <row r="453" spans="1:53" ht="14.25" hidden="1" customHeight="1">
      <c r="A453" s="2">
        <v>192</v>
      </c>
      <c r="B453" s="2" t="s">
        <v>29</v>
      </c>
      <c r="C453" s="1" t="s">
        <v>91</v>
      </c>
      <c r="D453" s="1">
        <v>2016</v>
      </c>
      <c r="E453" s="1">
        <v>2009</v>
      </c>
      <c r="F453" s="1" t="s">
        <v>120</v>
      </c>
      <c r="G453" s="1" t="s">
        <v>109</v>
      </c>
      <c r="H453" s="1">
        <v>41.511228000000003</v>
      </c>
      <c r="I453" s="1" t="s">
        <v>206</v>
      </c>
      <c r="J453" s="1" t="s">
        <v>135</v>
      </c>
      <c r="K453" s="1" t="s">
        <v>177</v>
      </c>
      <c r="L453" s="1" t="s">
        <v>178</v>
      </c>
      <c r="M453" s="1" t="s">
        <v>237</v>
      </c>
      <c r="N453" s="1" t="s">
        <v>239</v>
      </c>
      <c r="O453" s="1" t="s">
        <v>86</v>
      </c>
      <c r="P453" s="1" t="s">
        <v>211</v>
      </c>
      <c r="Q453" s="1" t="s">
        <v>93</v>
      </c>
      <c r="R453" s="1">
        <v>2008</v>
      </c>
      <c r="S453" s="1">
        <v>1</v>
      </c>
      <c r="U453" s="1">
        <v>1200</v>
      </c>
      <c r="V453" s="1">
        <v>25</v>
      </c>
      <c r="W453" s="1">
        <v>25</v>
      </c>
      <c r="X453" s="1" t="s">
        <v>134</v>
      </c>
      <c r="Y453" s="1" t="s">
        <v>147</v>
      </c>
      <c r="Z453" s="1" t="s">
        <v>1</v>
      </c>
      <c r="AA453" s="1" t="s">
        <v>148</v>
      </c>
      <c r="AB453" s="1" t="s">
        <v>2</v>
      </c>
      <c r="AC453" s="1" t="s">
        <v>2</v>
      </c>
      <c r="AD453" s="1" t="s">
        <v>2</v>
      </c>
      <c r="AE453" s="1" t="s">
        <v>351</v>
      </c>
      <c r="AF453" s="1" t="s">
        <v>319</v>
      </c>
      <c r="AG453" s="1">
        <v>39.67</v>
      </c>
      <c r="AH453" s="1">
        <f>AI453*SQRT(W453)</f>
        <v>5</v>
      </c>
      <c r="AI453" s="1">
        <f>40.67-AG453</f>
        <v>1</v>
      </c>
      <c r="AJ453" s="1">
        <v>42.17</v>
      </c>
      <c r="AK453" s="1">
        <f>AL453*SQRT(V453)</f>
        <v>4.5499999999999829</v>
      </c>
      <c r="AL453" s="1">
        <f>43.08-AJ453</f>
        <v>0.90999999999999659</v>
      </c>
      <c r="AM453" s="12">
        <f t="shared" ref="AM453" si="1356">AG453-AJ453</f>
        <v>-2.5</v>
      </c>
      <c r="AN453" s="1">
        <f>SQRT((((W453-1)*AI453^2)+((V453-1)*AK453^2))/(W453+V453-2))</f>
        <v>3.2941235556669581</v>
      </c>
      <c r="AO453" s="1">
        <f t="shared" ref="AO453" si="1357">AM453/AN453</f>
        <v>-0.75892721015251274</v>
      </c>
      <c r="AP453" s="1">
        <f t="shared" ref="AP453" si="1358">1/W453+1/V453+(AO453^2)/(2*(W453+V453))</f>
        <v>8.5759705103098771E-2</v>
      </c>
      <c r="AQ453" s="1">
        <f t="shared" ref="AQ453" si="1359">1-(3/(4*(W453+V453-2)-1))</f>
        <v>0.98429319371727753</v>
      </c>
      <c r="AR453" s="21">
        <f t="shared" ref="AR453" si="1360">AO453*AQ453</f>
        <v>-0.74700688747996025</v>
      </c>
      <c r="AS453" s="21">
        <f>AP453*(AQ453^2)</f>
        <v>8.3086840195277623E-2</v>
      </c>
      <c r="AT453" s="21">
        <f t="shared" ref="AT453" si="1361">SQRT(AP453*AQ453^2)</f>
        <v>0.28824787977585825</v>
      </c>
      <c r="AU453" s="20">
        <f>1/AS453</f>
        <v>12.035600314679396</v>
      </c>
      <c r="AV453" s="20">
        <f>AR453/AS453</f>
        <v>-8.9906763300214845</v>
      </c>
      <c r="AW453" s="20">
        <f>((AR453)^2)/AS453</f>
        <v>6.7160971416291009</v>
      </c>
      <c r="AX453" s="14"/>
      <c r="AY453" s="14"/>
      <c r="AZ453" s="1" t="s">
        <v>271</v>
      </c>
      <c r="BA453" s="2"/>
    </row>
    <row r="454" spans="1:53" ht="14.25" hidden="1" customHeight="1">
      <c r="A454" s="2">
        <v>192</v>
      </c>
      <c r="B454" s="2" t="s">
        <v>29</v>
      </c>
      <c r="C454" s="1" t="s">
        <v>91</v>
      </c>
      <c r="D454" s="1">
        <v>2016</v>
      </c>
      <c r="E454" s="1">
        <v>2009</v>
      </c>
      <c r="F454" s="1" t="s">
        <v>120</v>
      </c>
      <c r="G454" s="1" t="s">
        <v>109</v>
      </c>
      <c r="H454" s="1">
        <v>41.511228000000003</v>
      </c>
      <c r="I454" s="1" t="s">
        <v>206</v>
      </c>
      <c r="J454" s="1" t="s">
        <v>135</v>
      </c>
      <c r="K454" s="1" t="s">
        <v>177</v>
      </c>
      <c r="L454" s="1" t="s">
        <v>178</v>
      </c>
      <c r="M454" s="1" t="s">
        <v>237</v>
      </c>
      <c r="N454" s="1" t="s">
        <v>239</v>
      </c>
      <c r="O454" s="1" t="s">
        <v>86</v>
      </c>
      <c r="P454" s="1" t="s">
        <v>211</v>
      </c>
      <c r="Q454" s="1" t="s">
        <v>93</v>
      </c>
      <c r="R454" s="1">
        <v>2008</v>
      </c>
      <c r="S454" s="1">
        <v>1</v>
      </c>
      <c r="U454" s="1">
        <v>1200</v>
      </c>
      <c r="V454" s="1">
        <v>25</v>
      </c>
      <c r="W454" s="1">
        <v>25</v>
      </c>
      <c r="X454" s="1" t="s">
        <v>134</v>
      </c>
      <c r="Y454" s="1" t="s">
        <v>147</v>
      </c>
      <c r="Z454" s="1" t="s">
        <v>1</v>
      </c>
      <c r="AA454" s="1" t="s">
        <v>148</v>
      </c>
      <c r="AB454" s="1" t="s">
        <v>2</v>
      </c>
      <c r="AC454" s="1" t="s">
        <v>2</v>
      </c>
      <c r="AD454" s="1" t="s">
        <v>2</v>
      </c>
      <c r="AE454" s="1" t="s">
        <v>363</v>
      </c>
      <c r="AF454" s="1" t="s">
        <v>334</v>
      </c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" t="s">
        <v>286</v>
      </c>
    </row>
    <row r="455" spans="1:53" ht="14.25" hidden="1" customHeight="1">
      <c r="A455" s="2">
        <v>192</v>
      </c>
      <c r="B455" s="2" t="s">
        <v>29</v>
      </c>
      <c r="C455" s="1" t="s">
        <v>91</v>
      </c>
      <c r="D455" s="1">
        <v>2016</v>
      </c>
      <c r="E455" s="1">
        <v>2009</v>
      </c>
      <c r="F455" s="1" t="s">
        <v>120</v>
      </c>
      <c r="G455" s="1" t="s">
        <v>109</v>
      </c>
      <c r="H455" s="1">
        <v>41.511228000000003</v>
      </c>
      <c r="I455" s="1" t="s">
        <v>206</v>
      </c>
      <c r="J455" s="1" t="s">
        <v>135</v>
      </c>
      <c r="K455" s="1" t="s">
        <v>177</v>
      </c>
      <c r="L455" s="1" t="s">
        <v>178</v>
      </c>
      <c r="M455" s="1" t="s">
        <v>237</v>
      </c>
      <c r="N455" s="1" t="s">
        <v>239</v>
      </c>
      <c r="O455" s="1" t="s">
        <v>86</v>
      </c>
      <c r="P455" s="1" t="s">
        <v>129</v>
      </c>
      <c r="Q455" s="1" t="s">
        <v>93</v>
      </c>
      <c r="R455" s="1">
        <v>2008</v>
      </c>
      <c r="S455" s="1">
        <v>1</v>
      </c>
      <c r="U455" s="1">
        <v>1200</v>
      </c>
      <c r="V455" s="1">
        <v>25</v>
      </c>
      <c r="W455" s="1">
        <v>25</v>
      </c>
      <c r="X455" s="1" t="s">
        <v>134</v>
      </c>
      <c r="Y455" s="1" t="s">
        <v>147</v>
      </c>
      <c r="Z455" s="1" t="s">
        <v>1</v>
      </c>
      <c r="AA455" s="1" t="s">
        <v>148</v>
      </c>
      <c r="AB455" s="1" t="s">
        <v>2</v>
      </c>
      <c r="AC455" s="1" t="s">
        <v>2</v>
      </c>
      <c r="AD455" s="1" t="s">
        <v>2</v>
      </c>
      <c r="AE455" s="1" t="s">
        <v>351</v>
      </c>
      <c r="AF455" s="1" t="s">
        <v>319</v>
      </c>
      <c r="AG455" s="1">
        <v>39.5</v>
      </c>
      <c r="AH455" s="1">
        <f t="shared" ref="AH455" si="1362">AI455*SQRT(W455)</f>
        <v>5.3999999999999915</v>
      </c>
      <c r="AI455" s="1">
        <f>40.58-AG455</f>
        <v>1.0799999999999983</v>
      </c>
      <c r="AJ455" s="1">
        <v>42.17</v>
      </c>
      <c r="AK455" s="1">
        <f>AL455*SQRT(V455)</f>
        <v>4.5499999999999829</v>
      </c>
      <c r="AL455" s="1">
        <f>43.08-AJ455</f>
        <v>0.90999999999999659</v>
      </c>
      <c r="AM455" s="12">
        <f t="shared" ref="AM455" si="1363">AG455-AJ455</f>
        <v>-2.6700000000000017</v>
      </c>
      <c r="AN455" s="1">
        <f t="shared" ref="AN455" si="1364">SQRT((((W455-1)*AH455^2)+((V455-1)*AK455^2))/(W455+V455-2))</f>
        <v>4.9931202669272725</v>
      </c>
      <c r="AO455" s="1">
        <f t="shared" ref="AO455" si="1365">AM455/AN455</f>
        <v>-0.53473576786947674</v>
      </c>
      <c r="AP455" s="1">
        <f t="shared" ref="AP455" si="1366">1/W455+1/V455+(AO455^2)/(2*(W455+V455))</f>
        <v>8.2859423414389594E-2</v>
      </c>
      <c r="AQ455" s="1">
        <f t="shared" ref="AQ455" si="1367">1-(3/(4*(W455+V455-2)-1))</f>
        <v>0.98429319371727753</v>
      </c>
      <c r="AR455" s="21">
        <f t="shared" ref="AR455" si="1368">AO455*AQ455</f>
        <v>-0.52633677675110802</v>
      </c>
      <c r="AS455" s="21">
        <f>AP455*(AQ455^2)</f>
        <v>8.0276951321460094E-2</v>
      </c>
      <c r="AT455" s="21">
        <f t="shared" ref="AT455" si="1369">SQRT(AP455*AQ455^2)</f>
        <v>0.28333187487725431</v>
      </c>
      <c r="AU455" s="20">
        <f>1/AS455</f>
        <v>12.456875647850795</v>
      </c>
      <c r="AV455" s="20">
        <f>AR455/AS455</f>
        <v>-6.5565117768791579</v>
      </c>
      <c r="AW455" s="20">
        <f>((AR455)^2)/AS455</f>
        <v>3.4509332753732562</v>
      </c>
      <c r="AX455" s="14"/>
      <c r="AY455" s="14"/>
      <c r="AZ455" s="1" t="s">
        <v>271</v>
      </c>
      <c r="BA455" s="2"/>
    </row>
    <row r="456" spans="1:53" ht="14.25" hidden="1" customHeight="1">
      <c r="A456" s="2">
        <v>192</v>
      </c>
      <c r="B456" s="2" t="s">
        <v>29</v>
      </c>
      <c r="C456" s="1" t="s">
        <v>91</v>
      </c>
      <c r="D456" s="1">
        <v>2016</v>
      </c>
      <c r="E456" s="1">
        <v>2009</v>
      </c>
      <c r="F456" s="1" t="s">
        <v>120</v>
      </c>
      <c r="G456" s="1" t="s">
        <v>109</v>
      </c>
      <c r="H456" s="1">
        <v>41.511228000000003</v>
      </c>
      <c r="I456" s="1" t="s">
        <v>206</v>
      </c>
      <c r="J456" s="1" t="s">
        <v>135</v>
      </c>
      <c r="K456" s="1" t="s">
        <v>177</v>
      </c>
      <c r="L456" s="1" t="s">
        <v>178</v>
      </c>
      <c r="M456" s="1" t="s">
        <v>237</v>
      </c>
      <c r="N456" s="1" t="s">
        <v>239</v>
      </c>
      <c r="O456" s="1" t="s">
        <v>86</v>
      </c>
      <c r="P456" s="1" t="s">
        <v>129</v>
      </c>
      <c r="Q456" s="1" t="s">
        <v>93</v>
      </c>
      <c r="R456" s="1">
        <v>2008</v>
      </c>
      <c r="S456" s="1">
        <v>1</v>
      </c>
      <c r="U456" s="1">
        <v>1200</v>
      </c>
      <c r="V456" s="1">
        <v>25</v>
      </c>
      <c r="W456" s="1">
        <v>25</v>
      </c>
      <c r="X456" s="1" t="s">
        <v>134</v>
      </c>
      <c r="Y456" s="1" t="s">
        <v>147</v>
      </c>
      <c r="Z456" s="1" t="s">
        <v>1</v>
      </c>
      <c r="AA456" s="1" t="s">
        <v>148</v>
      </c>
      <c r="AB456" s="1" t="s">
        <v>2</v>
      </c>
      <c r="AC456" s="1" t="s">
        <v>2</v>
      </c>
      <c r="AD456" s="1" t="s">
        <v>2</v>
      </c>
      <c r="AE456" s="1" t="s">
        <v>363</v>
      </c>
      <c r="AF456" s="1" t="s">
        <v>334</v>
      </c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" t="s">
        <v>286</v>
      </c>
    </row>
    <row r="457" spans="1:53" ht="14.25" hidden="1" customHeight="1">
      <c r="A457" s="2">
        <v>327</v>
      </c>
      <c r="B457" s="2" t="s">
        <v>46</v>
      </c>
      <c r="C457" s="1" t="s">
        <v>85</v>
      </c>
      <c r="D457" s="1">
        <v>2022</v>
      </c>
      <c r="E457" s="1">
        <v>2020</v>
      </c>
      <c r="F457" s="1" t="s">
        <v>120</v>
      </c>
      <c r="G457" s="1" t="s">
        <v>109</v>
      </c>
      <c r="H457" s="1">
        <v>40.578930999999997</v>
      </c>
      <c r="I457" s="1">
        <v>-2.0713569999999999</v>
      </c>
      <c r="J457" s="1" t="s">
        <v>128</v>
      </c>
      <c r="K457" s="1" t="s">
        <v>177</v>
      </c>
      <c r="L457" s="1" t="s">
        <v>192</v>
      </c>
      <c r="M457" s="1" t="s">
        <v>237</v>
      </c>
      <c r="N457" s="1" t="s">
        <v>239</v>
      </c>
      <c r="O457" s="1" t="s">
        <v>121</v>
      </c>
      <c r="P457" s="1" t="s">
        <v>146</v>
      </c>
      <c r="Q457" s="1" t="s">
        <v>93</v>
      </c>
      <c r="R457" s="1">
        <v>2016</v>
      </c>
      <c r="S457" s="1">
        <v>4</v>
      </c>
      <c r="V457" s="1">
        <v>15</v>
      </c>
      <c r="W457" s="1">
        <v>15</v>
      </c>
      <c r="X457" s="1" t="s">
        <v>97</v>
      </c>
      <c r="Y457" s="1" t="s">
        <v>147</v>
      </c>
      <c r="Z457" s="1" t="s">
        <v>1</v>
      </c>
      <c r="AA457" s="1" t="s">
        <v>98</v>
      </c>
      <c r="AB457" s="1" t="s">
        <v>203</v>
      </c>
      <c r="AC457" s="1" t="s">
        <v>110</v>
      </c>
      <c r="AD457" s="1" t="s">
        <v>102</v>
      </c>
      <c r="AE457" s="1" t="s">
        <v>223</v>
      </c>
      <c r="AF457" s="1" t="s">
        <v>323</v>
      </c>
      <c r="AG457" s="1">
        <v>359.7</v>
      </c>
      <c r="AH457" s="1">
        <f>397.88-330.61</f>
        <v>67.269999999999982</v>
      </c>
      <c r="AJ457" s="1">
        <v>293</v>
      </c>
      <c r="AK457" s="1">
        <f>396.67-264.54</f>
        <v>132.13</v>
      </c>
      <c r="AM457" s="12">
        <f t="shared" ref="AM457:AM487" si="1370">AG457-AJ457</f>
        <v>66.699999999999989</v>
      </c>
      <c r="AN457" s="1">
        <f t="shared" si="1272"/>
        <v>104.84176124045226</v>
      </c>
      <c r="AO457" s="1">
        <f t="shared" si="1283"/>
        <v>0.63619686669537168</v>
      </c>
      <c r="AP457" s="1">
        <f t="shared" si="1274"/>
        <v>0.14007910755321681</v>
      </c>
      <c r="AQ457" s="1">
        <f t="shared" si="1275"/>
        <v>0.97297297297297303</v>
      </c>
      <c r="AR457" s="21">
        <f t="shared" si="1284"/>
        <v>0.61900235678468596</v>
      </c>
      <c r="AS457" s="21">
        <f t="shared" ref="AS457:AS461" si="1371">AP457*(AQ457^2)</f>
        <v>0.1326095861131987</v>
      </c>
      <c r="AT457" s="21">
        <f t="shared" si="1286"/>
        <v>0.3641559914558577</v>
      </c>
      <c r="AU457" s="20">
        <f t="shared" ref="AU457:AU461" si="1372">1/AS457</f>
        <v>7.5409329695545253</v>
      </c>
      <c r="AV457" s="20">
        <f t="shared" ref="AV457:AV461" si="1373">AR457/AS457</f>
        <v>4.6678552805095919</v>
      </c>
      <c r="AW457" s="20">
        <f t="shared" ref="AW457:AW461" si="1374">((AR457)^2)/AS457</f>
        <v>2.8894134197652783</v>
      </c>
      <c r="AX457" s="14"/>
      <c r="AY457" s="14"/>
      <c r="AZ457" s="1" t="s">
        <v>271</v>
      </c>
      <c r="BA457" s="2"/>
    </row>
    <row r="458" spans="1:53" ht="14.25" hidden="1" customHeight="1">
      <c r="A458" s="2">
        <v>327</v>
      </c>
      <c r="B458" s="2" t="s">
        <v>46</v>
      </c>
      <c r="C458" s="1" t="s">
        <v>85</v>
      </c>
      <c r="D458" s="1">
        <v>2022</v>
      </c>
      <c r="E458" s="1">
        <v>2020</v>
      </c>
      <c r="F458" s="1" t="s">
        <v>120</v>
      </c>
      <c r="G458" s="1" t="s">
        <v>109</v>
      </c>
      <c r="H458" s="1">
        <v>40.578930999999997</v>
      </c>
      <c r="I458" s="1">
        <v>-2.0713569999999999</v>
      </c>
      <c r="J458" s="1" t="s">
        <v>128</v>
      </c>
      <c r="K458" s="1" t="s">
        <v>177</v>
      </c>
      <c r="L458" s="1" t="s">
        <v>192</v>
      </c>
      <c r="M458" s="1" t="s">
        <v>237</v>
      </c>
      <c r="N458" s="1" t="s">
        <v>239</v>
      </c>
      <c r="O458" s="1" t="s">
        <v>121</v>
      </c>
      <c r="P458" s="1" t="s">
        <v>146</v>
      </c>
      <c r="Q458" s="1" t="s">
        <v>93</v>
      </c>
      <c r="R458" s="1">
        <v>2016</v>
      </c>
      <c r="S458" s="1">
        <v>4</v>
      </c>
      <c r="V458" s="1">
        <v>15</v>
      </c>
      <c r="W458" s="1">
        <v>15</v>
      </c>
      <c r="X458" s="1" t="s">
        <v>97</v>
      </c>
      <c r="Y458" s="1" t="s">
        <v>147</v>
      </c>
      <c r="Z458" s="1" t="s">
        <v>1</v>
      </c>
      <c r="AA458" s="1" t="s">
        <v>98</v>
      </c>
      <c r="AB458" s="1" t="s">
        <v>203</v>
      </c>
      <c r="AC458" s="1" t="s">
        <v>110</v>
      </c>
      <c r="AD458" s="1" t="s">
        <v>102</v>
      </c>
      <c r="AE458" s="1" t="s">
        <v>149</v>
      </c>
      <c r="AF458" s="1" t="s">
        <v>323</v>
      </c>
      <c r="AG458" s="1">
        <v>5.45</v>
      </c>
      <c r="AH458" s="1">
        <f>5.51-5.39</f>
        <v>0.12000000000000011</v>
      </c>
      <c r="AJ458" s="1">
        <v>5.3</v>
      </c>
      <c r="AK458" s="1">
        <f>5.55-5.1</f>
        <v>0.45000000000000018</v>
      </c>
      <c r="AM458" s="12">
        <f t="shared" ref="AM458" si="1375">AG458-AJ458</f>
        <v>0.15000000000000036</v>
      </c>
      <c r="AN458" s="1">
        <f t="shared" ref="AN458" si="1376">SQRT((((W458-1)*AH458^2)+((V458-1)*AK458^2))/(W458+V458-2))</f>
        <v>0.32931747600150235</v>
      </c>
      <c r="AO458" s="1">
        <f t="shared" ref="AO458" si="1377">AM458/AN458</f>
        <v>0.45548751867427789</v>
      </c>
      <c r="AP458" s="1">
        <f t="shared" ref="AP458" si="1378">1/W458+1/V458+(AO458^2)/(2*(W458+V458))</f>
        <v>0.13679114799446751</v>
      </c>
      <c r="AQ458" s="1">
        <f t="shared" ref="AQ458" si="1379">1-(3/(4*(W458+V458-2)-1))</f>
        <v>0.97297297297297303</v>
      </c>
      <c r="AR458" s="21">
        <f t="shared" ref="AR458" si="1380">AO458*AQ458</f>
        <v>0.44317704519659473</v>
      </c>
      <c r="AS458" s="21">
        <f t="shared" si="1371"/>
        <v>0.12949695237460182</v>
      </c>
      <c r="AT458" s="21">
        <f t="shared" ref="AT458" si="1381">SQRT(AP458*AQ458^2)</f>
        <v>0.35985684983698979</v>
      </c>
      <c r="AU458" s="20">
        <f t="shared" si="1372"/>
        <v>7.7221894543684222</v>
      </c>
      <c r="AV458" s="20">
        <f t="shared" si="1373"/>
        <v>3.4222971048353017</v>
      </c>
      <c r="AW458" s="20">
        <f t="shared" si="1374"/>
        <v>1.5166835187057697</v>
      </c>
      <c r="AX458" s="14"/>
      <c r="AY458" s="14"/>
      <c r="AZ458" s="1" t="s">
        <v>271</v>
      </c>
      <c r="BA458" s="2"/>
    </row>
    <row r="459" spans="1:53" ht="14.25" hidden="1" customHeight="1">
      <c r="A459" s="2">
        <v>327</v>
      </c>
      <c r="B459" s="2" t="s">
        <v>46</v>
      </c>
      <c r="C459" s="1" t="s">
        <v>85</v>
      </c>
      <c r="D459" s="1">
        <v>2022</v>
      </c>
      <c r="E459" s="1">
        <v>2020</v>
      </c>
      <c r="F459" s="1" t="s">
        <v>120</v>
      </c>
      <c r="G459" s="1" t="s">
        <v>109</v>
      </c>
      <c r="H459" s="1">
        <v>40.578930999999997</v>
      </c>
      <c r="I459" s="1">
        <v>-2.0713569999999999</v>
      </c>
      <c r="J459" s="1" t="s">
        <v>128</v>
      </c>
      <c r="K459" s="1" t="s">
        <v>177</v>
      </c>
      <c r="L459" s="1" t="s">
        <v>192</v>
      </c>
      <c r="M459" s="1" t="s">
        <v>237</v>
      </c>
      <c r="N459" s="1" t="s">
        <v>239</v>
      </c>
      <c r="O459" s="1" t="s">
        <v>121</v>
      </c>
      <c r="P459" s="1" t="s">
        <v>146</v>
      </c>
      <c r="Q459" s="1" t="s">
        <v>93</v>
      </c>
      <c r="R459" s="1">
        <v>2016</v>
      </c>
      <c r="S459" s="1">
        <v>4</v>
      </c>
      <c r="V459" s="1">
        <v>15</v>
      </c>
      <c r="W459" s="1">
        <v>15</v>
      </c>
      <c r="X459" s="1" t="s">
        <v>97</v>
      </c>
      <c r="Y459" s="1" t="s">
        <v>147</v>
      </c>
      <c r="Z459" s="1" t="s">
        <v>1</v>
      </c>
      <c r="AA459" s="1" t="s">
        <v>98</v>
      </c>
      <c r="AB459" s="1" t="s">
        <v>203</v>
      </c>
      <c r="AC459" s="1" t="s">
        <v>110</v>
      </c>
      <c r="AD459" s="1" t="s">
        <v>102</v>
      </c>
      <c r="AE459" s="1" t="s">
        <v>254</v>
      </c>
      <c r="AF459" s="1" t="s">
        <v>323</v>
      </c>
      <c r="AG459" s="1">
        <v>0.93200000000000005</v>
      </c>
      <c r="AH459" s="1">
        <f>0.939-0.927</f>
        <v>1.19999999999999E-2</v>
      </c>
      <c r="AJ459" s="1">
        <v>0.92500000000000004</v>
      </c>
      <c r="AK459" s="1">
        <f>0.933-0.92</f>
        <v>1.3000000000000012E-2</v>
      </c>
      <c r="AM459" s="12">
        <f t="shared" ref="AM459:AM461" si="1382">AG459-AJ459</f>
        <v>7.0000000000000062E-3</v>
      </c>
      <c r="AN459" s="1">
        <f t="shared" ref="AN459:AN461" si="1383">SQRT((((W459-1)*AH459^2)+((V459-1)*AK459^2))/(W459+V459-2))</f>
        <v>1.2509996003196761E-2</v>
      </c>
      <c r="AO459" s="1">
        <f t="shared" ref="AO459:AO461" si="1384">AM459/AN459</f>
        <v>0.55955253688420448</v>
      </c>
      <c r="AP459" s="1">
        <f t="shared" ref="AP459:AP461" si="1385">1/W459+1/V459+(AO459^2)/(2*(W459+V459))</f>
        <v>0.1385516506922258</v>
      </c>
      <c r="AQ459" s="1">
        <f t="shared" ref="AQ459:AQ461" si="1386">1-(3/(4*(W459+V459-2)-1))</f>
        <v>0.97297297297297303</v>
      </c>
      <c r="AR459" s="21">
        <f t="shared" ref="AR459:AR461" si="1387">AO459*AQ459</f>
        <v>0.54442949534679352</v>
      </c>
      <c r="AS459" s="21">
        <f t="shared" si="1371"/>
        <v>0.13116357874150814</v>
      </c>
      <c r="AT459" s="21">
        <f t="shared" ref="AT459:AT461" si="1388">SQRT(AP459*AQ459^2)</f>
        <v>0.36216512634640591</v>
      </c>
      <c r="AU459" s="20">
        <f t="shared" si="1372"/>
        <v>7.6240676687448383</v>
      </c>
      <c r="AV459" s="20">
        <f t="shared" si="1373"/>
        <v>4.1507673133845566</v>
      </c>
      <c r="AW459" s="20">
        <f t="shared" si="1374"/>
        <v>2.2598001537279204</v>
      </c>
      <c r="AX459" s="14"/>
      <c r="AY459" s="14"/>
      <c r="AZ459" s="1" t="s">
        <v>271</v>
      </c>
      <c r="BA459" s="2"/>
    </row>
    <row r="460" spans="1:53" ht="14.25" hidden="1" customHeight="1">
      <c r="A460" s="2">
        <v>327</v>
      </c>
      <c r="B460" s="2" t="s">
        <v>46</v>
      </c>
      <c r="C460" s="1" t="s">
        <v>85</v>
      </c>
      <c r="D460" s="1">
        <v>2022</v>
      </c>
      <c r="E460" s="1">
        <v>2020</v>
      </c>
      <c r="F460" s="1" t="s">
        <v>120</v>
      </c>
      <c r="G460" s="1" t="s">
        <v>109</v>
      </c>
      <c r="H460" s="1">
        <v>40.578930999999997</v>
      </c>
      <c r="I460" s="1">
        <v>-2.0713569999999999</v>
      </c>
      <c r="J460" s="1" t="s">
        <v>128</v>
      </c>
      <c r="K460" s="1" t="s">
        <v>177</v>
      </c>
      <c r="L460" s="1" t="s">
        <v>192</v>
      </c>
      <c r="M460" s="1" t="s">
        <v>237</v>
      </c>
      <c r="N460" s="1" t="s">
        <v>239</v>
      </c>
      <c r="O460" s="1" t="s">
        <v>121</v>
      </c>
      <c r="P460" s="1" t="s">
        <v>146</v>
      </c>
      <c r="Q460" s="1" t="s">
        <v>93</v>
      </c>
      <c r="R460" s="1">
        <v>2016</v>
      </c>
      <c r="S460" s="1">
        <v>4</v>
      </c>
      <c r="V460" s="1">
        <v>15</v>
      </c>
      <c r="W460" s="1">
        <v>15</v>
      </c>
      <c r="X460" s="1" t="s">
        <v>97</v>
      </c>
      <c r="Y460" s="1" t="s">
        <v>147</v>
      </c>
      <c r="Z460" s="1" t="s">
        <v>1</v>
      </c>
      <c r="AA460" s="1" t="s">
        <v>98</v>
      </c>
      <c r="AB460" s="1" t="s">
        <v>203</v>
      </c>
      <c r="AC460" s="1" t="s">
        <v>110</v>
      </c>
      <c r="AD460" s="1" t="s">
        <v>102</v>
      </c>
      <c r="AE460" s="1" t="s">
        <v>150</v>
      </c>
      <c r="AF460" s="1" t="s">
        <v>319</v>
      </c>
      <c r="AG460" s="1">
        <v>76.7</v>
      </c>
      <c r="AH460" s="1">
        <f>AI460*SQRT(W460)</f>
        <v>49.84529566568942</v>
      </c>
      <c r="AI460" s="1">
        <f>89.57-AG460</f>
        <v>12.86999999999999</v>
      </c>
      <c r="AJ460" s="1">
        <v>77.290000000000006</v>
      </c>
      <c r="AK460" s="1">
        <f>AL460*SQRT(V460)</f>
        <v>65.879446718988135</v>
      </c>
      <c r="AL460" s="1">
        <f>94.3-AJ460</f>
        <v>17.009999999999991</v>
      </c>
      <c r="AM460" s="12">
        <f t="shared" si="1382"/>
        <v>-0.59000000000000341</v>
      </c>
      <c r="AN460" s="1">
        <f t="shared" si="1383"/>
        <v>58.41513074538134</v>
      </c>
      <c r="AO460" s="1">
        <f t="shared" si="1384"/>
        <v>-1.0100122904315376E-2</v>
      </c>
      <c r="AP460" s="1">
        <f t="shared" si="1385"/>
        <v>0.13333503354137805</v>
      </c>
      <c r="AQ460" s="1">
        <f t="shared" si="1386"/>
        <v>0.97297297297297303</v>
      </c>
      <c r="AR460" s="21">
        <f t="shared" si="1387"/>
        <v>-9.8271466096041503E-3</v>
      </c>
      <c r="AS460" s="21">
        <f t="shared" si="1371"/>
        <v>0.12622513036495686</v>
      </c>
      <c r="AT460" s="21">
        <f t="shared" si="1388"/>
        <v>0.35528176193685607</v>
      </c>
      <c r="AU460" s="20">
        <f t="shared" si="1372"/>
        <v>7.9223526813454894</v>
      </c>
      <c r="AV460" s="20">
        <f t="shared" si="1373"/>
        <v>-7.7854121292572687E-2</v>
      </c>
      <c r="AW460" s="20">
        <f t="shared" si="1374"/>
        <v>7.6508386410401594E-4</v>
      </c>
      <c r="AX460" s="14"/>
      <c r="AY460" s="14"/>
      <c r="AZ460" s="1" t="s">
        <v>271</v>
      </c>
      <c r="BA460" s="2"/>
    </row>
    <row r="461" spans="1:53" ht="14.25" customHeight="1">
      <c r="A461" s="2">
        <v>327</v>
      </c>
      <c r="B461" s="2" t="s">
        <v>46</v>
      </c>
      <c r="C461" s="1" t="s">
        <v>85</v>
      </c>
      <c r="D461" s="1">
        <v>2022</v>
      </c>
      <c r="E461" s="1">
        <v>2020</v>
      </c>
      <c r="F461" s="1" t="s">
        <v>120</v>
      </c>
      <c r="G461" s="1" t="s">
        <v>109</v>
      </c>
      <c r="H461" s="1">
        <v>40.578930999999997</v>
      </c>
      <c r="I461" s="1">
        <v>-2.0713569999999999</v>
      </c>
      <c r="J461" s="1" t="s">
        <v>128</v>
      </c>
      <c r="K461" s="1" t="s">
        <v>177</v>
      </c>
      <c r="L461" s="1" t="s">
        <v>192</v>
      </c>
      <c r="M461" s="1" t="s">
        <v>237</v>
      </c>
      <c r="N461" s="1" t="s">
        <v>239</v>
      </c>
      <c r="O461" s="1" t="s">
        <v>121</v>
      </c>
      <c r="P461" s="1" t="s">
        <v>146</v>
      </c>
      <c r="Q461" s="1" t="s">
        <v>93</v>
      </c>
      <c r="R461" s="1">
        <v>2016</v>
      </c>
      <c r="S461" s="1">
        <v>4</v>
      </c>
      <c r="V461" s="1">
        <v>15</v>
      </c>
      <c r="W461" s="1">
        <v>15</v>
      </c>
      <c r="X461" s="1" t="s">
        <v>97</v>
      </c>
      <c r="Y461" s="1" t="s">
        <v>147</v>
      </c>
      <c r="Z461" s="1" t="s">
        <v>1</v>
      </c>
      <c r="AA461" s="1" t="s">
        <v>98</v>
      </c>
      <c r="AB461" s="1" t="s">
        <v>203</v>
      </c>
      <c r="AC461" s="1" t="s">
        <v>110</v>
      </c>
      <c r="AD461" s="1" t="s">
        <v>102</v>
      </c>
      <c r="AE461" s="1" t="s">
        <v>151</v>
      </c>
      <c r="AF461" s="1" t="s">
        <v>319</v>
      </c>
      <c r="AG461" s="1">
        <v>75.97</v>
      </c>
      <c r="AH461" s="1">
        <f>AI461*SQRT(W461)</f>
        <v>40.976163802874467</v>
      </c>
      <c r="AI461" s="1">
        <f>86.55-AG461</f>
        <v>10.579999999999998</v>
      </c>
      <c r="AJ461" s="1">
        <v>70.11</v>
      </c>
      <c r="AK461" s="1">
        <f>AL461*SQRT(V461)</f>
        <v>72.463518407540747</v>
      </c>
      <c r="AL461" s="1">
        <f>88.82-AJ461</f>
        <v>18.709999999999994</v>
      </c>
      <c r="AM461" s="12">
        <f t="shared" si="1382"/>
        <v>5.8599999999999994</v>
      </c>
      <c r="AN461" s="1">
        <f t="shared" si="1383"/>
        <v>58.864282463986584</v>
      </c>
      <c r="AO461" s="1">
        <f t="shared" si="1384"/>
        <v>9.9551030857892006E-2</v>
      </c>
      <c r="AP461" s="1">
        <f t="shared" si="1385"/>
        <v>0.13349850679574782</v>
      </c>
      <c r="AQ461" s="1">
        <f t="shared" si="1386"/>
        <v>0.97297297297297303</v>
      </c>
      <c r="AR461" s="21">
        <f t="shared" si="1387"/>
        <v>9.6860462456327359E-2</v>
      </c>
      <c r="AS461" s="21">
        <f t="shared" si="1371"/>
        <v>0.12637988663790298</v>
      </c>
      <c r="AT461" s="21">
        <f t="shared" si="1388"/>
        <v>0.35549948894183092</v>
      </c>
      <c r="AU461" s="20">
        <f t="shared" si="1372"/>
        <v>7.9126515033610341</v>
      </c>
      <c r="AV461" s="20">
        <f t="shared" si="1373"/>
        <v>0.76642308387130365</v>
      </c>
      <c r="AW461" s="20">
        <f t="shared" si="1374"/>
        <v>7.4236094340979039E-2</v>
      </c>
      <c r="AX461" s="14"/>
      <c r="AY461" s="14"/>
      <c r="AZ461" s="1" t="s">
        <v>271</v>
      </c>
      <c r="BA461" s="2"/>
    </row>
    <row r="462" spans="1:53" ht="14.25" hidden="1" customHeight="1">
      <c r="A462" s="2">
        <v>327</v>
      </c>
      <c r="B462" s="2" t="s">
        <v>46</v>
      </c>
      <c r="C462" s="1" t="s">
        <v>85</v>
      </c>
      <c r="D462" s="1">
        <v>2022</v>
      </c>
      <c r="E462" s="1">
        <v>2020</v>
      </c>
      <c r="F462" s="1" t="s">
        <v>120</v>
      </c>
      <c r="G462" s="1" t="s">
        <v>109</v>
      </c>
      <c r="H462" s="1">
        <v>40.578930999999997</v>
      </c>
      <c r="I462" s="1">
        <v>-2.0713569999999999</v>
      </c>
      <c r="J462" s="1" t="s">
        <v>128</v>
      </c>
      <c r="K462" s="1" t="s">
        <v>177</v>
      </c>
      <c r="L462" s="1" t="s">
        <v>192</v>
      </c>
      <c r="M462" s="1" t="s">
        <v>237</v>
      </c>
      <c r="N462" s="1" t="s">
        <v>239</v>
      </c>
      <c r="O462" s="1" t="s">
        <v>121</v>
      </c>
      <c r="P462" s="1" t="s">
        <v>146</v>
      </c>
      <c r="Q462" s="1" t="s">
        <v>93</v>
      </c>
      <c r="R462" s="1">
        <v>2016</v>
      </c>
      <c r="S462" s="1">
        <v>4</v>
      </c>
      <c r="V462" s="1">
        <v>15</v>
      </c>
      <c r="W462" s="1">
        <v>15</v>
      </c>
      <c r="X462" s="1" t="s">
        <v>97</v>
      </c>
      <c r="Y462" s="1" t="s">
        <v>147</v>
      </c>
      <c r="Z462" s="1" t="s">
        <v>1</v>
      </c>
      <c r="AA462" s="1" t="s">
        <v>98</v>
      </c>
      <c r="AB462" s="1" t="s">
        <v>203</v>
      </c>
      <c r="AC462" s="1" t="s">
        <v>110</v>
      </c>
      <c r="AD462" s="1" t="s">
        <v>102</v>
      </c>
      <c r="AE462" s="1" t="s">
        <v>257</v>
      </c>
      <c r="AF462" s="1" t="s">
        <v>334</v>
      </c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" t="s">
        <v>286</v>
      </c>
    </row>
    <row r="463" spans="1:53" ht="14.25" hidden="1" customHeight="1">
      <c r="A463" s="2">
        <v>254</v>
      </c>
      <c r="B463" s="2" t="s">
        <v>39</v>
      </c>
      <c r="C463" s="1" t="s">
        <v>85</v>
      </c>
      <c r="D463" s="1">
        <v>1994</v>
      </c>
      <c r="E463" s="1">
        <v>1992</v>
      </c>
      <c r="F463" s="1" t="s">
        <v>143</v>
      </c>
      <c r="G463" s="1" t="s">
        <v>109</v>
      </c>
      <c r="H463" s="1">
        <v>40.4</v>
      </c>
      <c r="I463" s="1">
        <v>-121.083333</v>
      </c>
      <c r="J463" s="16" t="s">
        <v>126</v>
      </c>
      <c r="K463" s="1" t="s">
        <v>213</v>
      </c>
      <c r="L463" s="1" t="s">
        <v>214</v>
      </c>
      <c r="M463" s="1" t="s">
        <v>237</v>
      </c>
      <c r="N463" s="12" t="s">
        <v>239</v>
      </c>
      <c r="O463" s="1" t="s">
        <v>121</v>
      </c>
      <c r="P463" s="1" t="s">
        <v>146</v>
      </c>
      <c r="Q463" s="1" t="s">
        <v>93</v>
      </c>
      <c r="R463" s="1">
        <v>1983</v>
      </c>
      <c r="S463" s="1">
        <v>9</v>
      </c>
      <c r="V463" s="1">
        <v>6</v>
      </c>
      <c r="W463" s="1">
        <v>12</v>
      </c>
      <c r="X463" s="1" t="s">
        <v>114</v>
      </c>
      <c r="Y463" s="1" t="s">
        <v>2</v>
      </c>
      <c r="Z463" s="1" t="s">
        <v>1</v>
      </c>
      <c r="AA463" s="1" t="s">
        <v>113</v>
      </c>
      <c r="AB463" s="1" t="s">
        <v>2</v>
      </c>
      <c r="AC463" s="1" t="s">
        <v>2</v>
      </c>
      <c r="AD463" s="1" t="s">
        <v>2</v>
      </c>
      <c r="AE463" s="1" t="s">
        <v>298</v>
      </c>
      <c r="AF463" s="1" t="s">
        <v>321</v>
      </c>
      <c r="AG463" s="1">
        <v>1.4</v>
      </c>
      <c r="AH463" s="1">
        <f>AI463*SQRT(W463)</f>
        <v>1.2124355652982139</v>
      </c>
      <c r="AI463" s="1">
        <f>0.35</f>
        <v>0.35</v>
      </c>
      <c r="AJ463" s="1">
        <v>1.76</v>
      </c>
      <c r="AK463" s="1">
        <f>AL463*SQRT(V463)</f>
        <v>1.1022703842524302</v>
      </c>
      <c r="AL463" s="1">
        <v>0.45</v>
      </c>
      <c r="AM463" s="12">
        <f t="shared" si="1370"/>
        <v>-0.3600000000000001</v>
      </c>
      <c r="AN463" s="1">
        <f t="shared" si="1272"/>
        <v>1.1791151343274326</v>
      </c>
      <c r="AO463" s="1">
        <f t="shared" si="1283"/>
        <v>-0.30531369627898475</v>
      </c>
      <c r="AP463" s="1">
        <f t="shared" si="1274"/>
        <v>0.25258934592043158</v>
      </c>
      <c r="AQ463" s="1">
        <f t="shared" si="1275"/>
        <v>0.95238095238095233</v>
      </c>
      <c r="AR463" s="21">
        <f t="shared" si="1284"/>
        <v>-0.29077494883712829</v>
      </c>
      <c r="AS463" s="21">
        <f>AP463*(AQ463^2)</f>
        <v>0.22910598269426899</v>
      </c>
      <c r="AT463" s="21">
        <f t="shared" si="1286"/>
        <v>0.47865016733964377</v>
      </c>
      <c r="AU463" s="20">
        <f>1/AS463</f>
        <v>4.3647921727755676</v>
      </c>
      <c r="AV463" s="20">
        <f>AR463/AS463</f>
        <v>-1.2691722207235139</v>
      </c>
      <c r="AW463" s="20">
        <f>((AR463)^2)/AS463</f>
        <v>0.36904348754638422</v>
      </c>
      <c r="AX463" s="14"/>
      <c r="AY463" s="14"/>
      <c r="AZ463" s="1" t="s">
        <v>271</v>
      </c>
      <c r="BA463" s="2"/>
    </row>
    <row r="464" spans="1:53" s="12" customFormat="1" ht="14.25" hidden="1" customHeight="1">
      <c r="A464" s="2">
        <v>448</v>
      </c>
      <c r="B464" s="2" t="s">
        <v>56</v>
      </c>
      <c r="C464" s="12" t="s">
        <v>85</v>
      </c>
      <c r="D464" s="12">
        <v>2019</v>
      </c>
      <c r="E464" s="12">
        <v>2015</v>
      </c>
      <c r="F464" s="12" t="s">
        <v>153</v>
      </c>
      <c r="G464" s="12" t="s">
        <v>117</v>
      </c>
      <c r="H464" s="12">
        <v>61.96461</v>
      </c>
      <c r="I464" s="12">
        <v>-116.850157</v>
      </c>
      <c r="J464" s="12" t="s">
        <v>128</v>
      </c>
      <c r="K464" s="12" t="s">
        <v>103</v>
      </c>
      <c r="L464" s="12" t="s">
        <v>188</v>
      </c>
      <c r="M464" s="12" t="s">
        <v>237</v>
      </c>
      <c r="N464" s="12" t="s">
        <v>239</v>
      </c>
      <c r="O464" s="12" t="s">
        <v>86</v>
      </c>
      <c r="P464" s="12" t="s">
        <v>129</v>
      </c>
      <c r="Q464" s="12" t="s">
        <v>93</v>
      </c>
      <c r="R464" s="12">
        <v>2014</v>
      </c>
      <c r="S464" s="12">
        <v>1</v>
      </c>
      <c r="U464" s="12" t="s">
        <v>279</v>
      </c>
      <c r="V464" s="12">
        <v>12</v>
      </c>
      <c r="W464" s="12">
        <v>50</v>
      </c>
      <c r="X464" s="12" t="s">
        <v>97</v>
      </c>
      <c r="Y464" s="12" t="s">
        <v>365</v>
      </c>
      <c r="Z464" s="12" t="s">
        <v>1</v>
      </c>
      <c r="AA464" s="12" t="s">
        <v>98</v>
      </c>
      <c r="AB464" s="12" t="s">
        <v>203</v>
      </c>
      <c r="AC464" s="12" t="s">
        <v>99</v>
      </c>
      <c r="AD464" s="12" t="s">
        <v>102</v>
      </c>
      <c r="AE464" s="12" t="s">
        <v>257</v>
      </c>
      <c r="AF464" s="12" t="s">
        <v>323</v>
      </c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2" t="s">
        <v>286</v>
      </c>
    </row>
    <row r="465" spans="1:53" ht="14.25" hidden="1" customHeight="1">
      <c r="A465" s="2">
        <v>403</v>
      </c>
      <c r="B465" s="2" t="s">
        <v>50</v>
      </c>
      <c r="C465" s="1" t="s">
        <v>85</v>
      </c>
      <c r="D465" s="1">
        <v>2020</v>
      </c>
      <c r="E465" s="1">
        <v>2017</v>
      </c>
      <c r="F465" s="1" t="s">
        <v>215</v>
      </c>
      <c r="G465" s="1" t="s">
        <v>162</v>
      </c>
      <c r="H465" s="1">
        <v>50.903193999999999</v>
      </c>
      <c r="I465" s="1">
        <v>121.194889</v>
      </c>
      <c r="J465" s="1" t="s">
        <v>128</v>
      </c>
      <c r="K465" s="1" t="s">
        <v>173</v>
      </c>
      <c r="L465" s="1" t="s">
        <v>174</v>
      </c>
      <c r="M465" s="1" t="s">
        <v>237</v>
      </c>
      <c r="N465" s="1" t="s">
        <v>239</v>
      </c>
      <c r="O465" s="1" t="s">
        <v>86</v>
      </c>
      <c r="P465" s="1" t="s">
        <v>2</v>
      </c>
      <c r="Q465" s="1" t="s">
        <v>93</v>
      </c>
      <c r="R465" s="1">
        <v>2016</v>
      </c>
      <c r="S465" s="1">
        <v>1</v>
      </c>
      <c r="U465" s="1" t="s">
        <v>2</v>
      </c>
      <c r="V465" s="1">
        <v>4</v>
      </c>
      <c r="W465" s="1">
        <v>4</v>
      </c>
      <c r="X465" s="1" t="s">
        <v>97</v>
      </c>
      <c r="Y465" s="1" t="s">
        <v>130</v>
      </c>
      <c r="Z465" s="1" t="s">
        <v>1</v>
      </c>
      <c r="AA465" s="1" t="s">
        <v>98</v>
      </c>
      <c r="AB465" s="1" t="s">
        <v>203</v>
      </c>
      <c r="AC465" s="1" t="s">
        <v>99</v>
      </c>
      <c r="AD465" s="1" t="s">
        <v>102</v>
      </c>
      <c r="AE465" s="1" t="s">
        <v>257</v>
      </c>
      <c r="AF465" s="1" t="s">
        <v>319</v>
      </c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" t="s">
        <v>286</v>
      </c>
    </row>
    <row r="466" spans="1:53" ht="14.25" hidden="1" customHeight="1">
      <c r="A466" s="2">
        <v>403</v>
      </c>
      <c r="B466" s="2" t="s">
        <v>50</v>
      </c>
      <c r="C466" s="1" t="s">
        <v>85</v>
      </c>
      <c r="D466" s="1">
        <v>2020</v>
      </c>
      <c r="E466" s="1">
        <v>2017</v>
      </c>
      <c r="F466" s="1" t="s">
        <v>215</v>
      </c>
      <c r="G466" s="1" t="s">
        <v>162</v>
      </c>
      <c r="H466" s="1">
        <v>50.903193999999999</v>
      </c>
      <c r="I466" s="1">
        <v>121.194889</v>
      </c>
      <c r="J466" s="1" t="s">
        <v>128</v>
      </c>
      <c r="K466" s="1" t="s">
        <v>173</v>
      </c>
      <c r="L466" s="1" t="s">
        <v>174</v>
      </c>
      <c r="M466" s="1" t="s">
        <v>237</v>
      </c>
      <c r="N466" s="1" t="s">
        <v>239</v>
      </c>
      <c r="O466" s="1" t="s">
        <v>86</v>
      </c>
      <c r="P466" s="1" t="s">
        <v>2</v>
      </c>
      <c r="Q466" s="1" t="s">
        <v>93</v>
      </c>
      <c r="R466" s="1">
        <v>2016</v>
      </c>
      <c r="S466" s="1">
        <v>1</v>
      </c>
      <c r="U466" s="1" t="s">
        <v>2</v>
      </c>
      <c r="V466" s="1">
        <v>4</v>
      </c>
      <c r="W466" s="1">
        <v>4</v>
      </c>
      <c r="X466" s="1" t="s">
        <v>97</v>
      </c>
      <c r="Y466" s="1" t="s">
        <v>233</v>
      </c>
      <c r="Z466" s="1" t="s">
        <v>1</v>
      </c>
      <c r="AA466" s="1" t="s">
        <v>98</v>
      </c>
      <c r="AB466" s="1" t="s">
        <v>203</v>
      </c>
      <c r="AC466" s="1" t="s">
        <v>99</v>
      </c>
      <c r="AD466" s="1" t="s">
        <v>102</v>
      </c>
      <c r="AE466" s="1" t="s">
        <v>257</v>
      </c>
      <c r="AF466" s="1" t="s">
        <v>319</v>
      </c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" t="s">
        <v>286</v>
      </c>
    </row>
    <row r="467" spans="1:53" ht="14.25" hidden="1" customHeight="1">
      <c r="A467" s="2">
        <v>403</v>
      </c>
      <c r="B467" s="2" t="s">
        <v>50</v>
      </c>
      <c r="C467" s="1" t="s">
        <v>85</v>
      </c>
      <c r="D467" s="1">
        <v>2020</v>
      </c>
      <c r="E467" s="1">
        <v>2017</v>
      </c>
      <c r="F467" s="1" t="s">
        <v>215</v>
      </c>
      <c r="G467" s="1" t="s">
        <v>162</v>
      </c>
      <c r="H467" s="1">
        <v>50.903193999999999</v>
      </c>
      <c r="I467" s="1">
        <v>121.194889</v>
      </c>
      <c r="J467" s="1" t="s">
        <v>128</v>
      </c>
      <c r="K467" s="1" t="s">
        <v>173</v>
      </c>
      <c r="L467" s="1" t="s">
        <v>174</v>
      </c>
      <c r="M467" s="1" t="s">
        <v>237</v>
      </c>
      <c r="N467" s="1" t="s">
        <v>239</v>
      </c>
      <c r="O467" s="1" t="s">
        <v>86</v>
      </c>
      <c r="P467" s="1" t="s">
        <v>2</v>
      </c>
      <c r="Q467" s="1" t="s">
        <v>93</v>
      </c>
      <c r="R467" s="1">
        <v>2016</v>
      </c>
      <c r="S467" s="1">
        <v>1</v>
      </c>
      <c r="U467" s="1" t="s">
        <v>2</v>
      </c>
      <c r="V467" s="1">
        <v>4</v>
      </c>
      <c r="W467" s="1">
        <v>4</v>
      </c>
      <c r="X467" s="1" t="s">
        <v>97</v>
      </c>
      <c r="Y467" s="1" t="s">
        <v>221</v>
      </c>
      <c r="Z467" s="1" t="s">
        <v>1</v>
      </c>
      <c r="AA467" s="1" t="s">
        <v>98</v>
      </c>
      <c r="AB467" s="1" t="s">
        <v>203</v>
      </c>
      <c r="AC467" s="1" t="s">
        <v>99</v>
      </c>
      <c r="AD467" s="1" t="s">
        <v>102</v>
      </c>
      <c r="AE467" s="1" t="s">
        <v>257</v>
      </c>
      <c r="AF467" s="1" t="s">
        <v>319</v>
      </c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" t="s">
        <v>286</v>
      </c>
    </row>
    <row r="468" spans="1:53" ht="14.25" hidden="1" customHeight="1">
      <c r="A468" s="2">
        <v>403</v>
      </c>
      <c r="B468" s="2" t="s">
        <v>50</v>
      </c>
      <c r="C468" s="1" t="s">
        <v>85</v>
      </c>
      <c r="D468" s="1">
        <v>2020</v>
      </c>
      <c r="E468" s="1">
        <v>2017</v>
      </c>
      <c r="F468" s="1" t="s">
        <v>215</v>
      </c>
      <c r="G468" s="1" t="s">
        <v>162</v>
      </c>
      <c r="H468" s="1">
        <v>50.903193999999999</v>
      </c>
      <c r="I468" s="1">
        <v>121.194889</v>
      </c>
      <c r="J468" s="1" t="s">
        <v>128</v>
      </c>
      <c r="K468" s="1" t="s">
        <v>173</v>
      </c>
      <c r="L468" s="1" t="s">
        <v>174</v>
      </c>
      <c r="M468" s="1" t="s">
        <v>237</v>
      </c>
      <c r="N468" s="1" t="s">
        <v>239</v>
      </c>
      <c r="O468" s="1" t="s">
        <v>86</v>
      </c>
      <c r="P468" s="1" t="s">
        <v>2</v>
      </c>
      <c r="Q468" s="1" t="s">
        <v>93</v>
      </c>
      <c r="R468" s="1">
        <v>2015</v>
      </c>
      <c r="S468" s="1">
        <v>2</v>
      </c>
      <c r="U468" s="1" t="s">
        <v>2</v>
      </c>
      <c r="V468" s="1">
        <v>4</v>
      </c>
      <c r="W468" s="1">
        <v>4</v>
      </c>
      <c r="X468" s="1" t="s">
        <v>97</v>
      </c>
      <c r="Y468" s="1" t="s">
        <v>130</v>
      </c>
      <c r="Z468" s="1" t="s">
        <v>1</v>
      </c>
      <c r="AA468" s="1" t="s">
        <v>98</v>
      </c>
      <c r="AB468" s="1" t="s">
        <v>203</v>
      </c>
      <c r="AC468" s="1" t="s">
        <v>99</v>
      </c>
      <c r="AD468" s="1" t="s">
        <v>102</v>
      </c>
      <c r="AE468" s="1" t="s">
        <v>257</v>
      </c>
      <c r="AF468" s="1" t="s">
        <v>319</v>
      </c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" t="s">
        <v>286</v>
      </c>
    </row>
    <row r="469" spans="1:53" ht="14.25" hidden="1" customHeight="1">
      <c r="A469" s="2">
        <v>403</v>
      </c>
      <c r="B469" s="2" t="s">
        <v>50</v>
      </c>
      <c r="C469" s="1" t="s">
        <v>85</v>
      </c>
      <c r="D469" s="1">
        <v>2020</v>
      </c>
      <c r="E469" s="1">
        <v>2017</v>
      </c>
      <c r="F469" s="1" t="s">
        <v>215</v>
      </c>
      <c r="G469" s="1" t="s">
        <v>162</v>
      </c>
      <c r="H469" s="1">
        <v>50.903193999999999</v>
      </c>
      <c r="I469" s="1">
        <v>121.194889</v>
      </c>
      <c r="J469" s="1" t="s">
        <v>128</v>
      </c>
      <c r="K469" s="1" t="s">
        <v>173</v>
      </c>
      <c r="L469" s="1" t="s">
        <v>174</v>
      </c>
      <c r="M469" s="1" t="s">
        <v>237</v>
      </c>
      <c r="N469" s="1" t="s">
        <v>239</v>
      </c>
      <c r="O469" s="1" t="s">
        <v>86</v>
      </c>
      <c r="P469" s="1" t="s">
        <v>2</v>
      </c>
      <c r="Q469" s="1" t="s">
        <v>93</v>
      </c>
      <c r="R469" s="1">
        <v>2015</v>
      </c>
      <c r="S469" s="1">
        <v>2</v>
      </c>
      <c r="U469" s="1" t="s">
        <v>2</v>
      </c>
      <c r="V469" s="1">
        <v>4</v>
      </c>
      <c r="W469" s="1">
        <v>4</v>
      </c>
      <c r="X469" s="1" t="s">
        <v>97</v>
      </c>
      <c r="Y469" s="1" t="s">
        <v>233</v>
      </c>
      <c r="Z469" s="1" t="s">
        <v>1</v>
      </c>
      <c r="AA469" s="1" t="s">
        <v>98</v>
      </c>
      <c r="AB469" s="1" t="s">
        <v>203</v>
      </c>
      <c r="AC469" s="1" t="s">
        <v>99</v>
      </c>
      <c r="AD469" s="1" t="s">
        <v>102</v>
      </c>
      <c r="AE469" s="1" t="s">
        <v>257</v>
      </c>
      <c r="AF469" s="1" t="s">
        <v>319</v>
      </c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" t="s">
        <v>286</v>
      </c>
    </row>
    <row r="470" spans="1:53" ht="14.25" hidden="1" customHeight="1">
      <c r="A470" s="2">
        <v>403</v>
      </c>
      <c r="B470" s="2" t="s">
        <v>50</v>
      </c>
      <c r="C470" s="1" t="s">
        <v>85</v>
      </c>
      <c r="D470" s="1">
        <v>2020</v>
      </c>
      <c r="E470" s="1">
        <v>2017</v>
      </c>
      <c r="F470" s="1" t="s">
        <v>215</v>
      </c>
      <c r="G470" s="1" t="s">
        <v>162</v>
      </c>
      <c r="H470" s="1">
        <v>50.903193999999999</v>
      </c>
      <c r="I470" s="1">
        <v>121.194889</v>
      </c>
      <c r="J470" s="1" t="s">
        <v>128</v>
      </c>
      <c r="K470" s="1" t="s">
        <v>173</v>
      </c>
      <c r="L470" s="1" t="s">
        <v>174</v>
      </c>
      <c r="M470" s="1" t="s">
        <v>237</v>
      </c>
      <c r="N470" s="1" t="s">
        <v>239</v>
      </c>
      <c r="O470" s="1" t="s">
        <v>86</v>
      </c>
      <c r="P470" s="1" t="s">
        <v>2</v>
      </c>
      <c r="Q470" s="1" t="s">
        <v>93</v>
      </c>
      <c r="R470" s="1">
        <v>2015</v>
      </c>
      <c r="S470" s="1">
        <v>2</v>
      </c>
      <c r="U470" s="1" t="s">
        <v>2</v>
      </c>
      <c r="V470" s="1">
        <v>4</v>
      </c>
      <c r="W470" s="1">
        <v>4</v>
      </c>
      <c r="X470" s="1" t="s">
        <v>97</v>
      </c>
      <c r="Y470" s="1" t="s">
        <v>221</v>
      </c>
      <c r="Z470" s="1" t="s">
        <v>1</v>
      </c>
      <c r="AA470" s="1" t="s">
        <v>98</v>
      </c>
      <c r="AB470" s="1" t="s">
        <v>203</v>
      </c>
      <c r="AC470" s="1" t="s">
        <v>99</v>
      </c>
      <c r="AD470" s="1" t="s">
        <v>102</v>
      </c>
      <c r="AE470" s="1" t="s">
        <v>257</v>
      </c>
      <c r="AF470" s="1" t="s">
        <v>319</v>
      </c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" t="s">
        <v>286</v>
      </c>
    </row>
    <row r="471" spans="1:53" ht="14.25" hidden="1" customHeight="1">
      <c r="A471" s="2">
        <v>403</v>
      </c>
      <c r="B471" s="2" t="s">
        <v>50</v>
      </c>
      <c r="C471" s="1" t="s">
        <v>85</v>
      </c>
      <c r="D471" s="1">
        <v>2020</v>
      </c>
      <c r="E471" s="1">
        <v>2017</v>
      </c>
      <c r="F471" s="1" t="s">
        <v>215</v>
      </c>
      <c r="G471" s="1" t="s">
        <v>162</v>
      </c>
      <c r="H471" s="1">
        <v>50.903193999999999</v>
      </c>
      <c r="I471" s="1">
        <v>121.194889</v>
      </c>
      <c r="J471" s="1" t="s">
        <v>128</v>
      </c>
      <c r="K471" s="1" t="s">
        <v>173</v>
      </c>
      <c r="L471" s="1" t="s">
        <v>174</v>
      </c>
      <c r="M471" s="1" t="s">
        <v>237</v>
      </c>
      <c r="N471" s="1" t="s">
        <v>239</v>
      </c>
      <c r="O471" s="1" t="s">
        <v>86</v>
      </c>
      <c r="P471" s="1" t="s">
        <v>2</v>
      </c>
      <c r="Q471" s="1" t="s">
        <v>93</v>
      </c>
      <c r="R471" s="1">
        <v>2009</v>
      </c>
      <c r="S471" s="1">
        <v>8</v>
      </c>
      <c r="U471" s="1" t="s">
        <v>2</v>
      </c>
      <c r="V471" s="1">
        <v>4</v>
      </c>
      <c r="W471" s="1">
        <v>4</v>
      </c>
      <c r="X471" s="1" t="s">
        <v>97</v>
      </c>
      <c r="Y471" s="1" t="s">
        <v>130</v>
      </c>
      <c r="Z471" s="1" t="s">
        <v>1</v>
      </c>
      <c r="AA471" s="1" t="s">
        <v>98</v>
      </c>
      <c r="AB471" s="1" t="s">
        <v>203</v>
      </c>
      <c r="AC471" s="1" t="s">
        <v>99</v>
      </c>
      <c r="AD471" s="1" t="s">
        <v>102</v>
      </c>
      <c r="AE471" s="1" t="s">
        <v>257</v>
      </c>
      <c r="AF471" s="1" t="s">
        <v>319</v>
      </c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" t="s">
        <v>286</v>
      </c>
    </row>
    <row r="472" spans="1:53" ht="14.25" hidden="1" customHeight="1">
      <c r="A472" s="2">
        <v>403</v>
      </c>
      <c r="B472" s="2" t="s">
        <v>50</v>
      </c>
      <c r="C472" s="1" t="s">
        <v>85</v>
      </c>
      <c r="D472" s="1">
        <v>2020</v>
      </c>
      <c r="E472" s="1">
        <v>2017</v>
      </c>
      <c r="F472" s="1" t="s">
        <v>215</v>
      </c>
      <c r="G472" s="1" t="s">
        <v>162</v>
      </c>
      <c r="H472" s="1">
        <v>50.903193999999999</v>
      </c>
      <c r="I472" s="1">
        <v>121.194889</v>
      </c>
      <c r="J472" s="1" t="s">
        <v>128</v>
      </c>
      <c r="K472" s="1" t="s">
        <v>173</v>
      </c>
      <c r="L472" s="1" t="s">
        <v>174</v>
      </c>
      <c r="M472" s="1" t="s">
        <v>237</v>
      </c>
      <c r="N472" s="1" t="s">
        <v>239</v>
      </c>
      <c r="O472" s="1" t="s">
        <v>86</v>
      </c>
      <c r="P472" s="1" t="s">
        <v>2</v>
      </c>
      <c r="Q472" s="1" t="s">
        <v>93</v>
      </c>
      <c r="R472" s="1">
        <v>2009</v>
      </c>
      <c r="S472" s="1">
        <v>8</v>
      </c>
      <c r="U472" s="1" t="s">
        <v>2</v>
      </c>
      <c r="V472" s="1">
        <v>4</v>
      </c>
      <c r="W472" s="1">
        <v>4</v>
      </c>
      <c r="X472" s="1" t="s">
        <v>97</v>
      </c>
      <c r="Y472" s="1" t="s">
        <v>233</v>
      </c>
      <c r="Z472" s="1" t="s">
        <v>1</v>
      </c>
      <c r="AA472" s="1" t="s">
        <v>98</v>
      </c>
      <c r="AB472" s="1" t="s">
        <v>203</v>
      </c>
      <c r="AC472" s="1" t="s">
        <v>99</v>
      </c>
      <c r="AD472" s="1" t="s">
        <v>102</v>
      </c>
      <c r="AE472" s="1" t="s">
        <v>257</v>
      </c>
      <c r="AF472" s="1" t="s">
        <v>319</v>
      </c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" t="s">
        <v>286</v>
      </c>
    </row>
    <row r="473" spans="1:53" ht="14.25" hidden="1" customHeight="1">
      <c r="A473" s="2">
        <v>403</v>
      </c>
      <c r="B473" s="2" t="s">
        <v>50</v>
      </c>
      <c r="C473" s="1" t="s">
        <v>85</v>
      </c>
      <c r="D473" s="1">
        <v>2020</v>
      </c>
      <c r="E473" s="1">
        <v>2017</v>
      </c>
      <c r="F473" s="1" t="s">
        <v>215</v>
      </c>
      <c r="G473" s="1" t="s">
        <v>162</v>
      </c>
      <c r="H473" s="1">
        <v>50.903193999999999</v>
      </c>
      <c r="I473" s="1">
        <v>121.194889</v>
      </c>
      <c r="J473" s="1" t="s">
        <v>128</v>
      </c>
      <c r="K473" s="1" t="s">
        <v>173</v>
      </c>
      <c r="L473" s="1" t="s">
        <v>174</v>
      </c>
      <c r="M473" s="1" t="s">
        <v>237</v>
      </c>
      <c r="N473" s="1" t="s">
        <v>239</v>
      </c>
      <c r="O473" s="1" t="s">
        <v>86</v>
      </c>
      <c r="P473" s="1" t="s">
        <v>2</v>
      </c>
      <c r="Q473" s="1" t="s">
        <v>93</v>
      </c>
      <c r="R473" s="1">
        <v>2009</v>
      </c>
      <c r="S473" s="1">
        <v>8</v>
      </c>
      <c r="U473" s="1" t="s">
        <v>2</v>
      </c>
      <c r="V473" s="1">
        <v>4</v>
      </c>
      <c r="W473" s="1">
        <v>4</v>
      </c>
      <c r="X473" s="1" t="s">
        <v>97</v>
      </c>
      <c r="Y473" s="1" t="s">
        <v>221</v>
      </c>
      <c r="Z473" s="1" t="s">
        <v>1</v>
      </c>
      <c r="AA473" s="1" t="s">
        <v>98</v>
      </c>
      <c r="AB473" s="1" t="s">
        <v>203</v>
      </c>
      <c r="AC473" s="1" t="s">
        <v>99</v>
      </c>
      <c r="AD473" s="1" t="s">
        <v>102</v>
      </c>
      <c r="AE473" s="1" t="s">
        <v>257</v>
      </c>
      <c r="AF473" s="1" t="s">
        <v>319</v>
      </c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" t="s">
        <v>286</v>
      </c>
    </row>
    <row r="474" spans="1:53" ht="14.25" hidden="1" customHeight="1">
      <c r="A474" s="2">
        <v>403</v>
      </c>
      <c r="B474" s="2" t="s">
        <v>50</v>
      </c>
      <c r="C474" s="1" t="s">
        <v>85</v>
      </c>
      <c r="D474" s="1">
        <v>2020</v>
      </c>
      <c r="E474" s="1">
        <v>2017</v>
      </c>
      <c r="F474" s="1" t="s">
        <v>215</v>
      </c>
      <c r="G474" s="1" t="s">
        <v>162</v>
      </c>
      <c r="H474" s="1">
        <v>50.903193999999999</v>
      </c>
      <c r="I474" s="1">
        <v>121.194889</v>
      </c>
      <c r="J474" s="1" t="s">
        <v>128</v>
      </c>
      <c r="K474" s="1" t="s">
        <v>173</v>
      </c>
      <c r="L474" s="1" t="s">
        <v>174</v>
      </c>
      <c r="M474" s="1" t="s">
        <v>237</v>
      </c>
      <c r="N474" s="1" t="s">
        <v>239</v>
      </c>
      <c r="O474" s="1" t="s">
        <v>86</v>
      </c>
      <c r="P474" s="1" t="s">
        <v>2</v>
      </c>
      <c r="Q474" s="1" t="s">
        <v>93</v>
      </c>
      <c r="R474" s="1">
        <v>2003</v>
      </c>
      <c r="S474" s="1">
        <v>14</v>
      </c>
      <c r="U474" s="1" t="s">
        <v>2</v>
      </c>
      <c r="V474" s="1">
        <v>4</v>
      </c>
      <c r="W474" s="1">
        <v>4</v>
      </c>
      <c r="X474" s="1" t="s">
        <v>97</v>
      </c>
      <c r="Y474" s="1" t="s">
        <v>130</v>
      </c>
      <c r="Z474" s="1" t="s">
        <v>1</v>
      </c>
      <c r="AA474" s="1" t="s">
        <v>98</v>
      </c>
      <c r="AB474" s="1" t="s">
        <v>203</v>
      </c>
      <c r="AC474" s="1" t="s">
        <v>99</v>
      </c>
      <c r="AD474" s="1" t="s">
        <v>102</v>
      </c>
      <c r="AE474" s="1" t="s">
        <v>257</v>
      </c>
      <c r="AF474" s="1" t="s">
        <v>319</v>
      </c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" t="s">
        <v>286</v>
      </c>
    </row>
    <row r="475" spans="1:53" ht="14.25" hidden="1" customHeight="1">
      <c r="A475" s="2">
        <v>403</v>
      </c>
      <c r="B475" s="2" t="s">
        <v>50</v>
      </c>
      <c r="C475" s="1" t="s">
        <v>85</v>
      </c>
      <c r="D475" s="1">
        <v>2020</v>
      </c>
      <c r="E475" s="1">
        <v>2017</v>
      </c>
      <c r="F475" s="1" t="s">
        <v>215</v>
      </c>
      <c r="G475" s="1" t="s">
        <v>162</v>
      </c>
      <c r="H475" s="1">
        <v>50.903193999999999</v>
      </c>
      <c r="I475" s="1">
        <v>121.194889</v>
      </c>
      <c r="J475" s="1" t="s">
        <v>128</v>
      </c>
      <c r="K475" s="1" t="s">
        <v>173</v>
      </c>
      <c r="L475" s="1" t="s">
        <v>174</v>
      </c>
      <c r="M475" s="1" t="s">
        <v>237</v>
      </c>
      <c r="N475" s="1" t="s">
        <v>239</v>
      </c>
      <c r="O475" s="1" t="s">
        <v>86</v>
      </c>
      <c r="P475" s="1" t="s">
        <v>2</v>
      </c>
      <c r="Q475" s="1" t="s">
        <v>93</v>
      </c>
      <c r="R475" s="1">
        <v>2003</v>
      </c>
      <c r="S475" s="1">
        <v>14</v>
      </c>
      <c r="U475" s="1" t="s">
        <v>2</v>
      </c>
      <c r="V475" s="1">
        <v>4</v>
      </c>
      <c r="W475" s="1">
        <v>4</v>
      </c>
      <c r="X475" s="1" t="s">
        <v>97</v>
      </c>
      <c r="Y475" s="1" t="s">
        <v>233</v>
      </c>
      <c r="Z475" s="1" t="s">
        <v>1</v>
      </c>
      <c r="AA475" s="1" t="s">
        <v>98</v>
      </c>
      <c r="AB475" s="1" t="s">
        <v>203</v>
      </c>
      <c r="AC475" s="1" t="s">
        <v>99</v>
      </c>
      <c r="AD475" s="1" t="s">
        <v>102</v>
      </c>
      <c r="AE475" s="1" t="s">
        <v>257</v>
      </c>
      <c r="AF475" s="1" t="s">
        <v>319</v>
      </c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" t="s">
        <v>286</v>
      </c>
    </row>
    <row r="476" spans="1:53" ht="14.25" hidden="1" customHeight="1">
      <c r="A476" s="2">
        <v>403</v>
      </c>
      <c r="B476" s="2" t="s">
        <v>50</v>
      </c>
      <c r="C476" s="1" t="s">
        <v>85</v>
      </c>
      <c r="D476" s="1">
        <v>2020</v>
      </c>
      <c r="E476" s="1">
        <v>2017</v>
      </c>
      <c r="F476" s="1" t="s">
        <v>215</v>
      </c>
      <c r="G476" s="1" t="s">
        <v>162</v>
      </c>
      <c r="H476" s="1">
        <v>50.903193999999999</v>
      </c>
      <c r="I476" s="1">
        <v>121.194889</v>
      </c>
      <c r="J476" s="1" t="s">
        <v>128</v>
      </c>
      <c r="K476" s="1" t="s">
        <v>173</v>
      </c>
      <c r="L476" s="1" t="s">
        <v>174</v>
      </c>
      <c r="M476" s="1" t="s">
        <v>237</v>
      </c>
      <c r="N476" s="1" t="s">
        <v>239</v>
      </c>
      <c r="O476" s="1" t="s">
        <v>86</v>
      </c>
      <c r="P476" s="1" t="s">
        <v>2</v>
      </c>
      <c r="Q476" s="1" t="s">
        <v>93</v>
      </c>
      <c r="R476" s="1">
        <v>2003</v>
      </c>
      <c r="S476" s="1">
        <v>14</v>
      </c>
      <c r="U476" s="1" t="s">
        <v>2</v>
      </c>
      <c r="V476" s="1">
        <v>4</v>
      </c>
      <c r="W476" s="1">
        <v>4</v>
      </c>
      <c r="X476" s="1" t="s">
        <v>97</v>
      </c>
      <c r="Y476" s="1" t="s">
        <v>221</v>
      </c>
      <c r="Z476" s="1" t="s">
        <v>1</v>
      </c>
      <c r="AA476" s="1" t="s">
        <v>98</v>
      </c>
      <c r="AB476" s="1" t="s">
        <v>203</v>
      </c>
      <c r="AC476" s="1" t="s">
        <v>99</v>
      </c>
      <c r="AD476" s="1" t="s">
        <v>102</v>
      </c>
      <c r="AE476" s="1" t="s">
        <v>257</v>
      </c>
      <c r="AF476" s="1" t="s">
        <v>319</v>
      </c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" t="s">
        <v>286</v>
      </c>
    </row>
    <row r="477" spans="1:53" ht="14.25" hidden="1" customHeight="1">
      <c r="A477" s="2">
        <v>452</v>
      </c>
      <c r="B477" s="2" t="s">
        <v>58</v>
      </c>
      <c r="C477" s="1" t="s">
        <v>85</v>
      </c>
      <c r="D477" s="1">
        <v>2023</v>
      </c>
      <c r="E477" s="1">
        <v>2015</v>
      </c>
      <c r="F477" s="1" t="s">
        <v>153</v>
      </c>
      <c r="G477" s="1" t="s">
        <v>117</v>
      </c>
      <c r="H477" s="1">
        <v>66.900244999999998</v>
      </c>
      <c r="I477" s="1">
        <v>-136.24644499999999</v>
      </c>
      <c r="J477" s="1" t="s">
        <v>128</v>
      </c>
      <c r="K477" s="1" t="s">
        <v>103</v>
      </c>
      <c r="L477" s="1" t="s">
        <v>261</v>
      </c>
      <c r="M477" s="1" t="s">
        <v>237</v>
      </c>
      <c r="N477" s="1" t="s">
        <v>239</v>
      </c>
      <c r="O477" s="1" t="s">
        <v>86</v>
      </c>
      <c r="P477" s="1" t="s">
        <v>2</v>
      </c>
      <c r="Q477" s="1" t="s">
        <v>93</v>
      </c>
      <c r="R477" s="1">
        <v>2012</v>
      </c>
      <c r="S477" s="1">
        <v>3</v>
      </c>
      <c r="U477" s="1" t="s">
        <v>2</v>
      </c>
      <c r="V477" s="1">
        <v>9</v>
      </c>
      <c r="W477" s="1">
        <v>9</v>
      </c>
      <c r="X477" s="1" t="s">
        <v>97</v>
      </c>
      <c r="Y477" s="1" t="s">
        <v>130</v>
      </c>
      <c r="Z477" s="1" t="s">
        <v>1</v>
      </c>
      <c r="AA477" s="1" t="s">
        <v>98</v>
      </c>
      <c r="AB477" s="1" t="s">
        <v>203</v>
      </c>
      <c r="AC477" s="1" t="s">
        <v>99</v>
      </c>
      <c r="AD477" s="1" t="s">
        <v>102</v>
      </c>
      <c r="AE477" s="1" t="s">
        <v>262</v>
      </c>
      <c r="AF477" s="1" t="s">
        <v>362</v>
      </c>
      <c r="AG477" s="1">
        <v>294.87</v>
      </c>
      <c r="AH477" s="1">
        <v>13.03</v>
      </c>
      <c r="AJ477" s="1">
        <v>432.9</v>
      </c>
      <c r="AK477" s="1">
        <v>46.63</v>
      </c>
      <c r="AM477" s="12">
        <f t="shared" si="1370"/>
        <v>-138.02999999999997</v>
      </c>
      <c r="AN477" s="1">
        <f t="shared" si="1272"/>
        <v>34.235491817702872</v>
      </c>
      <c r="AO477" s="1">
        <f>AM477/AN477</f>
        <v>-4.0317808412095273</v>
      </c>
      <c r="AP477" s="1">
        <f t="shared" si="1274"/>
        <v>0.673757131987339</v>
      </c>
      <c r="AQ477" s="1">
        <f t="shared" si="1275"/>
        <v>0.95238095238095233</v>
      </c>
      <c r="AR477" s="21">
        <f>AO477*AQ477</f>
        <v>-3.8397912773424068</v>
      </c>
      <c r="AS477" s="21">
        <f t="shared" ref="AS477:AS479" si="1389">AP477*(AQ477^2)</f>
        <v>0.61111758003386751</v>
      </c>
      <c r="AT477" s="21">
        <f>SQRT(AP477*AQ477^2)</f>
        <v>0.78174009749651929</v>
      </c>
      <c r="AU477" s="20">
        <f t="shared" ref="AU477:AU479" si="1390">1/AS477</f>
        <v>1.6363463148034147</v>
      </c>
      <c r="AV477" s="20">
        <f t="shared" ref="AV477:AV479" si="1391">AR477/AS477</f>
        <v>-6.2832283062935446</v>
      </c>
      <c r="AW477" s="20">
        <f t="shared" ref="AW477:AW479" si="1392">((AR477)^2)/AS477</f>
        <v>24.126285244056856</v>
      </c>
      <c r="AX477" s="14"/>
      <c r="AY477" s="14"/>
      <c r="AZ477" s="1" t="s">
        <v>271</v>
      </c>
      <c r="BA477" s="2"/>
    </row>
    <row r="478" spans="1:53" ht="14.25" hidden="1" customHeight="1">
      <c r="A478" s="2">
        <v>452</v>
      </c>
      <c r="B478" s="2" t="s">
        <v>58</v>
      </c>
      <c r="C478" s="1" t="s">
        <v>85</v>
      </c>
      <c r="D478" s="1">
        <v>2023</v>
      </c>
      <c r="E478" s="1">
        <v>2015</v>
      </c>
      <c r="F478" s="1" t="s">
        <v>153</v>
      </c>
      <c r="G478" s="1" t="s">
        <v>117</v>
      </c>
      <c r="H478" s="1">
        <v>66.900244999999998</v>
      </c>
      <c r="I478" s="1">
        <v>-136.24644499999999</v>
      </c>
      <c r="J478" s="1" t="s">
        <v>128</v>
      </c>
      <c r="K478" s="1" t="s">
        <v>103</v>
      </c>
      <c r="L478" s="1" t="s">
        <v>261</v>
      </c>
      <c r="M478" s="1" t="s">
        <v>237</v>
      </c>
      <c r="N478" s="1" t="s">
        <v>239</v>
      </c>
      <c r="O478" s="1" t="s">
        <v>86</v>
      </c>
      <c r="P478" s="1" t="s">
        <v>2</v>
      </c>
      <c r="Q478" s="1" t="s">
        <v>93</v>
      </c>
      <c r="R478" s="1">
        <v>2012</v>
      </c>
      <c r="S478" s="1">
        <v>3</v>
      </c>
      <c r="U478" s="1" t="s">
        <v>2</v>
      </c>
      <c r="V478" s="1">
        <v>9</v>
      </c>
      <c r="W478" s="1">
        <v>9</v>
      </c>
      <c r="X478" s="1" t="s">
        <v>97</v>
      </c>
      <c r="Y478" s="1" t="s">
        <v>130</v>
      </c>
      <c r="Z478" s="1" t="s">
        <v>1</v>
      </c>
      <c r="AA478" s="1" t="s">
        <v>98</v>
      </c>
      <c r="AB478" s="1" t="s">
        <v>203</v>
      </c>
      <c r="AC478" s="1" t="s">
        <v>99</v>
      </c>
      <c r="AD478" s="1" t="s">
        <v>102</v>
      </c>
      <c r="AE478" s="1" t="s">
        <v>149</v>
      </c>
      <c r="AF478" s="1" t="s">
        <v>362</v>
      </c>
      <c r="AG478" s="1">
        <v>3.28</v>
      </c>
      <c r="AH478" s="1">
        <v>0.16</v>
      </c>
      <c r="AJ478" s="1">
        <v>3.21</v>
      </c>
      <c r="AK478" s="1">
        <v>0.22</v>
      </c>
      <c r="AM478" s="12">
        <f t="shared" si="1370"/>
        <v>6.999999999999984E-2</v>
      </c>
      <c r="AN478" s="1">
        <f t="shared" si="1272"/>
        <v>0.19235384061671346</v>
      </c>
      <c r="AO478" s="1">
        <f t="shared" ref="AO478:AO487" si="1393">AM478/AN478</f>
        <v>0.3639126714370246</v>
      </c>
      <c r="AP478" s="1">
        <f t="shared" si="1274"/>
        <v>0.22590090090090087</v>
      </c>
      <c r="AQ478" s="1">
        <f t="shared" si="1275"/>
        <v>0.95238095238095233</v>
      </c>
      <c r="AR478" s="21">
        <f t="shared" ref="AR478:AR487" si="1394">AO478*AQ478</f>
        <v>0.34658349660669008</v>
      </c>
      <c r="AS478" s="21">
        <f t="shared" si="1389"/>
        <v>0.20489877632734771</v>
      </c>
      <c r="AT478" s="21">
        <f t="shared" ref="AT478:AT487" si="1395">SQRT(AP478*AQ478^2)</f>
        <v>0.45265746025813791</v>
      </c>
      <c r="AU478" s="20">
        <f t="shared" si="1390"/>
        <v>4.880458624127618</v>
      </c>
      <c r="AV478" s="20">
        <f t="shared" si="1391"/>
        <v>1.6914864149944258</v>
      </c>
      <c r="AW478" s="20">
        <f t="shared" si="1392"/>
        <v>0.58624127617148292</v>
      </c>
      <c r="AX478" s="14"/>
      <c r="AY478" s="14"/>
      <c r="AZ478" s="1" t="s">
        <v>271</v>
      </c>
      <c r="BA478" s="2"/>
    </row>
    <row r="479" spans="1:53" ht="14.25" hidden="1" customHeight="1">
      <c r="A479" s="2">
        <v>452</v>
      </c>
      <c r="B479" s="2" t="s">
        <v>58</v>
      </c>
      <c r="C479" s="1" t="s">
        <v>85</v>
      </c>
      <c r="D479" s="1">
        <v>2023</v>
      </c>
      <c r="E479" s="1">
        <v>2015</v>
      </c>
      <c r="F479" s="1" t="s">
        <v>153</v>
      </c>
      <c r="G479" s="1" t="s">
        <v>117</v>
      </c>
      <c r="H479" s="1">
        <v>66.900244999999998</v>
      </c>
      <c r="I479" s="1">
        <v>-136.24644499999999</v>
      </c>
      <c r="J479" s="1" t="s">
        <v>128</v>
      </c>
      <c r="K479" s="1" t="s">
        <v>103</v>
      </c>
      <c r="L479" s="1" t="s">
        <v>261</v>
      </c>
      <c r="M479" s="1" t="s">
        <v>237</v>
      </c>
      <c r="N479" s="1" t="s">
        <v>239</v>
      </c>
      <c r="O479" s="1" t="s">
        <v>86</v>
      </c>
      <c r="P479" s="1" t="s">
        <v>2</v>
      </c>
      <c r="Q479" s="1" t="s">
        <v>93</v>
      </c>
      <c r="R479" s="1">
        <v>2012</v>
      </c>
      <c r="S479" s="1">
        <v>3</v>
      </c>
      <c r="U479" s="1" t="s">
        <v>2</v>
      </c>
      <c r="V479" s="1">
        <v>9</v>
      </c>
      <c r="W479" s="1">
        <v>9</v>
      </c>
      <c r="X479" s="1" t="s">
        <v>97</v>
      </c>
      <c r="Y479" s="1" t="s">
        <v>130</v>
      </c>
      <c r="Z479" s="1" t="s">
        <v>1</v>
      </c>
      <c r="AA479" s="1" t="s">
        <v>98</v>
      </c>
      <c r="AB479" s="1" t="s">
        <v>203</v>
      </c>
      <c r="AC479" s="1" t="s">
        <v>99</v>
      </c>
      <c r="AD479" s="1" t="s">
        <v>102</v>
      </c>
      <c r="AE479" s="1" t="s">
        <v>353</v>
      </c>
      <c r="AF479" s="1" t="s">
        <v>362</v>
      </c>
      <c r="AG479" s="1">
        <v>0.61</v>
      </c>
      <c r="AH479" s="1">
        <v>0.03</v>
      </c>
      <c r="AJ479" s="1">
        <v>0.56999999999999995</v>
      </c>
      <c r="AK479" s="1">
        <v>0.03</v>
      </c>
      <c r="AM479" s="12">
        <f t="shared" si="1370"/>
        <v>4.0000000000000036E-2</v>
      </c>
      <c r="AN479" s="1">
        <f t="shared" si="1272"/>
        <v>0.03</v>
      </c>
      <c r="AO479" s="1">
        <f t="shared" si="1393"/>
        <v>1.3333333333333346</v>
      </c>
      <c r="AP479" s="1">
        <f t="shared" si="1274"/>
        <v>0.27160493827160503</v>
      </c>
      <c r="AQ479" s="1">
        <f t="shared" si="1275"/>
        <v>0.95238095238095233</v>
      </c>
      <c r="AR479" s="21">
        <f t="shared" si="1394"/>
        <v>1.2698412698412709</v>
      </c>
      <c r="AS479" s="21">
        <f t="shared" si="1389"/>
        <v>0.24635368550712472</v>
      </c>
      <c r="AT479" s="21">
        <f t="shared" si="1395"/>
        <v>0.4963402920448074</v>
      </c>
      <c r="AU479" s="20">
        <f t="shared" si="1390"/>
        <v>4.0592045454545449</v>
      </c>
      <c r="AV479" s="20">
        <f t="shared" si="1391"/>
        <v>5.1545454545454579</v>
      </c>
      <c r="AW479" s="20">
        <f t="shared" si="1392"/>
        <v>6.5454545454545547</v>
      </c>
      <c r="AX479" s="14"/>
      <c r="AY479" s="14"/>
      <c r="AZ479" s="1" t="s">
        <v>271</v>
      </c>
      <c r="BA479" s="2"/>
    </row>
    <row r="480" spans="1:53" ht="14.25" hidden="1" customHeight="1">
      <c r="A480" s="2">
        <v>452</v>
      </c>
      <c r="B480" s="2" t="s">
        <v>58</v>
      </c>
      <c r="C480" s="1" t="s">
        <v>85</v>
      </c>
      <c r="D480" s="1">
        <v>2022</v>
      </c>
      <c r="E480" s="1">
        <v>2015</v>
      </c>
      <c r="F480" s="1" t="s">
        <v>153</v>
      </c>
      <c r="G480" s="1" t="s">
        <v>117</v>
      </c>
      <c r="H480" s="1">
        <v>66.900244999999998</v>
      </c>
      <c r="I480" s="1">
        <v>-136.24644499999999</v>
      </c>
      <c r="J480" s="1" t="s">
        <v>128</v>
      </c>
      <c r="K480" s="1" t="s">
        <v>103</v>
      </c>
      <c r="L480" s="1" t="s">
        <v>261</v>
      </c>
      <c r="M480" s="1" t="s">
        <v>237</v>
      </c>
      <c r="N480" s="1" t="s">
        <v>239</v>
      </c>
      <c r="O480" s="1" t="s">
        <v>86</v>
      </c>
      <c r="P480" s="1" t="s">
        <v>2</v>
      </c>
      <c r="Q480" s="1" t="s">
        <v>93</v>
      </c>
      <c r="R480" s="1">
        <v>2012</v>
      </c>
      <c r="S480" s="1">
        <v>3</v>
      </c>
      <c r="U480" s="1" t="s">
        <v>2</v>
      </c>
      <c r="V480" s="1">
        <v>9</v>
      </c>
      <c r="W480" s="1">
        <v>9</v>
      </c>
      <c r="X480" s="1" t="s">
        <v>97</v>
      </c>
      <c r="Y480" s="1" t="s">
        <v>130</v>
      </c>
      <c r="Z480" s="1" t="s">
        <v>1</v>
      </c>
      <c r="AA480" s="1" t="s">
        <v>98</v>
      </c>
      <c r="AB480" s="1" t="s">
        <v>203</v>
      </c>
      <c r="AC480" s="1" t="s">
        <v>99</v>
      </c>
      <c r="AD480" s="1" t="s">
        <v>102</v>
      </c>
      <c r="AE480" s="1" t="s">
        <v>255</v>
      </c>
      <c r="AF480" s="1" t="s">
        <v>319</v>
      </c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" t="s">
        <v>286</v>
      </c>
    </row>
    <row r="481" spans="1:53" ht="14.25" hidden="1" customHeight="1">
      <c r="A481" s="2">
        <v>452</v>
      </c>
      <c r="B481" s="2" t="s">
        <v>58</v>
      </c>
      <c r="C481" s="1" t="s">
        <v>85</v>
      </c>
      <c r="D481" s="1">
        <v>2023</v>
      </c>
      <c r="E481" s="1">
        <v>2015</v>
      </c>
      <c r="F481" s="1" t="s">
        <v>153</v>
      </c>
      <c r="G481" s="1" t="s">
        <v>117</v>
      </c>
      <c r="H481" s="1">
        <v>66.900244999999998</v>
      </c>
      <c r="I481" s="1">
        <v>-136.24644499999999</v>
      </c>
      <c r="J481" s="1" t="s">
        <v>128</v>
      </c>
      <c r="K481" s="1" t="s">
        <v>103</v>
      </c>
      <c r="L481" s="1" t="s">
        <v>261</v>
      </c>
      <c r="M481" s="1" t="s">
        <v>237</v>
      </c>
      <c r="N481" s="1" t="s">
        <v>239</v>
      </c>
      <c r="O481" s="1" t="s">
        <v>86</v>
      </c>
      <c r="P481" s="1" t="s">
        <v>2</v>
      </c>
      <c r="Q481" s="1" t="s">
        <v>93</v>
      </c>
      <c r="R481" s="1">
        <v>2012</v>
      </c>
      <c r="S481" s="1">
        <v>3</v>
      </c>
      <c r="U481" s="1" t="s">
        <v>2</v>
      </c>
      <c r="V481" s="1">
        <v>9</v>
      </c>
      <c r="W481" s="1">
        <v>9</v>
      </c>
      <c r="X481" s="1" t="s">
        <v>97</v>
      </c>
      <c r="Y481" s="1" t="s">
        <v>233</v>
      </c>
      <c r="Z481" s="1" t="s">
        <v>1</v>
      </c>
      <c r="AA481" s="1" t="s">
        <v>98</v>
      </c>
      <c r="AB481" s="1" t="s">
        <v>203</v>
      </c>
      <c r="AC481" s="1" t="s">
        <v>99</v>
      </c>
      <c r="AD481" s="1" t="s">
        <v>102</v>
      </c>
      <c r="AE481" s="1" t="s">
        <v>262</v>
      </c>
      <c r="AF481" s="1" t="s">
        <v>362</v>
      </c>
      <c r="AG481" s="1">
        <v>259.70999999999998</v>
      </c>
      <c r="AH481" s="1">
        <v>18.98</v>
      </c>
      <c r="AJ481" s="1">
        <v>404.49</v>
      </c>
      <c r="AK481" s="1">
        <v>27.62</v>
      </c>
      <c r="AM481" s="12">
        <f t="shared" si="1370"/>
        <v>-144.78000000000003</v>
      </c>
      <c r="AN481" s="1">
        <f t="shared" si="1272"/>
        <v>23.697096868603968</v>
      </c>
      <c r="AO481" s="1">
        <f t="shared" si="1393"/>
        <v>-6.10960915604044</v>
      </c>
      <c r="AP481" s="1">
        <f t="shared" si="1274"/>
        <v>1.2590923344325882</v>
      </c>
      <c r="AQ481" s="1">
        <f t="shared" si="1275"/>
        <v>0.95238095238095233</v>
      </c>
      <c r="AR481" s="21">
        <f t="shared" si="1394"/>
        <v>-5.8186753867051806</v>
      </c>
      <c r="AS481" s="21">
        <f t="shared" ref="AS481:AS483" si="1396">AP481*(AQ481^2)</f>
        <v>1.1420338634309188</v>
      </c>
      <c r="AT481" s="21">
        <f t="shared" si="1395"/>
        <v>1.0686598445861615</v>
      </c>
      <c r="AU481" s="20">
        <f t="shared" ref="AU481:AU483" si="1397">1/AS481</f>
        <v>0.87563077770372055</v>
      </c>
      <c r="AV481" s="20">
        <f t="shared" ref="AV481:AV483" si="1398">AR481/AS481</f>
        <v>-5.0950112540661543</v>
      </c>
      <c r="AW481" s="20">
        <f t="shared" ref="AW481:AW483" si="1399">((AR481)^2)/AS481</f>
        <v>29.646216579020624</v>
      </c>
      <c r="AX481" s="14"/>
      <c r="AY481" s="14"/>
      <c r="AZ481" s="1" t="s">
        <v>271</v>
      </c>
      <c r="BA481" s="2" t="s">
        <v>385</v>
      </c>
    </row>
    <row r="482" spans="1:53" ht="14.25" hidden="1" customHeight="1">
      <c r="A482" s="2">
        <v>452</v>
      </c>
      <c r="B482" s="2" t="s">
        <v>58</v>
      </c>
      <c r="C482" s="1" t="s">
        <v>85</v>
      </c>
      <c r="D482" s="1">
        <v>2023</v>
      </c>
      <c r="E482" s="1">
        <v>2015</v>
      </c>
      <c r="F482" s="1" t="s">
        <v>153</v>
      </c>
      <c r="G482" s="1" t="s">
        <v>117</v>
      </c>
      <c r="H482" s="1">
        <v>66.900244999999998</v>
      </c>
      <c r="I482" s="1">
        <v>-136.24644499999999</v>
      </c>
      <c r="J482" s="1" t="s">
        <v>128</v>
      </c>
      <c r="K482" s="1" t="s">
        <v>103</v>
      </c>
      <c r="L482" s="1" t="s">
        <v>261</v>
      </c>
      <c r="M482" s="1" t="s">
        <v>237</v>
      </c>
      <c r="N482" s="1" t="s">
        <v>239</v>
      </c>
      <c r="O482" s="1" t="s">
        <v>86</v>
      </c>
      <c r="P482" s="1" t="s">
        <v>2</v>
      </c>
      <c r="Q482" s="1" t="s">
        <v>93</v>
      </c>
      <c r="R482" s="1">
        <v>2012</v>
      </c>
      <c r="S482" s="1">
        <v>3</v>
      </c>
      <c r="U482" s="1" t="s">
        <v>2</v>
      </c>
      <c r="V482" s="1">
        <v>9</v>
      </c>
      <c r="W482" s="1">
        <v>9</v>
      </c>
      <c r="X482" s="1" t="s">
        <v>97</v>
      </c>
      <c r="Y482" s="1" t="s">
        <v>233</v>
      </c>
      <c r="Z482" s="1" t="s">
        <v>1</v>
      </c>
      <c r="AA482" s="1" t="s">
        <v>98</v>
      </c>
      <c r="AB482" s="1" t="s">
        <v>203</v>
      </c>
      <c r="AC482" s="1" t="s">
        <v>99</v>
      </c>
      <c r="AD482" s="1" t="s">
        <v>102</v>
      </c>
      <c r="AE482" s="1" t="s">
        <v>149</v>
      </c>
      <c r="AF482" s="1" t="s">
        <v>362</v>
      </c>
      <c r="AG482" s="1">
        <v>3.13</v>
      </c>
      <c r="AH482" s="1">
        <v>0.16</v>
      </c>
      <c r="AJ482" s="1">
        <v>3.19</v>
      </c>
      <c r="AK482" s="1">
        <v>0.25</v>
      </c>
      <c r="AM482" s="12">
        <f t="shared" si="1370"/>
        <v>-6.0000000000000053E-2</v>
      </c>
      <c r="AN482" s="1">
        <f t="shared" si="1272"/>
        <v>0.20988091861815356</v>
      </c>
      <c r="AO482" s="1">
        <f t="shared" si="1393"/>
        <v>-0.28587639312347846</v>
      </c>
      <c r="AP482" s="1">
        <f t="shared" si="1274"/>
        <v>0.22449236978181358</v>
      </c>
      <c r="AQ482" s="1">
        <f t="shared" si="1275"/>
        <v>0.95238095238095233</v>
      </c>
      <c r="AR482" s="21">
        <f t="shared" si="1394"/>
        <v>-0.27226323154616994</v>
      </c>
      <c r="AS482" s="21">
        <f t="shared" si="1396"/>
        <v>0.20362119708101004</v>
      </c>
      <c r="AT482" s="21">
        <f t="shared" si="1395"/>
        <v>0.45124405489824465</v>
      </c>
      <c r="AU482" s="20">
        <f t="shared" si="1397"/>
        <v>4.9110800561797756</v>
      </c>
      <c r="AV482" s="20">
        <f t="shared" si="1398"/>
        <v>-1.3371065264774515</v>
      </c>
      <c r="AW482" s="20">
        <f t="shared" si="1399"/>
        <v>0.36404494382022545</v>
      </c>
      <c r="AX482" s="14"/>
      <c r="AY482" s="14"/>
      <c r="AZ482" s="1" t="s">
        <v>271</v>
      </c>
      <c r="BA482" s="2"/>
    </row>
    <row r="483" spans="1:53" ht="14.25" hidden="1" customHeight="1">
      <c r="A483" s="2">
        <v>452</v>
      </c>
      <c r="B483" s="2" t="s">
        <v>58</v>
      </c>
      <c r="C483" s="1" t="s">
        <v>85</v>
      </c>
      <c r="D483" s="1">
        <v>2023</v>
      </c>
      <c r="E483" s="1">
        <v>2015</v>
      </c>
      <c r="F483" s="1" t="s">
        <v>153</v>
      </c>
      <c r="G483" s="1" t="s">
        <v>117</v>
      </c>
      <c r="H483" s="1">
        <v>66.900244999999998</v>
      </c>
      <c r="I483" s="1">
        <v>-136.24644499999999</v>
      </c>
      <c r="J483" s="1" t="s">
        <v>128</v>
      </c>
      <c r="K483" s="1" t="s">
        <v>103</v>
      </c>
      <c r="L483" s="1" t="s">
        <v>261</v>
      </c>
      <c r="M483" s="1" t="s">
        <v>237</v>
      </c>
      <c r="N483" s="1" t="s">
        <v>239</v>
      </c>
      <c r="O483" s="1" t="s">
        <v>86</v>
      </c>
      <c r="P483" s="1" t="s">
        <v>2</v>
      </c>
      <c r="Q483" s="1" t="s">
        <v>93</v>
      </c>
      <c r="R483" s="1">
        <v>2012</v>
      </c>
      <c r="S483" s="1">
        <v>3</v>
      </c>
      <c r="U483" s="1" t="s">
        <v>2</v>
      </c>
      <c r="V483" s="1">
        <v>9</v>
      </c>
      <c r="W483" s="1">
        <v>9</v>
      </c>
      <c r="X483" s="1" t="s">
        <v>97</v>
      </c>
      <c r="Y483" s="1" t="s">
        <v>233</v>
      </c>
      <c r="Z483" s="1" t="s">
        <v>1</v>
      </c>
      <c r="AA483" s="1" t="s">
        <v>98</v>
      </c>
      <c r="AB483" s="1" t="s">
        <v>203</v>
      </c>
      <c r="AC483" s="1" t="s">
        <v>99</v>
      </c>
      <c r="AD483" s="1" t="s">
        <v>102</v>
      </c>
      <c r="AE483" s="1" t="s">
        <v>353</v>
      </c>
      <c r="AF483" s="1" t="s">
        <v>362</v>
      </c>
      <c r="AG483" s="1">
        <v>0.59</v>
      </c>
      <c r="AH483" s="1">
        <v>0.03</v>
      </c>
      <c r="AJ483" s="1">
        <v>0.56999999999999995</v>
      </c>
      <c r="AK483" s="1">
        <v>0.04</v>
      </c>
      <c r="AM483" s="12">
        <f t="shared" si="1370"/>
        <v>2.0000000000000018E-2</v>
      </c>
      <c r="AN483" s="1">
        <f t="shared" si="1272"/>
        <v>3.5355339059327376E-2</v>
      </c>
      <c r="AO483" s="1">
        <f t="shared" si="1393"/>
        <v>0.56568542494923857</v>
      </c>
      <c r="AP483" s="1">
        <f t="shared" si="1274"/>
        <v>0.23111111111111113</v>
      </c>
      <c r="AQ483" s="1">
        <f t="shared" si="1275"/>
        <v>0.95238095238095233</v>
      </c>
      <c r="AR483" s="21">
        <f t="shared" si="1394"/>
        <v>0.53874802376117958</v>
      </c>
      <c r="AS483" s="21">
        <f t="shared" si="1396"/>
        <v>0.20962459057697153</v>
      </c>
      <c r="AT483" s="21">
        <f t="shared" si="1395"/>
        <v>0.45784778101130025</v>
      </c>
      <c r="AU483" s="20">
        <f t="shared" si="1397"/>
        <v>4.7704326923076925</v>
      </c>
      <c r="AV483" s="20">
        <f t="shared" si="1398"/>
        <v>2.5700611854664928</v>
      </c>
      <c r="AW483" s="20">
        <f t="shared" si="1399"/>
        <v>1.3846153846153872</v>
      </c>
      <c r="AX483" s="14"/>
      <c r="AY483" s="14"/>
      <c r="AZ483" s="1" t="s">
        <v>271</v>
      </c>
      <c r="BA483" s="2"/>
    </row>
    <row r="484" spans="1:53" ht="14.25" hidden="1" customHeight="1">
      <c r="A484" s="2">
        <v>452</v>
      </c>
      <c r="B484" s="2" t="s">
        <v>58</v>
      </c>
      <c r="C484" s="1" t="s">
        <v>85</v>
      </c>
      <c r="D484" s="1">
        <v>2022</v>
      </c>
      <c r="E484" s="1">
        <v>2015</v>
      </c>
      <c r="F484" s="1" t="s">
        <v>153</v>
      </c>
      <c r="G484" s="1" t="s">
        <v>117</v>
      </c>
      <c r="H484" s="1">
        <v>66.900244999999998</v>
      </c>
      <c r="I484" s="1">
        <v>-136.24644499999999</v>
      </c>
      <c r="J484" s="1" t="s">
        <v>128</v>
      </c>
      <c r="K484" s="1" t="s">
        <v>103</v>
      </c>
      <c r="L484" s="1" t="s">
        <v>261</v>
      </c>
      <c r="M484" s="1" t="s">
        <v>237</v>
      </c>
      <c r="N484" s="1" t="s">
        <v>239</v>
      </c>
      <c r="O484" s="1" t="s">
        <v>86</v>
      </c>
      <c r="P484" s="1" t="s">
        <v>2</v>
      </c>
      <c r="Q484" s="1" t="s">
        <v>93</v>
      </c>
      <c r="R484" s="1">
        <v>2012</v>
      </c>
      <c r="S484" s="1">
        <v>3</v>
      </c>
      <c r="U484" s="1" t="s">
        <v>2</v>
      </c>
      <c r="V484" s="1">
        <v>9</v>
      </c>
      <c r="W484" s="1">
        <v>9</v>
      </c>
      <c r="X484" s="1" t="s">
        <v>97</v>
      </c>
      <c r="Y484" s="1" t="s">
        <v>233</v>
      </c>
      <c r="Z484" s="1" t="s">
        <v>1</v>
      </c>
      <c r="AA484" s="1" t="s">
        <v>98</v>
      </c>
      <c r="AB484" s="1" t="s">
        <v>203</v>
      </c>
      <c r="AC484" s="1" t="s">
        <v>99</v>
      </c>
      <c r="AD484" s="1" t="s">
        <v>102</v>
      </c>
      <c r="AE484" s="1" t="s">
        <v>255</v>
      </c>
      <c r="AF484" s="1" t="s">
        <v>319</v>
      </c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" t="s">
        <v>286</v>
      </c>
    </row>
    <row r="485" spans="1:53" ht="14.25" hidden="1" customHeight="1">
      <c r="A485" s="2">
        <v>452</v>
      </c>
      <c r="B485" s="2" t="s">
        <v>58</v>
      </c>
      <c r="C485" s="1" t="s">
        <v>85</v>
      </c>
      <c r="D485" s="1">
        <v>2023</v>
      </c>
      <c r="E485" s="1">
        <v>2015</v>
      </c>
      <c r="F485" s="1" t="s">
        <v>153</v>
      </c>
      <c r="G485" s="1" t="s">
        <v>117</v>
      </c>
      <c r="H485" s="1">
        <v>66.900244999999998</v>
      </c>
      <c r="I485" s="1">
        <v>-136.24644499999999</v>
      </c>
      <c r="J485" s="1" t="s">
        <v>128</v>
      </c>
      <c r="K485" s="1" t="s">
        <v>103</v>
      </c>
      <c r="L485" s="1" t="s">
        <v>261</v>
      </c>
      <c r="M485" s="1" t="s">
        <v>237</v>
      </c>
      <c r="N485" s="1" t="s">
        <v>239</v>
      </c>
      <c r="O485" s="1" t="s">
        <v>86</v>
      </c>
      <c r="P485" s="1" t="s">
        <v>2</v>
      </c>
      <c r="Q485" s="1" t="s">
        <v>93</v>
      </c>
      <c r="R485" s="1">
        <v>2012</v>
      </c>
      <c r="S485" s="1">
        <v>3</v>
      </c>
      <c r="U485" s="1" t="s">
        <v>2</v>
      </c>
      <c r="V485" s="1">
        <v>9</v>
      </c>
      <c r="W485" s="1">
        <v>9</v>
      </c>
      <c r="X485" s="1" t="s">
        <v>97</v>
      </c>
      <c r="Y485" s="1" t="s">
        <v>234</v>
      </c>
      <c r="Z485" s="1" t="s">
        <v>1</v>
      </c>
      <c r="AA485" s="1" t="s">
        <v>98</v>
      </c>
      <c r="AB485" s="1" t="s">
        <v>203</v>
      </c>
      <c r="AC485" s="1" t="s">
        <v>99</v>
      </c>
      <c r="AD485" s="1" t="s">
        <v>102</v>
      </c>
      <c r="AE485" s="1" t="s">
        <v>262</v>
      </c>
      <c r="AF485" s="1" t="s">
        <v>362</v>
      </c>
      <c r="AG485" s="1">
        <v>285.14999999999998</v>
      </c>
      <c r="AH485" s="1">
        <v>26.75</v>
      </c>
      <c r="AJ485" s="1">
        <v>362.54</v>
      </c>
      <c r="AK485" s="1">
        <v>51.77</v>
      </c>
      <c r="AM485" s="12">
        <f t="shared" si="1370"/>
        <v>-77.390000000000043</v>
      </c>
      <c r="AN485" s="1">
        <f t="shared" si="1272"/>
        <v>41.20494751847162</v>
      </c>
      <c r="AO485" s="1">
        <f t="shared" si="1393"/>
        <v>-1.8781725171548187</v>
      </c>
      <c r="AP485" s="1">
        <f t="shared" si="1274"/>
        <v>0.32020922233876853</v>
      </c>
      <c r="AQ485" s="1">
        <f t="shared" si="1275"/>
        <v>0.95238095238095233</v>
      </c>
      <c r="AR485" s="21">
        <f t="shared" si="1394"/>
        <v>-1.7887357306236367</v>
      </c>
      <c r="AS485" s="21">
        <f t="shared" ref="AS485:AS487" si="1400">AP485*(AQ485^2)</f>
        <v>0.29043920393539091</v>
      </c>
      <c r="AT485" s="21">
        <f t="shared" si="1395"/>
        <v>0.53892411704746612</v>
      </c>
      <c r="AU485" s="20">
        <f t="shared" ref="AU485:AU487" si="1401">1/AS485</f>
        <v>3.443061358281553</v>
      </c>
      <c r="AV485" s="20">
        <f t="shared" ref="AV485:AV487" si="1402">AR485/AS485</f>
        <v>-6.1587268742877646</v>
      </c>
      <c r="AW485" s="20">
        <f t="shared" ref="AW485:AW487" si="1403">((AR485)^2)/AS485</f>
        <v>11.01633481519055</v>
      </c>
      <c r="AX485" s="14"/>
      <c r="AY485" s="14"/>
      <c r="AZ485" s="1" t="s">
        <v>271</v>
      </c>
      <c r="BA485" s="2"/>
    </row>
    <row r="486" spans="1:53" ht="14.25" hidden="1" customHeight="1">
      <c r="A486" s="2">
        <v>452</v>
      </c>
      <c r="B486" s="2" t="s">
        <v>58</v>
      </c>
      <c r="C486" s="1" t="s">
        <v>85</v>
      </c>
      <c r="D486" s="1">
        <v>2023</v>
      </c>
      <c r="E486" s="1">
        <v>2015</v>
      </c>
      <c r="F486" s="1" t="s">
        <v>153</v>
      </c>
      <c r="G486" s="1" t="s">
        <v>117</v>
      </c>
      <c r="H486" s="1">
        <v>66.900244999999998</v>
      </c>
      <c r="I486" s="1">
        <v>-136.24644499999999</v>
      </c>
      <c r="J486" s="1" t="s">
        <v>128</v>
      </c>
      <c r="K486" s="1" t="s">
        <v>103</v>
      </c>
      <c r="L486" s="1" t="s">
        <v>261</v>
      </c>
      <c r="M486" s="1" t="s">
        <v>237</v>
      </c>
      <c r="N486" s="1" t="s">
        <v>239</v>
      </c>
      <c r="O486" s="1" t="s">
        <v>86</v>
      </c>
      <c r="P486" s="1" t="s">
        <v>2</v>
      </c>
      <c r="Q486" s="1" t="s">
        <v>93</v>
      </c>
      <c r="R486" s="1">
        <v>2012</v>
      </c>
      <c r="S486" s="1">
        <v>3</v>
      </c>
      <c r="U486" s="1" t="s">
        <v>2</v>
      </c>
      <c r="V486" s="1">
        <v>9</v>
      </c>
      <c r="W486" s="1">
        <v>9</v>
      </c>
      <c r="X486" s="1" t="s">
        <v>97</v>
      </c>
      <c r="Y486" s="1" t="s">
        <v>234</v>
      </c>
      <c r="Z486" s="1" t="s">
        <v>1</v>
      </c>
      <c r="AA486" s="1" t="s">
        <v>98</v>
      </c>
      <c r="AB486" s="1" t="s">
        <v>203</v>
      </c>
      <c r="AC486" s="1" t="s">
        <v>99</v>
      </c>
      <c r="AD486" s="1" t="s">
        <v>102</v>
      </c>
      <c r="AE486" s="1" t="s">
        <v>149</v>
      </c>
      <c r="AF486" s="1" t="s">
        <v>362</v>
      </c>
      <c r="AG486" s="1">
        <v>3.21</v>
      </c>
      <c r="AH486" s="1">
        <v>0.19</v>
      </c>
      <c r="AJ486" s="1">
        <v>3.42</v>
      </c>
      <c r="AK486" s="1">
        <v>0.2</v>
      </c>
      <c r="AM486" s="12">
        <f t="shared" si="1370"/>
        <v>-0.20999999999999996</v>
      </c>
      <c r="AN486" s="1">
        <f t="shared" si="1272"/>
        <v>0.19506409203131159</v>
      </c>
      <c r="AO486" s="1">
        <f t="shared" si="1393"/>
        <v>-1.0765692332871335</v>
      </c>
      <c r="AP486" s="1">
        <f t="shared" si="1274"/>
        <v>0.25441670316834575</v>
      </c>
      <c r="AQ486" s="1">
        <f t="shared" si="1275"/>
        <v>0.95238095238095233</v>
      </c>
      <c r="AR486" s="21">
        <f t="shared" si="1394"/>
        <v>-1.0253040317020319</v>
      </c>
      <c r="AS486" s="21">
        <f t="shared" si="1400"/>
        <v>0.23076344958580111</v>
      </c>
      <c r="AT486" s="21">
        <f t="shared" si="1395"/>
        <v>0.4803784441310841</v>
      </c>
      <c r="AU486" s="20">
        <f t="shared" si="1401"/>
        <v>4.3334418938307033</v>
      </c>
      <c r="AV486" s="20">
        <f t="shared" si="1402"/>
        <v>-4.4430954448911084</v>
      </c>
      <c r="AW486" s="20">
        <f t="shared" si="1403"/>
        <v>4.555523672883786</v>
      </c>
      <c r="AX486" s="14"/>
      <c r="AY486" s="14"/>
      <c r="AZ486" s="1" t="s">
        <v>271</v>
      </c>
      <c r="BA486" s="2"/>
    </row>
    <row r="487" spans="1:53" ht="14.25" hidden="1" customHeight="1">
      <c r="A487" s="2">
        <v>452</v>
      </c>
      <c r="B487" s="2" t="s">
        <v>58</v>
      </c>
      <c r="C487" s="1" t="s">
        <v>85</v>
      </c>
      <c r="D487" s="1">
        <v>2023</v>
      </c>
      <c r="E487" s="1">
        <v>2015</v>
      </c>
      <c r="F487" s="1" t="s">
        <v>153</v>
      </c>
      <c r="G487" s="1" t="s">
        <v>117</v>
      </c>
      <c r="H487" s="1">
        <v>66.900244999999998</v>
      </c>
      <c r="I487" s="1">
        <v>-136.24644499999999</v>
      </c>
      <c r="J487" s="1" t="s">
        <v>128</v>
      </c>
      <c r="K487" s="1" t="s">
        <v>103</v>
      </c>
      <c r="L487" s="1" t="s">
        <v>261</v>
      </c>
      <c r="M487" s="1" t="s">
        <v>237</v>
      </c>
      <c r="N487" s="1" t="s">
        <v>239</v>
      </c>
      <c r="O487" s="1" t="s">
        <v>86</v>
      </c>
      <c r="P487" s="1" t="s">
        <v>2</v>
      </c>
      <c r="Q487" s="1" t="s">
        <v>93</v>
      </c>
      <c r="R487" s="1">
        <v>2012</v>
      </c>
      <c r="S487" s="1">
        <v>3</v>
      </c>
      <c r="U487" s="1" t="s">
        <v>2</v>
      </c>
      <c r="V487" s="1">
        <v>9</v>
      </c>
      <c r="W487" s="1">
        <v>9</v>
      </c>
      <c r="X487" s="1" t="s">
        <v>97</v>
      </c>
      <c r="Y487" s="1" t="s">
        <v>234</v>
      </c>
      <c r="Z487" s="1" t="s">
        <v>1</v>
      </c>
      <c r="AA487" s="1" t="s">
        <v>98</v>
      </c>
      <c r="AB487" s="1" t="s">
        <v>203</v>
      </c>
      <c r="AC487" s="1" t="s">
        <v>99</v>
      </c>
      <c r="AD487" s="1" t="s">
        <v>102</v>
      </c>
      <c r="AE487" s="1" t="s">
        <v>353</v>
      </c>
      <c r="AF487" s="1" t="s">
        <v>362</v>
      </c>
      <c r="AG487" s="1">
        <v>0.6</v>
      </c>
      <c r="AH487" s="1">
        <v>0.02</v>
      </c>
      <c r="AJ487" s="1">
        <v>0.61</v>
      </c>
      <c r="AK487" s="1">
        <v>0.03</v>
      </c>
      <c r="AM487" s="12">
        <f t="shared" si="1370"/>
        <v>-1.0000000000000009E-2</v>
      </c>
      <c r="AN487" s="1">
        <f t="shared" si="1272"/>
        <v>2.5495097567963924E-2</v>
      </c>
      <c r="AO487" s="1">
        <f t="shared" si="1393"/>
        <v>-0.39223227027636842</v>
      </c>
      <c r="AP487" s="1">
        <f t="shared" si="1274"/>
        <v>0.2264957264957265</v>
      </c>
      <c r="AQ487" s="1">
        <f t="shared" si="1275"/>
        <v>0.95238095238095233</v>
      </c>
      <c r="AR487" s="21">
        <f t="shared" si="1394"/>
        <v>-0.37355454312035086</v>
      </c>
      <c r="AS487" s="21">
        <f t="shared" si="1400"/>
        <v>0.2054383006763959</v>
      </c>
      <c r="AT487" s="21">
        <f t="shared" si="1395"/>
        <v>0.45325302059268829</v>
      </c>
      <c r="AU487" s="20">
        <f t="shared" si="1401"/>
        <v>4.8676415094339625</v>
      </c>
      <c r="AV487" s="20">
        <f t="shared" si="1402"/>
        <v>-1.8183296001302589</v>
      </c>
      <c r="AW487" s="20">
        <f t="shared" si="1403"/>
        <v>0.67924528301886911</v>
      </c>
      <c r="AX487" s="14"/>
      <c r="AY487" s="14"/>
      <c r="AZ487" s="1" t="s">
        <v>271</v>
      </c>
      <c r="BA487" s="2"/>
    </row>
    <row r="488" spans="1:53" ht="14.25" hidden="1" customHeight="1">
      <c r="A488" s="2">
        <v>452</v>
      </c>
      <c r="B488" s="2" t="s">
        <v>58</v>
      </c>
      <c r="C488" s="1" t="s">
        <v>85</v>
      </c>
      <c r="D488" s="1">
        <v>2022</v>
      </c>
      <c r="E488" s="1">
        <v>2015</v>
      </c>
      <c r="F488" s="1" t="s">
        <v>153</v>
      </c>
      <c r="G488" s="1" t="s">
        <v>117</v>
      </c>
      <c r="H488" s="1">
        <v>66.900244999999998</v>
      </c>
      <c r="I488" s="1">
        <v>-136.24644499999999</v>
      </c>
      <c r="J488" s="1" t="s">
        <v>128</v>
      </c>
      <c r="K488" s="1" t="s">
        <v>103</v>
      </c>
      <c r="L488" s="1" t="s">
        <v>261</v>
      </c>
      <c r="M488" s="1" t="s">
        <v>237</v>
      </c>
      <c r="N488" s="1" t="s">
        <v>239</v>
      </c>
      <c r="O488" s="1" t="s">
        <v>86</v>
      </c>
      <c r="P488" s="1" t="s">
        <v>2</v>
      </c>
      <c r="Q488" s="1" t="s">
        <v>93</v>
      </c>
      <c r="R488" s="1">
        <v>2012</v>
      </c>
      <c r="S488" s="1">
        <v>3</v>
      </c>
      <c r="U488" s="1" t="s">
        <v>2</v>
      </c>
      <c r="V488" s="1">
        <v>9</v>
      </c>
      <c r="W488" s="1">
        <v>9</v>
      </c>
      <c r="X488" s="1" t="s">
        <v>97</v>
      </c>
      <c r="Y488" s="1" t="s">
        <v>234</v>
      </c>
      <c r="Z488" s="1" t="s">
        <v>1</v>
      </c>
      <c r="AA488" s="1" t="s">
        <v>98</v>
      </c>
      <c r="AB488" s="1" t="s">
        <v>203</v>
      </c>
      <c r="AC488" s="1" t="s">
        <v>99</v>
      </c>
      <c r="AD488" s="1" t="s">
        <v>102</v>
      </c>
      <c r="AE488" s="1" t="s">
        <v>255</v>
      </c>
      <c r="AF488" s="1" t="s">
        <v>319</v>
      </c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" t="s">
        <v>286</v>
      </c>
    </row>
    <row r="489" spans="1:53" ht="14.25" hidden="1" customHeight="1">
      <c r="A489" s="12"/>
      <c r="B489" s="12"/>
      <c r="C489" s="12"/>
    </row>
    <row r="490" spans="1:53" ht="14.25" customHeight="1">
      <c r="A490" s="12"/>
      <c r="B490" s="12"/>
      <c r="C490" s="12"/>
    </row>
    <row r="491" spans="1:53" ht="14.25" customHeight="1">
      <c r="A491" s="12"/>
      <c r="B491" s="12"/>
      <c r="C491" s="12"/>
    </row>
    <row r="492" spans="1:53" ht="14.25" customHeight="1">
      <c r="A492" s="12"/>
      <c r="B492" s="12"/>
      <c r="C492" s="12"/>
    </row>
    <row r="493" spans="1:53" ht="14.25" customHeight="1">
      <c r="A493" s="12"/>
      <c r="B493" s="12"/>
      <c r="C493" s="12"/>
    </row>
    <row r="494" spans="1:53" ht="14.25" customHeight="1">
      <c r="A494" s="12"/>
      <c r="B494" s="12"/>
      <c r="C494" s="12"/>
    </row>
    <row r="495" spans="1:53" ht="14.25" customHeight="1">
      <c r="A495" s="12"/>
      <c r="B495" s="12"/>
      <c r="C495" s="12"/>
    </row>
    <row r="496" spans="1:53" ht="14.25" customHeight="1">
      <c r="A496" s="12"/>
      <c r="B496" s="12"/>
      <c r="C496" s="12"/>
    </row>
    <row r="497" spans="1:3" ht="14.25" customHeight="1">
      <c r="A497" s="12"/>
      <c r="B497" s="12"/>
      <c r="C497" s="12"/>
    </row>
    <row r="498" spans="1:3" ht="14.25" customHeight="1">
      <c r="A498" s="12"/>
      <c r="B498" s="12"/>
      <c r="C498" s="12"/>
    </row>
    <row r="499" spans="1:3" ht="14.25" customHeight="1">
      <c r="A499" s="12"/>
      <c r="B499" s="12"/>
      <c r="C499" s="12"/>
    </row>
    <row r="500" spans="1:3" ht="14.25" customHeight="1">
      <c r="A500" s="1"/>
      <c r="B500" s="1"/>
    </row>
    <row r="501" spans="1:3" ht="14.25" customHeight="1">
      <c r="A501" s="1"/>
      <c r="B501" s="1"/>
    </row>
    <row r="502" spans="1:3" ht="14.25" customHeight="1">
      <c r="A502" s="1"/>
      <c r="B502" s="1"/>
    </row>
    <row r="503" spans="1:3" ht="14.25" customHeight="1">
      <c r="A503" s="1"/>
      <c r="B503" s="1"/>
    </row>
    <row r="504" spans="1:3" ht="14.25" customHeight="1">
      <c r="A504" s="1"/>
      <c r="B504" s="1"/>
    </row>
    <row r="505" spans="1:3" ht="14.25" customHeight="1">
      <c r="A505" s="1"/>
      <c r="B505" s="1"/>
    </row>
    <row r="506" spans="1:3" ht="14.25" customHeight="1">
      <c r="A506" s="1"/>
      <c r="B506" s="1"/>
    </row>
    <row r="507" spans="1:3" ht="14.25" customHeight="1">
      <c r="A507" s="1"/>
      <c r="B507" s="1"/>
    </row>
    <row r="508" spans="1:3" ht="14.25" customHeight="1">
      <c r="A508" s="1"/>
      <c r="B508" s="1"/>
    </row>
    <row r="509" spans="1:3" ht="14.25" customHeight="1">
      <c r="A509" s="1"/>
      <c r="B509" s="1"/>
    </row>
    <row r="510" spans="1:3" ht="14.25" customHeight="1">
      <c r="A510" s="1"/>
      <c r="B510" s="1"/>
    </row>
    <row r="511" spans="1:3" ht="14.25" customHeight="1">
      <c r="A511" s="1"/>
      <c r="B511" s="1"/>
    </row>
    <row r="512" spans="1:3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  <row r="998" spans="1:2" ht="14.25" customHeight="1">
      <c r="A998" s="1"/>
      <c r="B998" s="1"/>
    </row>
    <row r="999" spans="1:2" ht="14.25" customHeight="1">
      <c r="A999" s="1"/>
      <c r="B999" s="1"/>
    </row>
    <row r="1000" spans="1:2" ht="14.25" customHeight="1">
      <c r="A1000" s="1"/>
      <c r="B1000" s="1"/>
    </row>
    <row r="1001" spans="1:2" ht="14.25" customHeight="1">
      <c r="A1001" s="1"/>
      <c r="B1001" s="1"/>
    </row>
    <row r="1002" spans="1:2" ht="14.25" customHeight="1">
      <c r="A1002" s="1"/>
      <c r="B1002" s="1"/>
    </row>
    <row r="1003" spans="1:2" ht="14.25" customHeight="1">
      <c r="A1003" s="1"/>
      <c r="B1003" s="1"/>
    </row>
    <row r="1004" spans="1:2" ht="14.25" customHeight="1">
      <c r="A1004" s="1"/>
      <c r="B1004" s="1"/>
    </row>
    <row r="1005" spans="1:2" ht="14.25" customHeight="1">
      <c r="A1005" s="1"/>
      <c r="B1005" s="1"/>
    </row>
    <row r="1006" spans="1:2" ht="14.25" customHeight="1">
      <c r="A1006" s="1"/>
      <c r="B1006" s="1"/>
    </row>
    <row r="1007" spans="1:2" ht="14.25" customHeight="1">
      <c r="A1007" s="1"/>
      <c r="B1007" s="1"/>
    </row>
    <row r="1008" spans="1:2" ht="14.25" customHeight="1">
      <c r="A1008" s="1"/>
      <c r="B1008" s="1"/>
    </row>
    <row r="1009" spans="1:2" ht="14.25" customHeight="1">
      <c r="A1009" s="1"/>
      <c r="B1009" s="1"/>
    </row>
    <row r="1010" spans="1:2" ht="14.25" customHeight="1">
      <c r="A1010" s="1"/>
      <c r="B1010" s="1"/>
    </row>
    <row r="1011" spans="1:2" ht="14.25" customHeight="1">
      <c r="A1011" s="1"/>
      <c r="B1011" s="1"/>
    </row>
    <row r="1012" spans="1:2" ht="14.25" customHeight="1">
      <c r="A1012" s="1"/>
      <c r="B1012" s="1"/>
    </row>
    <row r="1013" spans="1:2" ht="14.25" customHeight="1">
      <c r="A1013" s="1"/>
      <c r="B1013" s="1"/>
    </row>
    <row r="1014" spans="1:2" ht="14.25" customHeight="1">
      <c r="A1014" s="1"/>
      <c r="B1014" s="1"/>
    </row>
    <row r="1015" spans="1:2" ht="14.25" customHeight="1">
      <c r="A1015" s="1"/>
      <c r="B1015" s="1"/>
    </row>
    <row r="1016" spans="1:2" ht="14.25" customHeight="1">
      <c r="A1016" s="1"/>
      <c r="B1016" s="1"/>
    </row>
    <row r="1017" spans="1:2" ht="14.25" customHeight="1">
      <c r="A1017" s="1"/>
      <c r="B1017" s="1"/>
    </row>
    <row r="1018" spans="1:2" ht="14.25" customHeight="1">
      <c r="A1018" s="1"/>
      <c r="B1018" s="1"/>
    </row>
    <row r="1019" spans="1:2" ht="14.25" customHeight="1">
      <c r="A1019" s="1"/>
      <c r="B1019" s="1"/>
    </row>
    <row r="1020" spans="1:2" ht="14.25" customHeight="1">
      <c r="A1020" s="1"/>
      <c r="B1020" s="1"/>
    </row>
    <row r="1021" spans="1:2" ht="14.25" customHeight="1">
      <c r="A1021" s="1"/>
      <c r="B1021" s="1"/>
    </row>
    <row r="1022" spans="1:2" ht="14.25" customHeight="1">
      <c r="A1022" s="1"/>
      <c r="B1022" s="1"/>
    </row>
    <row r="1023" spans="1:2" ht="14.25" customHeight="1">
      <c r="A1023" s="1"/>
      <c r="B1023" s="1"/>
    </row>
    <row r="1024" spans="1:2" ht="14.25" customHeight="1">
      <c r="A1024" s="1"/>
      <c r="B1024" s="1"/>
    </row>
    <row r="1025" spans="1:2" ht="14.25" customHeight="1">
      <c r="A1025" s="1"/>
      <c r="B1025" s="1"/>
    </row>
    <row r="1026" spans="1:2" ht="14.25" customHeight="1">
      <c r="A1026" s="1"/>
      <c r="B1026" s="1"/>
    </row>
    <row r="1027" spans="1:2" ht="14.25" customHeight="1">
      <c r="A1027" s="1"/>
      <c r="B1027" s="1"/>
    </row>
    <row r="1028" spans="1:2" ht="14.25" customHeight="1">
      <c r="A1028" s="1"/>
      <c r="B1028" s="1"/>
    </row>
    <row r="1029" spans="1:2" ht="14.25" customHeight="1">
      <c r="A1029" s="1"/>
      <c r="B1029" s="1"/>
    </row>
    <row r="1030" spans="1:2" ht="14.25" customHeight="1">
      <c r="A1030" s="1"/>
      <c r="B1030" s="1"/>
    </row>
    <row r="1031" spans="1:2" ht="14.25" customHeight="1">
      <c r="A1031" s="1"/>
      <c r="B1031" s="1"/>
    </row>
    <row r="1032" spans="1:2" ht="14.25" customHeight="1">
      <c r="A1032" s="1"/>
      <c r="B1032" s="1"/>
    </row>
    <row r="1033" spans="1:2" ht="14.25" customHeight="1">
      <c r="A1033" s="1"/>
      <c r="B1033" s="1"/>
    </row>
    <row r="1034" spans="1:2" ht="14.25" customHeight="1">
      <c r="A1034" s="1"/>
      <c r="B1034" s="1"/>
    </row>
    <row r="1035" spans="1:2" ht="14.25" customHeight="1">
      <c r="A1035" s="1"/>
      <c r="B1035" s="1"/>
    </row>
    <row r="1036" spans="1:2" ht="14.25" customHeight="1">
      <c r="A1036" s="1"/>
      <c r="B1036" s="1"/>
    </row>
    <row r="1037" spans="1:2" ht="14.25" customHeight="1">
      <c r="A1037" s="1"/>
      <c r="B1037" s="1"/>
    </row>
    <row r="1038" spans="1:2" ht="14.25" customHeight="1">
      <c r="A1038" s="1"/>
      <c r="B1038" s="1"/>
    </row>
    <row r="1039" spans="1:2" ht="14.25" customHeight="1">
      <c r="A1039" s="1"/>
      <c r="B1039" s="1"/>
    </row>
    <row r="1040" spans="1:2" ht="14.25" customHeight="1">
      <c r="A1040" s="1"/>
      <c r="B1040" s="1"/>
    </row>
    <row r="1041" spans="1:2" ht="14.25" customHeight="1">
      <c r="A1041" s="1"/>
      <c r="B1041" s="1"/>
    </row>
    <row r="1042" spans="1:2" ht="14.25" customHeight="1">
      <c r="A1042" s="1"/>
      <c r="B1042" s="1"/>
    </row>
    <row r="1043" spans="1:2" ht="14.25" customHeight="1">
      <c r="A1043" s="1"/>
      <c r="B1043" s="1"/>
    </row>
    <row r="1044" spans="1:2" ht="14.25" customHeight="1">
      <c r="A1044" s="1"/>
      <c r="B1044" s="1"/>
    </row>
    <row r="1045" spans="1:2" ht="14.25" customHeight="1">
      <c r="A1045" s="1"/>
      <c r="B1045" s="1"/>
    </row>
    <row r="1046" spans="1:2" ht="14.25" customHeight="1">
      <c r="A1046" s="1"/>
      <c r="B1046" s="1"/>
    </row>
    <row r="1047" spans="1:2" ht="14.25" customHeight="1">
      <c r="A1047" s="1"/>
      <c r="B1047" s="1"/>
    </row>
    <row r="1048" spans="1:2" ht="14.25" customHeight="1">
      <c r="A1048" s="1"/>
      <c r="B1048" s="1"/>
    </row>
    <row r="1049" spans="1:2" ht="14.25" customHeight="1">
      <c r="A1049" s="1"/>
      <c r="B1049" s="1"/>
    </row>
    <row r="1050" spans="1:2" ht="14.25" customHeight="1">
      <c r="A1050" s="1"/>
      <c r="B1050" s="1"/>
    </row>
    <row r="1051" spans="1:2" ht="14.25" customHeight="1">
      <c r="A1051" s="1"/>
      <c r="B1051" s="1"/>
    </row>
    <row r="1052" spans="1:2" ht="14.25" customHeight="1">
      <c r="A1052" s="1"/>
      <c r="B1052" s="1"/>
    </row>
    <row r="1053" spans="1:2" ht="14.25" customHeight="1">
      <c r="A1053" s="1"/>
      <c r="B1053" s="1"/>
    </row>
    <row r="1054" spans="1:2" ht="14.25" customHeight="1">
      <c r="A1054" s="1"/>
      <c r="B1054" s="1"/>
    </row>
    <row r="1055" spans="1:2" ht="14.25" customHeight="1">
      <c r="A1055" s="1"/>
      <c r="B1055" s="1"/>
    </row>
    <row r="1056" spans="1:2" ht="14.25" customHeight="1">
      <c r="A1056" s="1"/>
      <c r="B1056" s="1"/>
    </row>
    <row r="1057" spans="1:2" ht="14.25" customHeight="1">
      <c r="A1057" s="1"/>
      <c r="B1057" s="1"/>
    </row>
    <row r="1058" spans="1:2" ht="14.25" customHeight="1">
      <c r="A1058" s="1"/>
      <c r="B1058" s="1"/>
    </row>
    <row r="1059" spans="1:2" ht="14.25" customHeight="1">
      <c r="A1059" s="1"/>
      <c r="B1059" s="1"/>
    </row>
    <row r="1060" spans="1:2" ht="14.25" customHeight="1">
      <c r="A1060" s="1"/>
      <c r="B1060" s="1"/>
    </row>
    <row r="1061" spans="1:2" ht="14.25" customHeight="1">
      <c r="A1061" s="1"/>
      <c r="B1061" s="1"/>
    </row>
    <row r="1062" spans="1:2" ht="14.25" customHeight="1">
      <c r="A1062" s="1"/>
      <c r="B1062" s="1"/>
    </row>
    <row r="1063" spans="1:2" ht="14.25" customHeight="1">
      <c r="A1063" s="1"/>
      <c r="B1063" s="1"/>
    </row>
    <row r="1064" spans="1:2" ht="14.25" customHeight="1">
      <c r="A1064" s="1"/>
      <c r="B1064" s="1"/>
    </row>
    <row r="1065" spans="1:2" ht="14.25" customHeight="1">
      <c r="A1065" s="1"/>
      <c r="B1065" s="1"/>
    </row>
    <row r="1066" spans="1:2" ht="14.25" customHeight="1">
      <c r="A1066" s="1"/>
      <c r="B1066" s="1"/>
    </row>
    <row r="1067" spans="1:2" ht="14.25" customHeight="1">
      <c r="A1067" s="1"/>
      <c r="B1067" s="1"/>
    </row>
    <row r="1068" spans="1:2" ht="14.25" customHeight="1">
      <c r="A1068" s="1"/>
      <c r="B1068" s="1"/>
    </row>
    <row r="1069" spans="1:2" ht="14.25" customHeight="1">
      <c r="A1069" s="1"/>
      <c r="B1069" s="1"/>
    </row>
    <row r="1070" spans="1:2" ht="14.25" customHeight="1">
      <c r="A1070" s="1"/>
      <c r="B1070" s="1"/>
    </row>
    <row r="1071" spans="1:2" ht="14.25" customHeight="1">
      <c r="A1071" s="1"/>
      <c r="B1071" s="1"/>
    </row>
    <row r="1072" spans="1:2" ht="14.25" customHeight="1">
      <c r="A1072" s="1"/>
      <c r="B1072" s="1"/>
    </row>
    <row r="1073" spans="1:2" ht="14.25" customHeight="1">
      <c r="A1073" s="1"/>
      <c r="B1073" s="1"/>
    </row>
    <row r="1074" spans="1:2" ht="14.25" customHeight="1">
      <c r="A1074" s="1"/>
      <c r="B1074" s="1"/>
    </row>
    <row r="1075" spans="1:2" ht="14.25" customHeight="1">
      <c r="A1075" s="1"/>
      <c r="B1075" s="1"/>
    </row>
    <row r="1076" spans="1:2" ht="14.25" customHeight="1">
      <c r="A1076" s="1"/>
      <c r="B1076" s="1"/>
    </row>
    <row r="1077" spans="1:2" ht="14.25" customHeight="1">
      <c r="A1077" s="1"/>
      <c r="B1077" s="1"/>
    </row>
    <row r="1078" spans="1:2" ht="14.25" customHeight="1">
      <c r="A1078" s="1"/>
      <c r="B1078" s="1"/>
    </row>
    <row r="1079" spans="1:2" ht="14.25" customHeight="1">
      <c r="A1079" s="1"/>
      <c r="B1079" s="1"/>
    </row>
    <row r="1080" spans="1:2" ht="14.25" customHeight="1">
      <c r="A1080" s="1"/>
      <c r="B1080" s="1"/>
    </row>
    <row r="1081" spans="1:2" ht="14.25" customHeight="1">
      <c r="A1081" s="1"/>
      <c r="B1081" s="1"/>
    </row>
    <row r="1082" spans="1:2" ht="14.25" customHeight="1">
      <c r="A1082" s="1"/>
      <c r="B1082" s="1"/>
    </row>
    <row r="1083" spans="1:2" ht="14.25" customHeight="1">
      <c r="A1083" s="1"/>
      <c r="B1083" s="1"/>
    </row>
    <row r="1084" spans="1:2" ht="14.25" customHeight="1">
      <c r="A1084" s="1"/>
      <c r="B1084" s="1"/>
    </row>
    <row r="1085" spans="1:2" ht="14.25" customHeight="1">
      <c r="A1085" s="1"/>
      <c r="B1085" s="1"/>
    </row>
    <row r="1086" spans="1:2" ht="14.25" customHeight="1">
      <c r="A1086" s="1"/>
      <c r="B1086" s="1"/>
    </row>
    <row r="1087" spans="1:2" ht="14.25" customHeight="1">
      <c r="A1087" s="1"/>
      <c r="B1087" s="1"/>
    </row>
    <row r="1088" spans="1:2" ht="14.25" customHeight="1">
      <c r="A1088" s="1"/>
      <c r="B1088" s="1"/>
    </row>
    <row r="1089" spans="1:2" ht="14.25" customHeight="1">
      <c r="A1089" s="1"/>
      <c r="B1089" s="1"/>
    </row>
    <row r="1090" spans="1:2" ht="14.25" customHeight="1">
      <c r="A1090" s="1"/>
      <c r="B1090" s="1"/>
    </row>
    <row r="1091" spans="1:2" ht="14.25" customHeight="1">
      <c r="A1091" s="1"/>
      <c r="B1091" s="1"/>
    </row>
    <row r="1092" spans="1:2" ht="14.25" customHeight="1">
      <c r="A1092" s="1"/>
      <c r="B1092" s="1"/>
    </row>
    <row r="1093" spans="1:2" ht="14.25" customHeight="1">
      <c r="A1093" s="1"/>
      <c r="B1093" s="1"/>
    </row>
    <row r="1094" spans="1:2" ht="14.25" customHeight="1">
      <c r="A1094" s="1"/>
      <c r="B1094" s="1"/>
    </row>
    <row r="1095" spans="1:2" ht="14.25" customHeight="1">
      <c r="A1095" s="1"/>
      <c r="B1095" s="1"/>
    </row>
    <row r="1096" spans="1:2" ht="14.25" customHeight="1">
      <c r="A1096" s="1"/>
      <c r="B1096" s="1"/>
    </row>
    <row r="1097" spans="1:2" ht="14.25" customHeight="1">
      <c r="A1097" s="1"/>
      <c r="B1097" s="1"/>
    </row>
    <row r="1098" spans="1:2" ht="14.25" customHeight="1">
      <c r="A1098" s="1"/>
      <c r="B1098" s="1"/>
    </row>
    <row r="1099" spans="1:2" ht="14.25" customHeight="1">
      <c r="A1099" s="1"/>
      <c r="B1099" s="1"/>
    </row>
    <row r="1100" spans="1:2" ht="14.25" customHeight="1">
      <c r="A1100" s="1"/>
      <c r="B1100" s="1"/>
    </row>
    <row r="1101" spans="1:2" ht="14.25" customHeight="1">
      <c r="A1101" s="1"/>
      <c r="B1101" s="1"/>
    </row>
    <row r="1102" spans="1:2" ht="14.25" customHeight="1">
      <c r="A1102" s="1"/>
      <c r="B1102" s="1"/>
    </row>
    <row r="1103" spans="1:2" ht="14.25" customHeight="1">
      <c r="A1103" s="1"/>
      <c r="B1103" s="1"/>
    </row>
    <row r="1104" spans="1:2" ht="14.25" customHeight="1">
      <c r="A1104" s="1"/>
      <c r="B1104" s="1"/>
    </row>
    <row r="1105" spans="1:2" ht="14.25" customHeight="1">
      <c r="A1105" s="1"/>
      <c r="B1105" s="1"/>
    </row>
    <row r="1106" spans="1:2" ht="14.25" customHeight="1">
      <c r="A1106" s="1"/>
      <c r="B1106" s="1"/>
    </row>
    <row r="1107" spans="1:2" ht="14.25" customHeight="1">
      <c r="A1107" s="1"/>
      <c r="B1107" s="1"/>
    </row>
    <row r="1108" spans="1:2" ht="14.25" customHeight="1">
      <c r="A1108" s="1"/>
      <c r="B1108" s="1"/>
    </row>
    <row r="1109" spans="1:2" ht="14.25" customHeight="1">
      <c r="A1109" s="1"/>
      <c r="B1109" s="1"/>
    </row>
    <row r="1110" spans="1:2" ht="14.25" customHeight="1">
      <c r="A1110" s="1"/>
      <c r="B1110" s="1"/>
    </row>
    <row r="1111" spans="1:2" ht="14.25" customHeight="1">
      <c r="A1111" s="1"/>
      <c r="B1111" s="1"/>
    </row>
    <row r="1112" spans="1:2" ht="14.25" customHeight="1">
      <c r="A1112" s="1"/>
      <c r="B1112" s="1"/>
    </row>
    <row r="1113" spans="1:2" ht="14.25" customHeight="1">
      <c r="A1113" s="1"/>
      <c r="B1113" s="1"/>
    </row>
    <row r="1114" spans="1:2" ht="14.25" customHeight="1">
      <c r="A1114" s="1"/>
      <c r="B1114" s="1"/>
    </row>
    <row r="1115" spans="1:2" ht="14.25" customHeight="1">
      <c r="A1115" s="1"/>
      <c r="B1115" s="1"/>
    </row>
    <row r="1116" spans="1:2" ht="14.25" customHeight="1">
      <c r="A1116" s="1"/>
      <c r="B1116" s="1"/>
    </row>
    <row r="1117" spans="1:2" ht="14.25" customHeight="1">
      <c r="A1117" s="1"/>
      <c r="B1117" s="1"/>
    </row>
    <row r="1118" spans="1:2" ht="14.25" customHeight="1">
      <c r="A1118" s="1"/>
      <c r="B1118" s="1"/>
    </row>
    <row r="1119" spans="1:2" ht="14.25" customHeight="1">
      <c r="A1119" s="1"/>
      <c r="B1119" s="1"/>
    </row>
    <row r="1120" spans="1:2" ht="14.25" customHeight="1">
      <c r="A1120" s="1"/>
      <c r="B1120" s="1"/>
    </row>
    <row r="1121" spans="1:2" ht="14.25" customHeight="1">
      <c r="A1121" s="1"/>
      <c r="B1121" s="1"/>
    </row>
    <row r="1122" spans="1:2" ht="14.25" customHeight="1">
      <c r="A1122" s="1"/>
      <c r="B1122" s="1"/>
    </row>
    <row r="1123" spans="1:2" ht="14.25" customHeight="1">
      <c r="A1123" s="1"/>
      <c r="B1123" s="1"/>
    </row>
    <row r="1124" spans="1:2" ht="14.25" customHeight="1">
      <c r="A1124" s="1"/>
      <c r="B1124" s="1"/>
    </row>
    <row r="1125" spans="1:2" ht="14.25" customHeight="1">
      <c r="A1125" s="1"/>
      <c r="B1125" s="1"/>
    </row>
    <row r="1126" spans="1:2" ht="14.25" customHeight="1">
      <c r="A1126" s="1"/>
      <c r="B1126" s="1"/>
    </row>
    <row r="1127" spans="1:2" ht="14.25" customHeight="1">
      <c r="A1127" s="1"/>
      <c r="B1127" s="1"/>
    </row>
    <row r="1128" spans="1:2" ht="14.25" customHeight="1">
      <c r="A1128" s="1"/>
      <c r="B1128" s="1"/>
    </row>
    <row r="1129" spans="1:2" ht="14.25" customHeight="1">
      <c r="A1129" s="1"/>
      <c r="B1129" s="1"/>
    </row>
    <row r="1130" spans="1:2" ht="14.25" customHeight="1">
      <c r="A1130" s="1"/>
      <c r="B1130" s="1"/>
    </row>
    <row r="1131" spans="1:2" ht="14.25" customHeight="1">
      <c r="A1131" s="1"/>
      <c r="B1131" s="1"/>
    </row>
    <row r="1132" spans="1:2" ht="14.25" customHeight="1">
      <c r="A1132" s="1"/>
      <c r="B1132" s="1"/>
    </row>
    <row r="1133" spans="1:2" ht="14.25" customHeight="1">
      <c r="A1133" s="1"/>
      <c r="B1133" s="1"/>
    </row>
    <row r="1134" spans="1:2" ht="14.25" customHeight="1">
      <c r="A1134" s="1"/>
      <c r="B1134" s="1"/>
    </row>
    <row r="1135" spans="1:2" ht="14.25" customHeight="1">
      <c r="A1135" s="1"/>
      <c r="B1135" s="1"/>
    </row>
    <row r="1136" spans="1:2" ht="14.25" customHeight="1">
      <c r="A1136" s="1"/>
      <c r="B1136" s="1"/>
    </row>
    <row r="1137" spans="1:2" ht="14.25" customHeight="1">
      <c r="A1137" s="1"/>
      <c r="B1137" s="1"/>
    </row>
    <row r="1138" spans="1:2" ht="14.25" customHeight="1">
      <c r="A1138" s="1"/>
      <c r="B1138" s="1"/>
    </row>
    <row r="1139" spans="1:2" ht="14.25" customHeight="1">
      <c r="A1139" s="1"/>
      <c r="B1139" s="1"/>
    </row>
    <row r="1140" spans="1:2" ht="14.25" customHeight="1">
      <c r="A1140" s="1"/>
      <c r="B1140" s="1"/>
    </row>
    <row r="1141" spans="1:2" ht="14.25" customHeight="1">
      <c r="A1141" s="1"/>
      <c r="B1141" s="1"/>
    </row>
    <row r="1142" spans="1:2" ht="14.25" customHeight="1">
      <c r="A1142" s="1"/>
      <c r="B1142" s="1"/>
    </row>
    <row r="1143" spans="1:2" ht="14.25" customHeight="1">
      <c r="A1143" s="1"/>
      <c r="B1143" s="1"/>
    </row>
    <row r="1144" spans="1:2" ht="14.25" customHeight="1">
      <c r="A1144" s="1"/>
      <c r="B1144" s="1"/>
    </row>
    <row r="1145" spans="1:2" ht="14.25" customHeight="1">
      <c r="A1145" s="1"/>
      <c r="B1145" s="1"/>
    </row>
    <row r="1146" spans="1:2" ht="14.25" customHeight="1">
      <c r="A1146" s="1"/>
      <c r="B1146" s="1"/>
    </row>
    <row r="1147" spans="1:2" ht="14.25" customHeight="1">
      <c r="A1147" s="1"/>
      <c r="B1147" s="1"/>
    </row>
    <row r="1148" spans="1:2" ht="14.25" customHeight="1">
      <c r="A1148" s="1"/>
      <c r="B1148" s="1"/>
    </row>
    <row r="1149" spans="1:2" ht="14.25" customHeight="1">
      <c r="A1149" s="1"/>
      <c r="B1149" s="1"/>
    </row>
    <row r="1150" spans="1:2" ht="14.25" customHeight="1">
      <c r="A1150" s="1"/>
      <c r="B1150" s="1"/>
    </row>
    <row r="1151" spans="1:2" ht="14.25" customHeight="1">
      <c r="A1151" s="1"/>
      <c r="B1151" s="1"/>
    </row>
    <row r="1152" spans="1:2" ht="14.25" customHeight="1">
      <c r="A1152" s="1"/>
      <c r="B1152" s="1"/>
    </row>
    <row r="1153" spans="1:2" ht="14.25" customHeight="1">
      <c r="A1153" s="1"/>
      <c r="B1153" s="1"/>
    </row>
    <row r="1154" spans="1:2" ht="14.25" customHeight="1">
      <c r="A1154" s="1"/>
      <c r="B1154" s="1"/>
    </row>
    <row r="1155" spans="1:2" ht="14.25" customHeight="1">
      <c r="A1155" s="1"/>
      <c r="B1155" s="1"/>
    </row>
    <row r="1156" spans="1:2" ht="14.25" customHeight="1">
      <c r="A1156" s="1"/>
      <c r="B1156" s="1"/>
    </row>
    <row r="1157" spans="1:2" ht="14.25" customHeight="1">
      <c r="A1157" s="1"/>
      <c r="B1157" s="1"/>
    </row>
    <row r="1158" spans="1:2" ht="14.25" customHeight="1">
      <c r="A1158" s="1"/>
      <c r="B1158" s="1"/>
    </row>
    <row r="1159" spans="1:2" ht="14.25" customHeight="1">
      <c r="A1159" s="1"/>
      <c r="B1159" s="1"/>
    </row>
    <row r="1160" spans="1:2" ht="14.25" customHeight="1">
      <c r="A1160" s="1"/>
      <c r="B1160" s="1"/>
    </row>
    <row r="1161" spans="1:2" ht="14.25" customHeight="1">
      <c r="A1161" s="1"/>
      <c r="B1161" s="1"/>
    </row>
    <row r="1162" spans="1:2" ht="14.25" customHeight="1">
      <c r="A1162" s="1"/>
      <c r="B1162" s="1"/>
    </row>
    <row r="1163" spans="1:2" ht="14.25" customHeight="1">
      <c r="A1163" s="1"/>
      <c r="B1163" s="1"/>
    </row>
    <row r="1164" spans="1:2" ht="14.25" customHeight="1">
      <c r="A1164" s="1"/>
      <c r="B1164" s="1"/>
    </row>
    <row r="1165" spans="1:2" ht="14.25" customHeight="1">
      <c r="A1165" s="1"/>
      <c r="B1165" s="1"/>
    </row>
    <row r="1166" spans="1:2" ht="14.25" customHeight="1">
      <c r="A1166" s="1"/>
      <c r="B1166" s="1"/>
    </row>
    <row r="1167" spans="1:2" ht="14.25" customHeight="1">
      <c r="A1167" s="1"/>
      <c r="B1167" s="1"/>
    </row>
    <row r="1168" spans="1:2" ht="14.25" customHeight="1">
      <c r="A1168" s="1"/>
      <c r="B1168" s="1"/>
    </row>
    <row r="1169" spans="1:2" ht="14.25" customHeight="1">
      <c r="A1169" s="1"/>
      <c r="B1169" s="1"/>
    </row>
    <row r="1170" spans="1:2" ht="14.25" customHeight="1">
      <c r="A1170" s="1"/>
      <c r="B1170" s="1"/>
    </row>
    <row r="1171" spans="1:2" ht="14.25" customHeight="1">
      <c r="A1171" s="1"/>
      <c r="B1171" s="1"/>
    </row>
    <row r="1172" spans="1:2" ht="14.25" customHeight="1">
      <c r="A1172" s="1"/>
      <c r="B1172" s="1"/>
    </row>
    <row r="1173" spans="1:2" ht="14.25" customHeight="1">
      <c r="A1173" s="1"/>
      <c r="B1173" s="1"/>
    </row>
    <row r="1174" spans="1:2" ht="14.25" customHeight="1">
      <c r="A1174" s="1"/>
      <c r="B1174" s="1"/>
    </row>
    <row r="1175" spans="1:2" ht="14.25" customHeight="1">
      <c r="A1175" s="1"/>
      <c r="B1175" s="1"/>
    </row>
    <row r="1176" spans="1:2" ht="14.25" customHeight="1">
      <c r="A1176" s="1"/>
      <c r="B1176" s="1"/>
    </row>
    <row r="1177" spans="1:2" ht="14.25" customHeight="1">
      <c r="A1177" s="1"/>
      <c r="B1177" s="1"/>
    </row>
    <row r="1178" spans="1:2" ht="14.25" customHeight="1">
      <c r="A1178" s="1"/>
      <c r="B1178" s="1"/>
    </row>
    <row r="1179" spans="1:2" ht="14.25" customHeight="1">
      <c r="A1179" s="1"/>
      <c r="B1179" s="1"/>
    </row>
    <row r="1180" spans="1:2" ht="14.25" customHeight="1">
      <c r="A1180" s="1"/>
      <c r="B1180" s="1"/>
    </row>
    <row r="1181" spans="1:2" ht="14.25" customHeight="1">
      <c r="A1181" s="1"/>
      <c r="B1181" s="1"/>
    </row>
    <row r="1182" spans="1:2" ht="14.25" customHeight="1">
      <c r="A1182" s="1"/>
      <c r="B1182" s="1"/>
    </row>
    <row r="1183" spans="1:2" ht="14.25" customHeight="1">
      <c r="A1183" s="1"/>
      <c r="B1183" s="1"/>
    </row>
    <row r="1184" spans="1:2" ht="14.25" customHeight="1">
      <c r="A1184" s="1"/>
      <c r="B1184" s="1"/>
    </row>
    <row r="1185" spans="1:2" ht="14.25" customHeight="1">
      <c r="A1185" s="1"/>
      <c r="B1185" s="1"/>
    </row>
    <row r="1186" spans="1:2" ht="14.25" customHeight="1">
      <c r="A1186" s="1"/>
      <c r="B1186" s="1"/>
    </row>
    <row r="1187" spans="1:2" ht="14.25" customHeight="1">
      <c r="A1187" s="1"/>
      <c r="B1187" s="1"/>
    </row>
    <row r="1188" spans="1:2" ht="14.25" customHeight="1">
      <c r="A1188" s="1"/>
      <c r="B1188" s="1"/>
    </row>
    <row r="1189" spans="1:2" ht="14.25" customHeight="1">
      <c r="A1189" s="1"/>
      <c r="B1189" s="1"/>
    </row>
    <row r="1190" spans="1:2" ht="14.25" customHeight="1">
      <c r="A1190" s="1"/>
      <c r="B1190" s="1"/>
    </row>
    <row r="1191" spans="1:2" ht="14.25" customHeight="1">
      <c r="A1191" s="1"/>
      <c r="B1191" s="1"/>
    </row>
    <row r="1192" spans="1:2" ht="14.25" customHeight="1">
      <c r="A1192" s="1"/>
      <c r="B1192" s="1"/>
    </row>
    <row r="1193" spans="1:2" ht="14.25" customHeight="1">
      <c r="A1193" s="1"/>
      <c r="B1193" s="1"/>
    </row>
    <row r="1194" spans="1:2" ht="14.25" customHeight="1">
      <c r="A1194" s="1"/>
      <c r="B1194" s="1"/>
    </row>
    <row r="1195" spans="1:2" ht="14.25" customHeight="1">
      <c r="A1195" s="1"/>
      <c r="B1195" s="1"/>
    </row>
    <row r="1196" spans="1:2" ht="14.25" customHeight="1">
      <c r="A1196" s="1"/>
      <c r="B1196" s="1"/>
    </row>
    <row r="1197" spans="1:2" ht="14.25" customHeight="1">
      <c r="A1197" s="1"/>
      <c r="B1197" s="1"/>
    </row>
    <row r="1198" spans="1:2" ht="14.25" customHeight="1">
      <c r="A1198" s="1"/>
      <c r="B1198" s="1"/>
    </row>
    <row r="1199" spans="1:2" ht="14.25" customHeight="1">
      <c r="A1199" s="1"/>
      <c r="B1199" s="1"/>
    </row>
    <row r="1200" spans="1:2" ht="14.25" customHeight="1">
      <c r="A1200" s="1"/>
      <c r="B1200" s="1"/>
    </row>
    <row r="1201" spans="1:2" ht="14.25" customHeight="1">
      <c r="A1201" s="1"/>
      <c r="B1201" s="1"/>
    </row>
    <row r="1202" spans="1:2" ht="14.25" customHeight="1">
      <c r="A1202" s="1"/>
      <c r="B1202" s="1"/>
    </row>
    <row r="1203" spans="1:2" ht="14.25" customHeight="1">
      <c r="A1203" s="1"/>
      <c r="B1203" s="1"/>
    </row>
    <row r="1204" spans="1:2" ht="14.25" customHeight="1">
      <c r="A1204" s="1"/>
      <c r="B1204" s="1"/>
    </row>
    <row r="1205" spans="1:2" ht="14.25" customHeight="1">
      <c r="A1205" s="1"/>
      <c r="B1205" s="1"/>
    </row>
    <row r="1206" spans="1:2" ht="14.25" customHeight="1">
      <c r="A1206" s="1"/>
      <c r="B1206" s="1"/>
    </row>
    <row r="1207" spans="1:2" ht="14.25" customHeight="1">
      <c r="A1207" s="1"/>
      <c r="B1207" s="1"/>
    </row>
    <row r="1208" spans="1:2" ht="14.25" customHeight="1">
      <c r="A1208" s="1"/>
      <c r="B1208" s="1"/>
    </row>
    <row r="1209" spans="1:2" ht="14.25" customHeight="1">
      <c r="A1209" s="1"/>
      <c r="B1209" s="1"/>
    </row>
    <row r="1210" spans="1:2" ht="14.25" customHeight="1">
      <c r="A1210" s="1"/>
      <c r="B1210" s="1"/>
    </row>
    <row r="1211" spans="1:2" ht="14.25" customHeight="1">
      <c r="A1211" s="1"/>
      <c r="B1211" s="1"/>
    </row>
    <row r="1212" spans="1:2" ht="14.25" customHeight="1">
      <c r="A1212" s="1"/>
      <c r="B1212" s="1"/>
    </row>
    <row r="1213" spans="1:2" ht="14.25" customHeight="1">
      <c r="A1213" s="1"/>
      <c r="B1213" s="1"/>
    </row>
    <row r="1214" spans="1:2" ht="14.25" customHeight="1">
      <c r="A1214" s="1"/>
      <c r="B1214" s="1"/>
    </row>
    <row r="1215" spans="1:2" ht="14.25" customHeight="1">
      <c r="A1215" s="1"/>
      <c r="B1215" s="1"/>
    </row>
    <row r="1216" spans="1:2" ht="14.25" customHeight="1">
      <c r="A1216" s="1"/>
      <c r="B1216" s="1"/>
    </row>
    <row r="1217" spans="1:2" ht="14.25" customHeight="1">
      <c r="A1217" s="1"/>
      <c r="B1217" s="1"/>
    </row>
    <row r="1218" spans="1:2" ht="14.25" customHeight="1">
      <c r="A1218" s="1"/>
      <c r="B1218" s="1"/>
    </row>
    <row r="1219" spans="1:2" ht="14.25" customHeight="1">
      <c r="A1219" s="1"/>
      <c r="B1219" s="1"/>
    </row>
    <row r="1220" spans="1:2" ht="14.25" customHeight="1">
      <c r="A1220" s="1"/>
      <c r="B1220" s="1"/>
    </row>
    <row r="1221" spans="1:2" ht="14.25" customHeight="1">
      <c r="A1221" s="1"/>
      <c r="B1221" s="1"/>
    </row>
    <row r="1222" spans="1:2" ht="14.25" customHeight="1">
      <c r="A1222" s="1"/>
      <c r="B1222" s="1"/>
    </row>
    <row r="1223" spans="1:2" ht="14.25" customHeight="1">
      <c r="A1223" s="1"/>
      <c r="B1223" s="1"/>
    </row>
    <row r="1224" spans="1:2" ht="14.25" customHeight="1">
      <c r="A1224" s="1"/>
      <c r="B1224" s="1"/>
    </row>
    <row r="1225" spans="1:2" ht="14.25" customHeight="1">
      <c r="A1225" s="1"/>
      <c r="B1225" s="1"/>
    </row>
    <row r="1226" spans="1:2" ht="14.25" customHeight="1">
      <c r="A1226" s="1"/>
      <c r="B1226" s="1"/>
    </row>
    <row r="1227" spans="1:2" ht="14.25" customHeight="1">
      <c r="A1227" s="1"/>
      <c r="B1227" s="1"/>
    </row>
    <row r="1228" spans="1:2" ht="14.25" customHeight="1">
      <c r="A1228" s="1"/>
      <c r="B1228" s="1"/>
    </row>
    <row r="1229" spans="1:2" ht="14.25" customHeight="1">
      <c r="A1229" s="1"/>
      <c r="B1229" s="1"/>
    </row>
    <row r="1230" spans="1:2" ht="14.25" customHeight="1">
      <c r="A1230" s="1"/>
      <c r="B1230" s="1"/>
    </row>
    <row r="1231" spans="1:2" ht="14.25" customHeight="1">
      <c r="A1231" s="1"/>
      <c r="B1231" s="1"/>
    </row>
    <row r="1232" spans="1:2" ht="14.25" customHeight="1">
      <c r="A1232" s="1"/>
      <c r="B1232" s="1"/>
    </row>
    <row r="1233" spans="1:2" ht="14.25" customHeight="1">
      <c r="A1233" s="1"/>
      <c r="B1233" s="1"/>
    </row>
    <row r="1234" spans="1:2" ht="14.25" customHeight="1">
      <c r="A1234" s="1"/>
      <c r="B1234" s="1"/>
    </row>
    <row r="1235" spans="1:2" ht="14.25" customHeight="1">
      <c r="A1235" s="1"/>
      <c r="B1235" s="1"/>
    </row>
    <row r="1236" spans="1:2" ht="14.25" customHeight="1">
      <c r="A1236" s="1"/>
      <c r="B1236" s="1"/>
    </row>
    <row r="1237" spans="1:2" ht="14.25" customHeight="1">
      <c r="A1237" s="1"/>
      <c r="B1237" s="1"/>
    </row>
    <row r="1238" spans="1:2" ht="14.25" customHeight="1">
      <c r="A1238" s="1"/>
      <c r="B1238" s="1"/>
    </row>
    <row r="1239" spans="1:2" ht="14.25" customHeight="1">
      <c r="A1239" s="1"/>
      <c r="B1239" s="1"/>
    </row>
    <row r="1240" spans="1:2" ht="14.25" customHeight="1">
      <c r="A1240" s="1"/>
      <c r="B1240" s="1"/>
    </row>
    <row r="1241" spans="1:2" ht="14.25" customHeight="1">
      <c r="A1241" s="1"/>
      <c r="B1241" s="1"/>
    </row>
    <row r="1242" spans="1:2" ht="14.25" customHeight="1">
      <c r="A1242" s="1"/>
      <c r="B1242" s="1"/>
    </row>
    <row r="1243" spans="1:2" ht="14.25" customHeight="1">
      <c r="A1243" s="1"/>
      <c r="B1243" s="1"/>
    </row>
    <row r="1244" spans="1:2" ht="14.25" customHeight="1">
      <c r="A1244" s="1"/>
      <c r="B1244" s="1"/>
    </row>
    <row r="1245" spans="1:2" ht="14.25" customHeight="1">
      <c r="A1245" s="1"/>
      <c r="B1245" s="1"/>
    </row>
    <row r="1246" spans="1:2" ht="14.25" customHeight="1">
      <c r="A1246" s="1"/>
      <c r="B1246" s="1"/>
    </row>
    <row r="1247" spans="1:2" ht="14.25" customHeight="1">
      <c r="A1247" s="1"/>
      <c r="B1247" s="1"/>
    </row>
    <row r="1248" spans="1:2" ht="14.25" customHeight="1">
      <c r="A1248" s="1"/>
      <c r="B1248" s="1"/>
    </row>
    <row r="1249" spans="1:2" ht="14.25" customHeight="1">
      <c r="A1249" s="1"/>
      <c r="B1249" s="1"/>
    </row>
    <row r="1250" spans="1:2" ht="14.25" customHeight="1">
      <c r="A1250" s="1"/>
      <c r="B1250" s="1"/>
    </row>
    <row r="1251" spans="1:2" ht="14.25" customHeight="1">
      <c r="A1251" s="1"/>
      <c r="B1251" s="1"/>
    </row>
    <row r="1252" spans="1:2" ht="14.25" customHeight="1">
      <c r="A1252" s="1"/>
      <c r="B1252" s="1"/>
    </row>
    <row r="1253" spans="1:2" ht="14.25" customHeight="1">
      <c r="A1253" s="1"/>
      <c r="B1253" s="1"/>
    </row>
    <row r="1254" spans="1:2" ht="14.25" customHeight="1">
      <c r="A1254" s="1"/>
      <c r="B1254" s="1"/>
    </row>
    <row r="1255" spans="1:2" ht="14.25" customHeight="1">
      <c r="A1255" s="1"/>
      <c r="B1255" s="1"/>
    </row>
    <row r="1256" spans="1:2" ht="14.25" customHeight="1">
      <c r="A1256" s="1"/>
      <c r="B1256" s="1"/>
    </row>
    <row r="1257" spans="1:2" ht="14.25" customHeight="1">
      <c r="A1257" s="1"/>
      <c r="B1257" s="1"/>
    </row>
    <row r="1258" spans="1:2" ht="14.25" customHeight="1">
      <c r="A1258" s="1"/>
      <c r="B1258" s="1"/>
    </row>
    <row r="1259" spans="1:2" ht="14.25" customHeight="1">
      <c r="A1259" s="1"/>
      <c r="B1259" s="1"/>
    </row>
    <row r="1260" spans="1:2" ht="14.25" customHeight="1">
      <c r="A1260" s="1"/>
      <c r="B1260" s="1"/>
    </row>
    <row r="1261" spans="1:2" ht="14.25" customHeight="1">
      <c r="A1261" s="1"/>
      <c r="B1261" s="1"/>
    </row>
    <row r="1262" spans="1:2" ht="14.25" customHeight="1">
      <c r="A1262" s="1"/>
      <c r="B1262" s="1"/>
    </row>
    <row r="1263" spans="1:2" ht="14.25" customHeight="1">
      <c r="A1263" s="1"/>
      <c r="B1263" s="1"/>
    </row>
    <row r="1264" spans="1:2" ht="14.25" customHeight="1">
      <c r="A1264" s="1"/>
      <c r="B1264" s="1"/>
    </row>
    <row r="1265" spans="1:2" ht="14.25" customHeight="1">
      <c r="A1265" s="1"/>
      <c r="B1265" s="1"/>
    </row>
    <row r="1266" spans="1:2" ht="14.25" customHeight="1">
      <c r="A1266" s="1"/>
      <c r="B1266" s="1"/>
    </row>
    <row r="1267" spans="1:2" ht="14.25" customHeight="1">
      <c r="A1267" s="1"/>
      <c r="B1267" s="1"/>
    </row>
    <row r="1268" spans="1:2" ht="14.25" customHeight="1">
      <c r="A1268" s="1"/>
      <c r="B1268" s="1"/>
    </row>
    <row r="1269" spans="1:2" ht="14.25" customHeight="1">
      <c r="A1269" s="1"/>
      <c r="B1269" s="1"/>
    </row>
    <row r="1270" spans="1:2" ht="14.25" customHeight="1">
      <c r="A1270" s="1"/>
      <c r="B1270" s="1"/>
    </row>
    <row r="1271" spans="1:2" ht="14.25" customHeight="1">
      <c r="A1271" s="1"/>
      <c r="B1271" s="1"/>
    </row>
    <row r="1272" spans="1:2" ht="14.25" customHeight="1">
      <c r="A1272" s="1"/>
      <c r="B1272" s="1"/>
    </row>
    <row r="1273" spans="1:2" ht="14.25" customHeight="1">
      <c r="A1273" s="1"/>
      <c r="B1273" s="1"/>
    </row>
    <row r="1274" spans="1:2" ht="14.25" customHeight="1">
      <c r="A1274" s="1"/>
      <c r="B1274" s="1"/>
    </row>
    <row r="1275" spans="1:2" ht="14.25" customHeight="1">
      <c r="A1275" s="1"/>
      <c r="B1275" s="1"/>
    </row>
    <row r="1276" spans="1:2" ht="14.25" customHeight="1">
      <c r="A1276" s="1"/>
      <c r="B1276" s="1"/>
    </row>
    <row r="1277" spans="1:2" ht="14.25" customHeight="1">
      <c r="A1277" s="1"/>
      <c r="B1277" s="1"/>
    </row>
    <row r="1278" spans="1:2" ht="14.25" customHeight="1">
      <c r="A1278" s="1"/>
      <c r="B1278" s="1"/>
    </row>
    <row r="1279" spans="1:2" ht="14.25" customHeight="1">
      <c r="A1279" s="1"/>
      <c r="B1279" s="1"/>
    </row>
    <row r="1280" spans="1:2" ht="14.25" customHeight="1">
      <c r="A1280" s="1"/>
      <c r="B1280" s="1"/>
    </row>
    <row r="1281" spans="1:2" ht="14.25" customHeight="1">
      <c r="A1281" s="1"/>
      <c r="B1281" s="1"/>
    </row>
    <row r="1282" spans="1:2" ht="14.25" customHeight="1">
      <c r="A1282" s="1"/>
      <c r="B1282" s="1"/>
    </row>
    <row r="1283" spans="1:2" ht="14.25" customHeight="1">
      <c r="A1283" s="1"/>
      <c r="B1283" s="1"/>
    </row>
    <row r="1284" spans="1:2" ht="14.25" customHeight="1">
      <c r="A1284" s="1"/>
      <c r="B1284" s="1"/>
    </row>
    <row r="1285" spans="1:2" ht="14.25" customHeight="1">
      <c r="A1285" s="1"/>
      <c r="B1285" s="1"/>
    </row>
    <row r="1286" spans="1:2" ht="14.25" customHeight="1">
      <c r="A1286" s="1"/>
      <c r="B1286" s="1"/>
    </row>
    <row r="1287" spans="1:2" ht="14.25" customHeight="1">
      <c r="A1287" s="1"/>
      <c r="B1287" s="1"/>
    </row>
    <row r="1288" spans="1:2" ht="14.25" customHeight="1">
      <c r="A1288" s="1"/>
      <c r="B1288" s="1"/>
    </row>
  </sheetData>
  <autoFilter ref="A1:BJ489">
    <filterColumn colId="25">
      <filters>
        <filter val="YES"/>
      </filters>
    </filterColumn>
    <filterColumn colId="30">
      <filters>
        <filter val="Saprotroph_abun"/>
        <filter val="Saprotroph_per"/>
        <filter val="Saprotroph_rel_abun"/>
        <filter val="Saprotroph_richness"/>
        <filter val="Saprotroph_shannon"/>
      </filters>
    </filterColumn>
  </autoFilter>
  <phoneticPr fontId="4" type="noConversion"/>
  <pageMargins left="0.7" right="0.7" top="0.75" bottom="0.75" header="0" footer="0"/>
  <pageSetup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128"/>
  <sheetViews>
    <sheetView topLeftCell="Y1" zoomScale="90" zoomScaleNormal="90" workbookViewId="0">
      <pane ySplit="1" topLeftCell="A45" activePane="bottomLeft" state="frozen"/>
      <selection pane="bottomLeft" activeCell="G21" sqref="G21"/>
    </sheetView>
  </sheetViews>
  <sheetFormatPr baseColWidth="10" defaultRowHeight="14.25"/>
  <cols>
    <col min="35" max="35" width="12.875" customWidth="1"/>
    <col min="36" max="36" width="12" bestFit="1" customWidth="1"/>
  </cols>
  <sheetData>
    <row r="1" spans="1:36" s="1" customFormat="1" ht="14.25" customHeight="1">
      <c r="A1" s="2" t="s">
        <v>90</v>
      </c>
      <c r="B1" s="2" t="s">
        <v>72</v>
      </c>
      <c r="C1" s="3" t="s">
        <v>84</v>
      </c>
      <c r="D1" s="3" t="s">
        <v>95</v>
      </c>
      <c r="E1" s="3" t="s">
        <v>101</v>
      </c>
      <c r="F1" s="3" t="s">
        <v>73</v>
      </c>
      <c r="G1" s="3" t="s">
        <v>108</v>
      </c>
      <c r="H1" s="3" t="s">
        <v>74</v>
      </c>
      <c r="I1" s="3" t="s">
        <v>75</v>
      </c>
      <c r="J1" s="3" t="s">
        <v>123</v>
      </c>
      <c r="K1" s="4" t="s">
        <v>171</v>
      </c>
      <c r="L1" s="4" t="s">
        <v>172</v>
      </c>
      <c r="M1" s="4" t="s">
        <v>236</v>
      </c>
      <c r="N1" s="4" t="s">
        <v>235</v>
      </c>
      <c r="O1" s="5" t="s">
        <v>76</v>
      </c>
      <c r="P1" s="5" t="s">
        <v>77</v>
      </c>
      <c r="Q1" s="6" t="s">
        <v>118</v>
      </c>
      <c r="R1" s="5" t="s">
        <v>78</v>
      </c>
      <c r="S1" s="5" t="s">
        <v>79</v>
      </c>
      <c r="T1" s="5" t="s">
        <v>231</v>
      </c>
      <c r="U1" s="5" t="s">
        <v>80</v>
      </c>
      <c r="V1" s="6" t="s">
        <v>104</v>
      </c>
      <c r="W1" s="6" t="s">
        <v>105</v>
      </c>
      <c r="X1" s="8" t="s">
        <v>87</v>
      </c>
      <c r="Y1" s="8" t="s">
        <v>94</v>
      </c>
      <c r="Z1" s="8" t="s">
        <v>88</v>
      </c>
      <c r="AA1" s="8" t="s">
        <v>81</v>
      </c>
      <c r="AB1" s="8" t="s">
        <v>82</v>
      </c>
      <c r="AC1" s="8" t="s">
        <v>202</v>
      </c>
      <c r="AD1" s="8" t="s">
        <v>83</v>
      </c>
      <c r="AE1" s="7" t="s">
        <v>138</v>
      </c>
      <c r="AF1" s="11" t="s">
        <v>274</v>
      </c>
      <c r="AG1" s="11" t="s">
        <v>275</v>
      </c>
      <c r="AH1" s="11" t="s">
        <v>276</v>
      </c>
      <c r="AI1" s="11" t="s">
        <v>277</v>
      </c>
      <c r="AJ1" s="11" t="s">
        <v>278</v>
      </c>
    </row>
    <row r="2" spans="1:36" s="1" customFormat="1" ht="14.25" customHeight="1">
      <c r="A2" s="12">
        <v>443</v>
      </c>
      <c r="B2" s="12" t="s">
        <v>55</v>
      </c>
      <c r="C2" s="12" t="s">
        <v>85</v>
      </c>
      <c r="D2" s="12">
        <v>2007</v>
      </c>
      <c r="E2" s="12">
        <v>2003</v>
      </c>
      <c r="F2" s="12" t="s">
        <v>96</v>
      </c>
      <c r="G2" s="12" t="s">
        <v>109</v>
      </c>
      <c r="H2" s="12">
        <v>-26.833333</v>
      </c>
      <c r="I2" s="12">
        <v>152.88333299999999</v>
      </c>
      <c r="J2" s="12" t="s">
        <v>287</v>
      </c>
      <c r="K2" s="12" t="s">
        <v>112</v>
      </c>
      <c r="L2" s="12" t="s">
        <v>189</v>
      </c>
      <c r="M2" s="16" t="s">
        <v>238</v>
      </c>
      <c r="N2" s="12" t="s">
        <v>239</v>
      </c>
      <c r="O2" s="12" t="s">
        <v>121</v>
      </c>
      <c r="P2" s="12"/>
      <c r="Q2" s="12" t="s">
        <v>93</v>
      </c>
      <c r="R2" s="12">
        <v>2003</v>
      </c>
      <c r="S2" s="12" t="s">
        <v>163</v>
      </c>
      <c r="T2" s="12" t="s">
        <v>252</v>
      </c>
      <c r="U2" s="12"/>
      <c r="V2" s="12"/>
      <c r="W2" s="12"/>
      <c r="X2" s="12" t="s">
        <v>97</v>
      </c>
      <c r="Y2" s="12" t="s">
        <v>147</v>
      </c>
      <c r="Z2" s="12" t="s">
        <v>0</v>
      </c>
      <c r="AA2" s="12" t="s">
        <v>98</v>
      </c>
      <c r="AB2" s="12" t="s">
        <v>222</v>
      </c>
      <c r="AC2" s="12" t="s">
        <v>2</v>
      </c>
      <c r="AD2" s="12" t="s">
        <v>100</v>
      </c>
      <c r="AE2" s="12" t="s">
        <v>251</v>
      </c>
      <c r="AF2" s="12">
        <v>43.3</v>
      </c>
      <c r="AG2" s="12">
        <v>34.69</v>
      </c>
      <c r="AH2" s="12">
        <v>66.17</v>
      </c>
      <c r="AI2" s="1">
        <f t="shared" ref="AI2:AI3" si="0">LOG(AH2/(AG2+AF2))</f>
        <v>-7.1377785697696039E-2</v>
      </c>
      <c r="AJ2" s="1">
        <f t="shared" ref="AJ2:AJ3" si="1">LOG(AF2/AG2)</f>
        <v>9.6283596511305636E-2</v>
      </c>
    </row>
    <row r="3" spans="1:36" s="1" customFormat="1" ht="14.25" customHeight="1">
      <c r="A3" s="12">
        <v>443</v>
      </c>
      <c r="B3" s="12" t="s">
        <v>55</v>
      </c>
      <c r="C3" s="12" t="s">
        <v>85</v>
      </c>
      <c r="D3" s="12">
        <v>2007</v>
      </c>
      <c r="E3" s="12">
        <v>2003</v>
      </c>
      <c r="F3" s="12" t="s">
        <v>96</v>
      </c>
      <c r="G3" s="12" t="s">
        <v>109</v>
      </c>
      <c r="H3" s="12">
        <v>-26.833333</v>
      </c>
      <c r="I3" s="12">
        <v>152.88333299999999</v>
      </c>
      <c r="J3" s="12" t="s">
        <v>287</v>
      </c>
      <c r="K3" s="12" t="s">
        <v>112</v>
      </c>
      <c r="L3" s="12" t="s">
        <v>189</v>
      </c>
      <c r="M3" s="16" t="s">
        <v>238</v>
      </c>
      <c r="N3" s="12" t="s">
        <v>239</v>
      </c>
      <c r="O3" s="12" t="s">
        <v>121</v>
      </c>
      <c r="P3" s="12"/>
      <c r="Q3" s="12" t="s">
        <v>93</v>
      </c>
      <c r="R3" s="12">
        <v>2003</v>
      </c>
      <c r="S3" s="12">
        <v>2</v>
      </c>
      <c r="T3" s="12" t="s">
        <v>252</v>
      </c>
      <c r="U3" s="12"/>
      <c r="V3" s="12"/>
      <c r="W3" s="12"/>
      <c r="X3" s="12" t="s">
        <v>97</v>
      </c>
      <c r="Y3" s="12" t="s">
        <v>147</v>
      </c>
      <c r="Z3" s="12" t="s">
        <v>0</v>
      </c>
      <c r="AA3" s="12" t="s">
        <v>98</v>
      </c>
      <c r="AB3" s="12" t="s">
        <v>222</v>
      </c>
      <c r="AC3" s="12" t="s">
        <v>2</v>
      </c>
      <c r="AD3" s="12" t="s">
        <v>100</v>
      </c>
      <c r="AE3" s="12" t="s">
        <v>251</v>
      </c>
      <c r="AF3" s="12">
        <v>58.07</v>
      </c>
      <c r="AG3" s="12">
        <v>34.69</v>
      </c>
      <c r="AH3" s="12">
        <v>54.69</v>
      </c>
      <c r="AI3" s="1">
        <f t="shared" si="0"/>
        <v>-0.22945281659131095</v>
      </c>
      <c r="AJ3" s="1">
        <f t="shared" si="1"/>
        <v>0.2237475261912644</v>
      </c>
    </row>
    <row r="4" spans="1:36" s="1" customFormat="1" ht="14.25" customHeight="1">
      <c r="A4" s="16">
        <v>331</v>
      </c>
      <c r="B4" s="16" t="s">
        <v>47</v>
      </c>
      <c r="C4" s="12" t="s">
        <v>85</v>
      </c>
      <c r="D4" s="16">
        <v>2006</v>
      </c>
      <c r="E4" s="16">
        <v>2003</v>
      </c>
      <c r="F4" s="16" t="s">
        <v>96</v>
      </c>
      <c r="G4" s="16" t="s">
        <v>109</v>
      </c>
      <c r="H4" s="16">
        <v>-26.25</v>
      </c>
      <c r="I4" s="16">
        <v>152.88333299999999</v>
      </c>
      <c r="J4" s="16" t="s">
        <v>128</v>
      </c>
      <c r="K4" s="16" t="s">
        <v>112</v>
      </c>
      <c r="L4" s="16" t="s">
        <v>189</v>
      </c>
      <c r="M4" s="16" t="s">
        <v>238</v>
      </c>
      <c r="N4" s="12" t="s">
        <v>239</v>
      </c>
      <c r="O4" s="16" t="s">
        <v>121</v>
      </c>
      <c r="P4" s="16"/>
      <c r="Q4" s="16" t="s">
        <v>93</v>
      </c>
      <c r="R4" s="16">
        <v>2003</v>
      </c>
      <c r="S4" s="16" t="s">
        <v>163</v>
      </c>
      <c r="T4" s="12" t="s">
        <v>252</v>
      </c>
      <c r="U4" s="16"/>
      <c r="V4" s="12"/>
      <c r="W4" s="16"/>
      <c r="X4" s="12" t="s">
        <v>97</v>
      </c>
      <c r="Y4" s="16" t="s">
        <v>133</v>
      </c>
      <c r="Z4" s="16" t="s">
        <v>1</v>
      </c>
      <c r="AA4" s="16" t="s">
        <v>98</v>
      </c>
      <c r="AB4" s="16" t="s">
        <v>225</v>
      </c>
      <c r="AC4" s="16" t="s">
        <v>2</v>
      </c>
      <c r="AD4" s="16" t="s">
        <v>100</v>
      </c>
      <c r="AE4" s="16" t="s">
        <v>253</v>
      </c>
      <c r="AF4" s="12">
        <v>0.13</v>
      </c>
      <c r="AG4" s="12">
        <v>0.25</v>
      </c>
      <c r="AH4" s="12">
        <v>0.56000000000000005</v>
      </c>
      <c r="AI4" s="1">
        <f t="shared" ref="AI4:AI6" si="2">LOG(AH4/(AG4+AF4))</f>
        <v>0.16840443038939029</v>
      </c>
      <c r="AJ4" s="1">
        <f t="shared" ref="AJ4:AJ7" si="3">LOG(AF4/AG4)</f>
        <v>-0.28399665636520083</v>
      </c>
    </row>
    <row r="5" spans="1:36" s="1" customFormat="1" ht="14.25" customHeight="1">
      <c r="A5" s="16">
        <v>331</v>
      </c>
      <c r="B5" s="16" t="s">
        <v>47</v>
      </c>
      <c r="C5" s="12" t="s">
        <v>85</v>
      </c>
      <c r="D5" s="16">
        <v>2006</v>
      </c>
      <c r="E5" s="16">
        <v>2003</v>
      </c>
      <c r="F5" s="16" t="s">
        <v>96</v>
      </c>
      <c r="G5" s="16" t="s">
        <v>109</v>
      </c>
      <c r="H5" s="16">
        <v>-26.25</v>
      </c>
      <c r="I5" s="16">
        <v>152.88333299999999</v>
      </c>
      <c r="J5" s="16" t="s">
        <v>128</v>
      </c>
      <c r="K5" s="16" t="s">
        <v>112</v>
      </c>
      <c r="L5" s="16" t="s">
        <v>189</v>
      </c>
      <c r="M5" s="16" t="s">
        <v>238</v>
      </c>
      <c r="N5" s="12" t="s">
        <v>239</v>
      </c>
      <c r="O5" s="16" t="s">
        <v>121</v>
      </c>
      <c r="P5" s="16"/>
      <c r="Q5" s="16" t="s">
        <v>93</v>
      </c>
      <c r="R5" s="16">
        <v>2003</v>
      </c>
      <c r="S5" s="16" t="s">
        <v>163</v>
      </c>
      <c r="T5" s="12" t="s">
        <v>252</v>
      </c>
      <c r="U5" s="16"/>
      <c r="V5" s="12"/>
      <c r="W5" s="16"/>
      <c r="X5" s="12" t="s">
        <v>97</v>
      </c>
      <c r="Y5" s="16" t="s">
        <v>221</v>
      </c>
      <c r="Z5" s="16" t="s">
        <v>1</v>
      </c>
      <c r="AA5" s="16" t="s">
        <v>98</v>
      </c>
      <c r="AB5" s="16" t="s">
        <v>225</v>
      </c>
      <c r="AC5" s="16" t="s">
        <v>2</v>
      </c>
      <c r="AD5" s="16" t="s">
        <v>100</v>
      </c>
      <c r="AE5" s="16" t="s">
        <v>253</v>
      </c>
      <c r="AF5" s="12">
        <v>0.14000000000000001</v>
      </c>
      <c r="AG5" s="12">
        <v>0.17</v>
      </c>
      <c r="AH5" s="12">
        <v>0.26</v>
      </c>
      <c r="AI5" s="1">
        <f t="shared" si="2"/>
        <v>-7.6388345863454762E-2</v>
      </c>
      <c r="AJ5" s="1">
        <f t="shared" si="3"/>
        <v>-8.4320885700035861E-2</v>
      </c>
    </row>
    <row r="6" spans="1:36" s="1" customFormat="1" ht="14.25" customHeight="1">
      <c r="A6" s="16">
        <v>331</v>
      </c>
      <c r="B6" s="16" t="s">
        <v>47</v>
      </c>
      <c r="C6" s="12" t="s">
        <v>85</v>
      </c>
      <c r="D6" s="16">
        <v>2006</v>
      </c>
      <c r="E6" s="16">
        <v>2003</v>
      </c>
      <c r="F6" s="16" t="s">
        <v>96</v>
      </c>
      <c r="G6" s="16" t="s">
        <v>109</v>
      </c>
      <c r="H6" s="16">
        <v>-26.25</v>
      </c>
      <c r="I6" s="16">
        <v>152.88333299999999</v>
      </c>
      <c r="J6" s="16" t="s">
        <v>128</v>
      </c>
      <c r="K6" s="16" t="s">
        <v>112</v>
      </c>
      <c r="L6" s="16" t="s">
        <v>189</v>
      </c>
      <c r="M6" s="16" t="s">
        <v>238</v>
      </c>
      <c r="N6" s="12" t="s">
        <v>239</v>
      </c>
      <c r="O6" s="16" t="s">
        <v>121</v>
      </c>
      <c r="P6" s="16"/>
      <c r="Q6" s="16" t="s">
        <v>93</v>
      </c>
      <c r="R6" s="16">
        <v>2003</v>
      </c>
      <c r="S6" s="16">
        <v>2</v>
      </c>
      <c r="T6" s="12" t="s">
        <v>252</v>
      </c>
      <c r="U6" s="16"/>
      <c r="V6" s="12"/>
      <c r="W6" s="16"/>
      <c r="X6" s="12" t="s">
        <v>97</v>
      </c>
      <c r="Y6" s="16" t="s">
        <v>133</v>
      </c>
      <c r="Z6" s="16" t="s">
        <v>1</v>
      </c>
      <c r="AA6" s="16" t="s">
        <v>98</v>
      </c>
      <c r="AB6" s="16" t="s">
        <v>225</v>
      </c>
      <c r="AC6" s="16" t="s">
        <v>2</v>
      </c>
      <c r="AD6" s="16" t="s">
        <v>100</v>
      </c>
      <c r="AE6" s="16" t="s">
        <v>253</v>
      </c>
      <c r="AF6" s="12">
        <v>0.15</v>
      </c>
      <c r="AG6" s="12">
        <v>0.25</v>
      </c>
      <c r="AH6" s="12">
        <v>0.44</v>
      </c>
      <c r="AI6" s="1">
        <f t="shared" si="2"/>
        <v>4.1392685158224987E-2</v>
      </c>
      <c r="AJ6" s="1">
        <f t="shared" si="3"/>
        <v>-0.22184874961635639</v>
      </c>
    </row>
    <row r="7" spans="1:36" s="1" customFormat="1" ht="14.25" customHeight="1">
      <c r="A7" s="16">
        <v>331</v>
      </c>
      <c r="B7" s="16" t="s">
        <v>47</v>
      </c>
      <c r="C7" s="12" t="s">
        <v>85</v>
      </c>
      <c r="D7" s="16">
        <v>2006</v>
      </c>
      <c r="E7" s="16">
        <v>2003</v>
      </c>
      <c r="F7" s="16" t="s">
        <v>96</v>
      </c>
      <c r="G7" s="16" t="s">
        <v>109</v>
      </c>
      <c r="H7" s="16">
        <v>-26.25</v>
      </c>
      <c r="I7" s="16">
        <v>152.88333299999999</v>
      </c>
      <c r="J7" s="16" t="s">
        <v>128</v>
      </c>
      <c r="K7" s="16" t="s">
        <v>112</v>
      </c>
      <c r="L7" s="16" t="s">
        <v>189</v>
      </c>
      <c r="M7" s="16" t="s">
        <v>238</v>
      </c>
      <c r="N7" s="12" t="s">
        <v>239</v>
      </c>
      <c r="O7" s="16" t="s">
        <v>121</v>
      </c>
      <c r="P7" s="16"/>
      <c r="Q7" s="16" t="s">
        <v>93</v>
      </c>
      <c r="R7" s="16">
        <v>2003</v>
      </c>
      <c r="S7" s="16">
        <v>2</v>
      </c>
      <c r="T7" s="12" t="s">
        <v>252</v>
      </c>
      <c r="U7" s="16"/>
      <c r="V7" s="12"/>
      <c r="W7" s="16"/>
      <c r="X7" s="12" t="s">
        <v>97</v>
      </c>
      <c r="Y7" s="16" t="s">
        <v>221</v>
      </c>
      <c r="Z7" s="16" t="s">
        <v>1</v>
      </c>
      <c r="AA7" s="16" t="s">
        <v>98</v>
      </c>
      <c r="AB7" s="16" t="s">
        <v>225</v>
      </c>
      <c r="AC7" s="16" t="s">
        <v>2</v>
      </c>
      <c r="AD7" s="16" t="s">
        <v>100</v>
      </c>
      <c r="AE7" s="16" t="s">
        <v>253</v>
      </c>
      <c r="AF7" s="12">
        <v>0.2</v>
      </c>
      <c r="AG7" s="12">
        <v>0.17</v>
      </c>
      <c r="AH7" s="12">
        <v>0.37</v>
      </c>
      <c r="AI7" s="1">
        <f>LOG(AH7/(AG7+AF7))</f>
        <v>0</v>
      </c>
      <c r="AJ7" s="1">
        <f t="shared" si="3"/>
        <v>7.0581074285707285E-2</v>
      </c>
    </row>
    <row r="8" spans="1:36" s="1" customFormat="1" ht="14.25" customHeight="1">
      <c r="A8" s="16">
        <v>183</v>
      </c>
      <c r="B8" s="16" t="s">
        <v>26</v>
      </c>
      <c r="C8" s="16" t="s">
        <v>89</v>
      </c>
      <c r="D8" s="16">
        <v>2006</v>
      </c>
      <c r="E8" s="16">
        <v>2003</v>
      </c>
      <c r="F8" s="16" t="s">
        <v>96</v>
      </c>
      <c r="G8" s="16" t="s">
        <v>109</v>
      </c>
      <c r="H8" s="16">
        <v>-26.25</v>
      </c>
      <c r="I8" s="16">
        <v>152.88333299999999</v>
      </c>
      <c r="J8" s="16" t="s">
        <v>135</v>
      </c>
      <c r="K8" s="16" t="s">
        <v>112</v>
      </c>
      <c r="L8" s="16" t="s">
        <v>189</v>
      </c>
      <c r="M8" s="16" t="s">
        <v>238</v>
      </c>
      <c r="N8" s="12" t="s">
        <v>239</v>
      </c>
      <c r="O8" s="16" t="s">
        <v>121</v>
      </c>
      <c r="P8" s="16"/>
      <c r="Q8" s="16" t="s">
        <v>93</v>
      </c>
      <c r="R8" s="16">
        <v>2003</v>
      </c>
      <c r="S8" s="16" t="s">
        <v>163</v>
      </c>
      <c r="T8" s="12" t="s">
        <v>252</v>
      </c>
      <c r="U8" s="16"/>
      <c r="V8" s="16">
        <v>4</v>
      </c>
      <c r="W8" s="16">
        <v>4</v>
      </c>
      <c r="X8" s="16" t="s">
        <v>224</v>
      </c>
      <c r="Y8" s="16" t="s">
        <v>133</v>
      </c>
      <c r="Z8" s="16" t="s">
        <v>0</v>
      </c>
      <c r="AA8" s="16" t="s">
        <v>98</v>
      </c>
      <c r="AB8" s="16" t="s">
        <v>225</v>
      </c>
      <c r="AC8" s="16" t="s">
        <v>2</v>
      </c>
      <c r="AD8" s="16" t="s">
        <v>100</v>
      </c>
      <c r="AE8" s="16" t="s">
        <v>253</v>
      </c>
      <c r="AF8" s="12">
        <v>0.27</v>
      </c>
      <c r="AG8" s="12">
        <v>0.14000000000000001</v>
      </c>
      <c r="AH8" s="12">
        <v>0.56000000000000005</v>
      </c>
      <c r="AI8" s="1">
        <f t="shared" ref="AI8:AI13" si="4">LOG(AH8/(AG8+AF8))</f>
        <v>0.13540417028646495</v>
      </c>
      <c r="AJ8" s="1">
        <f t="shared" ref="AJ8:AJ13" si="5">LOG(AF8/AG8)</f>
        <v>0.2852357284807493</v>
      </c>
    </row>
    <row r="9" spans="1:36" s="1" customFormat="1" ht="14.25" customHeight="1">
      <c r="A9" s="16">
        <v>183</v>
      </c>
      <c r="B9" s="16" t="s">
        <v>26</v>
      </c>
      <c r="C9" s="16" t="s">
        <v>89</v>
      </c>
      <c r="D9" s="16">
        <v>2006</v>
      </c>
      <c r="E9" s="16">
        <v>2003</v>
      </c>
      <c r="F9" s="16" t="s">
        <v>96</v>
      </c>
      <c r="G9" s="16" t="s">
        <v>109</v>
      </c>
      <c r="H9" s="16">
        <v>-26.25</v>
      </c>
      <c r="I9" s="16">
        <v>152.88333299999999</v>
      </c>
      <c r="J9" s="16" t="s">
        <v>135</v>
      </c>
      <c r="K9" s="16" t="s">
        <v>112</v>
      </c>
      <c r="L9" s="16" t="s">
        <v>189</v>
      </c>
      <c r="M9" s="16" t="s">
        <v>238</v>
      </c>
      <c r="N9" s="12" t="s">
        <v>239</v>
      </c>
      <c r="O9" s="16" t="s">
        <v>121</v>
      </c>
      <c r="P9" s="16"/>
      <c r="Q9" s="16" t="s">
        <v>93</v>
      </c>
      <c r="R9" s="16">
        <v>2003</v>
      </c>
      <c r="S9" s="16" t="s">
        <v>163</v>
      </c>
      <c r="T9" s="12" t="s">
        <v>252</v>
      </c>
      <c r="U9" s="16"/>
      <c r="V9" s="12">
        <v>4</v>
      </c>
      <c r="W9" s="12">
        <v>4</v>
      </c>
      <c r="X9" s="16" t="s">
        <v>224</v>
      </c>
      <c r="Y9" s="16" t="s">
        <v>221</v>
      </c>
      <c r="Z9" s="16" t="s">
        <v>0</v>
      </c>
      <c r="AA9" s="16" t="s">
        <v>98</v>
      </c>
      <c r="AB9" s="16" t="s">
        <v>225</v>
      </c>
      <c r="AC9" s="16" t="s">
        <v>2</v>
      </c>
      <c r="AD9" s="16" t="s">
        <v>100</v>
      </c>
      <c r="AE9" s="16" t="s">
        <v>253</v>
      </c>
      <c r="AF9" s="12">
        <v>0.18</v>
      </c>
      <c r="AG9" s="12">
        <v>0.24</v>
      </c>
      <c r="AH9" s="12">
        <v>0.52</v>
      </c>
      <c r="AI9" s="1">
        <f t="shared" si="4"/>
        <v>9.2754053236898712E-2</v>
      </c>
      <c r="AJ9" s="1">
        <f t="shared" si="5"/>
        <v>-0.12493873660829995</v>
      </c>
    </row>
    <row r="10" spans="1:36" s="1" customFormat="1" ht="14.25" customHeight="1">
      <c r="A10" s="16">
        <v>183</v>
      </c>
      <c r="B10" s="16" t="s">
        <v>26</v>
      </c>
      <c r="C10" s="16" t="s">
        <v>89</v>
      </c>
      <c r="D10" s="16">
        <v>2006</v>
      </c>
      <c r="E10" s="16">
        <v>2003</v>
      </c>
      <c r="F10" s="16" t="s">
        <v>96</v>
      </c>
      <c r="G10" s="16" t="s">
        <v>109</v>
      </c>
      <c r="H10" s="16">
        <v>-26.25</v>
      </c>
      <c r="I10" s="16">
        <v>152.88333299999999</v>
      </c>
      <c r="J10" s="16" t="s">
        <v>135</v>
      </c>
      <c r="K10" s="16" t="s">
        <v>112</v>
      </c>
      <c r="L10" s="16" t="s">
        <v>189</v>
      </c>
      <c r="M10" s="16" t="s">
        <v>238</v>
      </c>
      <c r="N10" s="12" t="s">
        <v>239</v>
      </c>
      <c r="O10" s="16" t="s">
        <v>121</v>
      </c>
      <c r="P10" s="16"/>
      <c r="Q10" s="16" t="s">
        <v>93</v>
      </c>
      <c r="R10" s="16">
        <v>2003</v>
      </c>
      <c r="S10" s="16">
        <v>2</v>
      </c>
      <c r="T10" s="12" t="s">
        <v>252</v>
      </c>
      <c r="U10" s="16"/>
      <c r="V10" s="16">
        <v>4</v>
      </c>
      <c r="W10" s="16">
        <v>2</v>
      </c>
      <c r="X10" s="16" t="s">
        <v>224</v>
      </c>
      <c r="Y10" s="16" t="s">
        <v>133</v>
      </c>
      <c r="Z10" s="16" t="s">
        <v>0</v>
      </c>
      <c r="AA10" s="16" t="s">
        <v>98</v>
      </c>
      <c r="AB10" s="16" t="s">
        <v>225</v>
      </c>
      <c r="AC10" s="16" t="s">
        <v>2</v>
      </c>
      <c r="AD10" s="16" t="s">
        <v>100</v>
      </c>
      <c r="AE10" s="16" t="s">
        <v>253</v>
      </c>
      <c r="AF10" s="12">
        <v>0.28999999999999998</v>
      </c>
      <c r="AG10" s="12">
        <v>0.14000000000000001</v>
      </c>
      <c r="AH10" s="12">
        <v>0.17</v>
      </c>
      <c r="AI10" s="1">
        <f t="shared" si="4"/>
        <v>-0.40301953420131253</v>
      </c>
      <c r="AJ10" s="1">
        <f t="shared" si="5"/>
        <v>0.31626996222071802</v>
      </c>
    </row>
    <row r="11" spans="1:36" s="1" customFormat="1" ht="14.25" customHeight="1">
      <c r="A11" s="16">
        <v>183</v>
      </c>
      <c r="B11" s="16" t="s">
        <v>26</v>
      </c>
      <c r="C11" s="16" t="s">
        <v>89</v>
      </c>
      <c r="D11" s="16">
        <v>2006</v>
      </c>
      <c r="E11" s="16">
        <v>2003</v>
      </c>
      <c r="F11" s="16" t="s">
        <v>96</v>
      </c>
      <c r="G11" s="16" t="s">
        <v>109</v>
      </c>
      <c r="H11" s="16">
        <v>-26.25</v>
      </c>
      <c r="I11" s="16">
        <v>152.88333299999999</v>
      </c>
      <c r="J11" s="16" t="s">
        <v>135</v>
      </c>
      <c r="K11" s="16" t="s">
        <v>112</v>
      </c>
      <c r="L11" s="16" t="s">
        <v>189</v>
      </c>
      <c r="M11" s="16" t="s">
        <v>238</v>
      </c>
      <c r="N11" s="12" t="s">
        <v>239</v>
      </c>
      <c r="O11" s="16" t="s">
        <v>121</v>
      </c>
      <c r="P11" s="16"/>
      <c r="Q11" s="16" t="s">
        <v>93</v>
      </c>
      <c r="R11" s="16">
        <v>2003</v>
      </c>
      <c r="S11" s="16">
        <v>2</v>
      </c>
      <c r="T11" s="12" t="s">
        <v>252</v>
      </c>
      <c r="U11" s="16"/>
      <c r="V11" s="16">
        <v>4</v>
      </c>
      <c r="W11" s="16">
        <v>2</v>
      </c>
      <c r="X11" s="16" t="s">
        <v>224</v>
      </c>
      <c r="Y11" s="16" t="s">
        <v>221</v>
      </c>
      <c r="Z11" s="16" t="s">
        <v>0</v>
      </c>
      <c r="AA11" s="16" t="s">
        <v>98</v>
      </c>
      <c r="AB11" s="16" t="s">
        <v>225</v>
      </c>
      <c r="AC11" s="16" t="s">
        <v>2</v>
      </c>
      <c r="AD11" s="16" t="s">
        <v>100</v>
      </c>
      <c r="AE11" s="16" t="s">
        <v>253</v>
      </c>
      <c r="AF11" s="12">
        <v>0.22</v>
      </c>
      <c r="AG11" s="12">
        <v>0.24</v>
      </c>
      <c r="AH11" s="12">
        <v>0.54</v>
      </c>
      <c r="AI11" s="1">
        <f t="shared" si="4"/>
        <v>6.9635928141394479E-2</v>
      </c>
      <c r="AJ11" s="1">
        <f t="shared" si="5"/>
        <v>-3.7788560889399754E-2</v>
      </c>
    </row>
    <row r="12" spans="1:36" s="12" customFormat="1" ht="14.25" customHeight="1">
      <c r="A12" s="12">
        <v>186</v>
      </c>
      <c r="B12" s="12" t="s">
        <v>27</v>
      </c>
      <c r="C12" s="12" t="s">
        <v>91</v>
      </c>
      <c r="D12" s="12">
        <v>2020</v>
      </c>
      <c r="E12" s="12">
        <v>2016</v>
      </c>
      <c r="F12" s="12" t="s">
        <v>153</v>
      </c>
      <c r="G12" s="12" t="s">
        <v>117</v>
      </c>
      <c r="H12" s="12">
        <v>54.283183999999999</v>
      </c>
      <c r="I12" s="12">
        <v>-118.216606</v>
      </c>
      <c r="J12" s="12" t="s">
        <v>128</v>
      </c>
      <c r="K12" s="12" t="s">
        <v>177</v>
      </c>
      <c r="L12" s="12" t="s">
        <v>187</v>
      </c>
      <c r="M12" s="12" t="s">
        <v>237</v>
      </c>
      <c r="N12" s="12" t="s">
        <v>239</v>
      </c>
      <c r="O12" s="12" t="s">
        <v>86</v>
      </c>
      <c r="P12" s="12" t="s">
        <v>2</v>
      </c>
      <c r="Q12" s="12" t="s">
        <v>93</v>
      </c>
      <c r="R12" s="12" t="s">
        <v>2</v>
      </c>
      <c r="V12" s="12">
        <v>16</v>
      </c>
      <c r="W12" s="12">
        <v>16</v>
      </c>
      <c r="X12" s="12" t="s">
        <v>205</v>
      </c>
      <c r="Z12" s="12" t="s">
        <v>0</v>
      </c>
      <c r="AA12" s="12" t="s">
        <v>98</v>
      </c>
      <c r="AB12" s="12" t="s">
        <v>203</v>
      </c>
      <c r="AC12" s="12" t="s">
        <v>99</v>
      </c>
      <c r="AD12" s="12" t="s">
        <v>111</v>
      </c>
      <c r="AE12" s="12" t="s">
        <v>255</v>
      </c>
      <c r="AF12" s="12">
        <v>0.47</v>
      </c>
      <c r="AG12" s="12">
        <v>0.44</v>
      </c>
      <c r="AH12" s="12">
        <v>0.41</v>
      </c>
      <c r="AI12" s="12">
        <f t="shared" si="4"/>
        <v>-0.34625753560135808</v>
      </c>
      <c r="AJ12" s="12">
        <f t="shared" si="5"/>
        <v>2.8645181449530009E-2</v>
      </c>
    </row>
    <row r="13" spans="1:36" s="1" customFormat="1" ht="14.25" customHeight="1">
      <c r="A13" s="12">
        <v>497</v>
      </c>
      <c r="B13" s="12" t="s">
        <v>66</v>
      </c>
      <c r="C13" s="1" t="s">
        <v>85</v>
      </c>
      <c r="D13" s="1">
        <v>2023</v>
      </c>
      <c r="E13" s="1">
        <v>2020</v>
      </c>
      <c r="F13" s="1" t="s">
        <v>96</v>
      </c>
      <c r="G13" s="1" t="s">
        <v>109</v>
      </c>
      <c r="H13" s="1">
        <v>-35.136108</v>
      </c>
      <c r="I13" s="1">
        <v>150.68715700000001</v>
      </c>
      <c r="J13" s="1" t="s">
        <v>128</v>
      </c>
      <c r="K13" s="1" t="s">
        <v>112</v>
      </c>
      <c r="L13" s="1" t="s">
        <v>258</v>
      </c>
      <c r="M13" s="1" t="s">
        <v>238</v>
      </c>
      <c r="N13" s="1" t="s">
        <v>239</v>
      </c>
      <c r="O13" s="1" t="s">
        <v>86</v>
      </c>
      <c r="P13" s="1" t="s">
        <v>2</v>
      </c>
      <c r="Q13" s="1" t="s">
        <v>256</v>
      </c>
      <c r="R13" s="1">
        <v>2017</v>
      </c>
      <c r="S13" s="1">
        <v>3</v>
      </c>
      <c r="V13" s="1">
        <v>6</v>
      </c>
      <c r="W13" s="1">
        <v>18</v>
      </c>
      <c r="X13" s="1" t="s">
        <v>97</v>
      </c>
      <c r="Y13" s="1" t="s">
        <v>133</v>
      </c>
      <c r="Z13" s="1" t="s">
        <v>1</v>
      </c>
      <c r="AA13" s="1" t="s">
        <v>98</v>
      </c>
      <c r="AB13" s="1" t="s">
        <v>203</v>
      </c>
      <c r="AC13" s="1" t="s">
        <v>99</v>
      </c>
      <c r="AD13" s="1" t="s">
        <v>102</v>
      </c>
      <c r="AE13" s="1" t="s">
        <v>257</v>
      </c>
      <c r="AF13" s="12">
        <v>0.56999999999999995</v>
      </c>
      <c r="AG13" s="12">
        <v>0.51</v>
      </c>
      <c r="AH13" s="12">
        <v>0.67</v>
      </c>
      <c r="AI13" s="12">
        <f t="shared" si="4"/>
        <v>-0.20734895278612328</v>
      </c>
      <c r="AJ13" s="12">
        <f t="shared" si="5"/>
        <v>4.8304679574554955E-2</v>
      </c>
    </row>
    <row r="14" spans="1:36" s="1" customFormat="1" ht="14.25" customHeight="1">
      <c r="A14" s="12">
        <v>497</v>
      </c>
      <c r="B14" s="12" t="s">
        <v>66</v>
      </c>
      <c r="C14" s="1" t="s">
        <v>85</v>
      </c>
      <c r="D14" s="1">
        <v>2023</v>
      </c>
      <c r="E14" s="1">
        <v>2020</v>
      </c>
      <c r="F14" s="1" t="s">
        <v>96</v>
      </c>
      <c r="G14" s="1" t="s">
        <v>109</v>
      </c>
      <c r="H14" s="1">
        <v>-35.136108</v>
      </c>
      <c r="I14" s="1">
        <v>150.68715700000001</v>
      </c>
      <c r="J14" s="1" t="s">
        <v>128</v>
      </c>
      <c r="K14" s="1" t="s">
        <v>112</v>
      </c>
      <c r="L14" s="1" t="s">
        <v>258</v>
      </c>
      <c r="M14" s="1" t="s">
        <v>238</v>
      </c>
      <c r="N14" s="1" t="s">
        <v>239</v>
      </c>
      <c r="O14" s="1" t="s">
        <v>86</v>
      </c>
      <c r="P14" s="1" t="s">
        <v>2</v>
      </c>
      <c r="Q14" s="1" t="s">
        <v>256</v>
      </c>
      <c r="R14" s="1">
        <v>2017</v>
      </c>
      <c r="S14" s="1">
        <v>19</v>
      </c>
      <c r="V14" s="1">
        <v>6</v>
      </c>
      <c r="W14" s="1">
        <v>18</v>
      </c>
      <c r="X14" s="1" t="s">
        <v>97</v>
      </c>
      <c r="Y14" s="1" t="s">
        <v>133</v>
      </c>
      <c r="Z14" s="1" t="s">
        <v>1</v>
      </c>
      <c r="AA14" s="1" t="s">
        <v>98</v>
      </c>
      <c r="AB14" s="1" t="s">
        <v>203</v>
      </c>
      <c r="AC14" s="1" t="s">
        <v>99</v>
      </c>
      <c r="AD14" s="1" t="s">
        <v>102</v>
      </c>
      <c r="AE14" s="1" t="s">
        <v>257</v>
      </c>
      <c r="AF14" s="12">
        <v>0.46</v>
      </c>
      <c r="AG14" s="12">
        <v>0.51</v>
      </c>
      <c r="AH14" s="12">
        <v>0.48</v>
      </c>
      <c r="AI14" s="12">
        <f t="shared" ref="AI14:AI15" si="6">LOG(AH14/(AG14+AF14))</f>
        <v>-0.30553049689065764</v>
      </c>
      <c r="AJ14" s="12">
        <f t="shared" ref="AJ14:AJ15" si="7">LOG(AF14/AG14)</f>
        <v>-4.4812344416362282E-2</v>
      </c>
    </row>
    <row r="15" spans="1:36" s="1" customFormat="1" ht="14.25" customHeight="1">
      <c r="A15" s="12">
        <v>481</v>
      </c>
      <c r="B15" s="12" t="s">
        <v>64</v>
      </c>
      <c r="C15" s="1" t="s">
        <v>85</v>
      </c>
      <c r="D15" s="1">
        <v>2022</v>
      </c>
      <c r="E15" s="1" t="s">
        <v>141</v>
      </c>
      <c r="F15" s="1" t="s">
        <v>96</v>
      </c>
      <c r="G15" s="1" t="s">
        <v>162</v>
      </c>
      <c r="H15" s="1">
        <v>-37.911065999999998</v>
      </c>
      <c r="I15" s="1">
        <v>143.81197700000001</v>
      </c>
      <c r="J15" s="1" t="s">
        <v>128</v>
      </c>
      <c r="K15" s="1" t="s">
        <v>112</v>
      </c>
      <c r="L15" s="1" t="s">
        <v>181</v>
      </c>
      <c r="M15" s="1" t="s">
        <v>238</v>
      </c>
      <c r="N15" s="1" t="s">
        <v>239</v>
      </c>
      <c r="O15" s="1" t="s">
        <v>86</v>
      </c>
      <c r="P15" s="1" t="s">
        <v>129</v>
      </c>
      <c r="Q15" s="1" t="s">
        <v>93</v>
      </c>
      <c r="R15" s="1">
        <v>2009</v>
      </c>
      <c r="S15" s="1">
        <v>8</v>
      </c>
      <c r="U15" s="1" t="s">
        <v>2</v>
      </c>
      <c r="V15" s="1">
        <v>4</v>
      </c>
      <c r="W15" s="1">
        <v>6</v>
      </c>
      <c r="X15" s="1" t="s">
        <v>97</v>
      </c>
      <c r="Y15" s="1" t="s">
        <v>133</v>
      </c>
      <c r="Z15" s="1" t="s">
        <v>1</v>
      </c>
      <c r="AA15" s="1" t="s">
        <v>98</v>
      </c>
      <c r="AB15" s="1" t="s">
        <v>203</v>
      </c>
      <c r="AC15" s="1" t="s">
        <v>99</v>
      </c>
      <c r="AD15" s="1" t="s">
        <v>100</v>
      </c>
      <c r="AE15" s="1" t="s">
        <v>259</v>
      </c>
      <c r="AF15" s="12">
        <v>0.9</v>
      </c>
      <c r="AG15" s="12">
        <v>1.32</v>
      </c>
      <c r="AH15" s="12">
        <v>2.79</v>
      </c>
      <c r="AI15" s="12">
        <f t="shared" si="6"/>
        <v>9.9251228822958865E-2</v>
      </c>
      <c r="AJ15" s="12">
        <f t="shared" si="7"/>
        <v>-0.16633142176652502</v>
      </c>
    </row>
    <row r="16" spans="1:36" s="1" customFormat="1" ht="14.25" customHeight="1">
      <c r="A16" s="12">
        <v>481</v>
      </c>
      <c r="B16" s="12" t="s">
        <v>64</v>
      </c>
      <c r="C16" s="1" t="s">
        <v>85</v>
      </c>
      <c r="D16" s="1">
        <v>2022</v>
      </c>
      <c r="E16" s="1" t="s">
        <v>141</v>
      </c>
      <c r="F16" s="1" t="s">
        <v>96</v>
      </c>
      <c r="G16" s="1" t="s">
        <v>162</v>
      </c>
      <c r="H16" s="1">
        <v>-37.911065999999998</v>
      </c>
      <c r="I16" s="1">
        <v>143.81197700000001</v>
      </c>
      <c r="J16" s="1" t="s">
        <v>128</v>
      </c>
      <c r="K16" s="1" t="s">
        <v>112</v>
      </c>
      <c r="L16" s="1" t="s">
        <v>181</v>
      </c>
      <c r="M16" s="1" t="s">
        <v>238</v>
      </c>
      <c r="N16" s="1" t="s">
        <v>239</v>
      </c>
      <c r="O16" s="1" t="s">
        <v>86</v>
      </c>
      <c r="P16" s="1" t="s">
        <v>129</v>
      </c>
      <c r="Q16" s="1" t="s">
        <v>93</v>
      </c>
      <c r="R16" s="1">
        <v>2009</v>
      </c>
      <c r="S16" s="1">
        <v>8</v>
      </c>
      <c r="U16" s="1" t="s">
        <v>2</v>
      </c>
      <c r="V16" s="1">
        <v>4</v>
      </c>
      <c r="W16" s="1">
        <v>6</v>
      </c>
      <c r="X16" s="1" t="s">
        <v>97</v>
      </c>
      <c r="Y16" s="1" t="s">
        <v>133</v>
      </c>
      <c r="Z16" s="1" t="s">
        <v>1</v>
      </c>
      <c r="AA16" s="1" t="s">
        <v>98</v>
      </c>
      <c r="AB16" s="1" t="s">
        <v>203</v>
      </c>
      <c r="AC16" s="1" t="s">
        <v>99</v>
      </c>
      <c r="AD16" s="1" t="s">
        <v>100</v>
      </c>
      <c r="AE16" s="1" t="s">
        <v>255</v>
      </c>
      <c r="AF16" s="1">
        <v>0.22</v>
      </c>
      <c r="AG16" s="1">
        <v>0.2</v>
      </c>
      <c r="AH16" s="1">
        <v>0.3</v>
      </c>
      <c r="AI16" s="12">
        <f t="shared" ref="AI16:AI25" si="8">LOG(AH16/(AG16+AF16))</f>
        <v>-0.14612803567823809</v>
      </c>
      <c r="AJ16" s="12">
        <f t="shared" ref="AJ16:AJ25" si="9">LOG(AF16/AG16)</f>
        <v>4.1392685158224987E-2</v>
      </c>
    </row>
    <row r="17" spans="1:36" s="1" customFormat="1" ht="14.25" customHeight="1">
      <c r="A17" s="12">
        <v>481</v>
      </c>
      <c r="B17" s="12" t="s">
        <v>64</v>
      </c>
      <c r="C17" s="1" t="s">
        <v>85</v>
      </c>
      <c r="D17" s="1">
        <v>2022</v>
      </c>
      <c r="E17" s="1" t="s">
        <v>141</v>
      </c>
      <c r="F17" s="1" t="s">
        <v>96</v>
      </c>
      <c r="G17" s="1" t="s">
        <v>162</v>
      </c>
      <c r="H17" s="1">
        <v>-37.911065999999998</v>
      </c>
      <c r="I17" s="1">
        <v>143.81197700000001</v>
      </c>
      <c r="J17" s="1" t="s">
        <v>128</v>
      </c>
      <c r="K17" s="1" t="s">
        <v>112</v>
      </c>
      <c r="L17" s="1" t="s">
        <v>181</v>
      </c>
      <c r="M17" s="1" t="s">
        <v>238</v>
      </c>
      <c r="N17" s="1" t="s">
        <v>239</v>
      </c>
      <c r="O17" s="1" t="s">
        <v>86</v>
      </c>
      <c r="P17" s="1" t="s">
        <v>129</v>
      </c>
      <c r="Q17" s="1" t="s">
        <v>93</v>
      </c>
      <c r="R17" s="1">
        <v>2009</v>
      </c>
      <c r="S17" s="1">
        <v>8</v>
      </c>
      <c r="U17" s="1" t="s">
        <v>2</v>
      </c>
      <c r="V17" s="1">
        <v>4</v>
      </c>
      <c r="W17" s="1">
        <v>6</v>
      </c>
      <c r="X17" s="1" t="s">
        <v>97</v>
      </c>
      <c r="Y17" s="1" t="s">
        <v>289</v>
      </c>
      <c r="Z17" s="1" t="s">
        <v>1</v>
      </c>
      <c r="AA17" s="1" t="s">
        <v>98</v>
      </c>
      <c r="AB17" s="1" t="s">
        <v>203</v>
      </c>
      <c r="AC17" s="1" t="s">
        <v>99</v>
      </c>
      <c r="AD17" s="1" t="s">
        <v>100</v>
      </c>
      <c r="AE17" s="1" t="s">
        <v>259</v>
      </c>
      <c r="AF17" s="12">
        <v>0.7</v>
      </c>
      <c r="AG17" s="12">
        <v>0.63</v>
      </c>
      <c r="AH17" s="12">
        <v>1.26</v>
      </c>
      <c r="AI17" s="12">
        <f t="shared" si="8"/>
        <v>-2.3481095849522914E-2</v>
      </c>
      <c r="AJ17" s="12">
        <f t="shared" si="9"/>
        <v>4.575749056067506E-2</v>
      </c>
    </row>
    <row r="18" spans="1:36" s="1" customFormat="1" ht="14.25" customHeight="1">
      <c r="A18" s="12">
        <v>481</v>
      </c>
      <c r="B18" s="12" t="s">
        <v>64</v>
      </c>
      <c r="C18" s="1" t="s">
        <v>85</v>
      </c>
      <c r="D18" s="1">
        <v>2022</v>
      </c>
      <c r="E18" s="1" t="s">
        <v>141</v>
      </c>
      <c r="F18" s="1" t="s">
        <v>96</v>
      </c>
      <c r="G18" s="1" t="s">
        <v>162</v>
      </c>
      <c r="H18" s="1">
        <v>-37.911065999999998</v>
      </c>
      <c r="I18" s="1">
        <v>143.81197700000001</v>
      </c>
      <c r="J18" s="1" t="s">
        <v>128</v>
      </c>
      <c r="K18" s="1" t="s">
        <v>112</v>
      </c>
      <c r="L18" s="1" t="s">
        <v>181</v>
      </c>
      <c r="M18" s="1" t="s">
        <v>238</v>
      </c>
      <c r="N18" s="1" t="s">
        <v>239</v>
      </c>
      <c r="O18" s="1" t="s">
        <v>86</v>
      </c>
      <c r="P18" s="1" t="s">
        <v>129</v>
      </c>
      <c r="Q18" s="1" t="s">
        <v>93</v>
      </c>
      <c r="R18" s="1">
        <v>2009</v>
      </c>
      <c r="S18" s="1">
        <v>8</v>
      </c>
      <c r="U18" s="1" t="s">
        <v>2</v>
      </c>
      <c r="V18" s="1">
        <v>4</v>
      </c>
      <c r="W18" s="1">
        <v>6</v>
      </c>
      <c r="X18" s="1" t="s">
        <v>97</v>
      </c>
      <c r="Y18" s="1" t="s">
        <v>289</v>
      </c>
      <c r="Z18" s="1" t="s">
        <v>1</v>
      </c>
      <c r="AA18" s="1" t="s">
        <v>98</v>
      </c>
      <c r="AB18" s="1" t="s">
        <v>203</v>
      </c>
      <c r="AC18" s="1" t="s">
        <v>99</v>
      </c>
      <c r="AD18" s="1" t="s">
        <v>100</v>
      </c>
      <c r="AE18" s="1" t="s">
        <v>255</v>
      </c>
      <c r="AF18" s="1">
        <v>0.2</v>
      </c>
      <c r="AG18" s="1">
        <v>7.0000000000000007E-2</v>
      </c>
      <c r="AH18" s="1">
        <v>0.26</v>
      </c>
      <c r="AI18" s="12">
        <f t="shared" si="8"/>
        <v>-1.639041618816937E-2</v>
      </c>
      <c r="AJ18" s="12">
        <f t="shared" si="9"/>
        <v>0.45593195564972439</v>
      </c>
    </row>
    <row r="19" spans="1:36" s="12" customFormat="1" ht="14.25" customHeight="1">
      <c r="A19" s="12">
        <v>410</v>
      </c>
      <c r="B19" s="12" t="s">
        <v>51</v>
      </c>
      <c r="C19" s="12" t="s">
        <v>85</v>
      </c>
      <c r="D19" s="12">
        <v>2013</v>
      </c>
      <c r="E19" s="12">
        <v>2011</v>
      </c>
      <c r="F19" s="12" t="s">
        <v>143</v>
      </c>
      <c r="G19" s="12" t="s">
        <v>142</v>
      </c>
      <c r="H19" s="12">
        <v>33.053629000000001</v>
      </c>
      <c r="I19" s="12">
        <v>-83.677790000000002</v>
      </c>
      <c r="J19" s="12" t="s">
        <v>128</v>
      </c>
      <c r="K19" s="12" t="s">
        <v>177</v>
      </c>
      <c r="L19" s="12" t="s">
        <v>209</v>
      </c>
      <c r="M19" s="12" t="s">
        <v>237</v>
      </c>
      <c r="N19" s="12" t="s">
        <v>239</v>
      </c>
      <c r="O19" s="12" t="s">
        <v>121</v>
      </c>
      <c r="Q19" s="12" t="s">
        <v>93</v>
      </c>
      <c r="S19" s="12">
        <v>3</v>
      </c>
      <c r="U19" s="12">
        <v>0.8</v>
      </c>
      <c r="V19" s="12">
        <v>4</v>
      </c>
      <c r="W19" s="12">
        <v>4</v>
      </c>
      <c r="X19" s="12" t="s">
        <v>97</v>
      </c>
      <c r="Y19" s="12" t="s">
        <v>133</v>
      </c>
      <c r="Z19" s="12" t="s">
        <v>0</v>
      </c>
      <c r="AA19" s="12" t="s">
        <v>98</v>
      </c>
      <c r="AB19" s="12" t="s">
        <v>203</v>
      </c>
      <c r="AC19" s="12" t="s">
        <v>228</v>
      </c>
      <c r="AD19" s="12" t="s">
        <v>100</v>
      </c>
      <c r="AE19" s="12" t="s">
        <v>257</v>
      </c>
      <c r="AF19" s="12">
        <v>0.33</v>
      </c>
      <c r="AG19" s="12">
        <v>0.25</v>
      </c>
      <c r="AH19" s="12">
        <v>0.38</v>
      </c>
      <c r="AI19" s="12">
        <f t="shared" si="8"/>
        <v>-0.18364439694612714</v>
      </c>
      <c r="AJ19" s="12">
        <f t="shared" si="9"/>
        <v>0.12057393120584989</v>
      </c>
    </row>
    <row r="20" spans="1:36" s="12" customFormat="1" ht="14.25" customHeight="1">
      <c r="A20" s="12">
        <v>410</v>
      </c>
      <c r="B20" s="12" t="s">
        <v>51</v>
      </c>
      <c r="C20" s="12" t="s">
        <v>85</v>
      </c>
      <c r="D20" s="12">
        <v>2013</v>
      </c>
      <c r="E20" s="12">
        <v>2011</v>
      </c>
      <c r="F20" s="12" t="s">
        <v>143</v>
      </c>
      <c r="G20" s="12" t="s">
        <v>142</v>
      </c>
      <c r="H20" s="12">
        <v>33.053629000000001</v>
      </c>
      <c r="I20" s="12">
        <v>-83.677790000000002</v>
      </c>
      <c r="J20" s="12" t="s">
        <v>128</v>
      </c>
      <c r="K20" s="12" t="s">
        <v>177</v>
      </c>
      <c r="L20" s="12" t="s">
        <v>209</v>
      </c>
      <c r="M20" s="12" t="s">
        <v>237</v>
      </c>
      <c r="N20" s="12" t="s">
        <v>239</v>
      </c>
      <c r="O20" s="12" t="s">
        <v>121</v>
      </c>
      <c r="Q20" s="12" t="s">
        <v>93</v>
      </c>
      <c r="S20" s="12">
        <v>6</v>
      </c>
      <c r="U20" s="12">
        <v>0.8</v>
      </c>
      <c r="V20" s="12">
        <v>4</v>
      </c>
      <c r="W20" s="12">
        <v>4</v>
      </c>
      <c r="X20" s="12" t="s">
        <v>97</v>
      </c>
      <c r="Y20" s="12" t="s">
        <v>133</v>
      </c>
      <c r="Z20" s="12" t="s">
        <v>0</v>
      </c>
      <c r="AA20" s="12" t="s">
        <v>98</v>
      </c>
      <c r="AB20" s="12" t="s">
        <v>203</v>
      </c>
      <c r="AC20" s="12" t="s">
        <v>228</v>
      </c>
      <c r="AD20" s="12" t="s">
        <v>100</v>
      </c>
      <c r="AE20" s="12" t="s">
        <v>257</v>
      </c>
      <c r="AF20" s="12">
        <v>0.42</v>
      </c>
      <c r="AG20" s="12">
        <v>0.25</v>
      </c>
      <c r="AH20" s="12">
        <v>0.32</v>
      </c>
      <c r="AI20" s="12">
        <f t="shared" si="8"/>
        <v>-0.3209248243809204</v>
      </c>
      <c r="AJ20" s="12">
        <f t="shared" si="9"/>
        <v>0.22530928172586284</v>
      </c>
    </row>
    <row r="21" spans="1:36" s="12" customFormat="1" ht="14.25" customHeight="1">
      <c r="A21" s="12">
        <v>260</v>
      </c>
      <c r="B21" s="12" t="s">
        <v>41</v>
      </c>
      <c r="C21" s="12" t="s">
        <v>85</v>
      </c>
      <c r="D21" s="12">
        <v>2021</v>
      </c>
      <c r="E21" s="12">
        <v>2014</v>
      </c>
      <c r="F21" s="12" t="s">
        <v>143</v>
      </c>
      <c r="G21" s="12" t="s">
        <v>227</v>
      </c>
      <c r="H21" s="12">
        <v>32.396189999999997</v>
      </c>
      <c r="I21" s="12">
        <v>-110.6938</v>
      </c>
      <c r="J21" s="12" t="s">
        <v>135</v>
      </c>
      <c r="K21" s="12" t="s">
        <v>177</v>
      </c>
      <c r="L21" s="12" t="s">
        <v>193</v>
      </c>
      <c r="M21" s="12" t="s">
        <v>237</v>
      </c>
      <c r="N21" s="12" t="s">
        <v>239</v>
      </c>
      <c r="O21" s="12" t="s">
        <v>86</v>
      </c>
      <c r="P21" s="12" t="s">
        <v>211</v>
      </c>
      <c r="Q21" s="12" t="s">
        <v>93</v>
      </c>
      <c r="R21" s="12">
        <v>2003</v>
      </c>
      <c r="S21" s="12">
        <v>11</v>
      </c>
      <c r="U21" s="12">
        <v>32250</v>
      </c>
      <c r="V21" s="12">
        <v>33</v>
      </c>
      <c r="W21" s="12">
        <v>33</v>
      </c>
      <c r="X21" s="12" t="s">
        <v>134</v>
      </c>
      <c r="Y21" s="12" t="s">
        <v>2</v>
      </c>
      <c r="Z21" s="12" t="s">
        <v>1</v>
      </c>
      <c r="AA21" s="12" t="s">
        <v>98</v>
      </c>
      <c r="AB21" s="12" t="s">
        <v>159</v>
      </c>
      <c r="AC21" s="12" t="s">
        <v>2</v>
      </c>
      <c r="AD21" s="12" t="s">
        <v>100</v>
      </c>
      <c r="AE21" s="12" t="s">
        <v>257</v>
      </c>
      <c r="AF21" s="12">
        <v>0.14000000000000001</v>
      </c>
      <c r="AG21" s="12">
        <v>0.36</v>
      </c>
      <c r="AH21" s="12">
        <v>0.28000000000000003</v>
      </c>
      <c r="AI21" s="12">
        <f t="shared" si="8"/>
        <v>-0.25181197299379954</v>
      </c>
      <c r="AJ21" s="12">
        <f t="shared" si="9"/>
        <v>-0.41017446508904915</v>
      </c>
    </row>
    <row r="22" spans="1:36" s="12" customFormat="1" ht="14.25" customHeight="1">
      <c r="A22" s="12">
        <v>260</v>
      </c>
      <c r="B22" s="12" t="s">
        <v>41</v>
      </c>
      <c r="C22" s="12" t="s">
        <v>85</v>
      </c>
      <c r="D22" s="12">
        <v>2021</v>
      </c>
      <c r="E22" s="12">
        <v>2014</v>
      </c>
      <c r="F22" s="12" t="s">
        <v>143</v>
      </c>
      <c r="G22" s="12" t="s">
        <v>227</v>
      </c>
      <c r="H22" s="12">
        <v>32.650438000000001</v>
      </c>
      <c r="I22" s="12">
        <v>-109.84411299999999</v>
      </c>
      <c r="J22" s="12" t="s">
        <v>135</v>
      </c>
      <c r="K22" s="12" t="s">
        <v>177</v>
      </c>
      <c r="L22" s="12" t="s">
        <v>193</v>
      </c>
      <c r="M22" s="12" t="s">
        <v>237</v>
      </c>
      <c r="N22" s="12" t="s">
        <v>239</v>
      </c>
      <c r="O22" s="12" t="s">
        <v>86</v>
      </c>
      <c r="P22" s="12" t="s">
        <v>211</v>
      </c>
      <c r="Q22" s="12" t="s">
        <v>93</v>
      </c>
      <c r="R22" s="12">
        <v>2004</v>
      </c>
      <c r="S22" s="12">
        <v>10</v>
      </c>
      <c r="U22" s="12">
        <v>19892</v>
      </c>
      <c r="V22" s="12">
        <v>30</v>
      </c>
      <c r="W22" s="12">
        <v>30</v>
      </c>
      <c r="X22" s="12" t="s">
        <v>134</v>
      </c>
      <c r="Y22" s="12" t="s">
        <v>2</v>
      </c>
      <c r="Z22" s="12" t="s">
        <v>1</v>
      </c>
      <c r="AA22" s="12" t="s">
        <v>98</v>
      </c>
      <c r="AB22" s="12" t="s">
        <v>159</v>
      </c>
      <c r="AC22" s="12" t="s">
        <v>2</v>
      </c>
      <c r="AD22" s="12" t="s">
        <v>100</v>
      </c>
      <c r="AE22" s="12" t="s">
        <v>257</v>
      </c>
      <c r="AF22" s="12">
        <v>0.21</v>
      </c>
      <c r="AG22" s="12">
        <v>0.26</v>
      </c>
      <c r="AH22" s="12">
        <v>0.37</v>
      </c>
      <c r="AI22" s="12">
        <f t="shared" si="8"/>
        <v>-0.10389613386872246</v>
      </c>
      <c r="AJ22" s="12">
        <f t="shared" si="9"/>
        <v>-9.2754053236898754E-2</v>
      </c>
    </row>
    <row r="23" spans="1:36" s="12" customFormat="1" ht="14.25" customHeight="1">
      <c r="A23" s="12">
        <v>180</v>
      </c>
      <c r="B23" s="12" t="s">
        <v>25</v>
      </c>
      <c r="C23" s="12" t="s">
        <v>85</v>
      </c>
      <c r="D23" s="12">
        <v>2015</v>
      </c>
      <c r="E23" s="12">
        <v>2009</v>
      </c>
      <c r="F23" s="12" t="s">
        <v>92</v>
      </c>
      <c r="G23" s="12" t="s">
        <v>109</v>
      </c>
      <c r="H23" s="12">
        <v>39.831530000000001</v>
      </c>
      <c r="I23" s="12">
        <v>-7.8358790000000003</v>
      </c>
      <c r="J23" s="12" t="s">
        <v>128</v>
      </c>
      <c r="K23" s="12" t="s">
        <v>177</v>
      </c>
      <c r="L23" s="12" t="s">
        <v>178</v>
      </c>
      <c r="M23" s="12" t="s">
        <v>237</v>
      </c>
      <c r="N23" s="12" t="s">
        <v>239</v>
      </c>
      <c r="O23" s="12" t="s">
        <v>86</v>
      </c>
      <c r="Q23" s="12" t="s">
        <v>93</v>
      </c>
      <c r="R23" s="12">
        <v>2003</v>
      </c>
      <c r="V23" s="12">
        <v>3</v>
      </c>
      <c r="W23" s="12">
        <v>3</v>
      </c>
      <c r="X23" s="12" t="s">
        <v>97</v>
      </c>
      <c r="Y23" s="12" t="s">
        <v>147</v>
      </c>
      <c r="Z23" s="12" t="s">
        <v>0</v>
      </c>
      <c r="AA23" s="12" t="s">
        <v>98</v>
      </c>
      <c r="AB23" s="12" t="s">
        <v>203</v>
      </c>
      <c r="AC23" s="12" t="s">
        <v>229</v>
      </c>
      <c r="AD23" s="12" t="s">
        <v>111</v>
      </c>
      <c r="AE23" s="12" t="s">
        <v>291</v>
      </c>
      <c r="AF23" s="12">
        <v>0.18</v>
      </c>
      <c r="AG23" s="12">
        <v>0.77</v>
      </c>
      <c r="AH23" s="12">
        <v>2.75</v>
      </c>
      <c r="AI23" s="12">
        <f t="shared" si="8"/>
        <v>0.46160908854141491</v>
      </c>
      <c r="AJ23" s="12">
        <f t="shared" si="9"/>
        <v>-0.63121822006917583</v>
      </c>
    </row>
    <row r="24" spans="1:36" s="1" customFormat="1" ht="14.25" customHeight="1">
      <c r="A24" s="12">
        <v>11</v>
      </c>
      <c r="B24" s="12" t="s">
        <v>3</v>
      </c>
      <c r="C24" s="1" t="s">
        <v>91</v>
      </c>
      <c r="D24" s="1">
        <v>2010</v>
      </c>
      <c r="E24" s="1">
        <v>2007</v>
      </c>
      <c r="F24" s="1" t="s">
        <v>92</v>
      </c>
      <c r="G24" s="1" t="s">
        <v>109</v>
      </c>
      <c r="H24" s="1">
        <v>39.831530000000001</v>
      </c>
      <c r="I24" s="1">
        <v>-7.8358790000000003</v>
      </c>
      <c r="J24" s="1" t="s">
        <v>135</v>
      </c>
      <c r="K24" s="12" t="s">
        <v>177</v>
      </c>
      <c r="L24" s="12" t="s">
        <v>178</v>
      </c>
      <c r="M24" s="12" t="s">
        <v>237</v>
      </c>
      <c r="N24" s="12" t="s">
        <v>239</v>
      </c>
      <c r="O24" s="1" t="s">
        <v>86</v>
      </c>
      <c r="P24" s="1" t="s">
        <v>2</v>
      </c>
      <c r="Q24" s="1" t="s">
        <v>93</v>
      </c>
      <c r="R24" s="1">
        <v>2003</v>
      </c>
      <c r="S24" s="1">
        <v>4</v>
      </c>
      <c r="U24" s="1" t="s">
        <v>2</v>
      </c>
      <c r="V24" s="1">
        <v>11</v>
      </c>
      <c r="W24" s="1">
        <v>11</v>
      </c>
      <c r="X24" s="1" t="s">
        <v>134</v>
      </c>
      <c r="Y24" s="1" t="s">
        <v>147</v>
      </c>
      <c r="Z24" s="1" t="s">
        <v>0</v>
      </c>
      <c r="AA24" s="1" t="s">
        <v>98</v>
      </c>
      <c r="AB24" s="1" t="s">
        <v>159</v>
      </c>
      <c r="AC24" s="1" t="s">
        <v>144</v>
      </c>
      <c r="AD24" s="1" t="s">
        <v>100</v>
      </c>
      <c r="AE24" s="12" t="s">
        <v>291</v>
      </c>
      <c r="AF24" s="12">
        <v>0.98</v>
      </c>
      <c r="AG24" s="12">
        <v>0.43</v>
      </c>
      <c r="AH24" s="12">
        <v>0.76</v>
      </c>
      <c r="AI24" s="12">
        <f t="shared" si="8"/>
        <v>-0.26840552037458854</v>
      </c>
      <c r="AJ24" s="12">
        <f t="shared" si="9"/>
        <v>0.35775762011290835</v>
      </c>
    </row>
    <row r="25" spans="1:36" s="1" customFormat="1" ht="14.25" customHeight="1">
      <c r="A25" s="12">
        <v>11</v>
      </c>
      <c r="B25" s="12" t="s">
        <v>3</v>
      </c>
      <c r="C25" s="1" t="s">
        <v>91</v>
      </c>
      <c r="D25" s="1">
        <v>2010</v>
      </c>
      <c r="E25" s="1">
        <v>2007</v>
      </c>
      <c r="F25" s="1" t="s">
        <v>92</v>
      </c>
      <c r="G25" s="1" t="s">
        <v>109</v>
      </c>
      <c r="H25" s="1">
        <v>39.831530000000001</v>
      </c>
      <c r="I25" s="1">
        <v>-7.8358790000000003</v>
      </c>
      <c r="J25" s="1" t="s">
        <v>135</v>
      </c>
      <c r="K25" s="1" t="s">
        <v>179</v>
      </c>
      <c r="L25" s="1" t="s">
        <v>180</v>
      </c>
      <c r="M25" s="1" t="s">
        <v>238</v>
      </c>
      <c r="N25" s="12" t="s">
        <v>239</v>
      </c>
      <c r="O25" s="1" t="s">
        <v>86</v>
      </c>
      <c r="P25" s="1" t="s">
        <v>2</v>
      </c>
      <c r="Q25" s="1" t="s">
        <v>93</v>
      </c>
      <c r="R25" s="1">
        <v>2003</v>
      </c>
      <c r="S25" s="1">
        <v>4</v>
      </c>
      <c r="U25" s="1" t="s">
        <v>2</v>
      </c>
      <c r="V25" s="1">
        <v>11</v>
      </c>
      <c r="W25" s="1">
        <v>11</v>
      </c>
      <c r="X25" s="1" t="s">
        <v>134</v>
      </c>
      <c r="Y25" s="1" t="s">
        <v>147</v>
      </c>
      <c r="Z25" s="1" t="s">
        <v>0</v>
      </c>
      <c r="AA25" s="1" t="s">
        <v>98</v>
      </c>
      <c r="AB25" s="1" t="s">
        <v>159</v>
      </c>
      <c r="AC25" s="1" t="s">
        <v>144</v>
      </c>
      <c r="AD25" s="1" t="s">
        <v>100</v>
      </c>
      <c r="AE25" s="12" t="s">
        <v>291</v>
      </c>
      <c r="AF25" s="12">
        <v>1.74</v>
      </c>
      <c r="AG25" s="12">
        <v>1.55</v>
      </c>
      <c r="AH25" s="12">
        <v>2.39</v>
      </c>
      <c r="AI25" s="12">
        <f t="shared" si="8"/>
        <v>-0.13879799700183659</v>
      </c>
      <c r="AJ25" s="12">
        <f t="shared" si="9"/>
        <v>5.0217550112308225E-2</v>
      </c>
    </row>
    <row r="26" spans="1:36" s="12" customFormat="1" ht="14.25" customHeight="1">
      <c r="A26" s="12">
        <v>521</v>
      </c>
      <c r="B26" s="12" t="s">
        <v>67</v>
      </c>
      <c r="C26" s="12" t="s">
        <v>85</v>
      </c>
      <c r="D26" s="12">
        <v>2020</v>
      </c>
      <c r="E26" s="12">
        <v>2014</v>
      </c>
      <c r="F26" s="12" t="s">
        <v>120</v>
      </c>
      <c r="G26" s="12" t="s">
        <v>109</v>
      </c>
      <c r="H26" s="12">
        <v>41.696944000000002</v>
      </c>
      <c r="I26" s="12">
        <v>-6.2241109999999997</v>
      </c>
      <c r="J26" s="12" t="s">
        <v>128</v>
      </c>
      <c r="K26" s="12" t="s">
        <v>185</v>
      </c>
      <c r="L26" s="12" t="s">
        <v>186</v>
      </c>
      <c r="M26" s="12" t="s">
        <v>238</v>
      </c>
      <c r="N26" s="12" t="s">
        <v>239</v>
      </c>
      <c r="O26" s="12" t="s">
        <v>86</v>
      </c>
      <c r="Q26" s="12" t="s">
        <v>93</v>
      </c>
      <c r="R26" s="12">
        <v>2002</v>
      </c>
      <c r="S26" s="12">
        <v>8</v>
      </c>
      <c r="V26" s="12">
        <v>15</v>
      </c>
      <c r="W26" s="12">
        <v>15</v>
      </c>
      <c r="X26" s="12" t="s">
        <v>97</v>
      </c>
      <c r="Y26" s="12" t="s">
        <v>122</v>
      </c>
      <c r="Z26" s="12" t="s">
        <v>0</v>
      </c>
      <c r="AA26" s="12" t="s">
        <v>98</v>
      </c>
      <c r="AB26" s="12" t="s">
        <v>203</v>
      </c>
      <c r="AC26" s="12" t="s">
        <v>99</v>
      </c>
      <c r="AD26" s="12" t="s">
        <v>111</v>
      </c>
      <c r="AE26" s="12" t="s">
        <v>257</v>
      </c>
      <c r="AF26" s="12">
        <v>0.13</v>
      </c>
      <c r="AG26" s="12">
        <v>0.24</v>
      </c>
      <c r="AH26" s="12">
        <v>0.48</v>
      </c>
      <c r="AI26" s="12">
        <f t="shared" ref="AI26:AI40" si="10">LOG(AH26/(AG26+AF26))</f>
        <v>0.11303951330859224</v>
      </c>
      <c r="AJ26" s="12">
        <f t="shared" ref="AJ26:AJ40" si="11">LOG(AF26/AG26)</f>
        <v>-0.2662678894047692</v>
      </c>
    </row>
    <row r="27" spans="1:36" s="12" customFormat="1" ht="14.25" customHeight="1">
      <c r="A27" s="12">
        <v>521</v>
      </c>
      <c r="B27" s="12" t="s">
        <v>67</v>
      </c>
      <c r="C27" s="12" t="s">
        <v>85</v>
      </c>
      <c r="D27" s="12">
        <v>2020</v>
      </c>
      <c r="E27" s="12">
        <v>2014</v>
      </c>
      <c r="F27" s="12" t="s">
        <v>120</v>
      </c>
      <c r="G27" s="12" t="s">
        <v>109</v>
      </c>
      <c r="H27" s="12">
        <v>41.696944000000002</v>
      </c>
      <c r="I27" s="12">
        <v>-6.2241109999999997</v>
      </c>
      <c r="J27" s="12" t="s">
        <v>128</v>
      </c>
      <c r="K27" s="12" t="s">
        <v>185</v>
      </c>
      <c r="L27" s="12" t="s">
        <v>186</v>
      </c>
      <c r="M27" s="12" t="s">
        <v>238</v>
      </c>
      <c r="N27" s="12" t="s">
        <v>239</v>
      </c>
      <c r="O27" s="12" t="s">
        <v>121</v>
      </c>
      <c r="Q27" s="12" t="s">
        <v>93</v>
      </c>
      <c r="R27" s="12">
        <v>2010</v>
      </c>
      <c r="S27" s="12">
        <v>4</v>
      </c>
      <c r="V27" s="12">
        <v>15</v>
      </c>
      <c r="W27" s="12">
        <v>15</v>
      </c>
      <c r="X27" s="12" t="s">
        <v>97</v>
      </c>
      <c r="Y27" s="12" t="s">
        <v>122</v>
      </c>
      <c r="Z27" s="12" t="s">
        <v>0</v>
      </c>
      <c r="AA27" s="12" t="s">
        <v>98</v>
      </c>
      <c r="AB27" s="12" t="s">
        <v>203</v>
      </c>
      <c r="AC27" s="12" t="s">
        <v>99</v>
      </c>
      <c r="AD27" s="12" t="s">
        <v>111</v>
      </c>
      <c r="AE27" s="12" t="s">
        <v>257</v>
      </c>
      <c r="AF27" s="12">
        <v>0.36</v>
      </c>
      <c r="AG27" s="12">
        <v>0.47</v>
      </c>
      <c r="AH27" s="12">
        <v>0.43</v>
      </c>
      <c r="AI27" s="12">
        <f t="shared" si="10"/>
        <v>-0.28560963679648738</v>
      </c>
      <c r="AJ27" s="12">
        <f t="shared" si="11"/>
        <v>-0.1157953571684302</v>
      </c>
    </row>
    <row r="28" spans="1:36" s="12" customFormat="1" ht="14.25" customHeight="1">
      <c r="A28" s="12">
        <v>449</v>
      </c>
      <c r="B28" s="12" t="s">
        <v>57</v>
      </c>
      <c r="C28" s="12" t="s">
        <v>85</v>
      </c>
      <c r="D28" s="12">
        <v>2019</v>
      </c>
      <c r="E28" s="12">
        <v>2015</v>
      </c>
      <c r="F28" s="12" t="s">
        <v>153</v>
      </c>
      <c r="G28" s="12" t="s">
        <v>117</v>
      </c>
      <c r="H28" s="12">
        <v>61.714253999999997</v>
      </c>
      <c r="I28" s="12">
        <v>-116.79387</v>
      </c>
      <c r="J28" s="12" t="s">
        <v>128</v>
      </c>
      <c r="K28" s="12" t="s">
        <v>103</v>
      </c>
      <c r="L28" s="12" t="s">
        <v>188</v>
      </c>
      <c r="M28" s="12" t="s">
        <v>237</v>
      </c>
      <c r="N28" s="12" t="s">
        <v>239</v>
      </c>
      <c r="O28" s="12" t="s">
        <v>86</v>
      </c>
      <c r="P28" s="12" t="s">
        <v>129</v>
      </c>
      <c r="Q28" s="12" t="s">
        <v>93</v>
      </c>
      <c r="R28" s="12">
        <v>2014</v>
      </c>
      <c r="S28" s="12">
        <v>1</v>
      </c>
      <c r="V28" s="12">
        <v>8</v>
      </c>
      <c r="W28" s="12">
        <v>39</v>
      </c>
      <c r="X28" s="12" t="s">
        <v>97</v>
      </c>
      <c r="Y28" s="12" t="s">
        <v>130</v>
      </c>
      <c r="Z28" s="12" t="s">
        <v>1</v>
      </c>
      <c r="AA28" s="12" t="s">
        <v>98</v>
      </c>
      <c r="AB28" s="12" t="s">
        <v>203</v>
      </c>
      <c r="AC28" s="12" t="s">
        <v>99</v>
      </c>
      <c r="AD28" s="12" t="s">
        <v>100</v>
      </c>
      <c r="AE28" s="12" t="s">
        <v>255</v>
      </c>
      <c r="AF28" s="12">
        <v>0.3</v>
      </c>
      <c r="AG28" s="12">
        <v>0.54</v>
      </c>
      <c r="AH28" s="12">
        <v>0.68</v>
      </c>
      <c r="AI28" s="12">
        <f t="shared" si="10"/>
        <v>-9.1770373355645335E-2</v>
      </c>
      <c r="AJ28" s="12">
        <f t="shared" si="11"/>
        <v>-0.25527250510330612</v>
      </c>
    </row>
    <row r="29" spans="1:36" s="12" customFormat="1" ht="14.25" customHeight="1">
      <c r="A29" s="12">
        <v>442</v>
      </c>
      <c r="B29" s="12" t="s">
        <v>54</v>
      </c>
      <c r="C29" s="12" t="s">
        <v>85</v>
      </c>
      <c r="D29" s="12">
        <v>2015</v>
      </c>
      <c r="E29" s="12" t="s">
        <v>218</v>
      </c>
      <c r="F29" s="12" t="s">
        <v>120</v>
      </c>
      <c r="G29" s="12" t="s">
        <v>109</v>
      </c>
      <c r="H29" s="12">
        <v>41.696944000000002</v>
      </c>
      <c r="I29" s="12">
        <v>-6.2241109999999997</v>
      </c>
      <c r="J29" s="12" t="s">
        <v>126</v>
      </c>
      <c r="K29" s="12" t="s">
        <v>185</v>
      </c>
      <c r="L29" s="12" t="s">
        <v>186</v>
      </c>
      <c r="M29" s="12" t="s">
        <v>238</v>
      </c>
      <c r="N29" s="12" t="s">
        <v>239</v>
      </c>
      <c r="O29" s="12" t="s">
        <v>86</v>
      </c>
      <c r="Q29" s="12" t="s">
        <v>93</v>
      </c>
      <c r="R29" s="12">
        <v>2002</v>
      </c>
      <c r="S29" s="12">
        <v>8</v>
      </c>
      <c r="V29" s="12">
        <v>3</v>
      </c>
      <c r="W29" s="12">
        <v>3</v>
      </c>
      <c r="X29" s="12" t="s">
        <v>114</v>
      </c>
      <c r="Y29" s="12" t="s">
        <v>2</v>
      </c>
      <c r="Z29" s="12" t="s">
        <v>0</v>
      </c>
      <c r="AA29" s="12" t="s">
        <v>113</v>
      </c>
      <c r="AB29" s="12" t="s">
        <v>2</v>
      </c>
      <c r="AC29" s="12" t="s">
        <v>2</v>
      </c>
      <c r="AD29" s="12" t="s">
        <v>2</v>
      </c>
      <c r="AE29" s="12" t="s">
        <v>257</v>
      </c>
      <c r="AF29" s="12">
        <v>0.25</v>
      </c>
      <c r="AG29" s="12">
        <v>0.69</v>
      </c>
      <c r="AH29" s="12">
        <v>1.39</v>
      </c>
      <c r="AI29" s="12">
        <f t="shared" si="10"/>
        <v>0.16988694665439644</v>
      </c>
      <c r="AJ29" s="12">
        <f t="shared" si="11"/>
        <v>-0.44090908206521762</v>
      </c>
    </row>
    <row r="30" spans="1:36" s="12" customFormat="1" ht="14.25" customHeight="1">
      <c r="A30" s="12">
        <v>442</v>
      </c>
      <c r="B30" s="12" t="s">
        <v>54</v>
      </c>
      <c r="C30" s="12" t="s">
        <v>85</v>
      </c>
      <c r="D30" s="12">
        <v>2015</v>
      </c>
      <c r="E30" s="12" t="s">
        <v>218</v>
      </c>
      <c r="F30" s="12" t="s">
        <v>120</v>
      </c>
      <c r="G30" s="12" t="s">
        <v>109</v>
      </c>
      <c r="H30" s="12">
        <v>41.696944000000002</v>
      </c>
      <c r="I30" s="12">
        <v>-6.2241109999999997</v>
      </c>
      <c r="J30" s="12" t="s">
        <v>126</v>
      </c>
      <c r="K30" s="12" t="s">
        <v>185</v>
      </c>
      <c r="L30" s="12" t="s">
        <v>186</v>
      </c>
      <c r="M30" s="12" t="s">
        <v>238</v>
      </c>
      <c r="N30" s="12" t="s">
        <v>239</v>
      </c>
      <c r="O30" s="12" t="s">
        <v>121</v>
      </c>
      <c r="Q30" s="12" t="s">
        <v>93</v>
      </c>
      <c r="R30" s="12">
        <v>2010</v>
      </c>
      <c r="S30" s="12">
        <v>1.5</v>
      </c>
      <c r="V30" s="12">
        <v>3</v>
      </c>
      <c r="W30" s="12">
        <v>3</v>
      </c>
      <c r="X30" s="12" t="s">
        <v>114</v>
      </c>
      <c r="Y30" s="12" t="s">
        <v>2</v>
      </c>
      <c r="Z30" s="12" t="s">
        <v>0</v>
      </c>
      <c r="AA30" s="12" t="s">
        <v>113</v>
      </c>
      <c r="AB30" s="12" t="s">
        <v>2</v>
      </c>
      <c r="AC30" s="12" t="s">
        <v>2</v>
      </c>
      <c r="AD30" s="12" t="s">
        <v>2</v>
      </c>
      <c r="AE30" s="12" t="s">
        <v>257</v>
      </c>
      <c r="AF30" s="12">
        <v>0.74</v>
      </c>
      <c r="AG30" s="12">
        <v>0.69</v>
      </c>
      <c r="AH30" s="12">
        <v>1.1599999999999999</v>
      </c>
      <c r="AI30" s="12">
        <f t="shared" si="10"/>
        <v>-9.0878048238143355E-2</v>
      </c>
      <c r="AJ30" s="12">
        <f t="shared" si="11"/>
        <v>3.0382628993720916E-2</v>
      </c>
    </row>
    <row r="31" spans="1:36" s="12" customFormat="1" ht="14.25" customHeight="1">
      <c r="A31" s="12">
        <v>493</v>
      </c>
      <c r="B31" s="12" t="s">
        <v>65</v>
      </c>
      <c r="C31" s="12" t="s">
        <v>85</v>
      </c>
      <c r="D31" s="12">
        <v>2023</v>
      </c>
      <c r="E31" s="12">
        <v>2020</v>
      </c>
      <c r="F31" s="12" t="s">
        <v>215</v>
      </c>
      <c r="G31" s="12" t="s">
        <v>160</v>
      </c>
      <c r="H31" s="12">
        <v>53.468417000000002</v>
      </c>
      <c r="I31" s="12">
        <v>122.35216699999999</v>
      </c>
      <c r="J31" s="12" t="s">
        <v>128</v>
      </c>
      <c r="K31" s="12" t="s">
        <v>173</v>
      </c>
      <c r="L31" s="12" t="s">
        <v>174</v>
      </c>
      <c r="M31" s="12" t="s">
        <v>237</v>
      </c>
      <c r="N31" s="12" t="s">
        <v>239</v>
      </c>
      <c r="O31" s="12" t="s">
        <v>86</v>
      </c>
      <c r="P31" s="12" t="s">
        <v>146</v>
      </c>
      <c r="Q31" s="12" t="s">
        <v>93</v>
      </c>
      <c r="R31" s="12">
        <v>2010</v>
      </c>
      <c r="S31" s="12">
        <v>10</v>
      </c>
      <c r="V31" s="12">
        <v>3</v>
      </c>
      <c r="W31" s="12">
        <v>3</v>
      </c>
      <c r="X31" s="12" t="s">
        <v>97</v>
      </c>
      <c r="Y31" s="12" t="s">
        <v>133</v>
      </c>
      <c r="Z31" s="12" t="s">
        <v>0</v>
      </c>
      <c r="AA31" s="12" t="s">
        <v>98</v>
      </c>
      <c r="AB31" s="12" t="s">
        <v>203</v>
      </c>
      <c r="AC31" s="12" t="s">
        <v>99</v>
      </c>
      <c r="AD31" s="12" t="s">
        <v>100</v>
      </c>
      <c r="AE31" s="12" t="s">
        <v>255</v>
      </c>
      <c r="AF31" s="12">
        <v>1.7000000000000001E-2</v>
      </c>
      <c r="AG31" s="12">
        <v>1.6E-2</v>
      </c>
      <c r="AH31" s="12">
        <v>0.91</v>
      </c>
      <c r="AI31" s="12">
        <f t="shared" si="10"/>
        <v>1.4405274524432061</v>
      </c>
      <c r="AJ31" s="12">
        <f t="shared" si="11"/>
        <v>2.6328938722349149E-2</v>
      </c>
    </row>
    <row r="32" spans="1:36" s="12" customFormat="1" ht="14.25" customHeight="1">
      <c r="A32" s="12">
        <v>493</v>
      </c>
      <c r="B32" s="12" t="s">
        <v>65</v>
      </c>
      <c r="C32" s="12" t="s">
        <v>85</v>
      </c>
      <c r="D32" s="12">
        <v>2023</v>
      </c>
      <c r="E32" s="12">
        <v>2020</v>
      </c>
      <c r="F32" s="12" t="s">
        <v>215</v>
      </c>
      <c r="G32" s="12" t="s">
        <v>160</v>
      </c>
      <c r="H32" s="12">
        <v>53.468417000000002</v>
      </c>
      <c r="I32" s="12">
        <v>122.35216699999999</v>
      </c>
      <c r="J32" s="12" t="s">
        <v>128</v>
      </c>
      <c r="K32" s="12" t="s">
        <v>173</v>
      </c>
      <c r="L32" s="12" t="s">
        <v>174</v>
      </c>
      <c r="M32" s="12" t="s">
        <v>237</v>
      </c>
      <c r="N32" s="12" t="s">
        <v>239</v>
      </c>
      <c r="O32" s="12" t="s">
        <v>86</v>
      </c>
      <c r="P32" s="12" t="s">
        <v>211</v>
      </c>
      <c r="Q32" s="12" t="s">
        <v>93</v>
      </c>
      <c r="R32" s="12">
        <v>2010</v>
      </c>
      <c r="S32" s="12">
        <v>10</v>
      </c>
      <c r="V32" s="12">
        <v>3</v>
      </c>
      <c r="W32" s="12">
        <v>3</v>
      </c>
      <c r="X32" s="12" t="s">
        <v>97</v>
      </c>
      <c r="Y32" s="12" t="s">
        <v>133</v>
      </c>
      <c r="Z32" s="12" t="s">
        <v>0</v>
      </c>
      <c r="AA32" s="12" t="s">
        <v>98</v>
      </c>
      <c r="AB32" s="12" t="s">
        <v>203</v>
      </c>
      <c r="AC32" s="12" t="s">
        <v>99</v>
      </c>
      <c r="AD32" s="12" t="s">
        <v>100</v>
      </c>
      <c r="AE32" s="12" t="s">
        <v>255</v>
      </c>
      <c r="AF32" s="12">
        <v>2.5000000000000001E-2</v>
      </c>
      <c r="AG32" s="12">
        <v>1.6E-2</v>
      </c>
      <c r="AH32" s="12">
        <v>0.88</v>
      </c>
      <c r="AI32" s="12">
        <f t="shared" si="10"/>
        <v>1.331698815430433</v>
      </c>
      <c r="AJ32" s="12">
        <f t="shared" si="11"/>
        <v>0.19382002601611284</v>
      </c>
    </row>
    <row r="33" spans="1:36" s="12" customFormat="1" ht="14.25" customHeight="1">
      <c r="A33" s="12">
        <v>493</v>
      </c>
      <c r="B33" s="12" t="s">
        <v>65</v>
      </c>
      <c r="C33" s="12" t="s">
        <v>85</v>
      </c>
      <c r="D33" s="12">
        <v>2023</v>
      </c>
      <c r="E33" s="12">
        <v>2020</v>
      </c>
      <c r="F33" s="12" t="s">
        <v>215</v>
      </c>
      <c r="G33" s="12" t="s">
        <v>160</v>
      </c>
      <c r="H33" s="12">
        <v>53.468417000000002</v>
      </c>
      <c r="I33" s="12">
        <v>122.35216699999999</v>
      </c>
      <c r="J33" s="12" t="s">
        <v>128</v>
      </c>
      <c r="K33" s="12" t="s">
        <v>173</v>
      </c>
      <c r="L33" s="12" t="s">
        <v>174</v>
      </c>
      <c r="M33" s="12" t="s">
        <v>237</v>
      </c>
      <c r="N33" s="12" t="s">
        <v>239</v>
      </c>
      <c r="O33" s="12" t="s">
        <v>86</v>
      </c>
      <c r="P33" s="12" t="s">
        <v>129</v>
      </c>
      <c r="Q33" s="12" t="s">
        <v>93</v>
      </c>
      <c r="R33" s="12">
        <v>2010</v>
      </c>
      <c r="S33" s="12">
        <v>10</v>
      </c>
      <c r="V33" s="12">
        <v>3</v>
      </c>
      <c r="W33" s="12">
        <v>3</v>
      </c>
      <c r="X33" s="12" t="s">
        <v>97</v>
      </c>
      <c r="Y33" s="12" t="s">
        <v>133</v>
      </c>
      <c r="Z33" s="12" t="s">
        <v>0</v>
      </c>
      <c r="AA33" s="12" t="s">
        <v>98</v>
      </c>
      <c r="AB33" s="12" t="s">
        <v>203</v>
      </c>
      <c r="AC33" s="12" t="s">
        <v>99</v>
      </c>
      <c r="AD33" s="12" t="s">
        <v>100</v>
      </c>
      <c r="AE33" s="12" t="s">
        <v>255</v>
      </c>
      <c r="AF33" s="12">
        <v>4.8000000000000001E-2</v>
      </c>
      <c r="AG33" s="12">
        <v>1.6E-2</v>
      </c>
      <c r="AH33" s="12">
        <v>0.94</v>
      </c>
      <c r="AI33" s="12">
        <f t="shared" si="10"/>
        <v>1.1669478796158115</v>
      </c>
      <c r="AJ33" s="12">
        <f t="shared" si="11"/>
        <v>0.47712125471966244</v>
      </c>
    </row>
    <row r="34" spans="1:36" s="12" customFormat="1" ht="14.25" customHeight="1">
      <c r="A34" s="12">
        <v>141</v>
      </c>
      <c r="B34" s="12" t="s">
        <v>21</v>
      </c>
      <c r="C34" s="12" t="s">
        <v>85</v>
      </c>
      <c r="D34" s="12">
        <v>2022</v>
      </c>
      <c r="E34" s="12">
        <v>2015</v>
      </c>
      <c r="F34" s="12" t="s">
        <v>200</v>
      </c>
      <c r="G34" s="12" t="s">
        <v>124</v>
      </c>
      <c r="H34" s="12">
        <v>20.327825000000001</v>
      </c>
      <c r="I34" s="12">
        <v>-74.804070999999993</v>
      </c>
      <c r="J34" s="12" t="s">
        <v>126</v>
      </c>
      <c r="K34" s="12" t="s">
        <v>177</v>
      </c>
      <c r="L34" s="12" t="s">
        <v>201</v>
      </c>
      <c r="M34" s="12" t="s">
        <v>237</v>
      </c>
      <c r="N34" s="12" t="s">
        <v>239</v>
      </c>
      <c r="O34" s="12" t="s">
        <v>121</v>
      </c>
      <c r="Q34" s="12" t="s">
        <v>115</v>
      </c>
      <c r="R34" s="12">
        <v>2015</v>
      </c>
      <c r="S34" s="12" t="s">
        <v>301</v>
      </c>
      <c r="V34" s="12">
        <v>3</v>
      </c>
      <c r="W34" s="12">
        <v>3</v>
      </c>
      <c r="X34" s="12" t="s">
        <v>114</v>
      </c>
      <c r="Y34" s="12" t="s">
        <v>2</v>
      </c>
      <c r="Z34" s="12" t="s">
        <v>1</v>
      </c>
      <c r="AA34" s="12" t="s">
        <v>113</v>
      </c>
      <c r="AB34" s="12" t="s">
        <v>2</v>
      </c>
      <c r="AC34" s="12" t="s">
        <v>2</v>
      </c>
      <c r="AD34" s="12" t="s">
        <v>2</v>
      </c>
      <c r="AE34" s="12" t="s">
        <v>257</v>
      </c>
      <c r="AF34" s="12">
        <v>0.67</v>
      </c>
      <c r="AG34" s="12">
        <v>0.16</v>
      </c>
      <c r="AH34" s="12">
        <v>0.73</v>
      </c>
      <c r="AI34" s="12">
        <f t="shared" si="10"/>
        <v>-5.5755232255618029E-2</v>
      </c>
      <c r="AJ34" s="12">
        <f t="shared" si="11"/>
        <v>0.62195482004490166</v>
      </c>
    </row>
    <row r="35" spans="1:36" s="12" customFormat="1" ht="14.25" customHeight="1">
      <c r="A35" s="12">
        <v>141</v>
      </c>
      <c r="B35" s="12" t="s">
        <v>21</v>
      </c>
      <c r="C35" s="12" t="s">
        <v>85</v>
      </c>
      <c r="D35" s="12">
        <v>2022</v>
      </c>
      <c r="E35" s="12">
        <v>2015</v>
      </c>
      <c r="F35" s="12" t="s">
        <v>200</v>
      </c>
      <c r="G35" s="12" t="s">
        <v>124</v>
      </c>
      <c r="H35" s="12">
        <v>20.327825000000001</v>
      </c>
      <c r="I35" s="12">
        <v>-74.804070999999993</v>
      </c>
      <c r="J35" s="12" t="s">
        <v>126</v>
      </c>
      <c r="K35" s="12" t="s">
        <v>177</v>
      </c>
      <c r="L35" s="12" t="s">
        <v>201</v>
      </c>
      <c r="M35" s="12" t="s">
        <v>237</v>
      </c>
      <c r="N35" s="12" t="s">
        <v>239</v>
      </c>
      <c r="O35" s="12" t="s">
        <v>121</v>
      </c>
      <c r="Q35" s="12" t="s">
        <v>115</v>
      </c>
      <c r="R35" s="12">
        <v>2015</v>
      </c>
      <c r="S35" s="12" t="s">
        <v>299</v>
      </c>
      <c r="V35" s="12">
        <v>3</v>
      </c>
      <c r="W35" s="12">
        <v>3</v>
      </c>
      <c r="X35" s="12" t="s">
        <v>114</v>
      </c>
      <c r="Y35" s="12" t="s">
        <v>2</v>
      </c>
      <c r="Z35" s="12" t="s">
        <v>1</v>
      </c>
      <c r="AA35" s="12" t="s">
        <v>113</v>
      </c>
      <c r="AB35" s="12" t="s">
        <v>2</v>
      </c>
      <c r="AC35" s="12" t="s">
        <v>2</v>
      </c>
      <c r="AD35" s="12" t="s">
        <v>2</v>
      </c>
      <c r="AE35" s="12" t="s">
        <v>257</v>
      </c>
      <c r="AF35" s="12">
        <v>0.05</v>
      </c>
      <c r="AG35" s="12">
        <v>0.16</v>
      </c>
      <c r="AH35" s="12">
        <v>0.28000000000000003</v>
      </c>
      <c r="AI35" s="12">
        <f t="shared" si="10"/>
        <v>0.12493873660829993</v>
      </c>
      <c r="AJ35" s="12">
        <f t="shared" si="11"/>
        <v>-0.50514997831990593</v>
      </c>
    </row>
    <row r="36" spans="1:36" s="12" customFormat="1" ht="14.25" customHeight="1">
      <c r="A36" s="12">
        <v>474</v>
      </c>
      <c r="B36" s="12" t="s">
        <v>61</v>
      </c>
      <c r="C36" s="12" t="s">
        <v>85</v>
      </c>
      <c r="D36" s="12">
        <v>2023</v>
      </c>
      <c r="E36" s="12">
        <v>2020</v>
      </c>
      <c r="F36" s="12" t="s">
        <v>120</v>
      </c>
      <c r="G36" s="12" t="s">
        <v>109</v>
      </c>
      <c r="H36" s="12">
        <v>37.020277999999998</v>
      </c>
      <c r="I36" s="12">
        <v>-6.48</v>
      </c>
      <c r="J36" s="12" t="s">
        <v>128</v>
      </c>
      <c r="K36" s="12" t="s">
        <v>304</v>
      </c>
      <c r="M36" s="12" t="s">
        <v>238</v>
      </c>
      <c r="N36" s="12" t="s">
        <v>239</v>
      </c>
      <c r="O36" s="12" t="s">
        <v>121</v>
      </c>
      <c r="P36" s="16" t="s">
        <v>146</v>
      </c>
      <c r="Q36" s="12" t="s">
        <v>115</v>
      </c>
      <c r="R36" s="12">
        <v>2020</v>
      </c>
      <c r="S36" s="12" t="s">
        <v>307</v>
      </c>
      <c r="V36" s="16">
        <v>9</v>
      </c>
      <c r="W36" s="16">
        <v>9</v>
      </c>
      <c r="X36" s="12" t="s">
        <v>97</v>
      </c>
      <c r="Z36" s="12" t="s">
        <v>1</v>
      </c>
      <c r="AA36" s="12" t="s">
        <v>98</v>
      </c>
      <c r="AB36" s="12" t="s">
        <v>203</v>
      </c>
      <c r="AC36" s="12" t="s">
        <v>99</v>
      </c>
      <c r="AD36" s="12" t="s">
        <v>102</v>
      </c>
      <c r="AE36" s="16" t="s">
        <v>257</v>
      </c>
      <c r="AF36" s="16">
        <v>0.55000000000000004</v>
      </c>
      <c r="AG36" s="16">
        <v>0.45</v>
      </c>
      <c r="AH36" s="16">
        <v>0.5</v>
      </c>
      <c r="AI36" s="12">
        <f t="shared" ref="AI36:AI37" si="12">LOG(AH36/(AG36+AF36))</f>
        <v>-0.3010299956639812</v>
      </c>
      <c r="AJ36" s="12">
        <f t="shared" ref="AJ36:AJ37" si="13">LOG(AF36/AG36)</f>
        <v>8.71501757189002E-2</v>
      </c>
    </row>
    <row r="37" spans="1:36" s="12" customFormat="1" ht="14.25" customHeight="1">
      <c r="A37" s="12">
        <v>474</v>
      </c>
      <c r="B37" s="12" t="s">
        <v>61</v>
      </c>
      <c r="C37" s="12" t="s">
        <v>85</v>
      </c>
      <c r="D37" s="12">
        <v>2023</v>
      </c>
      <c r="E37" s="12">
        <v>2020</v>
      </c>
      <c r="F37" s="12" t="s">
        <v>120</v>
      </c>
      <c r="G37" s="12" t="s">
        <v>109</v>
      </c>
      <c r="H37" s="12">
        <v>37.020277999999998</v>
      </c>
      <c r="I37" s="12">
        <v>-6.48</v>
      </c>
      <c r="J37" s="12" t="s">
        <v>128</v>
      </c>
      <c r="K37" s="12" t="s">
        <v>304</v>
      </c>
      <c r="M37" s="12" t="s">
        <v>238</v>
      </c>
      <c r="N37" s="12" t="s">
        <v>239</v>
      </c>
      <c r="O37" s="12" t="s">
        <v>121</v>
      </c>
      <c r="P37" s="16" t="s">
        <v>146</v>
      </c>
      <c r="Q37" s="12" t="s">
        <v>115</v>
      </c>
      <c r="R37" s="12">
        <v>2020</v>
      </c>
      <c r="S37" s="12">
        <v>1</v>
      </c>
      <c r="V37" s="16">
        <v>9</v>
      </c>
      <c r="W37" s="16">
        <v>9</v>
      </c>
      <c r="X37" s="12" t="s">
        <v>97</v>
      </c>
      <c r="Z37" s="12" t="s">
        <v>1</v>
      </c>
      <c r="AA37" s="12" t="s">
        <v>98</v>
      </c>
      <c r="AB37" s="12" t="s">
        <v>203</v>
      </c>
      <c r="AC37" s="12" t="s">
        <v>99</v>
      </c>
      <c r="AD37" s="12" t="s">
        <v>102</v>
      </c>
      <c r="AE37" s="16" t="s">
        <v>257</v>
      </c>
      <c r="AF37" s="16">
        <v>0.64</v>
      </c>
      <c r="AG37" s="16">
        <v>0.45</v>
      </c>
      <c r="AH37" s="16">
        <v>0.56000000000000005</v>
      </c>
      <c r="AI37" s="12">
        <f t="shared" si="12"/>
        <v>-0.28923847093442318</v>
      </c>
      <c r="AJ37" s="12">
        <f t="shared" si="13"/>
        <v>0.15296746020854352</v>
      </c>
    </row>
    <row r="38" spans="1:36" s="16" customFormat="1">
      <c r="A38" s="16">
        <v>191</v>
      </c>
      <c r="B38" s="16" t="s">
        <v>241</v>
      </c>
      <c r="D38" s="16">
        <v>2025</v>
      </c>
      <c r="E38" s="16">
        <v>2020</v>
      </c>
      <c r="F38" s="16" t="s">
        <v>120</v>
      </c>
      <c r="G38" s="16" t="s">
        <v>109</v>
      </c>
      <c r="H38" s="16">
        <v>40.551667000000002</v>
      </c>
      <c r="I38" s="16">
        <v>-2.108889</v>
      </c>
      <c r="J38" s="12" t="s">
        <v>128</v>
      </c>
      <c r="K38" s="16" t="s">
        <v>177</v>
      </c>
      <c r="L38" s="16" t="s">
        <v>192</v>
      </c>
      <c r="M38" s="16" t="s">
        <v>237</v>
      </c>
      <c r="N38" s="16" t="s">
        <v>239</v>
      </c>
      <c r="O38" s="16" t="s">
        <v>121</v>
      </c>
      <c r="Q38" s="16" t="s">
        <v>93</v>
      </c>
      <c r="R38" s="16">
        <v>2019</v>
      </c>
      <c r="S38" s="16">
        <v>1</v>
      </c>
      <c r="V38" s="16">
        <v>9</v>
      </c>
      <c r="W38" s="16">
        <v>9</v>
      </c>
      <c r="X38" s="16" t="s">
        <v>97</v>
      </c>
      <c r="Y38" s="16" t="s">
        <v>147</v>
      </c>
      <c r="Z38" s="16" t="s">
        <v>1</v>
      </c>
      <c r="AA38" s="16" t="s">
        <v>98</v>
      </c>
      <c r="AB38" s="16" t="s">
        <v>203</v>
      </c>
      <c r="AC38" s="16" t="s">
        <v>99</v>
      </c>
      <c r="AD38" s="16" t="s">
        <v>102</v>
      </c>
      <c r="AE38" s="16" t="s">
        <v>257</v>
      </c>
      <c r="AF38" s="16">
        <v>0.63</v>
      </c>
      <c r="AG38" s="16">
        <v>0.71</v>
      </c>
      <c r="AH38" s="16">
        <v>0.67</v>
      </c>
      <c r="AI38" s="12">
        <f t="shared" si="10"/>
        <v>-0.30102999566398109</v>
      </c>
      <c r="AJ38" s="12">
        <f t="shared" si="11"/>
        <v>-5.1917799265493558E-2</v>
      </c>
    </row>
    <row r="39" spans="1:36" s="12" customFormat="1" ht="14.25" customHeight="1">
      <c r="A39" s="12">
        <v>102</v>
      </c>
      <c r="B39" s="12" t="s">
        <v>14</v>
      </c>
      <c r="C39" s="12" t="s">
        <v>85</v>
      </c>
      <c r="D39" s="12">
        <v>2024</v>
      </c>
      <c r="E39" s="12">
        <v>2020</v>
      </c>
      <c r="F39" s="12" t="s">
        <v>143</v>
      </c>
      <c r="G39" s="12" t="s">
        <v>167</v>
      </c>
      <c r="H39" s="12">
        <v>44.798842</v>
      </c>
      <c r="I39" s="12">
        <v>-111.290696</v>
      </c>
      <c r="J39" s="12" t="s">
        <v>128</v>
      </c>
      <c r="K39" s="12" t="s">
        <v>177</v>
      </c>
      <c r="L39" s="12" t="s">
        <v>187</v>
      </c>
      <c r="M39" s="16" t="s">
        <v>237</v>
      </c>
      <c r="N39" s="16" t="s">
        <v>239</v>
      </c>
      <c r="O39" s="12" t="s">
        <v>121</v>
      </c>
      <c r="Q39" s="12" t="s">
        <v>93</v>
      </c>
      <c r="R39" s="12">
        <v>2019</v>
      </c>
      <c r="S39" s="12" t="s">
        <v>166</v>
      </c>
      <c r="V39" s="12">
        <v>7</v>
      </c>
      <c r="W39" s="12">
        <v>15</v>
      </c>
      <c r="X39" s="12" t="s">
        <v>97</v>
      </c>
      <c r="Y39" s="12" t="s">
        <v>130</v>
      </c>
      <c r="Z39" s="12" t="s">
        <v>1</v>
      </c>
      <c r="AA39" s="12" t="s">
        <v>98</v>
      </c>
      <c r="AB39" s="12" t="s">
        <v>203</v>
      </c>
      <c r="AC39" s="12" t="s">
        <v>99</v>
      </c>
      <c r="AD39" s="12" t="s">
        <v>111</v>
      </c>
      <c r="AE39" s="16" t="s">
        <v>257</v>
      </c>
      <c r="AF39" s="16">
        <v>0.31</v>
      </c>
      <c r="AG39" s="16">
        <v>0.25</v>
      </c>
      <c r="AH39" s="16">
        <v>0.65</v>
      </c>
      <c r="AI39" s="16">
        <f t="shared" si="10"/>
        <v>6.4725329636655116E-2</v>
      </c>
      <c r="AJ39" s="16">
        <f t="shared" si="11"/>
        <v>9.3421685162235063E-2</v>
      </c>
    </row>
    <row r="40" spans="1:36" s="12" customFormat="1" ht="14.25" customHeight="1">
      <c r="A40" s="12">
        <v>297</v>
      </c>
      <c r="B40" s="12" t="s">
        <v>45</v>
      </c>
      <c r="C40" s="12" t="s">
        <v>85</v>
      </c>
      <c r="D40" s="12">
        <v>2024</v>
      </c>
      <c r="E40" s="12">
        <v>2018</v>
      </c>
      <c r="F40" s="12" t="s">
        <v>143</v>
      </c>
      <c r="G40" s="12" t="s">
        <v>142</v>
      </c>
      <c r="H40" s="12">
        <v>30.238056</v>
      </c>
      <c r="I40" s="12">
        <v>-82.411389</v>
      </c>
      <c r="J40" s="12" t="s">
        <v>128</v>
      </c>
      <c r="K40" s="12" t="s">
        <v>177</v>
      </c>
      <c r="L40" s="12" t="s">
        <v>190</v>
      </c>
      <c r="M40" s="16" t="s">
        <v>237</v>
      </c>
      <c r="N40" s="16" t="s">
        <v>239</v>
      </c>
      <c r="O40" s="12" t="s">
        <v>121</v>
      </c>
      <c r="Q40" s="12" t="s">
        <v>93</v>
      </c>
      <c r="R40" s="12">
        <v>2018</v>
      </c>
      <c r="S40" s="12">
        <v>1</v>
      </c>
      <c r="V40" s="12">
        <v>6</v>
      </c>
      <c r="W40" s="12">
        <v>6</v>
      </c>
      <c r="X40" s="12" t="s">
        <v>97</v>
      </c>
      <c r="Y40" s="12" t="s">
        <v>133</v>
      </c>
      <c r="Z40" s="12" t="s">
        <v>1</v>
      </c>
      <c r="AA40" s="12" t="s">
        <v>98</v>
      </c>
      <c r="AB40" s="12" t="s">
        <v>203</v>
      </c>
      <c r="AC40" s="12" t="s">
        <v>99</v>
      </c>
      <c r="AD40" s="12" t="s">
        <v>102</v>
      </c>
      <c r="AE40" s="12" t="s">
        <v>257</v>
      </c>
      <c r="AF40" s="16">
        <v>0.3</v>
      </c>
      <c r="AG40" s="16">
        <v>0.36</v>
      </c>
      <c r="AH40" s="16">
        <v>0.92</v>
      </c>
      <c r="AI40" s="16">
        <f t="shared" si="10"/>
        <v>0.14424389180368669</v>
      </c>
      <c r="AJ40" s="16">
        <f t="shared" si="11"/>
        <v>-7.9181246047624804E-2</v>
      </c>
    </row>
    <row r="41" spans="1:36" s="12" customFormat="1" ht="14.25" customHeight="1">
      <c r="A41" s="12">
        <v>562</v>
      </c>
      <c r="B41" s="12" t="s">
        <v>71</v>
      </c>
      <c r="C41" s="12" t="s">
        <v>85</v>
      </c>
      <c r="D41" s="12">
        <v>2023</v>
      </c>
      <c r="E41" s="12">
        <v>2021</v>
      </c>
      <c r="F41" s="12" t="s">
        <v>96</v>
      </c>
      <c r="G41" s="12" t="s">
        <v>119</v>
      </c>
      <c r="H41" s="12">
        <v>-36.537121999999997</v>
      </c>
      <c r="I41" s="12">
        <v>142.010153</v>
      </c>
      <c r="J41" s="12" t="s">
        <v>128</v>
      </c>
      <c r="K41" s="12" t="s">
        <v>112</v>
      </c>
      <c r="M41" s="12" t="s">
        <v>238</v>
      </c>
      <c r="O41" s="12" t="s">
        <v>86</v>
      </c>
      <c r="Q41" s="12" t="s">
        <v>93</v>
      </c>
      <c r="S41" s="12">
        <v>1</v>
      </c>
      <c r="V41" s="12">
        <v>18</v>
      </c>
      <c r="W41" s="12">
        <v>11</v>
      </c>
      <c r="X41" s="12" t="s">
        <v>97</v>
      </c>
      <c r="Y41" s="12" t="s">
        <v>106</v>
      </c>
      <c r="Z41" s="12" t="s">
        <v>1</v>
      </c>
      <c r="AA41" s="12" t="s">
        <v>98</v>
      </c>
      <c r="AB41" s="12" t="s">
        <v>203</v>
      </c>
      <c r="AC41" s="12" t="s">
        <v>99</v>
      </c>
      <c r="AD41" s="12" t="s">
        <v>102</v>
      </c>
      <c r="AE41" s="12" t="s">
        <v>257</v>
      </c>
      <c r="AF41" s="16">
        <v>0.99</v>
      </c>
      <c r="AG41" s="16">
        <v>1.01</v>
      </c>
      <c r="AH41" s="16">
        <v>0.67</v>
      </c>
      <c r="AI41" s="16">
        <f t="shared" ref="AI41:AI46" si="14">LOG(AH41/(AG41+AF41))</f>
        <v>-0.47495519296315475</v>
      </c>
      <c r="AJ41" s="16">
        <f t="shared" ref="AJ41:AJ46" si="15">LOG(AF41/AG41)</f>
        <v>-8.6861791850926674E-3</v>
      </c>
    </row>
    <row r="42" spans="1:36" s="12" customFormat="1" ht="14.25" customHeight="1">
      <c r="A42" s="12">
        <v>562</v>
      </c>
      <c r="B42" s="12" t="s">
        <v>71</v>
      </c>
      <c r="C42" s="12" t="s">
        <v>85</v>
      </c>
      <c r="D42" s="12">
        <v>2023</v>
      </c>
      <c r="E42" s="12">
        <v>2021</v>
      </c>
      <c r="F42" s="12" t="s">
        <v>96</v>
      </c>
      <c r="G42" s="12" t="s">
        <v>119</v>
      </c>
      <c r="H42" s="12">
        <v>-36.537121999999997</v>
      </c>
      <c r="I42" s="12">
        <v>142.010153</v>
      </c>
      <c r="J42" s="12" t="s">
        <v>128</v>
      </c>
      <c r="K42" s="12" t="s">
        <v>112</v>
      </c>
      <c r="M42" s="12" t="s">
        <v>238</v>
      </c>
      <c r="O42" s="12" t="s">
        <v>86</v>
      </c>
      <c r="Q42" s="12" t="s">
        <v>93</v>
      </c>
      <c r="S42" s="12">
        <v>5</v>
      </c>
      <c r="V42" s="12">
        <v>18</v>
      </c>
      <c r="W42" s="12">
        <v>17</v>
      </c>
      <c r="X42" s="12" t="s">
        <v>97</v>
      </c>
      <c r="Y42" s="12" t="s">
        <v>106</v>
      </c>
      <c r="Z42" s="12" t="s">
        <v>1</v>
      </c>
      <c r="AA42" s="12" t="s">
        <v>98</v>
      </c>
      <c r="AB42" s="12" t="s">
        <v>203</v>
      </c>
      <c r="AC42" s="12" t="s">
        <v>99</v>
      </c>
      <c r="AD42" s="12" t="s">
        <v>102</v>
      </c>
      <c r="AE42" s="12" t="s">
        <v>257</v>
      </c>
      <c r="AF42" s="16">
        <v>1.24</v>
      </c>
      <c r="AG42" s="16">
        <v>1.01</v>
      </c>
      <c r="AH42" s="16">
        <v>1.21</v>
      </c>
      <c r="AI42" s="16">
        <f t="shared" si="14"/>
        <v>-0.26939714779491236</v>
      </c>
      <c r="AJ42" s="16">
        <f t="shared" si="15"/>
        <v>8.9100311379592484E-2</v>
      </c>
    </row>
    <row r="43" spans="1:36" s="12" customFormat="1" ht="14.25" customHeight="1">
      <c r="A43" s="12">
        <v>425</v>
      </c>
      <c r="B43" s="12" t="s">
        <v>53</v>
      </c>
      <c r="C43" s="12" t="s">
        <v>85</v>
      </c>
      <c r="D43" s="12">
        <v>2021</v>
      </c>
      <c r="F43" s="12" t="s">
        <v>143</v>
      </c>
      <c r="G43" s="12" t="s">
        <v>142</v>
      </c>
      <c r="H43" s="12">
        <v>30.75</v>
      </c>
      <c r="I43" s="12">
        <v>-84</v>
      </c>
      <c r="J43" s="12" t="s">
        <v>128</v>
      </c>
      <c r="K43" s="12" t="s">
        <v>177</v>
      </c>
      <c r="L43" s="12" t="s">
        <v>190</v>
      </c>
      <c r="M43" s="12" t="s">
        <v>237</v>
      </c>
      <c r="N43" s="16" t="s">
        <v>239</v>
      </c>
      <c r="O43" s="12" t="s">
        <v>121</v>
      </c>
      <c r="Q43" s="12" t="s">
        <v>115</v>
      </c>
      <c r="R43" s="12">
        <v>2017</v>
      </c>
      <c r="S43" s="12" t="s">
        <v>157</v>
      </c>
      <c r="V43" s="12">
        <v>9</v>
      </c>
      <c r="W43" s="12">
        <v>15</v>
      </c>
      <c r="X43" s="12" t="s">
        <v>97</v>
      </c>
      <c r="Y43" s="12" t="s">
        <v>132</v>
      </c>
      <c r="Z43" s="12" t="s">
        <v>1</v>
      </c>
      <c r="AA43" s="12" t="s">
        <v>98</v>
      </c>
      <c r="AB43" s="12" t="s">
        <v>203</v>
      </c>
      <c r="AC43" s="12" t="s">
        <v>99</v>
      </c>
      <c r="AD43" s="12" t="s">
        <v>102</v>
      </c>
      <c r="AE43" s="12" t="s">
        <v>257</v>
      </c>
      <c r="AF43" s="12">
        <v>1.23</v>
      </c>
      <c r="AG43" s="12">
        <v>1.32</v>
      </c>
      <c r="AH43" s="12">
        <v>1.27</v>
      </c>
      <c r="AI43" s="12">
        <f t="shared" si="14"/>
        <v>-0.30273645947799827</v>
      </c>
      <c r="AJ43" s="12">
        <f t="shared" si="15"/>
        <v>-3.0668819766451961E-2</v>
      </c>
    </row>
    <row r="44" spans="1:36" s="12" customFormat="1" ht="14.25" customHeight="1">
      <c r="A44" s="12">
        <v>545</v>
      </c>
      <c r="B44" s="12" t="s">
        <v>69</v>
      </c>
      <c r="C44" s="12" t="s">
        <v>85</v>
      </c>
      <c r="D44" s="12">
        <v>2024</v>
      </c>
      <c r="F44" s="12" t="s">
        <v>96</v>
      </c>
      <c r="G44" s="12" t="s">
        <v>109</v>
      </c>
      <c r="H44" s="12">
        <v>-38.46</v>
      </c>
      <c r="I44" s="12">
        <v>144.09</v>
      </c>
      <c r="J44" s="12" t="s">
        <v>128</v>
      </c>
      <c r="K44" s="12" t="s">
        <v>112</v>
      </c>
      <c r="M44" s="12" t="s">
        <v>238</v>
      </c>
      <c r="N44" s="12" t="s">
        <v>239</v>
      </c>
      <c r="O44" s="12" t="s">
        <v>121</v>
      </c>
      <c r="P44" s="12" t="s">
        <v>146</v>
      </c>
      <c r="Q44" s="12" t="s">
        <v>93</v>
      </c>
      <c r="S44" s="12">
        <v>1.5</v>
      </c>
      <c r="T44" s="18"/>
      <c r="X44" s="12" t="s">
        <v>97</v>
      </c>
      <c r="Y44" s="12" t="s">
        <v>133</v>
      </c>
      <c r="AA44" s="12" t="s">
        <v>98</v>
      </c>
      <c r="AB44" s="12" t="s">
        <v>203</v>
      </c>
      <c r="AC44" s="12" t="s">
        <v>99</v>
      </c>
      <c r="AD44" s="12" t="s">
        <v>100</v>
      </c>
      <c r="AE44" s="12" t="s">
        <v>257</v>
      </c>
      <c r="AF44" s="12">
        <v>0.52</v>
      </c>
      <c r="AG44" s="12">
        <v>0.42</v>
      </c>
      <c r="AH44" s="12">
        <v>0.41</v>
      </c>
      <c r="AI44" s="12">
        <f t="shared" si="14"/>
        <v>-0.36034399687996316</v>
      </c>
      <c r="AJ44" s="12">
        <f t="shared" si="15"/>
        <v>9.2754053236898712E-2</v>
      </c>
    </row>
    <row r="45" spans="1:36" s="12" customFormat="1" ht="14.25" customHeight="1">
      <c r="A45" s="12">
        <v>545</v>
      </c>
      <c r="B45" s="12" t="s">
        <v>69</v>
      </c>
      <c r="C45" s="12" t="s">
        <v>85</v>
      </c>
      <c r="D45" s="12">
        <v>2024</v>
      </c>
      <c r="F45" s="12" t="s">
        <v>96</v>
      </c>
      <c r="G45" s="12" t="s">
        <v>109</v>
      </c>
      <c r="H45" s="12">
        <v>-38.46</v>
      </c>
      <c r="I45" s="12">
        <v>144.09</v>
      </c>
      <c r="J45" s="12" t="s">
        <v>128</v>
      </c>
      <c r="K45" s="12" t="s">
        <v>112</v>
      </c>
      <c r="M45" s="12" t="s">
        <v>238</v>
      </c>
      <c r="N45" s="12" t="s">
        <v>239</v>
      </c>
      <c r="O45" s="12" t="s">
        <v>121</v>
      </c>
      <c r="P45" s="12" t="s">
        <v>146</v>
      </c>
      <c r="Q45" s="12" t="s">
        <v>93</v>
      </c>
      <c r="S45" s="12">
        <v>6.5</v>
      </c>
      <c r="T45" s="18"/>
      <c r="V45" s="12">
        <v>6</v>
      </c>
      <c r="W45" s="12">
        <v>7</v>
      </c>
      <c r="X45" s="12" t="s">
        <v>97</v>
      </c>
      <c r="Y45" s="12" t="s">
        <v>133</v>
      </c>
      <c r="Z45" s="12" t="s">
        <v>0</v>
      </c>
      <c r="AA45" s="12" t="s">
        <v>98</v>
      </c>
      <c r="AB45" s="12" t="s">
        <v>203</v>
      </c>
      <c r="AC45" s="12" t="s">
        <v>99</v>
      </c>
      <c r="AD45" s="12" t="s">
        <v>100</v>
      </c>
      <c r="AE45" s="12" t="s">
        <v>257</v>
      </c>
      <c r="AF45" s="12">
        <v>0.28999999999999998</v>
      </c>
      <c r="AG45" s="12">
        <v>0.42</v>
      </c>
      <c r="AH45" s="12">
        <v>0.41</v>
      </c>
      <c r="AI45" s="12">
        <f t="shared" si="14"/>
        <v>-0.23847449199933979</v>
      </c>
      <c r="AJ45" s="12">
        <f t="shared" si="15"/>
        <v>-0.16085129249894439</v>
      </c>
    </row>
    <row r="46" spans="1:36" s="12" customFormat="1" ht="14.25" customHeight="1">
      <c r="A46" s="12">
        <v>545</v>
      </c>
      <c r="B46" s="12" t="s">
        <v>69</v>
      </c>
      <c r="C46" s="12" t="s">
        <v>85</v>
      </c>
      <c r="D46" s="12">
        <v>2024</v>
      </c>
      <c r="F46" s="12" t="s">
        <v>96</v>
      </c>
      <c r="G46" s="12" t="s">
        <v>109</v>
      </c>
      <c r="H46" s="12">
        <v>-38.46</v>
      </c>
      <c r="I46" s="12">
        <v>144.09</v>
      </c>
      <c r="J46" s="12" t="s">
        <v>128</v>
      </c>
      <c r="K46" s="12" t="s">
        <v>112</v>
      </c>
      <c r="M46" s="12" t="s">
        <v>238</v>
      </c>
      <c r="N46" s="12" t="s">
        <v>239</v>
      </c>
      <c r="O46" s="12" t="s">
        <v>121</v>
      </c>
      <c r="P46" s="12" t="s">
        <v>146</v>
      </c>
      <c r="Q46" s="12" t="s">
        <v>93</v>
      </c>
      <c r="S46" s="12">
        <v>10</v>
      </c>
      <c r="T46" s="18"/>
      <c r="V46" s="12">
        <v>6</v>
      </c>
      <c r="W46" s="12">
        <v>6</v>
      </c>
      <c r="X46" s="12" t="s">
        <v>97</v>
      </c>
      <c r="Y46" s="12" t="s">
        <v>133</v>
      </c>
      <c r="Z46" s="12" t="s">
        <v>0</v>
      </c>
      <c r="AA46" s="12" t="s">
        <v>98</v>
      </c>
      <c r="AB46" s="12" t="s">
        <v>203</v>
      </c>
      <c r="AC46" s="12" t="s">
        <v>99</v>
      </c>
      <c r="AD46" s="12" t="s">
        <v>100</v>
      </c>
      <c r="AE46" s="12" t="s">
        <v>257</v>
      </c>
      <c r="AF46" s="12">
        <v>0.37</v>
      </c>
      <c r="AG46" s="12">
        <v>0.42</v>
      </c>
      <c r="AH46" s="12">
        <v>0.37</v>
      </c>
      <c r="AI46" s="12">
        <f t="shared" si="14"/>
        <v>-0.32942536722344645</v>
      </c>
      <c r="AJ46" s="12">
        <f t="shared" si="15"/>
        <v>-5.5047566330905476E-2</v>
      </c>
    </row>
    <row r="47" spans="1:36" s="12" customFormat="1" ht="14.25" customHeight="1">
      <c r="A47" s="12">
        <v>271</v>
      </c>
      <c r="B47" s="12" t="s">
        <v>42</v>
      </c>
      <c r="C47" s="12" t="s">
        <v>85</v>
      </c>
      <c r="D47" s="12">
        <v>2012</v>
      </c>
      <c r="E47" s="12" t="s">
        <v>137</v>
      </c>
      <c r="F47" s="12" t="s">
        <v>136</v>
      </c>
      <c r="H47" s="12">
        <v>55.345132999999997</v>
      </c>
      <c r="I47" s="12">
        <v>21.021471999999999</v>
      </c>
      <c r="J47" s="12" t="s">
        <v>126</v>
      </c>
      <c r="K47" s="12" t="s">
        <v>177</v>
      </c>
      <c r="L47" s="12" t="s">
        <v>194</v>
      </c>
      <c r="M47" s="12" t="s">
        <v>237</v>
      </c>
      <c r="N47" s="12" t="s">
        <v>314</v>
      </c>
      <c r="O47" s="12" t="s">
        <v>86</v>
      </c>
      <c r="P47" s="12" t="s">
        <v>129</v>
      </c>
      <c r="Q47" s="12" t="s">
        <v>93</v>
      </c>
      <c r="R47" s="12">
        <v>2006</v>
      </c>
      <c r="U47" s="12">
        <v>230</v>
      </c>
      <c r="V47" s="12">
        <v>3</v>
      </c>
      <c r="W47" s="12">
        <v>3</v>
      </c>
      <c r="X47" s="12" t="s">
        <v>114</v>
      </c>
      <c r="Y47" s="12" t="s">
        <v>2</v>
      </c>
      <c r="Z47" s="12" t="s">
        <v>1</v>
      </c>
      <c r="AA47" s="12" t="s">
        <v>113</v>
      </c>
      <c r="AC47" s="12" t="s">
        <v>2</v>
      </c>
      <c r="AD47" s="12" t="s">
        <v>2</v>
      </c>
      <c r="AE47" s="12" t="s">
        <v>257</v>
      </c>
      <c r="AF47" s="12">
        <v>0.1</v>
      </c>
      <c r="AG47" s="12">
        <v>0.04</v>
      </c>
      <c r="AH47" s="12">
        <v>0.33</v>
      </c>
      <c r="AI47" s="12">
        <f t="shared" ref="AI47:AI52" si="16">LOG(AH47/(AG47+AF47))</f>
        <v>0.37238590419964945</v>
      </c>
      <c r="AJ47" s="12">
        <f t="shared" ref="AJ47:AJ61" si="17">LOG(AF47/AG47)</f>
        <v>0.3979400086720376</v>
      </c>
    </row>
    <row r="48" spans="1:36" s="12" customFormat="1" ht="14.25" customHeight="1">
      <c r="A48" s="12">
        <v>467</v>
      </c>
      <c r="B48" s="12" t="s">
        <v>60</v>
      </c>
      <c r="C48" s="12" t="s">
        <v>85</v>
      </c>
      <c r="D48" s="12">
        <v>2023</v>
      </c>
      <c r="E48" s="12">
        <v>2014</v>
      </c>
      <c r="F48" s="12" t="s">
        <v>120</v>
      </c>
      <c r="G48" s="12" t="s">
        <v>109</v>
      </c>
      <c r="H48" s="12">
        <v>41.696944000000002</v>
      </c>
      <c r="I48" s="12">
        <v>-6.2241109999999997</v>
      </c>
      <c r="J48" s="12" t="s">
        <v>128</v>
      </c>
      <c r="K48" s="12" t="s">
        <v>185</v>
      </c>
      <c r="L48" s="12" t="s">
        <v>186</v>
      </c>
      <c r="M48" s="12" t="s">
        <v>238</v>
      </c>
      <c r="N48" s="12" t="s">
        <v>239</v>
      </c>
      <c r="O48" s="1" t="s">
        <v>121</v>
      </c>
      <c r="Q48" s="12" t="s">
        <v>93</v>
      </c>
      <c r="R48" s="12">
        <v>2010</v>
      </c>
      <c r="S48" s="12">
        <v>4</v>
      </c>
      <c r="V48" s="12">
        <v>3</v>
      </c>
      <c r="W48" s="12">
        <v>3</v>
      </c>
      <c r="X48" s="12" t="s">
        <v>97</v>
      </c>
      <c r="Y48" s="12" t="s">
        <v>376</v>
      </c>
      <c r="Z48" s="12" t="s">
        <v>0</v>
      </c>
      <c r="AA48" s="12" t="s">
        <v>98</v>
      </c>
      <c r="AB48" s="12" t="s">
        <v>203</v>
      </c>
      <c r="AC48" s="12" t="s">
        <v>377</v>
      </c>
      <c r="AD48" s="12" t="s">
        <v>102</v>
      </c>
      <c r="AE48" s="12" t="s">
        <v>257</v>
      </c>
      <c r="AF48" s="12">
        <v>0.55000000000000004</v>
      </c>
      <c r="AG48" s="12">
        <v>0.28999999999999998</v>
      </c>
      <c r="AH48" s="12">
        <v>0.38</v>
      </c>
      <c r="AI48" s="12">
        <f t="shared" si="16"/>
        <v>-0.34449568944507153</v>
      </c>
      <c r="AJ48" s="12">
        <f t="shared" si="17"/>
        <v>0.27796469159528781</v>
      </c>
    </row>
    <row r="49" spans="1:47" s="12" customFormat="1" ht="14.25" customHeight="1">
      <c r="A49" s="12">
        <v>467</v>
      </c>
      <c r="B49" s="12" t="s">
        <v>60</v>
      </c>
      <c r="C49" s="12" t="s">
        <v>85</v>
      </c>
      <c r="D49" s="12">
        <v>2023</v>
      </c>
      <c r="E49" s="12">
        <v>2014</v>
      </c>
      <c r="F49" s="12" t="s">
        <v>120</v>
      </c>
      <c r="G49" s="12" t="s">
        <v>109</v>
      </c>
      <c r="H49" s="12">
        <v>41.696944000000002</v>
      </c>
      <c r="I49" s="12">
        <v>-6.2241109999999997</v>
      </c>
      <c r="J49" s="12" t="s">
        <v>128</v>
      </c>
      <c r="K49" s="12" t="s">
        <v>185</v>
      </c>
      <c r="L49" s="12" t="s">
        <v>186</v>
      </c>
      <c r="M49" s="12" t="s">
        <v>238</v>
      </c>
      <c r="N49" s="12" t="s">
        <v>239</v>
      </c>
      <c r="O49" s="1" t="s">
        <v>86</v>
      </c>
      <c r="Q49" s="12" t="s">
        <v>93</v>
      </c>
      <c r="R49" s="12">
        <v>2006</v>
      </c>
      <c r="S49" s="12">
        <v>8</v>
      </c>
      <c r="V49" s="12">
        <v>3</v>
      </c>
      <c r="W49" s="12">
        <v>3</v>
      </c>
      <c r="X49" s="12" t="s">
        <v>97</v>
      </c>
      <c r="Y49" s="12" t="s">
        <v>376</v>
      </c>
      <c r="Z49" s="12" t="s">
        <v>0</v>
      </c>
      <c r="AA49" s="12" t="s">
        <v>98</v>
      </c>
      <c r="AB49" s="12" t="s">
        <v>203</v>
      </c>
      <c r="AC49" s="12" t="s">
        <v>377</v>
      </c>
      <c r="AD49" s="12" t="s">
        <v>102</v>
      </c>
      <c r="AE49" s="12" t="s">
        <v>257</v>
      </c>
      <c r="AF49" s="12">
        <v>0.17</v>
      </c>
      <c r="AG49" s="12">
        <v>0.28999999999999998</v>
      </c>
      <c r="AH49" s="12">
        <v>0.64</v>
      </c>
      <c r="AI49" s="12">
        <f t="shared" si="16"/>
        <v>0.14342214230231315</v>
      </c>
      <c r="AJ49" s="12">
        <f t="shared" si="17"/>
        <v>-0.23194907652068211</v>
      </c>
    </row>
    <row r="50" spans="1:47" s="12" customFormat="1" ht="14.1" customHeight="1">
      <c r="A50" s="12">
        <v>121</v>
      </c>
      <c r="B50" s="12" t="s">
        <v>17</v>
      </c>
      <c r="C50" s="12" t="s">
        <v>85</v>
      </c>
      <c r="D50" s="12">
        <v>2014</v>
      </c>
      <c r="E50" s="12">
        <v>2009</v>
      </c>
      <c r="F50" s="12" t="s">
        <v>136</v>
      </c>
      <c r="G50" s="12" t="s">
        <v>162</v>
      </c>
      <c r="H50" s="12">
        <v>55.345132999999997</v>
      </c>
      <c r="I50" s="12">
        <v>21.021471999999999</v>
      </c>
      <c r="J50" s="12" t="s">
        <v>126</v>
      </c>
      <c r="K50" s="12" t="s">
        <v>177</v>
      </c>
      <c r="L50" s="12" t="s">
        <v>194</v>
      </c>
      <c r="M50" s="12" t="s">
        <v>237</v>
      </c>
      <c r="N50" s="12" t="s">
        <v>314</v>
      </c>
      <c r="O50" s="12" t="s">
        <v>86</v>
      </c>
      <c r="P50" s="12" t="s">
        <v>129</v>
      </c>
      <c r="Q50" s="12" t="s">
        <v>93</v>
      </c>
      <c r="R50" s="12">
        <v>2006</v>
      </c>
      <c r="S50" s="12">
        <v>3</v>
      </c>
      <c r="U50" s="12">
        <v>230</v>
      </c>
      <c r="X50" s="12" t="s">
        <v>114</v>
      </c>
      <c r="Y50" s="12" t="s">
        <v>2</v>
      </c>
      <c r="AA50" s="12" t="s">
        <v>2</v>
      </c>
      <c r="AB50" s="12" t="s">
        <v>2</v>
      </c>
      <c r="AC50" s="12" t="s">
        <v>2</v>
      </c>
      <c r="AD50" s="12" t="s">
        <v>2</v>
      </c>
      <c r="AE50" s="12" t="s">
        <v>257</v>
      </c>
      <c r="AF50" s="12">
        <v>0.09</v>
      </c>
      <c r="AG50" s="12">
        <v>0.04</v>
      </c>
      <c r="AH50" s="12">
        <v>0.38</v>
      </c>
      <c r="AI50" s="12">
        <f t="shared" si="16"/>
        <v>0.46584024430997334</v>
      </c>
      <c r="AJ50" s="12">
        <f t="shared" si="17"/>
        <v>0.35218251811136247</v>
      </c>
    </row>
    <row r="51" spans="1:47" s="12" customFormat="1" ht="14.1" customHeight="1">
      <c r="A51" s="12">
        <v>121</v>
      </c>
      <c r="B51" s="12" t="s">
        <v>17</v>
      </c>
      <c r="C51" s="12" t="s">
        <v>85</v>
      </c>
      <c r="D51" s="12">
        <v>2014</v>
      </c>
      <c r="E51" s="12">
        <v>2009</v>
      </c>
      <c r="F51" s="12" t="s">
        <v>136</v>
      </c>
      <c r="G51" s="12" t="s">
        <v>162</v>
      </c>
      <c r="H51" s="12">
        <v>55.345132999999997</v>
      </c>
      <c r="I51" s="12">
        <v>21.021471999999999</v>
      </c>
      <c r="J51" s="12" t="s">
        <v>126</v>
      </c>
      <c r="K51" s="12" t="s">
        <v>177</v>
      </c>
      <c r="L51" s="12" t="s">
        <v>183</v>
      </c>
      <c r="M51" s="12" t="s">
        <v>237</v>
      </c>
      <c r="N51" s="12" t="s">
        <v>239</v>
      </c>
      <c r="O51" s="12" t="s">
        <v>86</v>
      </c>
      <c r="P51" s="12" t="s">
        <v>146</v>
      </c>
      <c r="Q51" s="12" t="s">
        <v>93</v>
      </c>
      <c r="R51" s="12">
        <v>2006</v>
      </c>
      <c r="S51" s="12">
        <v>3</v>
      </c>
      <c r="U51" s="12">
        <v>230</v>
      </c>
      <c r="X51" s="12" t="s">
        <v>114</v>
      </c>
      <c r="Y51" s="12" t="s">
        <v>2</v>
      </c>
      <c r="AA51" s="12" t="s">
        <v>2</v>
      </c>
      <c r="AB51" s="12" t="s">
        <v>2</v>
      </c>
      <c r="AC51" s="12" t="s">
        <v>2</v>
      </c>
      <c r="AD51" s="12" t="s">
        <v>2</v>
      </c>
      <c r="AE51" s="12" t="s">
        <v>257</v>
      </c>
      <c r="AF51" s="12">
        <v>0.1</v>
      </c>
      <c r="AG51" s="12">
        <v>0.01</v>
      </c>
      <c r="AH51" s="12">
        <v>0.13</v>
      </c>
      <c r="AI51" s="12">
        <f t="shared" si="16"/>
        <v>7.2550667148611747E-2</v>
      </c>
      <c r="AJ51" s="12">
        <f t="shared" si="17"/>
        <v>1</v>
      </c>
    </row>
    <row r="52" spans="1:47" s="12" customFormat="1" ht="14.25" customHeight="1">
      <c r="A52" s="12">
        <v>35</v>
      </c>
      <c r="B52" s="12" t="s">
        <v>6</v>
      </c>
      <c r="C52" s="12" t="s">
        <v>85</v>
      </c>
      <c r="D52" s="12">
        <v>2005</v>
      </c>
      <c r="E52" s="12">
        <v>2000</v>
      </c>
      <c r="F52" s="12" t="s">
        <v>153</v>
      </c>
      <c r="G52" s="12" t="s">
        <v>117</v>
      </c>
      <c r="H52" s="12">
        <v>56.733333000000002</v>
      </c>
      <c r="I52" s="12">
        <v>-118.333333</v>
      </c>
      <c r="J52" s="12" t="s">
        <v>135</v>
      </c>
      <c r="K52" s="12" t="s">
        <v>103</v>
      </c>
      <c r="L52" s="12" t="s">
        <v>196</v>
      </c>
      <c r="M52" s="12" t="s">
        <v>237</v>
      </c>
      <c r="N52" s="16" t="s">
        <v>239</v>
      </c>
      <c r="O52" s="12" t="s">
        <v>121</v>
      </c>
      <c r="P52" s="12" t="s">
        <v>2</v>
      </c>
      <c r="Q52" s="12" t="s">
        <v>93</v>
      </c>
      <c r="R52" s="12">
        <v>1999</v>
      </c>
      <c r="S52" s="12">
        <v>1</v>
      </c>
      <c r="U52" s="12" t="s">
        <v>2</v>
      </c>
      <c r="V52" s="12">
        <v>15</v>
      </c>
      <c r="W52" s="12">
        <v>15</v>
      </c>
      <c r="X52" s="12" t="s">
        <v>134</v>
      </c>
      <c r="Y52" s="12" t="s">
        <v>155</v>
      </c>
      <c r="Z52" s="12" t="s">
        <v>0</v>
      </c>
      <c r="AA52" s="12" t="s">
        <v>148</v>
      </c>
      <c r="AB52" s="12" t="s">
        <v>2</v>
      </c>
      <c r="AC52" s="12" t="s">
        <v>2</v>
      </c>
      <c r="AD52" s="12" t="s">
        <v>2</v>
      </c>
      <c r="AE52" s="12" t="s">
        <v>251</v>
      </c>
      <c r="AF52" s="12">
        <v>0.15</v>
      </c>
      <c r="AG52" s="12">
        <v>0.6</v>
      </c>
      <c r="AH52" s="12">
        <v>2.1</v>
      </c>
      <c r="AI52" s="12">
        <f t="shared" si="16"/>
        <v>0.44715803134221926</v>
      </c>
      <c r="AJ52" s="12">
        <f t="shared" si="17"/>
        <v>-0.6020599913279624</v>
      </c>
    </row>
    <row r="53" spans="1:47" s="12" customFormat="1" ht="14.25" customHeight="1">
      <c r="A53" s="12">
        <v>480</v>
      </c>
      <c r="B53" s="12" t="s">
        <v>63</v>
      </c>
      <c r="C53" s="12" t="s">
        <v>85</v>
      </c>
      <c r="D53" s="12">
        <v>2023</v>
      </c>
      <c r="E53" s="12">
        <v>2021</v>
      </c>
      <c r="F53" s="12" t="s">
        <v>215</v>
      </c>
      <c r="G53" s="12" t="s">
        <v>162</v>
      </c>
      <c r="H53" s="12">
        <v>52.037222</v>
      </c>
      <c r="I53" s="12">
        <v>124.083611</v>
      </c>
      <c r="J53" s="12" t="s">
        <v>128</v>
      </c>
      <c r="K53" s="12" t="s">
        <v>173</v>
      </c>
      <c r="L53" s="12" t="s">
        <v>174</v>
      </c>
      <c r="M53" s="12" t="s">
        <v>237</v>
      </c>
      <c r="N53" s="12" t="s">
        <v>239</v>
      </c>
      <c r="O53" s="12" t="s">
        <v>86</v>
      </c>
      <c r="Q53" s="12" t="s">
        <v>93</v>
      </c>
      <c r="R53" s="12">
        <v>2020</v>
      </c>
      <c r="S53" s="12">
        <v>1</v>
      </c>
      <c r="V53" s="12">
        <v>6</v>
      </c>
      <c r="W53" s="12">
        <v>6</v>
      </c>
      <c r="X53" s="12" t="s">
        <v>97</v>
      </c>
      <c r="Y53" s="12" t="s">
        <v>2</v>
      </c>
      <c r="Z53" s="12" t="s">
        <v>1</v>
      </c>
      <c r="AA53" s="12" t="s">
        <v>98</v>
      </c>
      <c r="AB53" s="12" t="s">
        <v>203</v>
      </c>
      <c r="AC53" s="12" t="s">
        <v>99</v>
      </c>
      <c r="AD53" s="12" t="s">
        <v>111</v>
      </c>
      <c r="AE53" s="12" t="s">
        <v>257</v>
      </c>
      <c r="AF53" s="12">
        <v>0.26</v>
      </c>
      <c r="AG53" s="12">
        <v>0.6</v>
      </c>
      <c r="AH53" s="12">
        <v>0.45</v>
      </c>
      <c r="AI53" s="12">
        <f t="shared" ref="AI53:AI82" si="18">LOG(AH53/(AG53+AF53))</f>
        <v>-0.281285937468224</v>
      </c>
      <c r="AJ53" s="12">
        <f t="shared" si="17"/>
        <v>-0.36317790241282566</v>
      </c>
    </row>
    <row r="54" spans="1:47" s="12" customFormat="1" ht="14.25" customHeight="1">
      <c r="A54" s="12">
        <v>480</v>
      </c>
      <c r="B54" s="12" t="s">
        <v>63</v>
      </c>
      <c r="C54" s="12" t="s">
        <v>85</v>
      </c>
      <c r="D54" s="12">
        <v>2023</v>
      </c>
      <c r="E54" s="12">
        <v>2021</v>
      </c>
      <c r="F54" s="12" t="s">
        <v>215</v>
      </c>
      <c r="G54" s="12" t="s">
        <v>162</v>
      </c>
      <c r="H54" s="12">
        <v>52.037222</v>
      </c>
      <c r="I54" s="12">
        <v>124.083611</v>
      </c>
      <c r="J54" s="12" t="s">
        <v>128</v>
      </c>
      <c r="K54" s="12" t="s">
        <v>173</v>
      </c>
      <c r="L54" s="12" t="s">
        <v>174</v>
      </c>
      <c r="M54" s="12" t="s">
        <v>237</v>
      </c>
      <c r="N54" s="12" t="s">
        <v>239</v>
      </c>
      <c r="O54" s="12" t="s">
        <v>86</v>
      </c>
      <c r="Q54" s="12" t="s">
        <v>93</v>
      </c>
      <c r="R54" s="12">
        <v>2017</v>
      </c>
      <c r="S54" s="12">
        <v>4</v>
      </c>
      <c r="V54" s="12">
        <v>6</v>
      </c>
      <c r="W54" s="12">
        <v>6</v>
      </c>
      <c r="X54" s="12" t="s">
        <v>97</v>
      </c>
      <c r="Y54" s="12" t="s">
        <v>2</v>
      </c>
      <c r="Z54" s="12" t="s">
        <v>1</v>
      </c>
      <c r="AA54" s="12" t="s">
        <v>98</v>
      </c>
      <c r="AB54" s="12" t="s">
        <v>203</v>
      </c>
      <c r="AC54" s="12" t="s">
        <v>99</v>
      </c>
      <c r="AD54" s="12" t="s">
        <v>111</v>
      </c>
      <c r="AE54" s="12" t="s">
        <v>257</v>
      </c>
      <c r="AF54" s="12">
        <v>0.19</v>
      </c>
      <c r="AG54" s="12">
        <v>0.6</v>
      </c>
      <c r="AH54" s="12">
        <v>0.57999999999999996</v>
      </c>
      <c r="AI54" s="12">
        <f t="shared" si="18"/>
        <v>-0.13419909772750419</v>
      </c>
      <c r="AJ54" s="12">
        <f t="shared" si="17"/>
        <v>-0.49939764943081461</v>
      </c>
    </row>
    <row r="55" spans="1:47" s="12" customFormat="1" ht="14.25" customHeight="1">
      <c r="A55" s="12">
        <v>480</v>
      </c>
      <c r="B55" s="12" t="s">
        <v>63</v>
      </c>
      <c r="C55" s="12" t="s">
        <v>85</v>
      </c>
      <c r="D55" s="12">
        <v>2023</v>
      </c>
      <c r="E55" s="12">
        <v>2021</v>
      </c>
      <c r="F55" s="12" t="s">
        <v>215</v>
      </c>
      <c r="G55" s="12" t="s">
        <v>162</v>
      </c>
      <c r="H55" s="12">
        <v>52.037222</v>
      </c>
      <c r="I55" s="12">
        <v>124.083611</v>
      </c>
      <c r="J55" s="12" t="s">
        <v>128</v>
      </c>
      <c r="K55" s="12" t="s">
        <v>173</v>
      </c>
      <c r="L55" s="12" t="s">
        <v>174</v>
      </c>
      <c r="M55" s="12" t="s">
        <v>237</v>
      </c>
      <c r="N55" s="12" t="s">
        <v>239</v>
      </c>
      <c r="O55" s="12" t="s">
        <v>86</v>
      </c>
      <c r="Q55" s="12" t="s">
        <v>93</v>
      </c>
      <c r="R55" s="12">
        <v>2012</v>
      </c>
      <c r="S55" s="12">
        <v>9</v>
      </c>
      <c r="V55" s="12">
        <v>6</v>
      </c>
      <c r="W55" s="12">
        <v>6</v>
      </c>
      <c r="X55" s="12" t="s">
        <v>97</v>
      </c>
      <c r="Y55" s="12" t="s">
        <v>2</v>
      </c>
      <c r="Z55" s="12" t="s">
        <v>1</v>
      </c>
      <c r="AA55" s="12" t="s">
        <v>98</v>
      </c>
      <c r="AB55" s="12" t="s">
        <v>203</v>
      </c>
      <c r="AC55" s="12" t="s">
        <v>99</v>
      </c>
      <c r="AD55" s="12" t="s">
        <v>111</v>
      </c>
      <c r="AE55" s="12" t="s">
        <v>257</v>
      </c>
      <c r="AF55" s="12">
        <v>0.35</v>
      </c>
      <c r="AG55" s="12">
        <v>0.6</v>
      </c>
      <c r="AH55" s="12">
        <v>0.48</v>
      </c>
      <c r="AI55" s="12">
        <f>LOG(AH55/(AG55+AF55))</f>
        <v>-0.29648236791326055</v>
      </c>
      <c r="AJ55" s="12">
        <f t="shared" si="17"/>
        <v>-0.23408320603336796</v>
      </c>
    </row>
    <row r="56" spans="1:47" s="12" customFormat="1" ht="14.25" customHeight="1">
      <c r="A56" s="12">
        <v>480</v>
      </c>
      <c r="B56" s="12" t="s">
        <v>63</v>
      </c>
      <c r="C56" s="12" t="s">
        <v>85</v>
      </c>
      <c r="D56" s="12">
        <v>2023</v>
      </c>
      <c r="E56" s="12">
        <v>2021</v>
      </c>
      <c r="F56" s="12" t="s">
        <v>215</v>
      </c>
      <c r="G56" s="12" t="s">
        <v>162</v>
      </c>
      <c r="H56" s="12">
        <v>52.037222</v>
      </c>
      <c r="I56" s="12">
        <v>124.083611</v>
      </c>
      <c r="J56" s="12" t="s">
        <v>128</v>
      </c>
      <c r="K56" s="12" t="s">
        <v>173</v>
      </c>
      <c r="L56" s="12" t="s">
        <v>174</v>
      </c>
      <c r="M56" s="12" t="s">
        <v>237</v>
      </c>
      <c r="N56" s="12" t="s">
        <v>239</v>
      </c>
      <c r="O56" s="12" t="s">
        <v>86</v>
      </c>
      <c r="Q56" s="12" t="s">
        <v>93</v>
      </c>
      <c r="R56" s="12">
        <v>2004</v>
      </c>
      <c r="S56" s="12">
        <v>17</v>
      </c>
      <c r="V56" s="12">
        <v>6</v>
      </c>
      <c r="W56" s="12">
        <v>6</v>
      </c>
      <c r="X56" s="12" t="s">
        <v>97</v>
      </c>
      <c r="Y56" s="12" t="s">
        <v>2</v>
      </c>
      <c r="Z56" s="12" t="s">
        <v>1</v>
      </c>
      <c r="AA56" s="12" t="s">
        <v>98</v>
      </c>
      <c r="AB56" s="12" t="s">
        <v>203</v>
      </c>
      <c r="AC56" s="12" t="s">
        <v>99</v>
      </c>
      <c r="AD56" s="12" t="s">
        <v>111</v>
      </c>
      <c r="AE56" s="12" t="s">
        <v>257</v>
      </c>
      <c r="AF56" s="12">
        <v>0.45</v>
      </c>
      <c r="AG56" s="12">
        <v>0.6</v>
      </c>
      <c r="AH56" s="12">
        <v>0.52</v>
      </c>
      <c r="AI56" s="12">
        <f t="shared" si="18"/>
        <v>-0.30518595543513888</v>
      </c>
      <c r="AJ56" s="12">
        <f t="shared" si="17"/>
        <v>-0.12493873660829995</v>
      </c>
    </row>
    <row r="57" spans="1:47" s="16" customFormat="1">
      <c r="A57" s="16">
        <v>224</v>
      </c>
      <c r="B57" s="16" t="s">
        <v>242</v>
      </c>
      <c r="C57" s="16" t="s">
        <v>85</v>
      </c>
      <c r="D57" s="16">
        <v>2025</v>
      </c>
      <c r="E57" s="16">
        <v>2023</v>
      </c>
      <c r="F57" s="16" t="s">
        <v>120</v>
      </c>
      <c r="G57" s="16" t="s">
        <v>109</v>
      </c>
      <c r="H57" s="16">
        <v>41.897781999999999</v>
      </c>
      <c r="I57" s="16">
        <v>-6.3337250000000003</v>
      </c>
      <c r="J57" s="16" t="s">
        <v>128</v>
      </c>
      <c r="K57" s="16" t="s">
        <v>177</v>
      </c>
      <c r="L57" s="16" t="s">
        <v>178</v>
      </c>
      <c r="M57" s="16" t="s">
        <v>237</v>
      </c>
      <c r="N57" s="16" t="s">
        <v>239</v>
      </c>
      <c r="O57" s="16" t="s">
        <v>86</v>
      </c>
      <c r="P57" s="16" t="s">
        <v>129</v>
      </c>
      <c r="Q57" s="16" t="s">
        <v>93</v>
      </c>
      <c r="R57" s="16">
        <v>2022</v>
      </c>
      <c r="S57" s="16">
        <v>1</v>
      </c>
      <c r="U57" s="16">
        <v>56000</v>
      </c>
      <c r="X57" s="16" t="s">
        <v>97</v>
      </c>
      <c r="Y57" s="16" t="s">
        <v>133</v>
      </c>
      <c r="Z57" s="16" t="s">
        <v>0</v>
      </c>
      <c r="AA57" s="16" t="s">
        <v>98</v>
      </c>
      <c r="AB57" s="16" t="s">
        <v>203</v>
      </c>
      <c r="AC57" s="16" t="s">
        <v>99</v>
      </c>
      <c r="AD57" s="16" t="s">
        <v>111</v>
      </c>
      <c r="AE57" s="16" t="s">
        <v>257</v>
      </c>
      <c r="AF57" s="16">
        <v>0.1</v>
      </c>
      <c r="AG57" s="16">
        <v>0.21</v>
      </c>
      <c r="AH57" s="16">
        <v>0.73</v>
      </c>
      <c r="AI57" s="16">
        <f t="shared" si="18"/>
        <v>0.37196116628618325</v>
      </c>
      <c r="AJ57" s="16">
        <f t="shared" si="17"/>
        <v>-0.32221929473391925</v>
      </c>
      <c r="AT57" s="12"/>
      <c r="AU57" s="12"/>
    </row>
    <row r="58" spans="1:47" s="12" customFormat="1" ht="14.25" customHeight="1">
      <c r="A58" s="12">
        <v>138</v>
      </c>
      <c r="B58" s="12" t="s">
        <v>20</v>
      </c>
      <c r="C58" s="12" t="s">
        <v>85</v>
      </c>
      <c r="D58" s="12">
        <v>2014</v>
      </c>
      <c r="E58" s="12">
        <v>2007</v>
      </c>
      <c r="F58" s="12" t="s">
        <v>120</v>
      </c>
      <c r="G58" s="12" t="s">
        <v>109</v>
      </c>
      <c r="H58" s="12">
        <v>42.673546999999999</v>
      </c>
      <c r="I58" s="12">
        <v>-4.5904389999999999</v>
      </c>
      <c r="J58" s="12" t="s">
        <v>126</v>
      </c>
      <c r="K58" s="12" t="s">
        <v>177</v>
      </c>
      <c r="L58" s="12" t="s">
        <v>192</v>
      </c>
      <c r="M58" s="12" t="s">
        <v>237</v>
      </c>
      <c r="N58" s="12" t="s">
        <v>239</v>
      </c>
      <c r="O58" s="12" t="s">
        <v>86</v>
      </c>
      <c r="Q58" s="12" t="s">
        <v>93</v>
      </c>
      <c r="R58" s="12">
        <v>2002</v>
      </c>
      <c r="S58" s="12">
        <v>5</v>
      </c>
      <c r="U58" s="12">
        <v>118.03</v>
      </c>
      <c r="V58" s="12">
        <v>3</v>
      </c>
      <c r="W58" s="12">
        <v>3</v>
      </c>
      <c r="X58" s="12" t="s">
        <v>114</v>
      </c>
      <c r="Y58" s="12" t="s">
        <v>2</v>
      </c>
      <c r="Z58" s="12" t="s">
        <v>0</v>
      </c>
      <c r="AA58" s="12" t="s">
        <v>113</v>
      </c>
      <c r="AB58" s="12" t="s">
        <v>2</v>
      </c>
      <c r="AC58" s="12" t="s">
        <v>2</v>
      </c>
      <c r="AD58" s="12" t="s">
        <v>2</v>
      </c>
      <c r="AE58" s="12" t="s">
        <v>251</v>
      </c>
      <c r="AF58" s="12">
        <v>0.75</v>
      </c>
      <c r="AG58" s="12">
        <v>1.48</v>
      </c>
      <c r="AH58" s="12">
        <v>2.06</v>
      </c>
      <c r="AI58" s="12">
        <f t="shared" si="18"/>
        <v>-3.4437642679007271E-2</v>
      </c>
      <c r="AJ58" s="12">
        <f t="shared" si="17"/>
        <v>-0.29520045200325729</v>
      </c>
    </row>
    <row r="59" spans="1:47" s="12" customFormat="1" ht="14.25" customHeight="1">
      <c r="A59" s="12">
        <v>138</v>
      </c>
      <c r="B59" s="12" t="s">
        <v>20</v>
      </c>
      <c r="C59" s="12" t="s">
        <v>85</v>
      </c>
      <c r="D59" s="12">
        <v>2014</v>
      </c>
      <c r="E59" s="12">
        <v>2007</v>
      </c>
      <c r="F59" s="12" t="s">
        <v>120</v>
      </c>
      <c r="G59" s="12" t="s">
        <v>109</v>
      </c>
      <c r="H59" s="12">
        <v>42.673546999999999</v>
      </c>
      <c r="I59" s="12">
        <v>-4.5904389999999999</v>
      </c>
      <c r="J59" s="12" t="s">
        <v>126</v>
      </c>
      <c r="K59" s="12" t="s">
        <v>177</v>
      </c>
      <c r="L59" s="12" t="s">
        <v>192</v>
      </c>
      <c r="M59" s="12" t="s">
        <v>237</v>
      </c>
      <c r="N59" s="12" t="s">
        <v>239</v>
      </c>
      <c r="O59" s="12" t="s">
        <v>86</v>
      </c>
      <c r="Q59" s="12" t="s">
        <v>93</v>
      </c>
      <c r="R59" s="12">
        <v>2006</v>
      </c>
      <c r="S59" s="12">
        <v>1</v>
      </c>
      <c r="U59" s="12">
        <v>135.37</v>
      </c>
      <c r="V59" s="12">
        <v>3</v>
      </c>
      <c r="W59" s="12">
        <v>3</v>
      </c>
      <c r="X59" s="12" t="s">
        <v>114</v>
      </c>
      <c r="Y59" s="12" t="s">
        <v>2</v>
      </c>
      <c r="Z59" s="12" t="s">
        <v>0</v>
      </c>
      <c r="AA59" s="12" t="s">
        <v>113</v>
      </c>
      <c r="AB59" s="12" t="s">
        <v>2</v>
      </c>
      <c r="AC59" s="12" t="s">
        <v>2</v>
      </c>
      <c r="AD59" s="12" t="s">
        <v>2</v>
      </c>
      <c r="AE59" s="12" t="s">
        <v>251</v>
      </c>
      <c r="AF59" s="12">
        <v>0.55000000000000004</v>
      </c>
      <c r="AG59" s="12">
        <v>1.48</v>
      </c>
      <c r="AH59" s="12">
        <v>6.11</v>
      </c>
      <c r="AI59" s="12">
        <f t="shared" si="18"/>
        <v>0.4785451723293413</v>
      </c>
      <c r="AJ59" s="12">
        <f t="shared" si="17"/>
        <v>-0.42989902590071349</v>
      </c>
    </row>
    <row r="60" spans="1:47" s="12" customFormat="1" ht="14.1" customHeight="1">
      <c r="A60" s="12">
        <v>137</v>
      </c>
      <c r="B60" s="12" t="s">
        <v>19</v>
      </c>
      <c r="C60" s="12" t="s">
        <v>85</v>
      </c>
      <c r="D60" s="12">
        <v>2021</v>
      </c>
      <c r="E60" s="12">
        <v>2019</v>
      </c>
      <c r="F60" s="12" t="s">
        <v>164</v>
      </c>
      <c r="G60" s="12" t="s">
        <v>117</v>
      </c>
      <c r="H60" s="12">
        <v>53.832859999999997</v>
      </c>
      <c r="I60" s="12">
        <v>127.168154</v>
      </c>
      <c r="J60" s="12" t="s">
        <v>135</v>
      </c>
      <c r="K60" s="12" t="s">
        <v>173</v>
      </c>
      <c r="L60" s="12" t="s">
        <v>174</v>
      </c>
      <c r="M60" s="12" t="s">
        <v>237</v>
      </c>
      <c r="N60" s="12" t="s">
        <v>239</v>
      </c>
      <c r="O60" s="12" t="s">
        <v>86</v>
      </c>
      <c r="Q60" s="12" t="s">
        <v>93</v>
      </c>
      <c r="R60" s="12">
        <v>2003</v>
      </c>
      <c r="S60" s="12">
        <v>16</v>
      </c>
      <c r="U60" s="12">
        <v>24500</v>
      </c>
      <c r="V60" s="12">
        <v>1</v>
      </c>
      <c r="W60" s="12">
        <v>1</v>
      </c>
      <c r="X60" s="12" t="s">
        <v>134</v>
      </c>
      <c r="Y60" s="12" t="s">
        <v>2</v>
      </c>
      <c r="Z60" s="12" t="s">
        <v>1</v>
      </c>
      <c r="AA60" s="12" t="s">
        <v>98</v>
      </c>
      <c r="AB60" s="12" t="s">
        <v>159</v>
      </c>
      <c r="AC60" s="12" t="s">
        <v>204</v>
      </c>
      <c r="AD60" s="12" t="s">
        <v>100</v>
      </c>
      <c r="AE60" s="12" t="s">
        <v>257</v>
      </c>
      <c r="AF60" s="12">
        <v>0.55000000000000004</v>
      </c>
      <c r="AG60" s="12">
        <v>0.42</v>
      </c>
      <c r="AH60" s="12">
        <v>0.79</v>
      </c>
      <c r="AI60" s="12">
        <f>LOG(AH60/(AG60+AF60))</f>
        <v>-8.9144642975803365E-2</v>
      </c>
      <c r="AJ60" s="12">
        <f t="shared" si="17"/>
        <v>0.11711339909634345</v>
      </c>
    </row>
    <row r="61" spans="1:47" s="12" customFormat="1" ht="14.25" customHeight="1">
      <c r="A61" s="12">
        <v>457</v>
      </c>
      <c r="B61" s="12" t="s">
        <v>59</v>
      </c>
      <c r="C61" s="12" t="s">
        <v>85</v>
      </c>
      <c r="D61" s="12">
        <v>2022</v>
      </c>
      <c r="E61" s="12">
        <v>2019</v>
      </c>
      <c r="F61" s="12" t="s">
        <v>143</v>
      </c>
      <c r="H61" s="12">
        <v>40.990662999999998</v>
      </c>
      <c r="I61" s="12">
        <v>-106.195426</v>
      </c>
      <c r="J61" s="12" t="s">
        <v>128</v>
      </c>
      <c r="K61" s="12" t="s">
        <v>177</v>
      </c>
      <c r="L61" s="12" t="s">
        <v>187</v>
      </c>
      <c r="M61" s="12" t="s">
        <v>237</v>
      </c>
      <c r="O61" s="12" t="s">
        <v>86</v>
      </c>
      <c r="P61" s="12" t="s">
        <v>146</v>
      </c>
      <c r="Q61" s="12" t="s">
        <v>93</v>
      </c>
      <c r="R61" s="12">
        <v>2018</v>
      </c>
      <c r="S61" s="12">
        <v>1</v>
      </c>
      <c r="X61" s="12" t="s">
        <v>97</v>
      </c>
      <c r="Y61" s="12" t="s">
        <v>130</v>
      </c>
      <c r="Z61" s="12" t="s">
        <v>1</v>
      </c>
      <c r="AA61" s="12" t="s">
        <v>98</v>
      </c>
      <c r="AB61" s="12" t="s">
        <v>203</v>
      </c>
      <c r="AC61" s="12" t="s">
        <v>99</v>
      </c>
      <c r="AD61" s="12" t="s">
        <v>100</v>
      </c>
      <c r="AE61" s="12" t="s">
        <v>257</v>
      </c>
      <c r="AF61" s="12">
        <v>0.14000000000000001</v>
      </c>
      <c r="AG61" s="12">
        <v>0.38</v>
      </c>
      <c r="AH61" s="12">
        <v>0.51</v>
      </c>
      <c r="AI61" s="12">
        <f t="shared" si="18"/>
        <v>-8.433167536862813E-3</v>
      </c>
      <c r="AJ61" s="12">
        <f t="shared" si="17"/>
        <v>-0.4336555609385721</v>
      </c>
    </row>
    <row r="62" spans="1:47" s="12" customFormat="1" ht="14.25" customHeight="1">
      <c r="A62" s="12">
        <v>457</v>
      </c>
      <c r="B62" s="12" t="s">
        <v>59</v>
      </c>
      <c r="C62" s="12" t="s">
        <v>85</v>
      </c>
      <c r="D62" s="12">
        <v>2022</v>
      </c>
      <c r="E62" s="12">
        <v>2019</v>
      </c>
      <c r="F62" s="12" t="s">
        <v>143</v>
      </c>
      <c r="H62" s="12">
        <v>40.990662999999998</v>
      </c>
      <c r="I62" s="12">
        <v>-106.195426</v>
      </c>
      <c r="J62" s="12" t="s">
        <v>128</v>
      </c>
      <c r="K62" s="12" t="s">
        <v>177</v>
      </c>
      <c r="L62" s="12" t="s">
        <v>187</v>
      </c>
      <c r="M62" s="12" t="s">
        <v>237</v>
      </c>
      <c r="O62" s="12" t="s">
        <v>86</v>
      </c>
      <c r="P62" s="12" t="s">
        <v>146</v>
      </c>
      <c r="Q62" s="12" t="s">
        <v>93</v>
      </c>
      <c r="R62" s="12">
        <v>2018</v>
      </c>
      <c r="S62" s="12">
        <v>1</v>
      </c>
      <c r="X62" s="12" t="s">
        <v>97</v>
      </c>
      <c r="Y62" s="12" t="s">
        <v>233</v>
      </c>
      <c r="Z62" s="12" t="s">
        <v>1</v>
      </c>
      <c r="AA62" s="12" t="s">
        <v>98</v>
      </c>
      <c r="AB62" s="12" t="s">
        <v>203</v>
      </c>
      <c r="AC62" s="12" t="s">
        <v>99</v>
      </c>
      <c r="AD62" s="12" t="s">
        <v>100</v>
      </c>
      <c r="AE62" s="12" t="s">
        <v>257</v>
      </c>
      <c r="AF62" s="12">
        <v>0.33</v>
      </c>
      <c r="AG62" s="12">
        <v>0.31</v>
      </c>
      <c r="AH62" s="12">
        <v>0.43</v>
      </c>
      <c r="AI62" s="12">
        <f t="shared" si="18"/>
        <v>-0.17271151840430066</v>
      </c>
      <c r="AJ62" s="12">
        <f>LOG(AF62/AG62)</f>
        <v>2.7152246043614867E-2</v>
      </c>
    </row>
    <row r="63" spans="1:47" s="12" customFormat="1" ht="14.25" customHeight="1">
      <c r="A63" s="12">
        <v>457</v>
      </c>
      <c r="B63" s="12" t="s">
        <v>59</v>
      </c>
      <c r="C63" s="12" t="s">
        <v>85</v>
      </c>
      <c r="D63" s="12">
        <v>2022</v>
      </c>
      <c r="E63" s="12">
        <v>2019</v>
      </c>
      <c r="F63" s="12" t="s">
        <v>143</v>
      </c>
      <c r="H63" s="12">
        <v>40.990662999999998</v>
      </c>
      <c r="I63" s="12">
        <v>-106.195426</v>
      </c>
      <c r="J63" s="12" t="s">
        <v>128</v>
      </c>
      <c r="K63" s="12" t="s">
        <v>177</v>
      </c>
      <c r="L63" s="12" t="s">
        <v>187</v>
      </c>
      <c r="M63" s="12" t="s">
        <v>237</v>
      </c>
      <c r="O63" s="12" t="s">
        <v>86</v>
      </c>
      <c r="P63" s="12" t="s">
        <v>211</v>
      </c>
      <c r="Q63" s="12" t="s">
        <v>93</v>
      </c>
      <c r="R63" s="12">
        <v>2018</v>
      </c>
      <c r="S63" s="12">
        <v>1</v>
      </c>
      <c r="X63" s="12" t="s">
        <v>97</v>
      </c>
      <c r="Y63" s="12" t="s">
        <v>130</v>
      </c>
      <c r="Z63" s="12" t="s">
        <v>1</v>
      </c>
      <c r="AA63" s="12" t="s">
        <v>98</v>
      </c>
      <c r="AB63" s="12" t="s">
        <v>203</v>
      </c>
      <c r="AC63" s="12" t="s">
        <v>99</v>
      </c>
      <c r="AD63" s="12" t="s">
        <v>100</v>
      </c>
      <c r="AE63" s="12" t="s">
        <v>257</v>
      </c>
      <c r="AF63" s="12">
        <v>8.6999999999999994E-2</v>
      </c>
      <c r="AG63" s="12">
        <v>0.38</v>
      </c>
      <c r="AH63" s="12">
        <v>0.6</v>
      </c>
      <c r="AI63" s="12">
        <f t="shared" si="18"/>
        <v>0.10883436981753145</v>
      </c>
      <c r="AJ63" s="12">
        <f t="shared" ref="AJ63:AJ82" si="19">LOG(AF63/AG63)</f>
        <v>-0.64026434399819165</v>
      </c>
    </row>
    <row r="64" spans="1:47" s="12" customFormat="1" ht="14.25" customHeight="1">
      <c r="A64" s="12">
        <v>457</v>
      </c>
      <c r="B64" s="12" t="s">
        <v>59</v>
      </c>
      <c r="C64" s="12" t="s">
        <v>85</v>
      </c>
      <c r="D64" s="12">
        <v>2022</v>
      </c>
      <c r="E64" s="12">
        <v>2019</v>
      </c>
      <c r="F64" s="12" t="s">
        <v>143</v>
      </c>
      <c r="H64" s="12">
        <v>40.990662999999998</v>
      </c>
      <c r="I64" s="12">
        <v>-106.195426</v>
      </c>
      <c r="J64" s="12" t="s">
        <v>128</v>
      </c>
      <c r="K64" s="12" t="s">
        <v>177</v>
      </c>
      <c r="L64" s="12" t="s">
        <v>187</v>
      </c>
      <c r="M64" s="12" t="s">
        <v>237</v>
      </c>
      <c r="O64" s="12" t="s">
        <v>86</v>
      </c>
      <c r="P64" s="12" t="s">
        <v>211</v>
      </c>
      <c r="Q64" s="12" t="s">
        <v>93</v>
      </c>
      <c r="R64" s="12">
        <v>2018</v>
      </c>
      <c r="S64" s="12">
        <v>1</v>
      </c>
      <c r="X64" s="12" t="s">
        <v>97</v>
      </c>
      <c r="Y64" s="12" t="s">
        <v>233</v>
      </c>
      <c r="Z64" s="12" t="s">
        <v>1</v>
      </c>
      <c r="AA64" s="12" t="s">
        <v>98</v>
      </c>
      <c r="AB64" s="12" t="s">
        <v>203</v>
      </c>
      <c r="AC64" s="12" t="s">
        <v>99</v>
      </c>
      <c r="AD64" s="12" t="s">
        <v>100</v>
      </c>
      <c r="AE64" s="12" t="s">
        <v>257</v>
      </c>
      <c r="AF64" s="12">
        <v>0.34</v>
      </c>
      <c r="AG64" s="12">
        <v>0.31</v>
      </c>
      <c r="AH64" s="12">
        <v>0.56999999999999995</v>
      </c>
      <c r="AI64" s="12">
        <f t="shared" si="18"/>
        <v>-5.7038500970364232E-2</v>
      </c>
      <c r="AJ64" s="12">
        <f t="shared" si="19"/>
        <v>4.01172232079825E-2</v>
      </c>
    </row>
    <row r="65" spans="1:36" s="12" customFormat="1" ht="14.25" customHeight="1">
      <c r="A65" s="12">
        <v>457</v>
      </c>
      <c r="B65" s="12" t="s">
        <v>59</v>
      </c>
      <c r="C65" s="12" t="s">
        <v>85</v>
      </c>
      <c r="D65" s="12">
        <v>2022</v>
      </c>
      <c r="E65" s="12">
        <v>2019</v>
      </c>
      <c r="F65" s="12" t="s">
        <v>143</v>
      </c>
      <c r="H65" s="12">
        <v>40.990662999999998</v>
      </c>
      <c r="I65" s="12">
        <v>-106.195426</v>
      </c>
      <c r="J65" s="12" t="s">
        <v>128</v>
      </c>
      <c r="K65" s="12" t="s">
        <v>177</v>
      </c>
      <c r="L65" s="12" t="s">
        <v>187</v>
      </c>
      <c r="M65" s="12" t="s">
        <v>237</v>
      </c>
      <c r="O65" s="12" t="s">
        <v>86</v>
      </c>
      <c r="P65" s="12" t="s">
        <v>129</v>
      </c>
      <c r="Q65" s="12" t="s">
        <v>93</v>
      </c>
      <c r="R65" s="12">
        <v>2018</v>
      </c>
      <c r="S65" s="12">
        <v>1</v>
      </c>
      <c r="X65" s="12" t="s">
        <v>97</v>
      </c>
      <c r="Y65" s="12" t="s">
        <v>130</v>
      </c>
      <c r="Z65" s="12" t="s">
        <v>1</v>
      </c>
      <c r="AA65" s="12" t="s">
        <v>98</v>
      </c>
      <c r="AB65" s="12" t="s">
        <v>203</v>
      </c>
      <c r="AC65" s="12" t="s">
        <v>99</v>
      </c>
      <c r="AD65" s="12" t="s">
        <v>100</v>
      </c>
      <c r="AE65" s="12" t="s">
        <v>257</v>
      </c>
      <c r="AF65" s="12">
        <v>8.1000000000000003E-2</v>
      </c>
      <c r="AG65" s="12">
        <v>0.38</v>
      </c>
      <c r="AH65" s="12">
        <v>0.59</v>
      </c>
      <c r="AI65" s="12">
        <f t="shared" si="18"/>
        <v>0.10715108625249602</v>
      </c>
      <c r="AJ65" s="12">
        <f t="shared" si="19"/>
        <v>-0.67129857773816037</v>
      </c>
    </row>
    <row r="66" spans="1:36" s="12" customFormat="1" ht="14.25" customHeight="1">
      <c r="A66" s="12">
        <v>457</v>
      </c>
      <c r="B66" s="12" t="s">
        <v>59</v>
      </c>
      <c r="C66" s="12" t="s">
        <v>85</v>
      </c>
      <c r="D66" s="12">
        <v>2022</v>
      </c>
      <c r="E66" s="12">
        <v>2019</v>
      </c>
      <c r="F66" s="12" t="s">
        <v>143</v>
      </c>
      <c r="H66" s="12">
        <v>40.990662999999998</v>
      </c>
      <c r="I66" s="12">
        <v>-106.195426</v>
      </c>
      <c r="J66" s="12" t="s">
        <v>128</v>
      </c>
      <c r="K66" s="12" t="s">
        <v>177</v>
      </c>
      <c r="L66" s="12" t="s">
        <v>187</v>
      </c>
      <c r="M66" s="12" t="s">
        <v>237</v>
      </c>
      <c r="O66" s="12" t="s">
        <v>86</v>
      </c>
      <c r="P66" s="12" t="s">
        <v>129</v>
      </c>
      <c r="Q66" s="12" t="s">
        <v>93</v>
      </c>
      <c r="R66" s="12">
        <v>2018</v>
      </c>
      <c r="S66" s="12">
        <v>1</v>
      </c>
      <c r="X66" s="12" t="s">
        <v>97</v>
      </c>
      <c r="Y66" s="12" t="s">
        <v>233</v>
      </c>
      <c r="Z66" s="12" t="s">
        <v>1</v>
      </c>
      <c r="AA66" s="12" t="s">
        <v>98</v>
      </c>
      <c r="AB66" s="12" t="s">
        <v>203</v>
      </c>
      <c r="AC66" s="12" t="s">
        <v>99</v>
      </c>
      <c r="AD66" s="12" t="s">
        <v>100</v>
      </c>
      <c r="AE66" s="12" t="s">
        <v>257</v>
      </c>
      <c r="AF66" s="12">
        <v>0.31</v>
      </c>
      <c r="AG66" s="12">
        <v>0.31</v>
      </c>
      <c r="AH66" s="12">
        <v>0.54</v>
      </c>
      <c r="AI66" s="12">
        <f t="shared" si="18"/>
        <v>-5.9997929675285312E-2</v>
      </c>
      <c r="AJ66" s="12">
        <f t="shared" si="19"/>
        <v>0</v>
      </c>
    </row>
    <row r="67" spans="1:36" s="12" customFormat="1" ht="14.25" customHeight="1">
      <c r="A67" s="12">
        <v>70</v>
      </c>
      <c r="B67" s="12" t="s">
        <v>12</v>
      </c>
      <c r="C67" s="12" t="s">
        <v>85</v>
      </c>
      <c r="D67" s="12">
        <v>2021</v>
      </c>
      <c r="E67" s="12">
        <v>2019</v>
      </c>
      <c r="F67" s="12" t="s">
        <v>161</v>
      </c>
      <c r="G67" s="12" t="s">
        <v>162</v>
      </c>
      <c r="H67" s="12">
        <v>53.366832000000002</v>
      </c>
      <c r="I67" s="12">
        <v>21.324096999999998</v>
      </c>
      <c r="J67" s="12" t="s">
        <v>135</v>
      </c>
      <c r="K67" s="12" t="s">
        <v>177</v>
      </c>
      <c r="L67" s="12" t="s">
        <v>183</v>
      </c>
      <c r="M67" s="12" t="s">
        <v>237</v>
      </c>
      <c r="N67" s="12" t="s">
        <v>239</v>
      </c>
      <c r="O67" s="12" t="s">
        <v>86</v>
      </c>
      <c r="P67" s="12" t="s">
        <v>129</v>
      </c>
      <c r="Q67" s="12" t="s">
        <v>93</v>
      </c>
      <c r="R67" s="12">
        <v>2014</v>
      </c>
      <c r="S67" s="12">
        <v>5</v>
      </c>
      <c r="U67" s="12">
        <v>96</v>
      </c>
      <c r="X67" s="12" t="s">
        <v>134</v>
      </c>
      <c r="Y67" s="12" t="s">
        <v>155</v>
      </c>
      <c r="Z67" s="12" t="s">
        <v>1</v>
      </c>
      <c r="AA67" s="12" t="s">
        <v>98</v>
      </c>
      <c r="AB67" s="12" t="s">
        <v>159</v>
      </c>
      <c r="AD67" s="12" t="s">
        <v>100</v>
      </c>
      <c r="AE67" s="12" t="s">
        <v>257</v>
      </c>
      <c r="AF67" s="12">
        <v>1</v>
      </c>
      <c r="AG67" s="12">
        <v>0.85</v>
      </c>
      <c r="AH67" s="12">
        <v>0.92</v>
      </c>
      <c r="AI67" s="12">
        <f t="shared" si="18"/>
        <v>-0.30338390105745855</v>
      </c>
      <c r="AJ67" s="12">
        <f t="shared" si="19"/>
        <v>7.0581074285707285E-2</v>
      </c>
    </row>
    <row r="68" spans="1:36" s="12" customFormat="1" ht="14.25" customHeight="1">
      <c r="A68" s="12">
        <v>279</v>
      </c>
      <c r="B68" s="12" t="s">
        <v>43</v>
      </c>
      <c r="C68" s="12" t="s">
        <v>85</v>
      </c>
      <c r="D68" s="12">
        <v>2015</v>
      </c>
      <c r="E68" s="12">
        <v>2011</v>
      </c>
      <c r="F68" s="12" t="s">
        <v>143</v>
      </c>
      <c r="H68" s="12">
        <v>33.056356000000001</v>
      </c>
      <c r="I68" s="12">
        <v>-83.680222000000001</v>
      </c>
      <c r="J68" s="12" t="s">
        <v>128</v>
      </c>
      <c r="K68" s="12" t="s">
        <v>177</v>
      </c>
      <c r="L68" s="12" t="s">
        <v>209</v>
      </c>
      <c r="M68" s="12" t="s">
        <v>237</v>
      </c>
      <c r="N68" s="12" t="s">
        <v>239</v>
      </c>
      <c r="O68" s="12" t="s">
        <v>121</v>
      </c>
      <c r="P68" s="12" t="s">
        <v>146</v>
      </c>
      <c r="Q68" s="12" t="s">
        <v>93</v>
      </c>
      <c r="R68" s="12">
        <v>2008</v>
      </c>
      <c r="S68" s="12">
        <v>3</v>
      </c>
      <c r="T68" s="12" t="s">
        <v>355</v>
      </c>
      <c r="V68" s="12">
        <v>4</v>
      </c>
      <c r="W68" s="12">
        <v>4</v>
      </c>
      <c r="X68" s="12" t="s">
        <v>97</v>
      </c>
      <c r="Y68" s="12" t="s">
        <v>133</v>
      </c>
      <c r="Z68" s="12" t="s">
        <v>1</v>
      </c>
      <c r="AA68" s="12" t="s">
        <v>98</v>
      </c>
      <c r="AB68" s="12" t="s">
        <v>203</v>
      </c>
      <c r="AC68" s="12" t="s">
        <v>99</v>
      </c>
      <c r="AD68" s="12" t="s">
        <v>102</v>
      </c>
      <c r="AE68" s="12" t="s">
        <v>257</v>
      </c>
      <c r="AF68" s="12">
        <v>0.48</v>
      </c>
      <c r="AG68" s="12">
        <v>0.34</v>
      </c>
      <c r="AH68" s="12">
        <v>0.96</v>
      </c>
      <c r="AI68" s="12">
        <f t="shared" si="18"/>
        <v>6.8457380655851691E-2</v>
      </c>
      <c r="AJ68" s="12">
        <f t="shared" si="19"/>
        <v>0.14976232033333206</v>
      </c>
    </row>
    <row r="69" spans="1:36" s="12" customFormat="1" ht="14.25" customHeight="1">
      <c r="A69" s="12">
        <v>279</v>
      </c>
      <c r="B69" s="12" t="s">
        <v>43</v>
      </c>
      <c r="C69" s="12" t="s">
        <v>85</v>
      </c>
      <c r="D69" s="12">
        <v>2015</v>
      </c>
      <c r="E69" s="12">
        <v>2011</v>
      </c>
      <c r="F69" s="12" t="s">
        <v>143</v>
      </c>
      <c r="H69" s="12">
        <v>33.056356000000001</v>
      </c>
      <c r="I69" s="12">
        <v>-83.680222000000001</v>
      </c>
      <c r="J69" s="12" t="s">
        <v>128</v>
      </c>
      <c r="K69" s="12" t="s">
        <v>177</v>
      </c>
      <c r="L69" s="12" t="s">
        <v>209</v>
      </c>
      <c r="M69" s="12" t="s">
        <v>237</v>
      </c>
      <c r="N69" s="12" t="s">
        <v>239</v>
      </c>
      <c r="O69" s="12" t="s">
        <v>121</v>
      </c>
      <c r="P69" s="12" t="s">
        <v>146</v>
      </c>
      <c r="Q69" s="12" t="s">
        <v>93</v>
      </c>
      <c r="R69" s="12">
        <v>2001</v>
      </c>
      <c r="S69" s="12">
        <v>10</v>
      </c>
      <c r="T69" s="12" t="s">
        <v>356</v>
      </c>
      <c r="V69" s="12">
        <v>4</v>
      </c>
      <c r="W69" s="12">
        <v>4</v>
      </c>
      <c r="X69" s="12" t="s">
        <v>97</v>
      </c>
      <c r="Y69" s="12" t="s">
        <v>133</v>
      </c>
      <c r="Z69" s="12" t="s">
        <v>1</v>
      </c>
      <c r="AA69" s="12" t="s">
        <v>98</v>
      </c>
      <c r="AB69" s="12" t="s">
        <v>203</v>
      </c>
      <c r="AC69" s="12" t="s">
        <v>99</v>
      </c>
      <c r="AD69" s="12" t="s">
        <v>102</v>
      </c>
      <c r="AE69" s="12" t="s">
        <v>257</v>
      </c>
      <c r="AF69" s="12">
        <v>0.64</v>
      </c>
      <c r="AG69" s="12">
        <v>0.34</v>
      </c>
      <c r="AH69" s="12">
        <v>0.49</v>
      </c>
      <c r="AI69" s="12">
        <f t="shared" si="18"/>
        <v>-0.3010299956639812</v>
      </c>
      <c r="AJ69" s="12">
        <f t="shared" si="19"/>
        <v>0.27470105694163205</v>
      </c>
    </row>
    <row r="70" spans="1:36" s="12" customFormat="1" ht="14.25" customHeight="1">
      <c r="A70" s="12">
        <v>107</v>
      </c>
      <c r="B70" s="12" t="s">
        <v>15</v>
      </c>
      <c r="C70" s="12" t="s">
        <v>85</v>
      </c>
      <c r="D70" s="12">
        <v>2022</v>
      </c>
      <c r="E70" s="12">
        <v>2018</v>
      </c>
      <c r="F70" s="12" t="s">
        <v>168</v>
      </c>
      <c r="G70" s="12" t="s">
        <v>169</v>
      </c>
      <c r="H70" s="12">
        <v>59.183889000000001</v>
      </c>
      <c r="I70" s="12">
        <v>23.772221999999999</v>
      </c>
      <c r="J70" s="12" t="s">
        <v>128</v>
      </c>
      <c r="K70" s="12" t="s">
        <v>177</v>
      </c>
      <c r="L70" s="12" t="s">
        <v>183</v>
      </c>
      <c r="M70" s="12" t="s">
        <v>237</v>
      </c>
      <c r="N70" s="12" t="s">
        <v>239</v>
      </c>
      <c r="O70" s="12" t="s">
        <v>86</v>
      </c>
      <c r="P70" s="12" t="s">
        <v>129</v>
      </c>
      <c r="Q70" s="12" t="s">
        <v>93</v>
      </c>
      <c r="R70" s="12">
        <v>2008</v>
      </c>
      <c r="S70" s="12">
        <v>10</v>
      </c>
      <c r="U70" s="12" t="s">
        <v>170</v>
      </c>
      <c r="V70" s="12">
        <v>3</v>
      </c>
      <c r="W70" s="12">
        <v>3</v>
      </c>
      <c r="X70" s="12" t="s">
        <v>97</v>
      </c>
      <c r="Y70" s="12" t="s">
        <v>133</v>
      </c>
      <c r="Z70" s="12" t="s">
        <v>1</v>
      </c>
      <c r="AA70" s="12" t="s">
        <v>98</v>
      </c>
      <c r="AB70" s="12" t="s">
        <v>203</v>
      </c>
      <c r="AC70" s="12" t="s">
        <v>358</v>
      </c>
      <c r="AD70" s="12" t="s">
        <v>100</v>
      </c>
      <c r="AE70" s="12" t="s">
        <v>361</v>
      </c>
      <c r="AF70" s="12">
        <v>6.91</v>
      </c>
      <c r="AG70" s="12">
        <v>16.739999999999998</v>
      </c>
      <c r="AH70" s="12">
        <v>42.6</v>
      </c>
      <c r="AI70" s="12">
        <f t="shared" si="18"/>
        <v>0.25557845402888857</v>
      </c>
      <c r="AJ70" s="12">
        <f t="shared" si="19"/>
        <v>-0.38427740628304274</v>
      </c>
    </row>
    <row r="71" spans="1:36" s="12" customFormat="1" ht="14.25" customHeight="1">
      <c r="A71" s="12">
        <v>199</v>
      </c>
      <c r="B71" s="12" t="s">
        <v>30</v>
      </c>
      <c r="C71" s="12" t="s">
        <v>85</v>
      </c>
      <c r="D71" s="12">
        <v>2019</v>
      </c>
      <c r="E71" s="12">
        <v>2013</v>
      </c>
      <c r="F71" s="12" t="s">
        <v>143</v>
      </c>
      <c r="G71" s="12" t="s">
        <v>109</v>
      </c>
      <c r="H71" s="12">
        <v>34.363706000000001</v>
      </c>
      <c r="I71" s="12">
        <v>-112.274447</v>
      </c>
      <c r="J71" s="12" t="s">
        <v>126</v>
      </c>
      <c r="K71" s="12" t="s">
        <v>177</v>
      </c>
      <c r="L71" s="12" t="s">
        <v>193</v>
      </c>
      <c r="M71" s="12" t="s">
        <v>237</v>
      </c>
      <c r="N71" s="12" t="s">
        <v>239</v>
      </c>
      <c r="O71" s="12" t="s">
        <v>86</v>
      </c>
      <c r="P71" s="12" t="s">
        <v>211</v>
      </c>
      <c r="Q71" s="12" t="s">
        <v>93</v>
      </c>
      <c r="R71" s="12">
        <v>2000</v>
      </c>
      <c r="S71" s="12">
        <v>13</v>
      </c>
      <c r="U71" s="12">
        <v>6500</v>
      </c>
      <c r="V71" s="12">
        <v>3</v>
      </c>
      <c r="W71" s="12">
        <v>3</v>
      </c>
      <c r="X71" s="12" t="s">
        <v>114</v>
      </c>
      <c r="Y71" s="12" t="s">
        <v>2</v>
      </c>
      <c r="Z71" s="12" t="s">
        <v>0</v>
      </c>
      <c r="AA71" s="12" t="s">
        <v>113</v>
      </c>
      <c r="AB71" s="12" t="s">
        <v>2</v>
      </c>
      <c r="AC71" s="12" t="s">
        <v>2</v>
      </c>
      <c r="AD71" s="12" t="s">
        <v>2</v>
      </c>
      <c r="AE71" s="12" t="s">
        <v>357</v>
      </c>
      <c r="AF71" s="12">
        <v>0.93</v>
      </c>
      <c r="AG71" s="12">
        <v>1.04</v>
      </c>
      <c r="AH71" s="12">
        <v>1.21</v>
      </c>
      <c r="AI71" s="12">
        <f t="shared" si="18"/>
        <v>-0.21168085584514287</v>
      </c>
      <c r="AJ71" s="12">
        <f t="shared" si="19"/>
        <v>-4.8550390744845219E-2</v>
      </c>
    </row>
    <row r="72" spans="1:36" s="12" customFormat="1" ht="14.25" customHeight="1">
      <c r="A72" s="12">
        <v>199</v>
      </c>
      <c r="B72" s="12" t="s">
        <v>30</v>
      </c>
      <c r="C72" s="12" t="s">
        <v>85</v>
      </c>
      <c r="D72" s="12">
        <v>2019</v>
      </c>
      <c r="E72" s="12">
        <v>2013</v>
      </c>
      <c r="F72" s="12" t="s">
        <v>143</v>
      </c>
      <c r="G72" s="12" t="s">
        <v>109</v>
      </c>
      <c r="H72" s="12">
        <v>34.363706000000001</v>
      </c>
      <c r="I72" s="12">
        <v>-112.274447</v>
      </c>
      <c r="J72" s="12" t="s">
        <v>126</v>
      </c>
      <c r="K72" s="12" t="s">
        <v>177</v>
      </c>
      <c r="L72" s="12" t="s">
        <v>193</v>
      </c>
      <c r="M72" s="12" t="s">
        <v>237</v>
      </c>
      <c r="N72" s="12" t="s">
        <v>239</v>
      </c>
      <c r="O72" s="12" t="s">
        <v>86</v>
      </c>
      <c r="P72" s="12" t="s">
        <v>129</v>
      </c>
      <c r="Q72" s="12" t="s">
        <v>93</v>
      </c>
      <c r="R72" s="12">
        <v>2000</v>
      </c>
      <c r="S72" s="12">
        <v>13</v>
      </c>
      <c r="U72" s="12">
        <v>6500</v>
      </c>
      <c r="V72" s="12">
        <v>3</v>
      </c>
      <c r="W72" s="12">
        <v>3</v>
      </c>
      <c r="X72" s="12" t="s">
        <v>114</v>
      </c>
      <c r="Y72" s="12" t="s">
        <v>2</v>
      </c>
      <c r="Z72" s="12" t="s">
        <v>0</v>
      </c>
      <c r="AA72" s="12" t="s">
        <v>113</v>
      </c>
      <c r="AB72" s="12" t="s">
        <v>2</v>
      </c>
      <c r="AC72" s="12" t="s">
        <v>2</v>
      </c>
      <c r="AD72" s="12" t="s">
        <v>2</v>
      </c>
      <c r="AE72" s="12" t="s">
        <v>357</v>
      </c>
      <c r="AF72" s="12">
        <v>0.6</v>
      </c>
      <c r="AG72" s="12">
        <v>1.04</v>
      </c>
      <c r="AH72" s="12">
        <v>1.05</v>
      </c>
      <c r="AI72" s="12">
        <f t="shared" si="18"/>
        <v>-0.1936545489777598</v>
      </c>
      <c r="AJ72" s="12">
        <f t="shared" si="19"/>
        <v>-0.23888208891513676</v>
      </c>
    </row>
    <row r="73" spans="1:36" s="12" customFormat="1" ht="14.25" customHeight="1">
      <c r="A73" s="12">
        <v>199</v>
      </c>
      <c r="B73" s="12" t="s">
        <v>30</v>
      </c>
      <c r="C73" s="12" t="s">
        <v>85</v>
      </c>
      <c r="D73" s="12">
        <v>2019</v>
      </c>
      <c r="E73" s="12">
        <v>2013</v>
      </c>
      <c r="F73" s="12" t="s">
        <v>143</v>
      </c>
      <c r="G73" s="12" t="s">
        <v>109</v>
      </c>
      <c r="H73" s="12">
        <v>34.363706000000001</v>
      </c>
      <c r="I73" s="12">
        <v>-112.274447</v>
      </c>
      <c r="J73" s="12" t="s">
        <v>135</v>
      </c>
      <c r="K73" s="12" t="s">
        <v>177</v>
      </c>
      <c r="L73" s="12" t="s">
        <v>193</v>
      </c>
      <c r="M73" s="12" t="s">
        <v>237</v>
      </c>
      <c r="N73" s="12" t="s">
        <v>239</v>
      </c>
      <c r="O73" s="12" t="s">
        <v>86</v>
      </c>
      <c r="P73" s="12" t="s">
        <v>211</v>
      </c>
      <c r="Q73" s="12" t="s">
        <v>93</v>
      </c>
      <c r="R73" s="12">
        <v>2000</v>
      </c>
      <c r="S73" s="12">
        <v>13</v>
      </c>
      <c r="U73" s="12">
        <v>6500</v>
      </c>
      <c r="V73" s="12">
        <v>3</v>
      </c>
      <c r="W73" s="12">
        <v>3</v>
      </c>
      <c r="X73" s="12" t="s">
        <v>134</v>
      </c>
      <c r="Y73" s="12" t="s">
        <v>2</v>
      </c>
      <c r="Z73" s="12" t="s">
        <v>0</v>
      </c>
      <c r="AA73" s="12" t="s">
        <v>98</v>
      </c>
      <c r="AB73" s="12" t="s">
        <v>159</v>
      </c>
      <c r="AC73" s="12" t="s">
        <v>204</v>
      </c>
      <c r="AD73" s="12" t="s">
        <v>100</v>
      </c>
      <c r="AE73" s="12" t="s">
        <v>357</v>
      </c>
      <c r="AF73" s="12">
        <v>0.86</v>
      </c>
      <c r="AG73" s="12">
        <v>0.63</v>
      </c>
      <c r="AH73" s="12">
        <v>1.1000000000000001</v>
      </c>
      <c r="AI73" s="12">
        <f t="shared" si="18"/>
        <v>-0.13179358325404897</v>
      </c>
      <c r="AJ73" s="12">
        <f t="shared" si="19"/>
        <v>0.13515790178998602</v>
      </c>
    </row>
    <row r="74" spans="1:36" s="12" customFormat="1" ht="14.25" customHeight="1">
      <c r="A74" s="12">
        <v>199</v>
      </c>
      <c r="B74" s="12" t="s">
        <v>30</v>
      </c>
      <c r="C74" s="12" t="s">
        <v>85</v>
      </c>
      <c r="D74" s="12">
        <v>2019</v>
      </c>
      <c r="E74" s="12">
        <v>2013</v>
      </c>
      <c r="F74" s="12" t="s">
        <v>143</v>
      </c>
      <c r="G74" s="12" t="s">
        <v>109</v>
      </c>
      <c r="H74" s="12">
        <v>34.363706000000001</v>
      </c>
      <c r="I74" s="12">
        <v>-112.274447</v>
      </c>
      <c r="J74" s="12" t="s">
        <v>135</v>
      </c>
      <c r="K74" s="12" t="s">
        <v>177</v>
      </c>
      <c r="L74" s="12" t="s">
        <v>193</v>
      </c>
      <c r="M74" s="12" t="s">
        <v>237</v>
      </c>
      <c r="N74" s="12" t="s">
        <v>239</v>
      </c>
      <c r="O74" s="12" t="s">
        <v>86</v>
      </c>
      <c r="P74" s="12" t="s">
        <v>129</v>
      </c>
      <c r="Q74" s="12" t="s">
        <v>93</v>
      </c>
      <c r="R74" s="12">
        <v>2000</v>
      </c>
      <c r="S74" s="12">
        <v>13</v>
      </c>
      <c r="U74" s="12">
        <v>6500</v>
      </c>
      <c r="V74" s="12">
        <v>3</v>
      </c>
      <c r="W74" s="12">
        <v>3</v>
      </c>
      <c r="X74" s="12" t="s">
        <v>134</v>
      </c>
      <c r="Y74" s="12" t="s">
        <v>2</v>
      </c>
      <c r="Z74" s="12" t="s">
        <v>0</v>
      </c>
      <c r="AA74" s="12" t="s">
        <v>98</v>
      </c>
      <c r="AB74" s="12" t="s">
        <v>159</v>
      </c>
      <c r="AC74" s="12" t="s">
        <v>204</v>
      </c>
      <c r="AD74" s="12" t="s">
        <v>100</v>
      </c>
      <c r="AE74" s="12" t="s">
        <v>357</v>
      </c>
      <c r="AF74" s="12">
        <v>0.98</v>
      </c>
      <c r="AG74" s="12">
        <v>0.63</v>
      </c>
      <c r="AH74" s="12">
        <v>1.28</v>
      </c>
      <c r="AI74" s="12">
        <f t="shared" si="18"/>
        <v>-9.9615906383981309E-2</v>
      </c>
      <c r="AJ74" s="12">
        <f t="shared" si="19"/>
        <v>0.19188552623891317</v>
      </c>
    </row>
    <row r="75" spans="1:36" s="12" customFormat="1" ht="14.25" customHeight="1">
      <c r="A75" s="12">
        <v>43</v>
      </c>
      <c r="B75" s="12" t="s">
        <v>9</v>
      </c>
      <c r="C75" s="12" t="s">
        <v>85</v>
      </c>
      <c r="D75" s="12">
        <v>2023</v>
      </c>
      <c r="E75" s="12">
        <v>2020</v>
      </c>
      <c r="F75" s="12" t="s">
        <v>153</v>
      </c>
      <c r="G75" s="12" t="s">
        <v>160</v>
      </c>
      <c r="H75" s="12">
        <v>49.094827000000002</v>
      </c>
      <c r="I75" s="12">
        <v>-121.06218200000001</v>
      </c>
      <c r="J75" s="12" t="s">
        <v>128</v>
      </c>
      <c r="K75" s="12" t="s">
        <v>175</v>
      </c>
      <c r="L75" s="12" t="s">
        <v>176</v>
      </c>
      <c r="M75" s="12" t="s">
        <v>237</v>
      </c>
      <c r="N75" s="12" t="s">
        <v>239</v>
      </c>
      <c r="O75" s="12" t="s">
        <v>86</v>
      </c>
      <c r="P75" s="12" t="s">
        <v>146</v>
      </c>
      <c r="Q75" s="12" t="s">
        <v>93</v>
      </c>
      <c r="R75" s="12">
        <v>2020</v>
      </c>
      <c r="S75" s="12" t="s">
        <v>157</v>
      </c>
      <c r="U75" s="12" t="s">
        <v>156</v>
      </c>
      <c r="V75" s="12">
        <v>4</v>
      </c>
      <c r="W75" s="12">
        <v>2</v>
      </c>
      <c r="X75" s="12" t="s">
        <v>97</v>
      </c>
      <c r="Y75" s="12" t="s">
        <v>130</v>
      </c>
      <c r="Z75" s="12" t="s">
        <v>1</v>
      </c>
      <c r="AA75" s="12" t="s">
        <v>98</v>
      </c>
      <c r="AB75" s="12" t="s">
        <v>203</v>
      </c>
      <c r="AC75" s="12" t="s">
        <v>99</v>
      </c>
      <c r="AD75" s="12" t="s">
        <v>102</v>
      </c>
      <c r="AE75" s="12" t="s">
        <v>357</v>
      </c>
      <c r="AF75" s="12">
        <v>1.34</v>
      </c>
      <c r="AG75" s="12">
        <v>0.2</v>
      </c>
      <c r="AH75" s="12">
        <v>0.97</v>
      </c>
      <c r="AI75" s="12">
        <f t="shared" si="18"/>
        <v>-0.20074898657021825</v>
      </c>
      <c r="AJ75" s="12">
        <f t="shared" si="19"/>
        <v>0.82607480270082645</v>
      </c>
    </row>
    <row r="76" spans="1:36" s="12" customFormat="1" ht="14.25" customHeight="1">
      <c r="A76" s="12">
        <v>43</v>
      </c>
      <c r="B76" s="12" t="s">
        <v>9</v>
      </c>
      <c r="C76" s="12" t="s">
        <v>85</v>
      </c>
      <c r="D76" s="12">
        <v>2023</v>
      </c>
      <c r="E76" s="12">
        <v>2020</v>
      </c>
      <c r="F76" s="12" t="s">
        <v>153</v>
      </c>
      <c r="G76" s="12" t="s">
        <v>160</v>
      </c>
      <c r="H76" s="12">
        <v>49.094827000000002</v>
      </c>
      <c r="I76" s="12">
        <v>-121.06218200000001</v>
      </c>
      <c r="J76" s="12" t="s">
        <v>128</v>
      </c>
      <c r="K76" s="12" t="s">
        <v>175</v>
      </c>
      <c r="L76" s="12" t="s">
        <v>176</v>
      </c>
      <c r="M76" s="12" t="s">
        <v>237</v>
      </c>
      <c r="N76" s="12" t="s">
        <v>239</v>
      </c>
      <c r="O76" s="12" t="s">
        <v>86</v>
      </c>
      <c r="P76" s="12" t="s">
        <v>146</v>
      </c>
      <c r="Q76" s="12" t="s">
        <v>93</v>
      </c>
      <c r="R76" s="12">
        <v>2020</v>
      </c>
      <c r="S76" s="12" t="s">
        <v>157</v>
      </c>
      <c r="U76" s="12" t="s">
        <v>156</v>
      </c>
      <c r="V76" s="12">
        <v>4</v>
      </c>
      <c r="W76" s="12">
        <v>2</v>
      </c>
      <c r="X76" s="12" t="s">
        <v>97</v>
      </c>
      <c r="Y76" s="12" t="s">
        <v>233</v>
      </c>
      <c r="Z76" s="12" t="s">
        <v>1</v>
      </c>
      <c r="AA76" s="12" t="s">
        <v>98</v>
      </c>
      <c r="AB76" s="12" t="s">
        <v>203</v>
      </c>
      <c r="AC76" s="12" t="s">
        <v>99</v>
      </c>
      <c r="AD76" s="12" t="s">
        <v>102</v>
      </c>
      <c r="AE76" s="12" t="s">
        <v>357</v>
      </c>
      <c r="AF76" s="12">
        <v>0.64</v>
      </c>
      <c r="AG76" s="12">
        <v>0.24</v>
      </c>
      <c r="AH76" s="12">
        <v>0.48</v>
      </c>
      <c r="AI76" s="12">
        <f t="shared" si="18"/>
        <v>-0.26324143477458145</v>
      </c>
      <c r="AJ76" s="12">
        <f t="shared" si="19"/>
        <v>0.42596873227228121</v>
      </c>
    </row>
    <row r="77" spans="1:36" s="12" customFormat="1" ht="14.25" customHeight="1">
      <c r="A77" s="12">
        <v>43</v>
      </c>
      <c r="B77" s="12" t="s">
        <v>9</v>
      </c>
      <c r="C77" s="12" t="s">
        <v>85</v>
      </c>
      <c r="D77" s="12">
        <v>2023</v>
      </c>
      <c r="E77" s="12">
        <v>2020</v>
      </c>
      <c r="F77" s="12" t="s">
        <v>153</v>
      </c>
      <c r="G77" s="12" t="s">
        <v>160</v>
      </c>
      <c r="H77" s="12">
        <v>49.094827000000002</v>
      </c>
      <c r="I77" s="12">
        <v>-121.06218200000001</v>
      </c>
      <c r="J77" s="12" t="s">
        <v>128</v>
      </c>
      <c r="K77" s="12" t="s">
        <v>175</v>
      </c>
      <c r="L77" s="12" t="s">
        <v>176</v>
      </c>
      <c r="M77" s="12" t="s">
        <v>237</v>
      </c>
      <c r="N77" s="12" t="s">
        <v>239</v>
      </c>
      <c r="O77" s="12" t="s">
        <v>86</v>
      </c>
      <c r="P77" s="12" t="s">
        <v>211</v>
      </c>
      <c r="Q77" s="12" t="s">
        <v>93</v>
      </c>
      <c r="R77" s="12">
        <v>2020</v>
      </c>
      <c r="S77" s="12" t="s">
        <v>157</v>
      </c>
      <c r="U77" s="12" t="s">
        <v>156</v>
      </c>
      <c r="V77" s="12">
        <v>4</v>
      </c>
      <c r="W77" s="12">
        <v>3</v>
      </c>
      <c r="X77" s="12" t="s">
        <v>97</v>
      </c>
      <c r="Y77" s="12" t="s">
        <v>130</v>
      </c>
      <c r="Z77" s="12" t="s">
        <v>1</v>
      </c>
      <c r="AA77" s="12" t="s">
        <v>98</v>
      </c>
      <c r="AB77" s="12" t="s">
        <v>203</v>
      </c>
      <c r="AC77" s="12" t="s">
        <v>99</v>
      </c>
      <c r="AD77" s="12" t="s">
        <v>102</v>
      </c>
      <c r="AE77" s="12" t="s">
        <v>357</v>
      </c>
      <c r="AF77" s="12">
        <v>1.69</v>
      </c>
      <c r="AG77" s="12">
        <v>0.2</v>
      </c>
      <c r="AH77" s="12">
        <v>1.31</v>
      </c>
      <c r="AI77" s="12">
        <f t="shared" si="18"/>
        <v>-0.15919050851747987</v>
      </c>
      <c r="AJ77" s="12">
        <f t="shared" si="19"/>
        <v>0.9268567089496923</v>
      </c>
    </row>
    <row r="78" spans="1:36" s="12" customFormat="1" ht="14.25" customHeight="1">
      <c r="A78" s="12">
        <v>43</v>
      </c>
      <c r="B78" s="12" t="s">
        <v>9</v>
      </c>
      <c r="C78" s="12" t="s">
        <v>85</v>
      </c>
      <c r="D78" s="12">
        <v>2023</v>
      </c>
      <c r="E78" s="12">
        <v>2020</v>
      </c>
      <c r="F78" s="12" t="s">
        <v>153</v>
      </c>
      <c r="G78" s="12" t="s">
        <v>160</v>
      </c>
      <c r="H78" s="12">
        <v>49.094827000000002</v>
      </c>
      <c r="I78" s="12">
        <v>-121.06218200000001</v>
      </c>
      <c r="J78" s="12" t="s">
        <v>128</v>
      </c>
      <c r="K78" s="12" t="s">
        <v>175</v>
      </c>
      <c r="L78" s="12" t="s">
        <v>176</v>
      </c>
      <c r="M78" s="12" t="s">
        <v>237</v>
      </c>
      <c r="N78" s="12" t="s">
        <v>239</v>
      </c>
      <c r="O78" s="12" t="s">
        <v>86</v>
      </c>
      <c r="P78" s="12" t="s">
        <v>211</v>
      </c>
      <c r="Q78" s="12" t="s">
        <v>93</v>
      </c>
      <c r="R78" s="12">
        <v>2020</v>
      </c>
      <c r="S78" s="12" t="s">
        <v>157</v>
      </c>
      <c r="U78" s="12" t="s">
        <v>156</v>
      </c>
      <c r="V78" s="12">
        <v>4</v>
      </c>
      <c r="W78" s="12">
        <v>3</v>
      </c>
      <c r="X78" s="12" t="s">
        <v>97</v>
      </c>
      <c r="Y78" s="12" t="s">
        <v>233</v>
      </c>
      <c r="Z78" s="12" t="s">
        <v>1</v>
      </c>
      <c r="AA78" s="12" t="s">
        <v>98</v>
      </c>
      <c r="AB78" s="12" t="s">
        <v>203</v>
      </c>
      <c r="AC78" s="12" t="s">
        <v>99</v>
      </c>
      <c r="AD78" s="12" t="s">
        <v>102</v>
      </c>
      <c r="AE78" s="12" t="s">
        <v>357</v>
      </c>
      <c r="AF78" s="12">
        <v>1.04</v>
      </c>
      <c r="AG78" s="12">
        <v>0.24</v>
      </c>
      <c r="AH78" s="12">
        <v>0.82</v>
      </c>
      <c r="AI78" s="12">
        <f t="shared" si="18"/>
        <v>-0.19339611726415168</v>
      </c>
      <c r="AJ78" s="12">
        <f t="shared" si="19"/>
        <v>0.63682209758717434</v>
      </c>
    </row>
    <row r="79" spans="1:36" s="12" customFormat="1" ht="14.25" customHeight="1">
      <c r="A79" s="12">
        <v>43</v>
      </c>
      <c r="B79" s="12" t="s">
        <v>9</v>
      </c>
      <c r="C79" s="12" t="s">
        <v>85</v>
      </c>
      <c r="D79" s="12">
        <v>2023</v>
      </c>
      <c r="E79" s="12">
        <v>2020</v>
      </c>
      <c r="F79" s="12" t="s">
        <v>153</v>
      </c>
      <c r="G79" s="12" t="s">
        <v>160</v>
      </c>
      <c r="H79" s="12">
        <v>49.094827000000002</v>
      </c>
      <c r="I79" s="12">
        <v>-121.06218200000001</v>
      </c>
      <c r="J79" s="12" t="s">
        <v>128</v>
      </c>
      <c r="K79" s="12" t="s">
        <v>175</v>
      </c>
      <c r="L79" s="12" t="s">
        <v>176</v>
      </c>
      <c r="M79" s="12" t="s">
        <v>237</v>
      </c>
      <c r="N79" s="12" t="s">
        <v>239</v>
      </c>
      <c r="O79" s="12" t="s">
        <v>86</v>
      </c>
      <c r="P79" s="12" t="s">
        <v>129</v>
      </c>
      <c r="Q79" s="12" t="s">
        <v>93</v>
      </c>
      <c r="R79" s="12">
        <v>2020</v>
      </c>
      <c r="S79" s="12" t="s">
        <v>157</v>
      </c>
      <c r="U79" s="12" t="s">
        <v>156</v>
      </c>
      <c r="V79" s="12">
        <v>4</v>
      </c>
      <c r="W79" s="12">
        <v>4</v>
      </c>
      <c r="X79" s="12" t="s">
        <v>97</v>
      </c>
      <c r="Y79" s="12" t="s">
        <v>130</v>
      </c>
      <c r="Z79" s="12" t="s">
        <v>1</v>
      </c>
      <c r="AA79" s="12" t="s">
        <v>98</v>
      </c>
      <c r="AB79" s="12" t="s">
        <v>203</v>
      </c>
      <c r="AC79" s="12" t="s">
        <v>99</v>
      </c>
      <c r="AD79" s="12" t="s">
        <v>102</v>
      </c>
      <c r="AE79" s="12" t="s">
        <v>357</v>
      </c>
      <c r="AF79" s="12">
        <v>1.7</v>
      </c>
      <c r="AG79" s="12">
        <v>0.2</v>
      </c>
      <c r="AH79" s="12">
        <v>1.26</v>
      </c>
      <c r="AI79" s="12">
        <f t="shared" si="18"/>
        <v>-0.17838305583526601</v>
      </c>
      <c r="AJ79" s="12">
        <f t="shared" si="19"/>
        <v>0.92941892571429274</v>
      </c>
    </row>
    <row r="80" spans="1:36" s="12" customFormat="1" ht="14.25" customHeight="1">
      <c r="A80" s="12">
        <v>43</v>
      </c>
      <c r="B80" s="12" t="s">
        <v>9</v>
      </c>
      <c r="C80" s="12" t="s">
        <v>85</v>
      </c>
      <c r="D80" s="12">
        <v>2023</v>
      </c>
      <c r="E80" s="12">
        <v>2020</v>
      </c>
      <c r="F80" s="12" t="s">
        <v>153</v>
      </c>
      <c r="G80" s="12" t="s">
        <v>160</v>
      </c>
      <c r="H80" s="12">
        <v>49.094827000000002</v>
      </c>
      <c r="I80" s="12">
        <v>-121.06218200000001</v>
      </c>
      <c r="J80" s="12" t="s">
        <v>128</v>
      </c>
      <c r="K80" s="12" t="s">
        <v>175</v>
      </c>
      <c r="L80" s="12" t="s">
        <v>176</v>
      </c>
      <c r="M80" s="12" t="s">
        <v>237</v>
      </c>
      <c r="N80" s="12" t="s">
        <v>239</v>
      </c>
      <c r="O80" s="12" t="s">
        <v>86</v>
      </c>
      <c r="P80" s="12" t="s">
        <v>129</v>
      </c>
      <c r="Q80" s="12" t="s">
        <v>93</v>
      </c>
      <c r="R80" s="12">
        <v>2020</v>
      </c>
      <c r="S80" s="12" t="s">
        <v>157</v>
      </c>
      <c r="U80" s="12" t="s">
        <v>156</v>
      </c>
      <c r="V80" s="12">
        <v>4</v>
      </c>
      <c r="W80" s="12">
        <v>4</v>
      </c>
      <c r="X80" s="12" t="s">
        <v>97</v>
      </c>
      <c r="Y80" s="12" t="s">
        <v>233</v>
      </c>
      <c r="Z80" s="12" t="s">
        <v>1</v>
      </c>
      <c r="AA80" s="12" t="s">
        <v>98</v>
      </c>
      <c r="AB80" s="12" t="s">
        <v>203</v>
      </c>
      <c r="AC80" s="12" t="s">
        <v>99</v>
      </c>
      <c r="AD80" s="12" t="s">
        <v>102</v>
      </c>
      <c r="AE80" s="12" t="s">
        <v>357</v>
      </c>
      <c r="AF80" s="12">
        <v>1.52</v>
      </c>
      <c r="AG80" s="12">
        <v>0.24</v>
      </c>
      <c r="AH80" s="12">
        <v>1.21</v>
      </c>
      <c r="AI80" s="12">
        <f t="shared" si="18"/>
        <v>-0.16272729749769974</v>
      </c>
      <c r="AJ80" s="12">
        <f t="shared" si="19"/>
        <v>0.80163234623316659</v>
      </c>
    </row>
    <row r="81" spans="1:36" s="16" customFormat="1">
      <c r="A81" s="16">
        <v>257</v>
      </c>
      <c r="B81" s="16" t="s">
        <v>243</v>
      </c>
      <c r="C81" s="12" t="s">
        <v>85</v>
      </c>
      <c r="D81" s="16">
        <v>2025</v>
      </c>
      <c r="E81" s="16">
        <v>2019</v>
      </c>
      <c r="F81" s="16" t="s">
        <v>153</v>
      </c>
      <c r="G81" s="16" t="s">
        <v>160</v>
      </c>
      <c r="H81" s="16">
        <v>51.627439000000003</v>
      </c>
      <c r="I81" s="16">
        <v>-121.324494</v>
      </c>
      <c r="K81" s="12" t="s">
        <v>175</v>
      </c>
      <c r="L81" s="12" t="s">
        <v>176</v>
      </c>
      <c r="M81" s="12" t="s">
        <v>237</v>
      </c>
      <c r="N81" s="12" t="s">
        <v>239</v>
      </c>
      <c r="O81" s="12" t="s">
        <v>86</v>
      </c>
      <c r="P81" s="16" t="s">
        <v>146</v>
      </c>
      <c r="Q81" s="16" t="s">
        <v>93</v>
      </c>
      <c r="R81" s="16">
        <v>2017</v>
      </c>
      <c r="S81" s="16">
        <v>2</v>
      </c>
      <c r="U81" s="16">
        <v>5700</v>
      </c>
      <c r="X81" s="12" t="s">
        <v>97</v>
      </c>
      <c r="Y81" s="16" t="s">
        <v>130</v>
      </c>
      <c r="Z81" s="12" t="s">
        <v>1</v>
      </c>
      <c r="AA81" s="12" t="s">
        <v>98</v>
      </c>
      <c r="AB81" s="12" t="s">
        <v>203</v>
      </c>
      <c r="AC81" s="16" t="s">
        <v>359</v>
      </c>
      <c r="AD81" s="16" t="s">
        <v>100</v>
      </c>
      <c r="AE81" s="16" t="s">
        <v>357</v>
      </c>
      <c r="AF81" s="16">
        <v>0.15</v>
      </c>
      <c r="AG81" s="16">
        <v>0.11</v>
      </c>
      <c r="AH81" s="16">
        <v>0.54</v>
      </c>
      <c r="AI81" s="16">
        <f t="shared" si="18"/>
        <v>0.31742041185215059</v>
      </c>
      <c r="AJ81" s="16">
        <f t="shared" si="19"/>
        <v>0.13469857389745618</v>
      </c>
    </row>
    <row r="82" spans="1:36" s="16" customFormat="1">
      <c r="A82" s="16">
        <v>257</v>
      </c>
      <c r="B82" s="16" t="s">
        <v>243</v>
      </c>
      <c r="C82" s="12" t="s">
        <v>85</v>
      </c>
      <c r="D82" s="16">
        <v>2025</v>
      </c>
      <c r="E82" s="16">
        <v>2019</v>
      </c>
      <c r="F82" s="16" t="s">
        <v>153</v>
      </c>
      <c r="G82" s="16" t="s">
        <v>160</v>
      </c>
      <c r="H82" s="16">
        <v>51.627439000000003</v>
      </c>
      <c r="I82" s="16">
        <v>-121.324494</v>
      </c>
      <c r="K82" s="12" t="s">
        <v>175</v>
      </c>
      <c r="L82" s="12" t="s">
        <v>176</v>
      </c>
      <c r="M82" s="12" t="s">
        <v>237</v>
      </c>
      <c r="N82" s="12" t="s">
        <v>239</v>
      </c>
      <c r="O82" s="12" t="s">
        <v>86</v>
      </c>
      <c r="P82" s="16" t="s">
        <v>146</v>
      </c>
      <c r="Q82" s="16" t="s">
        <v>93</v>
      </c>
      <c r="R82" s="16">
        <v>2017</v>
      </c>
      <c r="S82" s="16">
        <v>2</v>
      </c>
      <c r="U82" s="16">
        <v>5700</v>
      </c>
      <c r="X82" s="12" t="s">
        <v>97</v>
      </c>
      <c r="Y82" s="16" t="s">
        <v>230</v>
      </c>
      <c r="Z82" s="12" t="s">
        <v>1</v>
      </c>
      <c r="AA82" s="12" t="s">
        <v>98</v>
      </c>
      <c r="AB82" s="12" t="s">
        <v>203</v>
      </c>
      <c r="AC82" s="16" t="s">
        <v>359</v>
      </c>
      <c r="AD82" s="16" t="s">
        <v>100</v>
      </c>
      <c r="AE82" s="16" t="s">
        <v>357</v>
      </c>
      <c r="AF82" s="16">
        <v>0.28000000000000003</v>
      </c>
      <c r="AG82" s="16">
        <v>0.17</v>
      </c>
      <c r="AH82" s="16">
        <v>0.56000000000000005</v>
      </c>
      <c r="AI82" s="16">
        <f t="shared" si="18"/>
        <v>9.4975513230856748E-2</v>
      </c>
      <c r="AJ82" s="16">
        <f t="shared" si="19"/>
        <v>0.21670910996394532</v>
      </c>
    </row>
    <row r="83" spans="1:36" s="16" customFormat="1">
      <c r="A83" s="16">
        <v>257</v>
      </c>
      <c r="B83" s="16" t="s">
        <v>243</v>
      </c>
      <c r="C83" s="12" t="s">
        <v>85</v>
      </c>
      <c r="D83" s="16">
        <v>2025</v>
      </c>
      <c r="E83" s="16">
        <v>2019</v>
      </c>
      <c r="F83" s="16" t="s">
        <v>153</v>
      </c>
      <c r="G83" s="16" t="s">
        <v>160</v>
      </c>
      <c r="H83" s="16">
        <v>51.627439000000003</v>
      </c>
      <c r="I83" s="16">
        <v>-121.324494</v>
      </c>
      <c r="K83" s="12" t="s">
        <v>175</v>
      </c>
      <c r="L83" s="12" t="s">
        <v>176</v>
      </c>
      <c r="M83" s="12" t="s">
        <v>237</v>
      </c>
      <c r="N83" s="12" t="s">
        <v>239</v>
      </c>
      <c r="O83" s="12" t="s">
        <v>86</v>
      </c>
      <c r="P83" s="16" t="s">
        <v>211</v>
      </c>
      <c r="Q83" s="16" t="s">
        <v>93</v>
      </c>
      <c r="R83" s="16">
        <v>2017</v>
      </c>
      <c r="S83" s="16">
        <v>2</v>
      </c>
      <c r="U83" s="16">
        <v>5700</v>
      </c>
      <c r="X83" s="12" t="s">
        <v>97</v>
      </c>
      <c r="Y83" s="16" t="s">
        <v>130</v>
      </c>
      <c r="Z83" s="12" t="s">
        <v>1</v>
      </c>
      <c r="AA83" s="12" t="s">
        <v>98</v>
      </c>
      <c r="AB83" s="12" t="s">
        <v>203</v>
      </c>
      <c r="AC83" s="16" t="s">
        <v>359</v>
      </c>
      <c r="AD83" s="16" t="s">
        <v>100</v>
      </c>
      <c r="AE83" s="16" t="s">
        <v>357</v>
      </c>
      <c r="AF83" s="16">
        <v>0.41</v>
      </c>
      <c r="AG83" s="16">
        <v>0.11</v>
      </c>
      <c r="AH83" s="16">
        <v>1.06</v>
      </c>
      <c r="AI83" s="16">
        <f t="shared" ref="AI83:AI87" si="20">LOG(AH83/(AG83+AF83))</f>
        <v>0.30930252162997107</v>
      </c>
      <c r="AJ83" s="16">
        <f t="shared" ref="AJ83:AJ87" si="21">LOG(AF83/AG83)</f>
        <v>0.57139117156151042</v>
      </c>
    </row>
    <row r="84" spans="1:36" s="16" customFormat="1">
      <c r="A84" s="16">
        <v>257</v>
      </c>
      <c r="B84" s="16" t="s">
        <v>243</v>
      </c>
      <c r="C84" s="12" t="s">
        <v>85</v>
      </c>
      <c r="D84" s="16">
        <v>2025</v>
      </c>
      <c r="E84" s="16">
        <v>2019</v>
      </c>
      <c r="F84" s="16" t="s">
        <v>153</v>
      </c>
      <c r="G84" s="16" t="s">
        <v>160</v>
      </c>
      <c r="H84" s="16">
        <v>51.627439000000003</v>
      </c>
      <c r="I84" s="16">
        <v>-121.324494</v>
      </c>
      <c r="K84" s="12" t="s">
        <v>175</v>
      </c>
      <c r="L84" s="12" t="s">
        <v>176</v>
      </c>
      <c r="M84" s="12" t="s">
        <v>237</v>
      </c>
      <c r="N84" s="12" t="s">
        <v>239</v>
      </c>
      <c r="O84" s="12" t="s">
        <v>86</v>
      </c>
      <c r="P84" s="16" t="s">
        <v>211</v>
      </c>
      <c r="Q84" s="16" t="s">
        <v>93</v>
      </c>
      <c r="R84" s="16">
        <v>2017</v>
      </c>
      <c r="S84" s="16">
        <v>2</v>
      </c>
      <c r="U84" s="16">
        <v>5700</v>
      </c>
      <c r="X84" s="12" t="s">
        <v>97</v>
      </c>
      <c r="Y84" s="16" t="s">
        <v>230</v>
      </c>
      <c r="Z84" s="12" t="s">
        <v>1</v>
      </c>
      <c r="AA84" s="12" t="s">
        <v>98</v>
      </c>
      <c r="AB84" s="12" t="s">
        <v>203</v>
      </c>
      <c r="AC84" s="16" t="s">
        <v>359</v>
      </c>
      <c r="AD84" s="16" t="s">
        <v>100</v>
      </c>
      <c r="AE84" s="16" t="s">
        <v>357</v>
      </c>
      <c r="AF84" s="16">
        <v>0.19</v>
      </c>
      <c r="AG84" s="16">
        <v>0.17</v>
      </c>
      <c r="AH84" s="16">
        <v>0.75</v>
      </c>
      <c r="AI84" s="16">
        <f t="shared" si="20"/>
        <v>0.31875876262441283</v>
      </c>
      <c r="AJ84" s="16">
        <f t="shared" si="21"/>
        <v>4.8304679574555046E-2</v>
      </c>
    </row>
    <row r="85" spans="1:36" s="16" customFormat="1">
      <c r="A85" s="16">
        <v>257</v>
      </c>
      <c r="B85" s="16" t="s">
        <v>243</v>
      </c>
      <c r="C85" s="12" t="s">
        <v>85</v>
      </c>
      <c r="D85" s="16">
        <v>2025</v>
      </c>
      <c r="E85" s="16">
        <v>2019</v>
      </c>
      <c r="F85" s="16" t="s">
        <v>153</v>
      </c>
      <c r="G85" s="16" t="s">
        <v>160</v>
      </c>
      <c r="H85" s="16">
        <v>51.627439000000003</v>
      </c>
      <c r="I85" s="16">
        <v>-121.324494</v>
      </c>
      <c r="K85" s="12" t="s">
        <v>175</v>
      </c>
      <c r="L85" s="12" t="s">
        <v>176</v>
      </c>
      <c r="M85" s="12" t="s">
        <v>237</v>
      </c>
      <c r="N85" s="12" t="s">
        <v>239</v>
      </c>
      <c r="O85" s="12" t="s">
        <v>86</v>
      </c>
      <c r="P85" s="16" t="s">
        <v>129</v>
      </c>
      <c r="Q85" s="16" t="s">
        <v>93</v>
      </c>
      <c r="R85" s="16">
        <v>2017</v>
      </c>
      <c r="S85" s="16">
        <v>2</v>
      </c>
      <c r="U85" s="16">
        <v>5700</v>
      </c>
      <c r="X85" s="12" t="s">
        <v>97</v>
      </c>
      <c r="Y85" s="16" t="s">
        <v>230</v>
      </c>
      <c r="Z85" s="12" t="s">
        <v>1</v>
      </c>
      <c r="AA85" s="12" t="s">
        <v>98</v>
      </c>
      <c r="AB85" s="12" t="s">
        <v>203</v>
      </c>
      <c r="AC85" s="16" t="s">
        <v>359</v>
      </c>
      <c r="AD85" s="16" t="s">
        <v>100</v>
      </c>
      <c r="AE85" s="16" t="s">
        <v>357</v>
      </c>
      <c r="AF85" s="16">
        <v>0.19</v>
      </c>
      <c r="AG85" s="16">
        <v>0.17</v>
      </c>
      <c r="AH85" s="16">
        <v>1.01</v>
      </c>
      <c r="AI85" s="16">
        <f t="shared" si="20"/>
        <v>0.44801887301535537</v>
      </c>
      <c r="AJ85" s="16">
        <f t="shared" si="21"/>
        <v>4.8304679574555046E-2</v>
      </c>
    </row>
    <row r="86" spans="1:36" s="12" customFormat="1" ht="14.25" customHeight="1">
      <c r="A86" s="12">
        <v>398</v>
      </c>
      <c r="B86" s="12" t="s">
        <v>49</v>
      </c>
      <c r="C86" s="12" t="s">
        <v>85</v>
      </c>
      <c r="D86" s="12">
        <v>2023</v>
      </c>
      <c r="E86" s="12">
        <v>2017</v>
      </c>
      <c r="F86" s="12" t="s">
        <v>143</v>
      </c>
      <c r="G86" s="16" t="s">
        <v>160</v>
      </c>
      <c r="H86" s="12">
        <v>49.513615000000001</v>
      </c>
      <c r="I86" s="12">
        <v>-91.655843000000004</v>
      </c>
      <c r="J86" s="12" t="s">
        <v>128</v>
      </c>
      <c r="K86" s="12" t="s">
        <v>177</v>
      </c>
      <c r="L86" s="12" t="s">
        <v>191</v>
      </c>
      <c r="M86" s="12" t="s">
        <v>237</v>
      </c>
      <c r="N86" s="12" t="s">
        <v>239</v>
      </c>
      <c r="O86" s="12" t="s">
        <v>86</v>
      </c>
      <c r="Q86" s="12" t="s">
        <v>93</v>
      </c>
      <c r="R86" s="12">
        <v>2005</v>
      </c>
      <c r="S86" s="12">
        <v>12</v>
      </c>
      <c r="V86" s="12">
        <v>27</v>
      </c>
      <c r="W86" s="12">
        <v>27</v>
      </c>
      <c r="X86" s="12" t="s">
        <v>97</v>
      </c>
      <c r="Y86" s="12" t="s">
        <v>133</v>
      </c>
      <c r="Z86" s="12" t="s">
        <v>1</v>
      </c>
      <c r="AA86" s="12" t="s">
        <v>98</v>
      </c>
      <c r="AB86" s="12" t="s">
        <v>203</v>
      </c>
      <c r="AC86" s="12" t="s">
        <v>99</v>
      </c>
      <c r="AD86" s="12" t="s">
        <v>100</v>
      </c>
      <c r="AE86" s="12" t="s">
        <v>257</v>
      </c>
      <c r="AF86" s="12">
        <v>0.23</v>
      </c>
      <c r="AG86" s="12">
        <v>0.24</v>
      </c>
      <c r="AH86" s="12">
        <v>1.22</v>
      </c>
      <c r="AI86" s="12">
        <f t="shared" si="20"/>
        <v>0.41426197273903076</v>
      </c>
      <c r="AJ86" s="12">
        <f t="shared" si="21"/>
        <v>-1.8483405694013126E-2</v>
      </c>
    </row>
    <row r="87" spans="1:36" s="12" customFormat="1" ht="14.25" customHeight="1">
      <c r="A87" s="12">
        <v>238</v>
      </c>
      <c r="B87" s="12" t="s">
        <v>37</v>
      </c>
      <c r="C87" s="12" t="s">
        <v>85</v>
      </c>
      <c r="D87" s="12">
        <v>2021</v>
      </c>
      <c r="E87" s="12">
        <v>2017</v>
      </c>
      <c r="F87" s="12" t="s">
        <v>143</v>
      </c>
      <c r="G87" s="16" t="s">
        <v>160</v>
      </c>
      <c r="H87" s="12">
        <v>48.602961000000001</v>
      </c>
      <c r="I87" s="12">
        <v>-119.23058899999999</v>
      </c>
      <c r="J87" s="12" t="s">
        <v>128</v>
      </c>
      <c r="K87" s="12" t="s">
        <v>177</v>
      </c>
      <c r="L87" s="12" t="s">
        <v>193</v>
      </c>
      <c r="M87" s="12" t="s">
        <v>237</v>
      </c>
      <c r="N87" s="12" t="s">
        <v>239</v>
      </c>
      <c r="O87" s="12" t="s">
        <v>86</v>
      </c>
      <c r="P87" s="12" t="s">
        <v>129</v>
      </c>
      <c r="Q87" s="12" t="s">
        <v>93</v>
      </c>
      <c r="R87" s="12">
        <v>2006</v>
      </c>
      <c r="S87" s="12">
        <v>11</v>
      </c>
      <c r="U87" s="12">
        <v>17000</v>
      </c>
      <c r="X87" s="12" t="s">
        <v>97</v>
      </c>
      <c r="Y87" s="12" t="s">
        <v>369</v>
      </c>
      <c r="Z87" s="12" t="s">
        <v>1</v>
      </c>
      <c r="AA87" s="12" t="s">
        <v>98</v>
      </c>
      <c r="AB87" s="12" t="s">
        <v>203</v>
      </c>
      <c r="AC87" s="12" t="s">
        <v>99</v>
      </c>
      <c r="AD87" s="12" t="s">
        <v>111</v>
      </c>
      <c r="AE87" s="12" t="s">
        <v>257</v>
      </c>
      <c r="AF87" s="12">
        <v>0.12</v>
      </c>
      <c r="AG87" s="12">
        <v>7.0000000000000007E-2</v>
      </c>
      <c r="AH87" s="12">
        <v>0.28999999999999998</v>
      </c>
      <c r="AI87" s="12">
        <f t="shared" si="20"/>
        <v>0.18364439694612708</v>
      </c>
      <c r="AJ87" s="12">
        <f t="shared" si="21"/>
        <v>0.23408320603336791</v>
      </c>
    </row>
    <row r="88" spans="1:36" s="12" customFormat="1" ht="14.25" customHeight="1">
      <c r="A88" s="12">
        <v>238</v>
      </c>
      <c r="B88" s="12" t="s">
        <v>37</v>
      </c>
      <c r="C88" s="12" t="s">
        <v>85</v>
      </c>
      <c r="D88" s="12">
        <v>2021</v>
      </c>
      <c r="E88" s="12">
        <v>2017</v>
      </c>
      <c r="F88" s="12" t="s">
        <v>143</v>
      </c>
      <c r="G88" s="16" t="s">
        <v>160</v>
      </c>
      <c r="H88" s="12">
        <v>48.602961000000001</v>
      </c>
      <c r="I88" s="12">
        <v>-119.23058899999999</v>
      </c>
      <c r="J88" s="12" t="s">
        <v>128</v>
      </c>
      <c r="K88" s="12" t="s">
        <v>177</v>
      </c>
      <c r="L88" s="12" t="s">
        <v>193</v>
      </c>
      <c r="M88" s="12" t="s">
        <v>237</v>
      </c>
      <c r="N88" s="12" t="s">
        <v>239</v>
      </c>
      <c r="O88" s="12" t="s">
        <v>86</v>
      </c>
      <c r="P88" s="12" t="s">
        <v>129</v>
      </c>
      <c r="Q88" s="12" t="s">
        <v>93</v>
      </c>
      <c r="R88" s="12">
        <v>2012</v>
      </c>
      <c r="S88" s="12">
        <v>5</v>
      </c>
      <c r="U88" s="12">
        <v>17000</v>
      </c>
      <c r="X88" s="12" t="s">
        <v>97</v>
      </c>
      <c r="Y88" s="12" t="s">
        <v>369</v>
      </c>
      <c r="Z88" s="12" t="s">
        <v>1</v>
      </c>
      <c r="AA88" s="12" t="s">
        <v>98</v>
      </c>
      <c r="AB88" s="12" t="s">
        <v>203</v>
      </c>
      <c r="AC88" s="12" t="s">
        <v>99</v>
      </c>
      <c r="AD88" s="12" t="s">
        <v>111</v>
      </c>
      <c r="AE88" s="12" t="s">
        <v>257</v>
      </c>
      <c r="AF88" s="12">
        <v>0.13</v>
      </c>
      <c r="AG88" s="12">
        <v>0.12</v>
      </c>
      <c r="AH88" s="12">
        <v>0.45</v>
      </c>
      <c r="AI88" s="12">
        <f t="shared" ref="AI88:AI93" si="22">LOG(AH88/(AG88+AF88))</f>
        <v>0.25527250510330607</v>
      </c>
      <c r="AJ88" s="12">
        <f t="shared" ref="AJ88:AJ93" si="23">LOG(AF88/AG88)</f>
        <v>3.4762106259212E-2</v>
      </c>
    </row>
    <row r="89" spans="1:36" s="12" customFormat="1" ht="14.25" customHeight="1">
      <c r="A89" s="12">
        <v>238</v>
      </c>
      <c r="B89" s="12" t="s">
        <v>37</v>
      </c>
      <c r="C89" s="12" t="s">
        <v>85</v>
      </c>
      <c r="D89" s="12">
        <v>2021</v>
      </c>
      <c r="E89" s="12">
        <v>2017</v>
      </c>
      <c r="F89" s="12" t="s">
        <v>143</v>
      </c>
      <c r="G89" s="16" t="s">
        <v>160</v>
      </c>
      <c r="H89" s="12">
        <v>48.602961000000001</v>
      </c>
      <c r="I89" s="12">
        <v>-119.23058899999999</v>
      </c>
      <c r="J89" s="12" t="s">
        <v>128</v>
      </c>
      <c r="K89" s="12" t="s">
        <v>177</v>
      </c>
      <c r="L89" s="12" t="s">
        <v>193</v>
      </c>
      <c r="M89" s="12" t="s">
        <v>237</v>
      </c>
      <c r="N89" s="12" t="s">
        <v>239</v>
      </c>
      <c r="O89" s="12" t="s">
        <v>86</v>
      </c>
      <c r="P89" s="12" t="s">
        <v>129</v>
      </c>
      <c r="Q89" s="12" t="s">
        <v>93</v>
      </c>
      <c r="R89" s="12">
        <v>2014</v>
      </c>
      <c r="S89" s="12">
        <v>3</v>
      </c>
      <c r="U89" s="12">
        <v>17000</v>
      </c>
      <c r="X89" s="12" t="s">
        <v>97</v>
      </c>
      <c r="Y89" s="12" t="s">
        <v>369</v>
      </c>
      <c r="Z89" s="12" t="s">
        <v>1</v>
      </c>
      <c r="AA89" s="12" t="s">
        <v>98</v>
      </c>
      <c r="AB89" s="12" t="s">
        <v>203</v>
      </c>
      <c r="AC89" s="12" t="s">
        <v>99</v>
      </c>
      <c r="AD89" s="12" t="s">
        <v>111</v>
      </c>
      <c r="AE89" s="12" t="s">
        <v>257</v>
      </c>
      <c r="AF89" s="12">
        <v>0.19</v>
      </c>
      <c r="AG89" s="12">
        <v>0.09</v>
      </c>
      <c r="AH89" s="12">
        <v>0.43</v>
      </c>
      <c r="AI89" s="12">
        <f t="shared" si="22"/>
        <v>0.18631042423736727</v>
      </c>
      <c r="AJ89" s="12">
        <f t="shared" si="23"/>
        <v>0.3245110915135041</v>
      </c>
    </row>
    <row r="90" spans="1:36" s="12" customFormat="1" ht="14.25" customHeight="1">
      <c r="A90" s="12">
        <v>238</v>
      </c>
      <c r="B90" s="12" t="s">
        <v>37</v>
      </c>
      <c r="C90" s="12" t="s">
        <v>85</v>
      </c>
      <c r="D90" s="12">
        <v>2021</v>
      </c>
      <c r="E90" s="12">
        <v>2017</v>
      </c>
      <c r="F90" s="12" t="s">
        <v>143</v>
      </c>
      <c r="G90" s="16" t="s">
        <v>160</v>
      </c>
      <c r="H90" s="12">
        <v>48.602961000000001</v>
      </c>
      <c r="I90" s="12">
        <v>-119.23058899999999</v>
      </c>
      <c r="J90" s="12" t="s">
        <v>128</v>
      </c>
      <c r="K90" s="12" t="s">
        <v>177</v>
      </c>
      <c r="L90" s="12" t="s">
        <v>193</v>
      </c>
      <c r="M90" s="12" t="s">
        <v>237</v>
      </c>
      <c r="N90" s="12" t="s">
        <v>239</v>
      </c>
      <c r="O90" s="12" t="s">
        <v>86</v>
      </c>
      <c r="P90" s="12" t="s">
        <v>129</v>
      </c>
      <c r="Q90" s="12" t="s">
        <v>93</v>
      </c>
      <c r="R90" s="12">
        <v>2016</v>
      </c>
      <c r="S90" s="12">
        <v>2</v>
      </c>
      <c r="U90" s="12">
        <v>17000</v>
      </c>
      <c r="X90" s="12" t="s">
        <v>97</v>
      </c>
      <c r="Y90" s="12" t="s">
        <v>369</v>
      </c>
      <c r="Z90" s="12" t="s">
        <v>1</v>
      </c>
      <c r="AA90" s="12" t="s">
        <v>98</v>
      </c>
      <c r="AB90" s="12" t="s">
        <v>203</v>
      </c>
      <c r="AC90" s="12" t="s">
        <v>99</v>
      </c>
      <c r="AD90" s="12" t="s">
        <v>111</v>
      </c>
      <c r="AE90" s="12" t="s">
        <v>257</v>
      </c>
      <c r="AF90" s="12">
        <v>0.14000000000000001</v>
      </c>
      <c r="AG90" s="12">
        <v>0.15</v>
      </c>
      <c r="AH90" s="12">
        <v>0.65</v>
      </c>
      <c r="AI90" s="12">
        <f t="shared" si="22"/>
        <v>0.35051535874389944</v>
      </c>
      <c r="AJ90" s="12">
        <f t="shared" si="23"/>
        <v>-2.9963223377443157E-2</v>
      </c>
    </row>
    <row r="91" spans="1:36" s="12" customFormat="1" ht="14.25" customHeight="1">
      <c r="A91" s="12">
        <v>534</v>
      </c>
      <c r="B91" s="12" t="s">
        <v>68</v>
      </c>
      <c r="C91" s="12" t="s">
        <v>85</v>
      </c>
      <c r="D91" s="12">
        <v>2022</v>
      </c>
      <c r="E91" s="12">
        <v>2018</v>
      </c>
      <c r="F91" s="12" t="s">
        <v>143</v>
      </c>
      <c r="G91" s="12" t="s">
        <v>109</v>
      </c>
      <c r="H91" s="12">
        <v>33.299100000000003</v>
      </c>
      <c r="I91" s="12">
        <v>-116.800786</v>
      </c>
      <c r="J91" s="12" t="s">
        <v>128</v>
      </c>
      <c r="K91" s="12" t="s">
        <v>219</v>
      </c>
      <c r="L91" s="12" t="s">
        <v>220</v>
      </c>
      <c r="M91" s="12" t="s">
        <v>238</v>
      </c>
      <c r="N91" s="12" t="s">
        <v>239</v>
      </c>
      <c r="O91" s="12" t="s">
        <v>86</v>
      </c>
      <c r="Q91" s="12" t="s">
        <v>93</v>
      </c>
      <c r="R91" s="12">
        <v>2018</v>
      </c>
      <c r="S91" s="12" t="s">
        <v>372</v>
      </c>
      <c r="U91" s="12">
        <v>9400</v>
      </c>
      <c r="X91" s="12" t="s">
        <v>97</v>
      </c>
      <c r="Y91" s="12" t="s">
        <v>133</v>
      </c>
      <c r="Z91" s="12" t="s">
        <v>0</v>
      </c>
      <c r="AA91" s="12" t="s">
        <v>98</v>
      </c>
      <c r="AB91" s="12" t="s">
        <v>203</v>
      </c>
      <c r="AC91" s="12" t="s">
        <v>99</v>
      </c>
      <c r="AD91" s="12" t="s">
        <v>102</v>
      </c>
      <c r="AE91" s="12" t="s">
        <v>257</v>
      </c>
      <c r="AF91" s="12">
        <v>0.18</v>
      </c>
      <c r="AG91" s="12">
        <v>0.2</v>
      </c>
      <c r="AH91" s="12">
        <v>0.43</v>
      </c>
      <c r="AI91" s="12">
        <f t="shared" si="22"/>
        <v>5.3684858962776354E-2</v>
      </c>
      <c r="AJ91" s="12">
        <f t="shared" si="23"/>
        <v>-4.5757490560675171E-2</v>
      </c>
    </row>
    <row r="92" spans="1:36" s="12" customFormat="1" ht="14.25" customHeight="1">
      <c r="A92" s="12">
        <v>534</v>
      </c>
      <c r="B92" s="12" t="s">
        <v>68</v>
      </c>
      <c r="C92" s="12" t="s">
        <v>85</v>
      </c>
      <c r="D92" s="12">
        <v>2022</v>
      </c>
      <c r="E92" s="12">
        <v>2018</v>
      </c>
      <c r="F92" s="12" t="s">
        <v>143</v>
      </c>
      <c r="G92" s="12" t="s">
        <v>109</v>
      </c>
      <c r="H92" s="12">
        <v>33.299100000000003</v>
      </c>
      <c r="I92" s="12">
        <v>-116.800786</v>
      </c>
      <c r="J92" s="12" t="s">
        <v>128</v>
      </c>
      <c r="K92" s="12" t="s">
        <v>219</v>
      </c>
      <c r="L92" s="12" t="s">
        <v>220</v>
      </c>
      <c r="M92" s="12" t="s">
        <v>238</v>
      </c>
      <c r="N92" s="12" t="s">
        <v>239</v>
      </c>
      <c r="O92" s="12" t="s">
        <v>86</v>
      </c>
      <c r="Q92" s="12" t="s">
        <v>93</v>
      </c>
      <c r="R92" s="12">
        <v>2018</v>
      </c>
      <c r="S92" s="12" t="s">
        <v>374</v>
      </c>
      <c r="U92" s="12">
        <v>9400</v>
      </c>
      <c r="X92" s="12" t="s">
        <v>97</v>
      </c>
      <c r="Y92" s="12" t="s">
        <v>133</v>
      </c>
      <c r="Z92" s="12" t="s">
        <v>0</v>
      </c>
      <c r="AA92" s="12" t="s">
        <v>98</v>
      </c>
      <c r="AB92" s="12" t="s">
        <v>203</v>
      </c>
      <c r="AC92" s="12" t="s">
        <v>99</v>
      </c>
      <c r="AD92" s="12" t="s">
        <v>102</v>
      </c>
      <c r="AE92" s="12" t="s">
        <v>257</v>
      </c>
      <c r="AF92" s="12">
        <v>0.21</v>
      </c>
      <c r="AG92" s="12">
        <v>0.22</v>
      </c>
      <c r="AH92" s="12">
        <v>0.56999999999999995</v>
      </c>
      <c r="AI92" s="12">
        <f t="shared" si="22"/>
        <v>0.12240640009290485</v>
      </c>
      <c r="AJ92" s="12">
        <f t="shared" si="23"/>
        <v>-2.0203386088287E-2</v>
      </c>
    </row>
    <row r="93" spans="1:36" s="12" customFormat="1" ht="14.25" customHeight="1">
      <c r="A93" s="12">
        <v>534</v>
      </c>
      <c r="B93" s="12" t="s">
        <v>68</v>
      </c>
      <c r="C93" s="12" t="s">
        <v>85</v>
      </c>
      <c r="D93" s="12">
        <v>2022</v>
      </c>
      <c r="E93" s="12">
        <v>2018</v>
      </c>
      <c r="F93" s="12" t="s">
        <v>143</v>
      </c>
      <c r="G93" s="12" t="s">
        <v>109</v>
      </c>
      <c r="H93" s="12">
        <v>33.299100000000003</v>
      </c>
      <c r="I93" s="12">
        <v>-116.800786</v>
      </c>
      <c r="J93" s="12" t="s">
        <v>128</v>
      </c>
      <c r="K93" s="12" t="s">
        <v>219</v>
      </c>
      <c r="L93" s="12" t="s">
        <v>220</v>
      </c>
      <c r="M93" s="12" t="s">
        <v>238</v>
      </c>
      <c r="N93" s="12" t="s">
        <v>239</v>
      </c>
      <c r="O93" s="12" t="s">
        <v>86</v>
      </c>
      <c r="Q93" s="12" t="s">
        <v>93</v>
      </c>
      <c r="R93" s="12">
        <v>2018</v>
      </c>
      <c r="S93" s="12">
        <v>1</v>
      </c>
      <c r="U93" s="12">
        <v>9400</v>
      </c>
      <c r="X93" s="12" t="s">
        <v>97</v>
      </c>
      <c r="Y93" s="12" t="s">
        <v>133</v>
      </c>
      <c r="Z93" s="12" t="s">
        <v>0</v>
      </c>
      <c r="AA93" s="12" t="s">
        <v>98</v>
      </c>
      <c r="AB93" s="12" t="s">
        <v>203</v>
      </c>
      <c r="AC93" s="12" t="s">
        <v>99</v>
      </c>
      <c r="AD93" s="12" t="s">
        <v>102</v>
      </c>
      <c r="AE93" s="12" t="s">
        <v>257</v>
      </c>
      <c r="AF93" s="12">
        <v>0.18</v>
      </c>
      <c r="AG93" s="12">
        <v>0.26</v>
      </c>
      <c r="AH93" s="12">
        <v>0.55000000000000004</v>
      </c>
      <c r="AI93" s="12">
        <f t="shared" si="22"/>
        <v>9.691001300805642E-2</v>
      </c>
      <c r="AJ93" s="12">
        <f t="shared" si="23"/>
        <v>-0.15970084286751191</v>
      </c>
    </row>
    <row r="94" spans="1:36" s="12" customFormat="1" ht="14.25" customHeight="1">
      <c r="A94" s="12">
        <v>294</v>
      </c>
      <c r="B94" s="12" t="s">
        <v>44</v>
      </c>
      <c r="C94" s="12" t="s">
        <v>85</v>
      </c>
      <c r="D94" s="12">
        <v>2016</v>
      </c>
      <c r="E94" s="12">
        <v>2013</v>
      </c>
      <c r="F94" s="12" t="s">
        <v>143</v>
      </c>
      <c r="G94" s="12" t="s">
        <v>160</v>
      </c>
      <c r="H94" s="12">
        <v>43.7</v>
      </c>
      <c r="I94" s="12">
        <v>-121.61666700000001</v>
      </c>
      <c r="J94" s="12" t="s">
        <v>128</v>
      </c>
      <c r="K94" s="12" t="s">
        <v>177</v>
      </c>
      <c r="L94" s="12" t="s">
        <v>193</v>
      </c>
      <c r="M94" s="12" t="s">
        <v>237</v>
      </c>
      <c r="N94" s="12" t="s">
        <v>239</v>
      </c>
      <c r="O94" s="12" t="s">
        <v>121</v>
      </c>
      <c r="P94" s="12" t="s">
        <v>146</v>
      </c>
      <c r="Q94" s="12" t="s">
        <v>115</v>
      </c>
      <c r="R94" s="12">
        <v>2013</v>
      </c>
      <c r="S94" s="12" t="s">
        <v>311</v>
      </c>
      <c r="U94" s="12">
        <v>199</v>
      </c>
      <c r="X94" s="12" t="s">
        <v>97</v>
      </c>
      <c r="Y94" s="12" t="s">
        <v>133</v>
      </c>
      <c r="Z94" s="12" t="s">
        <v>0</v>
      </c>
      <c r="AA94" s="12" t="s">
        <v>98</v>
      </c>
      <c r="AB94" s="12" t="s">
        <v>203</v>
      </c>
      <c r="AC94" s="12" t="s">
        <v>99</v>
      </c>
      <c r="AD94" s="12" t="s">
        <v>111</v>
      </c>
      <c r="AE94" s="12" t="s">
        <v>257</v>
      </c>
      <c r="AF94" s="12">
        <v>0.43</v>
      </c>
      <c r="AG94" s="12">
        <v>0.23</v>
      </c>
      <c r="AH94" s="12">
        <v>0.38</v>
      </c>
      <c r="AI94" s="12">
        <f t="shared" ref="AI94:AI101" si="24">LOG(AH94/(AG94+AF94))</f>
        <v>-0.23976033892505857</v>
      </c>
      <c r="AJ94" s="12">
        <f t="shared" ref="AJ94:AJ101" si="25">LOG(AF94/AG94)</f>
        <v>0.27174061956199363</v>
      </c>
    </row>
    <row r="95" spans="1:36" s="12" customFormat="1" ht="14.25" customHeight="1">
      <c r="A95" s="12">
        <v>294</v>
      </c>
      <c r="B95" s="12" t="s">
        <v>44</v>
      </c>
      <c r="C95" s="12" t="s">
        <v>85</v>
      </c>
      <c r="D95" s="12">
        <v>2016</v>
      </c>
      <c r="E95" s="12">
        <v>2013</v>
      </c>
      <c r="F95" s="12" t="s">
        <v>143</v>
      </c>
      <c r="G95" s="12" t="s">
        <v>160</v>
      </c>
      <c r="H95" s="12">
        <v>43.7</v>
      </c>
      <c r="I95" s="12">
        <v>-121.61666700000001</v>
      </c>
      <c r="J95" s="12" t="s">
        <v>128</v>
      </c>
      <c r="K95" s="12" t="s">
        <v>177</v>
      </c>
      <c r="L95" s="12" t="s">
        <v>193</v>
      </c>
      <c r="M95" s="12" t="s">
        <v>237</v>
      </c>
      <c r="N95" s="12" t="s">
        <v>239</v>
      </c>
      <c r="O95" s="12" t="s">
        <v>121</v>
      </c>
      <c r="P95" s="12" t="s">
        <v>129</v>
      </c>
      <c r="Q95" s="12" t="s">
        <v>115</v>
      </c>
      <c r="R95" s="12">
        <v>2013</v>
      </c>
      <c r="S95" s="12" t="s">
        <v>311</v>
      </c>
      <c r="U95" s="12">
        <v>199</v>
      </c>
      <c r="X95" s="12" t="s">
        <v>97</v>
      </c>
      <c r="Y95" s="12" t="s">
        <v>133</v>
      </c>
      <c r="Z95" s="12" t="s">
        <v>0</v>
      </c>
      <c r="AA95" s="12" t="s">
        <v>98</v>
      </c>
      <c r="AB95" s="12" t="s">
        <v>203</v>
      </c>
      <c r="AC95" s="12" t="s">
        <v>99</v>
      </c>
      <c r="AD95" s="12" t="s">
        <v>111</v>
      </c>
      <c r="AE95" s="12" t="s">
        <v>257</v>
      </c>
      <c r="AF95" s="12">
        <v>1.25</v>
      </c>
      <c r="AG95" s="12">
        <v>0.32</v>
      </c>
      <c r="AH95" s="12">
        <v>2.15</v>
      </c>
      <c r="AI95" s="12">
        <f t="shared" si="24"/>
        <v>0.13653880750637157</v>
      </c>
      <c r="AJ95" s="12">
        <f t="shared" si="25"/>
        <v>0.59176003468815042</v>
      </c>
    </row>
    <row r="96" spans="1:36" s="12" customFormat="1" ht="14.25" customHeight="1">
      <c r="A96" s="12">
        <v>213</v>
      </c>
      <c r="B96" s="12" t="s">
        <v>33</v>
      </c>
      <c r="C96" s="12" t="s">
        <v>85</v>
      </c>
      <c r="D96" s="12">
        <v>2014</v>
      </c>
      <c r="E96" s="12">
        <v>2008</v>
      </c>
      <c r="F96" s="12" t="s">
        <v>120</v>
      </c>
      <c r="G96" s="12" t="s">
        <v>109</v>
      </c>
      <c r="H96" s="12">
        <v>41.05</v>
      </c>
      <c r="I96" s="12">
        <v>-2.4333330000000002</v>
      </c>
      <c r="J96" s="12" t="s">
        <v>135</v>
      </c>
      <c r="K96" s="12" t="s">
        <v>177</v>
      </c>
      <c r="L96" s="12" t="s">
        <v>178</v>
      </c>
      <c r="M96" s="12" t="s">
        <v>237</v>
      </c>
      <c r="N96" s="12" t="s">
        <v>239</v>
      </c>
      <c r="O96" s="12" t="s">
        <v>86</v>
      </c>
      <c r="P96" s="12" t="s">
        <v>129</v>
      </c>
      <c r="Q96" s="12" t="s">
        <v>93</v>
      </c>
      <c r="R96" s="12">
        <v>1994</v>
      </c>
      <c r="S96" s="12">
        <v>14</v>
      </c>
      <c r="X96" s="12" t="s">
        <v>134</v>
      </c>
      <c r="Y96" s="12" t="s">
        <v>147</v>
      </c>
      <c r="Z96" s="12" t="s">
        <v>0</v>
      </c>
      <c r="AA96" s="12" t="s">
        <v>98</v>
      </c>
      <c r="AB96" s="12" t="s">
        <v>159</v>
      </c>
      <c r="AC96" s="12" t="s">
        <v>378</v>
      </c>
      <c r="AD96" s="12" t="s">
        <v>100</v>
      </c>
      <c r="AE96" s="12" t="s">
        <v>257</v>
      </c>
      <c r="AF96" s="12">
        <v>0.68</v>
      </c>
      <c r="AG96" s="12">
        <v>0.53</v>
      </c>
      <c r="AH96" s="12">
        <v>1.0900000000000001</v>
      </c>
      <c r="AI96" s="12">
        <f t="shared" si="24"/>
        <v>-4.5358872375826392E-2</v>
      </c>
      <c r="AJ96" s="12">
        <f t="shared" si="25"/>
        <v>0.10823304310544725</v>
      </c>
    </row>
    <row r="97" spans="1:45" s="12" customFormat="1" ht="14.25" customHeight="1">
      <c r="A97" s="12">
        <v>213</v>
      </c>
      <c r="B97" s="12" t="s">
        <v>33</v>
      </c>
      <c r="C97" s="12" t="s">
        <v>85</v>
      </c>
      <c r="D97" s="12">
        <v>2014</v>
      </c>
      <c r="E97" s="12">
        <v>2008</v>
      </c>
      <c r="F97" s="12" t="s">
        <v>120</v>
      </c>
      <c r="G97" s="12" t="s">
        <v>109</v>
      </c>
      <c r="H97" s="12">
        <v>41.05</v>
      </c>
      <c r="I97" s="12">
        <v>-2.4333330000000002</v>
      </c>
      <c r="J97" s="12" t="s">
        <v>135</v>
      </c>
      <c r="K97" s="12" t="s">
        <v>177</v>
      </c>
      <c r="L97" s="12" t="s">
        <v>178</v>
      </c>
      <c r="M97" s="12" t="s">
        <v>237</v>
      </c>
      <c r="N97" s="12" t="s">
        <v>239</v>
      </c>
      <c r="O97" s="12" t="s">
        <v>86</v>
      </c>
      <c r="P97" s="12" t="s">
        <v>129</v>
      </c>
      <c r="Q97" s="12" t="s">
        <v>93</v>
      </c>
      <c r="R97" s="12">
        <v>2005</v>
      </c>
      <c r="S97" s="12">
        <v>3</v>
      </c>
      <c r="X97" s="12" t="s">
        <v>134</v>
      </c>
      <c r="Y97" s="12" t="s">
        <v>147</v>
      </c>
      <c r="Z97" s="12" t="s">
        <v>0</v>
      </c>
      <c r="AA97" s="12" t="s">
        <v>98</v>
      </c>
      <c r="AB97" s="12" t="s">
        <v>159</v>
      </c>
      <c r="AC97" s="12" t="s">
        <v>378</v>
      </c>
      <c r="AD97" s="12" t="s">
        <v>100</v>
      </c>
      <c r="AE97" s="12" t="s">
        <v>257</v>
      </c>
      <c r="AF97" s="12">
        <v>0.56999999999999995</v>
      </c>
      <c r="AG97" s="12">
        <v>0.53</v>
      </c>
      <c r="AH97" s="12">
        <v>1.24</v>
      </c>
      <c r="AI97" s="12">
        <f t="shared" si="24"/>
        <v>5.202900000401E-2</v>
      </c>
      <c r="AJ97" s="12">
        <f t="shared" si="25"/>
        <v>3.1598986071702258E-2</v>
      </c>
    </row>
    <row r="98" spans="1:45" s="12" customFormat="1" ht="14.25" customHeight="1">
      <c r="A98" s="12">
        <v>188</v>
      </c>
      <c r="B98" s="12" t="s">
        <v>28</v>
      </c>
      <c r="C98" s="12" t="s">
        <v>85</v>
      </c>
      <c r="D98" s="12">
        <v>2008</v>
      </c>
      <c r="E98" s="12">
        <v>1998</v>
      </c>
      <c r="F98" s="12" t="s">
        <v>96</v>
      </c>
      <c r="H98" s="12">
        <v>-34.461578000000003</v>
      </c>
      <c r="I98" s="12">
        <v>116.173176</v>
      </c>
      <c r="J98" s="12" t="s">
        <v>126</v>
      </c>
      <c r="K98" s="12" t="s">
        <v>112</v>
      </c>
      <c r="L98" s="12" t="s">
        <v>182</v>
      </c>
      <c r="M98" s="12" t="s">
        <v>238</v>
      </c>
      <c r="O98" s="12" t="s">
        <v>86</v>
      </c>
      <c r="Q98" s="12" t="s">
        <v>93</v>
      </c>
      <c r="R98" s="12">
        <v>1997</v>
      </c>
      <c r="S98" s="12">
        <v>1</v>
      </c>
      <c r="U98" s="12">
        <v>1600</v>
      </c>
      <c r="V98" s="12">
        <v>5</v>
      </c>
      <c r="W98" s="12">
        <v>5</v>
      </c>
      <c r="X98" s="12" t="s">
        <v>114</v>
      </c>
      <c r="Y98" s="12" t="s">
        <v>2</v>
      </c>
      <c r="AA98" s="12" t="s">
        <v>113</v>
      </c>
      <c r="AD98" s="12" t="s">
        <v>2</v>
      </c>
      <c r="AE98" s="12" t="s">
        <v>257</v>
      </c>
      <c r="AF98" s="12">
        <v>0.36</v>
      </c>
      <c r="AG98" s="12">
        <v>1.21</v>
      </c>
      <c r="AH98" s="12">
        <v>2.73</v>
      </c>
      <c r="AI98" s="12">
        <f t="shared" si="24"/>
        <v>0.24026299463152231</v>
      </c>
      <c r="AJ98" s="12">
        <f t="shared" si="25"/>
        <v>-0.52648286954916279</v>
      </c>
    </row>
    <row r="99" spans="1:45" s="12" customFormat="1" ht="14.25" customHeight="1">
      <c r="A99" s="12">
        <v>188</v>
      </c>
      <c r="B99" s="12" t="s">
        <v>28</v>
      </c>
      <c r="C99" s="12" t="s">
        <v>85</v>
      </c>
      <c r="D99" s="12">
        <v>2008</v>
      </c>
      <c r="E99" s="12">
        <v>1998</v>
      </c>
      <c r="F99" s="12" t="s">
        <v>96</v>
      </c>
      <c r="H99" s="12">
        <v>-34.461578000000003</v>
      </c>
      <c r="I99" s="12">
        <v>116.173176</v>
      </c>
      <c r="J99" s="12" t="s">
        <v>126</v>
      </c>
      <c r="K99" s="12" t="s">
        <v>112</v>
      </c>
      <c r="L99" s="12" t="s">
        <v>182</v>
      </c>
      <c r="M99" s="12" t="s">
        <v>238</v>
      </c>
      <c r="O99" s="12" t="s">
        <v>86</v>
      </c>
      <c r="Q99" s="12" t="s">
        <v>93</v>
      </c>
      <c r="R99" s="12">
        <v>1997</v>
      </c>
      <c r="S99" s="12">
        <v>5</v>
      </c>
      <c r="U99" s="12">
        <v>1600</v>
      </c>
      <c r="V99" s="12">
        <v>5</v>
      </c>
      <c r="W99" s="12">
        <v>5</v>
      </c>
      <c r="X99" s="12" t="s">
        <v>114</v>
      </c>
      <c r="Y99" s="12" t="s">
        <v>2</v>
      </c>
      <c r="AA99" s="12" t="s">
        <v>113</v>
      </c>
      <c r="AD99" s="12" t="s">
        <v>2</v>
      </c>
      <c r="AE99" s="12" t="s">
        <v>257</v>
      </c>
      <c r="AF99" s="12">
        <v>0.56000000000000005</v>
      </c>
      <c r="AG99" s="12">
        <v>0.56000000000000005</v>
      </c>
      <c r="AH99" s="12">
        <v>0.63</v>
      </c>
      <c r="AI99" s="12">
        <f t="shared" si="24"/>
        <v>-0.24987747321659989</v>
      </c>
      <c r="AJ99" s="12">
        <f t="shared" si="25"/>
        <v>0</v>
      </c>
    </row>
    <row r="100" spans="1:45" s="12" customFormat="1" ht="14.25" customHeight="1">
      <c r="A100" s="12">
        <v>221</v>
      </c>
      <c r="B100" s="12" t="s">
        <v>35</v>
      </c>
      <c r="C100" s="12" t="s">
        <v>85</v>
      </c>
      <c r="D100" s="12">
        <v>2021</v>
      </c>
      <c r="E100" s="12">
        <v>2016</v>
      </c>
      <c r="F100" s="12" t="s">
        <v>153</v>
      </c>
      <c r="G100" s="12" t="s">
        <v>160</v>
      </c>
      <c r="H100" s="12">
        <v>53.646073000000001</v>
      </c>
      <c r="I100" s="12" t="s">
        <v>210</v>
      </c>
      <c r="J100" s="12" t="s">
        <v>128</v>
      </c>
      <c r="K100" s="12" t="s">
        <v>177</v>
      </c>
      <c r="L100" s="12" t="s">
        <v>188</v>
      </c>
      <c r="M100" s="12" t="s">
        <v>237</v>
      </c>
      <c r="N100" s="12" t="s">
        <v>239</v>
      </c>
      <c r="O100" s="12" t="s">
        <v>86</v>
      </c>
      <c r="Q100" s="12" t="s">
        <v>93</v>
      </c>
      <c r="R100" s="12">
        <v>2012</v>
      </c>
      <c r="S100" s="12">
        <v>4</v>
      </c>
      <c r="V100" s="12">
        <v>14</v>
      </c>
      <c r="W100" s="12">
        <v>3</v>
      </c>
      <c r="X100" s="12" t="s">
        <v>97</v>
      </c>
      <c r="Y100" s="12" t="s">
        <v>364</v>
      </c>
      <c r="Z100" s="12" t="s">
        <v>1</v>
      </c>
      <c r="AA100" s="12" t="s">
        <v>98</v>
      </c>
      <c r="AB100" s="12" t="s">
        <v>203</v>
      </c>
      <c r="AC100" s="12" t="s">
        <v>99</v>
      </c>
      <c r="AD100" s="12" t="s">
        <v>111</v>
      </c>
      <c r="AE100" s="12" t="s">
        <v>257</v>
      </c>
      <c r="AF100" s="12">
        <v>0.22</v>
      </c>
      <c r="AG100" s="12">
        <v>0.24</v>
      </c>
      <c r="AH100" s="12">
        <v>0.31</v>
      </c>
      <c r="AI100" s="12">
        <f t="shared" si="24"/>
        <v>-0.1713961378473014</v>
      </c>
      <c r="AJ100" s="12">
        <f t="shared" si="25"/>
        <v>-3.7788560889399754E-2</v>
      </c>
    </row>
    <row r="101" spans="1:45" s="12" customFormat="1" ht="14.25" customHeight="1">
      <c r="A101" s="12">
        <v>38</v>
      </c>
      <c r="B101" s="12" t="s">
        <v>7</v>
      </c>
      <c r="C101" s="12" t="s">
        <v>85</v>
      </c>
      <c r="D101" s="12">
        <v>2018</v>
      </c>
      <c r="E101" s="12">
        <v>2004</v>
      </c>
      <c r="F101" s="12" t="s">
        <v>154</v>
      </c>
      <c r="G101" s="12" t="s">
        <v>117</v>
      </c>
      <c r="H101" s="12">
        <v>63.266666999999998</v>
      </c>
      <c r="I101" s="12">
        <v>30.75</v>
      </c>
      <c r="J101" s="12" t="s">
        <v>126</v>
      </c>
      <c r="K101" s="12" t="s">
        <v>177</v>
      </c>
      <c r="L101" s="12" t="s">
        <v>183</v>
      </c>
      <c r="M101" s="12" t="s">
        <v>237</v>
      </c>
      <c r="N101" s="12" t="s">
        <v>239</v>
      </c>
      <c r="O101" s="12" t="s">
        <v>86</v>
      </c>
      <c r="P101" s="12" t="s">
        <v>146</v>
      </c>
      <c r="Q101" s="12" t="s">
        <v>93</v>
      </c>
      <c r="R101" s="12">
        <v>1992</v>
      </c>
      <c r="S101" s="12">
        <v>12</v>
      </c>
      <c r="U101" s="12">
        <v>143</v>
      </c>
      <c r="V101" s="12">
        <v>6</v>
      </c>
      <c r="W101" s="12">
        <v>4</v>
      </c>
      <c r="X101" s="12" t="s">
        <v>114</v>
      </c>
      <c r="Y101" s="12" t="s">
        <v>2</v>
      </c>
      <c r="Z101" s="12" t="s">
        <v>0</v>
      </c>
      <c r="AA101" s="12" t="s">
        <v>113</v>
      </c>
      <c r="AD101" s="12" t="s">
        <v>2</v>
      </c>
      <c r="AE101" s="12" t="s">
        <v>257</v>
      </c>
      <c r="AF101" s="12">
        <v>0.28000000000000003</v>
      </c>
      <c r="AG101" s="12">
        <v>0.33</v>
      </c>
      <c r="AH101" s="12">
        <v>0.3</v>
      </c>
      <c r="AI101" s="12">
        <f t="shared" si="24"/>
        <v>-0.30820858029110471</v>
      </c>
      <c r="AJ101" s="12">
        <f t="shared" si="25"/>
        <v>-7.1355908535668242E-2</v>
      </c>
    </row>
    <row r="102" spans="1:45" s="12" customFormat="1" ht="14.25" customHeight="1">
      <c r="A102" s="12">
        <v>38</v>
      </c>
      <c r="B102" s="12" t="s">
        <v>7</v>
      </c>
      <c r="C102" s="12" t="s">
        <v>85</v>
      </c>
      <c r="D102" s="12">
        <v>2018</v>
      </c>
      <c r="E102" s="12">
        <v>2004</v>
      </c>
      <c r="F102" s="12" t="s">
        <v>154</v>
      </c>
      <c r="G102" s="12" t="s">
        <v>117</v>
      </c>
      <c r="H102" s="12">
        <v>63.266666999999998</v>
      </c>
      <c r="I102" s="12">
        <v>30.75</v>
      </c>
      <c r="J102" s="12" t="s">
        <v>126</v>
      </c>
      <c r="K102" s="12" t="s">
        <v>177</v>
      </c>
      <c r="L102" s="12" t="s">
        <v>183</v>
      </c>
      <c r="M102" s="12" t="s">
        <v>237</v>
      </c>
      <c r="N102" s="12" t="s">
        <v>239</v>
      </c>
      <c r="O102" s="12" t="s">
        <v>86</v>
      </c>
      <c r="P102" s="12" t="s">
        <v>211</v>
      </c>
      <c r="Q102" s="12" t="s">
        <v>93</v>
      </c>
      <c r="R102" s="12">
        <v>1992</v>
      </c>
      <c r="S102" s="12">
        <v>12</v>
      </c>
      <c r="U102" s="12">
        <v>143</v>
      </c>
      <c r="V102" s="12">
        <v>6</v>
      </c>
      <c r="W102" s="12">
        <v>4</v>
      </c>
      <c r="X102" s="12" t="s">
        <v>114</v>
      </c>
      <c r="Y102" s="12" t="s">
        <v>2</v>
      </c>
      <c r="Z102" s="12" t="s">
        <v>0</v>
      </c>
      <c r="AA102" s="12" t="s">
        <v>113</v>
      </c>
      <c r="AD102" s="12" t="s">
        <v>2</v>
      </c>
      <c r="AE102" s="12" t="s">
        <v>257</v>
      </c>
      <c r="AF102" s="12">
        <v>0.23</v>
      </c>
      <c r="AG102" s="12">
        <v>0.33</v>
      </c>
      <c r="AH102" s="12">
        <v>0.32</v>
      </c>
      <c r="AI102" s="12">
        <f t="shared" ref="AI102:AI103" si="26">LOG(AH102/(AG102+AF102))</f>
        <v>-0.24303804868629447</v>
      </c>
      <c r="AJ102" s="12">
        <f t="shared" ref="AJ102:AJ103" si="27">LOG(AF102/AG102)</f>
        <v>-0.15678610386029457</v>
      </c>
    </row>
    <row r="103" spans="1:45" s="12" customFormat="1" ht="14.25" customHeight="1">
      <c r="A103" s="12">
        <v>38</v>
      </c>
      <c r="B103" s="12" t="s">
        <v>7</v>
      </c>
      <c r="C103" s="12" t="s">
        <v>85</v>
      </c>
      <c r="D103" s="12">
        <v>2018</v>
      </c>
      <c r="E103" s="12">
        <v>2004</v>
      </c>
      <c r="F103" s="12" t="s">
        <v>154</v>
      </c>
      <c r="G103" s="12" t="s">
        <v>117</v>
      </c>
      <c r="H103" s="12">
        <v>63.266666999999998</v>
      </c>
      <c r="I103" s="12">
        <v>30.75</v>
      </c>
      <c r="J103" s="12" t="s">
        <v>126</v>
      </c>
      <c r="K103" s="12" t="s">
        <v>177</v>
      </c>
      <c r="L103" s="12" t="s">
        <v>183</v>
      </c>
      <c r="M103" s="12" t="s">
        <v>237</v>
      </c>
      <c r="N103" s="12" t="s">
        <v>239</v>
      </c>
      <c r="O103" s="12" t="s">
        <v>86</v>
      </c>
      <c r="P103" s="12" t="s">
        <v>129</v>
      </c>
      <c r="Q103" s="12" t="s">
        <v>93</v>
      </c>
      <c r="R103" s="12">
        <v>1992</v>
      </c>
      <c r="S103" s="12">
        <v>12</v>
      </c>
      <c r="U103" s="12">
        <v>143</v>
      </c>
      <c r="V103" s="12">
        <v>6</v>
      </c>
      <c r="W103" s="12">
        <v>4</v>
      </c>
      <c r="X103" s="12" t="s">
        <v>114</v>
      </c>
      <c r="Y103" s="12" t="s">
        <v>2</v>
      </c>
      <c r="Z103" s="12" t="s">
        <v>0</v>
      </c>
      <c r="AA103" s="12" t="s">
        <v>113</v>
      </c>
      <c r="AD103" s="12" t="s">
        <v>2</v>
      </c>
      <c r="AE103" s="12" t="s">
        <v>257</v>
      </c>
      <c r="AF103" s="12">
        <v>0.49</v>
      </c>
      <c r="AG103" s="12">
        <v>0.33</v>
      </c>
      <c r="AH103" s="12">
        <v>0.6</v>
      </c>
      <c r="AI103" s="12">
        <f t="shared" si="26"/>
        <v>-0.13566260200007313</v>
      </c>
      <c r="AJ103" s="12">
        <f t="shared" si="27"/>
        <v>0.17168214015062619</v>
      </c>
    </row>
    <row r="104" spans="1:45" s="1" customFormat="1" ht="14.25" customHeight="1">
      <c r="A104" s="12">
        <v>170</v>
      </c>
      <c r="B104" s="12" t="s">
        <v>23</v>
      </c>
      <c r="C104" s="1" t="s">
        <v>85</v>
      </c>
      <c r="D104" s="1">
        <v>2021</v>
      </c>
      <c r="E104" s="1">
        <v>2017</v>
      </c>
      <c r="F104" s="1" t="s">
        <v>143</v>
      </c>
      <c r="G104" s="1" t="s">
        <v>109</v>
      </c>
      <c r="H104" s="1">
        <v>38.460099999999997</v>
      </c>
      <c r="I104" s="1">
        <v>-122.5515</v>
      </c>
      <c r="J104" s="1" t="s">
        <v>128</v>
      </c>
      <c r="K104" s="1" t="s">
        <v>175</v>
      </c>
      <c r="L104" s="1" t="s">
        <v>176</v>
      </c>
      <c r="M104" s="1" t="s">
        <v>237</v>
      </c>
      <c r="N104" s="1" t="s">
        <v>239</v>
      </c>
      <c r="O104" s="1" t="s">
        <v>86</v>
      </c>
      <c r="P104" s="1" t="s">
        <v>129</v>
      </c>
      <c r="Q104" s="1" t="s">
        <v>93</v>
      </c>
      <c r="R104" s="1">
        <v>2017</v>
      </c>
      <c r="S104" s="1" t="s">
        <v>152</v>
      </c>
      <c r="U104" s="1">
        <v>90000</v>
      </c>
      <c r="V104" s="1">
        <v>6</v>
      </c>
      <c r="W104" s="1">
        <v>6</v>
      </c>
      <c r="X104" s="1" t="s">
        <v>97</v>
      </c>
      <c r="Y104" s="1" t="s">
        <v>133</v>
      </c>
      <c r="Z104" s="1" t="s">
        <v>1</v>
      </c>
      <c r="AA104" s="1" t="s">
        <v>98</v>
      </c>
      <c r="AB104" s="1" t="s">
        <v>203</v>
      </c>
      <c r="AC104" s="1" t="s">
        <v>99</v>
      </c>
      <c r="AD104" s="1" t="s">
        <v>100</v>
      </c>
      <c r="AE104" s="1" t="s">
        <v>257</v>
      </c>
      <c r="AF104" s="1">
        <v>0.24</v>
      </c>
      <c r="AG104" s="1">
        <v>0.26</v>
      </c>
      <c r="AH104" s="1">
        <v>1.32</v>
      </c>
      <c r="AI104" s="1">
        <f t="shared" ref="AI104:AI105" si="28">LOG(AH104/(AG104+AF104))</f>
        <v>0.42160392686983106</v>
      </c>
      <c r="AJ104" s="1">
        <f t="shared" ref="AJ104:AJ105" si="29">LOG(AF104/AG104)</f>
        <v>-3.4762106259211972E-2</v>
      </c>
    </row>
    <row r="105" spans="1:45" s="1" customFormat="1" ht="14.25" customHeight="1">
      <c r="A105" s="12">
        <v>170</v>
      </c>
      <c r="B105" s="12" t="s">
        <v>23</v>
      </c>
      <c r="C105" s="1" t="s">
        <v>85</v>
      </c>
      <c r="D105" s="1">
        <v>2021</v>
      </c>
      <c r="E105" s="1">
        <v>2017</v>
      </c>
      <c r="F105" s="1" t="s">
        <v>143</v>
      </c>
      <c r="G105" s="1" t="s">
        <v>109</v>
      </c>
      <c r="H105" s="1">
        <v>38.460099999999997</v>
      </c>
      <c r="I105" s="1">
        <v>-122.5515</v>
      </c>
      <c r="J105" s="1" t="s">
        <v>128</v>
      </c>
      <c r="K105" s="1" t="s">
        <v>179</v>
      </c>
      <c r="L105" s="1" t="s">
        <v>184</v>
      </c>
      <c r="M105" s="1" t="s">
        <v>238</v>
      </c>
      <c r="N105" s="1" t="s">
        <v>239</v>
      </c>
      <c r="O105" s="1" t="s">
        <v>86</v>
      </c>
      <c r="P105" s="1" t="s">
        <v>129</v>
      </c>
      <c r="Q105" s="1" t="s">
        <v>93</v>
      </c>
      <c r="R105" s="1">
        <v>2017</v>
      </c>
      <c r="S105" s="1" t="s">
        <v>152</v>
      </c>
      <c r="U105" s="1">
        <v>90000</v>
      </c>
      <c r="V105" s="1">
        <v>3</v>
      </c>
      <c r="W105" s="1">
        <v>3</v>
      </c>
      <c r="X105" s="1" t="s">
        <v>97</v>
      </c>
      <c r="Y105" s="1" t="s">
        <v>133</v>
      </c>
      <c r="Z105" s="1" t="s">
        <v>1</v>
      </c>
      <c r="AA105" s="1" t="s">
        <v>98</v>
      </c>
      <c r="AB105" s="1" t="s">
        <v>203</v>
      </c>
      <c r="AC105" s="1" t="s">
        <v>99</v>
      </c>
      <c r="AD105" s="1" t="s">
        <v>100</v>
      </c>
      <c r="AE105" s="1" t="s">
        <v>257</v>
      </c>
      <c r="AF105" s="1">
        <v>0.15</v>
      </c>
      <c r="AG105" s="1">
        <v>0.18</v>
      </c>
      <c r="AH105" s="1">
        <v>0.27</v>
      </c>
      <c r="AI105" s="1">
        <f t="shared" si="28"/>
        <v>-8.7150175718900075E-2</v>
      </c>
      <c r="AJ105" s="1">
        <f t="shared" si="29"/>
        <v>-7.9181246047624804E-2</v>
      </c>
    </row>
    <row r="106" spans="1:45" s="1" customFormat="1" ht="14.25" customHeight="1">
      <c r="A106" s="12">
        <v>227</v>
      </c>
      <c r="B106" s="12" t="s">
        <v>36</v>
      </c>
      <c r="C106" s="1" t="s">
        <v>85</v>
      </c>
      <c r="D106" s="1">
        <v>2015</v>
      </c>
      <c r="E106" s="1">
        <v>2011</v>
      </c>
      <c r="F106" s="1" t="s">
        <v>154</v>
      </c>
      <c r="G106" s="1" t="s">
        <v>117</v>
      </c>
      <c r="H106" s="1">
        <v>67.766666999999998</v>
      </c>
      <c r="I106" s="1">
        <v>29.583333</v>
      </c>
      <c r="J106" s="1" t="s">
        <v>128</v>
      </c>
      <c r="K106" s="1" t="s">
        <v>177</v>
      </c>
      <c r="L106" s="1" t="s">
        <v>183</v>
      </c>
      <c r="M106" s="1" t="s">
        <v>237</v>
      </c>
      <c r="N106" s="1" t="s">
        <v>239</v>
      </c>
      <c r="O106" s="1" t="s">
        <v>86</v>
      </c>
      <c r="Q106" s="1" t="s">
        <v>93</v>
      </c>
      <c r="R106" s="1">
        <v>2009</v>
      </c>
      <c r="S106" s="1">
        <v>2</v>
      </c>
      <c r="V106" s="1">
        <v>10</v>
      </c>
      <c r="W106" s="1">
        <v>10</v>
      </c>
      <c r="X106" s="1" t="s">
        <v>97</v>
      </c>
      <c r="Z106" s="1" t="s">
        <v>1</v>
      </c>
      <c r="AA106" s="1" t="s">
        <v>98</v>
      </c>
      <c r="AB106" s="1" t="s">
        <v>203</v>
      </c>
      <c r="AC106" s="1" t="s">
        <v>229</v>
      </c>
      <c r="AD106" s="1" t="s">
        <v>102</v>
      </c>
      <c r="AE106" s="1" t="s">
        <v>257</v>
      </c>
      <c r="AF106" s="1">
        <v>0.28999999999999998</v>
      </c>
      <c r="AG106" s="1">
        <v>0.28000000000000003</v>
      </c>
      <c r="AH106" s="1">
        <v>0.56999999999999995</v>
      </c>
      <c r="AI106" s="1">
        <f t="shared" ref="AI106:AI124" si="30">LOG(AH106/(AG106+AF106))</f>
        <v>-9.6432746655328721E-17</v>
      </c>
      <c r="AJ106" s="1">
        <f t="shared" ref="AJ106:AJ124" si="31">LOG(AF106/AG106)</f>
        <v>1.5239966556736814E-2</v>
      </c>
    </row>
    <row r="107" spans="1:45" s="16" customFormat="1">
      <c r="A107" s="16">
        <v>320</v>
      </c>
      <c r="B107" s="16" t="s">
        <v>244</v>
      </c>
      <c r="C107" s="12" t="s">
        <v>85</v>
      </c>
      <c r="D107" s="16">
        <v>2024</v>
      </c>
      <c r="E107" s="16">
        <v>2021</v>
      </c>
      <c r="F107" s="16" t="s">
        <v>120</v>
      </c>
      <c r="G107" s="16" t="s">
        <v>109</v>
      </c>
      <c r="H107" s="16">
        <v>42.345813999999997</v>
      </c>
      <c r="I107" s="16">
        <v>-6.3904769999999997</v>
      </c>
      <c r="J107" s="16" t="s">
        <v>126</v>
      </c>
      <c r="K107" s="16" t="s">
        <v>177</v>
      </c>
      <c r="L107" s="16" t="s">
        <v>178</v>
      </c>
      <c r="M107" s="16" t="s">
        <v>237</v>
      </c>
      <c r="N107" s="16" t="s">
        <v>239</v>
      </c>
      <c r="O107" s="16" t="s">
        <v>86</v>
      </c>
      <c r="Q107" s="16" t="s">
        <v>93</v>
      </c>
      <c r="R107" s="16">
        <v>2012</v>
      </c>
      <c r="S107" s="16">
        <v>9</v>
      </c>
      <c r="T107" s="16">
        <v>11891</v>
      </c>
      <c r="X107" s="16" t="s">
        <v>114</v>
      </c>
      <c r="Y107" s="16" t="s">
        <v>2</v>
      </c>
      <c r="Z107" s="16" t="s">
        <v>1</v>
      </c>
      <c r="AA107" s="16" t="s">
        <v>113</v>
      </c>
      <c r="AB107" s="12" t="s">
        <v>2</v>
      </c>
      <c r="AC107" s="12" t="s">
        <v>2</v>
      </c>
      <c r="AD107" s="12" t="s">
        <v>2</v>
      </c>
      <c r="AE107" s="16" t="s">
        <v>257</v>
      </c>
      <c r="AF107" s="16">
        <v>0.32</v>
      </c>
      <c r="AG107" s="16">
        <v>0.46</v>
      </c>
      <c r="AH107" s="16">
        <v>0.54</v>
      </c>
      <c r="AI107" s="16">
        <f t="shared" si="30"/>
        <v>-0.15970084286751191</v>
      </c>
      <c r="AJ107" s="16">
        <f t="shared" si="31"/>
        <v>-0.1576078533616681</v>
      </c>
      <c r="AM107" s="12"/>
      <c r="AN107" s="12"/>
      <c r="AO107" s="12"/>
      <c r="AP107" s="12"/>
      <c r="AQ107" s="12"/>
      <c r="AR107" s="12"/>
      <c r="AS107" s="12"/>
    </row>
    <row r="108" spans="1:45" s="16" customFormat="1">
      <c r="A108" s="16">
        <v>320</v>
      </c>
      <c r="B108" s="16" t="s">
        <v>244</v>
      </c>
      <c r="C108" s="12" t="s">
        <v>85</v>
      </c>
      <c r="D108" s="16">
        <v>2024</v>
      </c>
      <c r="E108" s="16">
        <v>2021</v>
      </c>
      <c r="F108" s="16" t="s">
        <v>120</v>
      </c>
      <c r="G108" s="16" t="s">
        <v>109</v>
      </c>
      <c r="H108" s="16">
        <v>42.345813999999997</v>
      </c>
      <c r="I108" s="16">
        <v>-6.3904769999999997</v>
      </c>
      <c r="J108" s="16" t="s">
        <v>126</v>
      </c>
      <c r="K108" s="16" t="s">
        <v>177</v>
      </c>
      <c r="L108" s="16" t="s">
        <v>178</v>
      </c>
      <c r="M108" s="16" t="s">
        <v>237</v>
      </c>
      <c r="N108" s="16" t="s">
        <v>239</v>
      </c>
      <c r="O108" s="16" t="s">
        <v>86</v>
      </c>
      <c r="Q108" s="16" t="s">
        <v>93</v>
      </c>
      <c r="R108" s="16">
        <v>2005</v>
      </c>
      <c r="S108" s="16">
        <v>16</v>
      </c>
      <c r="T108" s="16">
        <v>1172</v>
      </c>
      <c r="X108" s="16" t="s">
        <v>114</v>
      </c>
      <c r="Y108" s="16" t="s">
        <v>2</v>
      </c>
      <c r="Z108" s="16" t="s">
        <v>1</v>
      </c>
      <c r="AA108" s="16" t="s">
        <v>113</v>
      </c>
      <c r="AB108" s="12" t="s">
        <v>2</v>
      </c>
      <c r="AC108" s="12" t="s">
        <v>2</v>
      </c>
      <c r="AD108" s="12" t="s">
        <v>2</v>
      </c>
      <c r="AE108" s="16" t="s">
        <v>257</v>
      </c>
      <c r="AF108" s="16">
        <v>0.4</v>
      </c>
      <c r="AG108" s="16">
        <v>0.46</v>
      </c>
      <c r="AH108" s="16">
        <v>0.63</v>
      </c>
      <c r="AI108" s="16">
        <f t="shared" si="30"/>
        <v>-0.13515790178998605</v>
      </c>
      <c r="AJ108" s="16">
        <f t="shared" si="31"/>
        <v>-6.0697840353611698E-2</v>
      </c>
    </row>
    <row r="109" spans="1:45" s="12" customFormat="1" ht="14.25" customHeight="1">
      <c r="A109" s="12">
        <v>192</v>
      </c>
      <c r="B109" s="12" t="s">
        <v>29</v>
      </c>
      <c r="C109" s="12" t="s">
        <v>91</v>
      </c>
      <c r="D109" s="12">
        <v>2016</v>
      </c>
      <c r="E109" s="12">
        <v>2009</v>
      </c>
      <c r="F109" s="12" t="s">
        <v>120</v>
      </c>
      <c r="G109" s="12" t="s">
        <v>109</v>
      </c>
      <c r="H109" s="12">
        <v>41.511228000000003</v>
      </c>
      <c r="I109" s="12" t="s">
        <v>206</v>
      </c>
      <c r="J109" s="12" t="s">
        <v>135</v>
      </c>
      <c r="K109" s="12" t="s">
        <v>177</v>
      </c>
      <c r="L109" s="12" t="s">
        <v>178</v>
      </c>
      <c r="M109" s="12" t="s">
        <v>237</v>
      </c>
      <c r="N109" s="12" t="s">
        <v>239</v>
      </c>
      <c r="O109" s="12" t="s">
        <v>86</v>
      </c>
      <c r="P109" s="12" t="s">
        <v>211</v>
      </c>
      <c r="Q109" s="12" t="s">
        <v>93</v>
      </c>
      <c r="R109" s="12">
        <v>2008</v>
      </c>
      <c r="S109" s="12">
        <v>1</v>
      </c>
      <c r="U109" s="12">
        <v>1200</v>
      </c>
      <c r="V109" s="12">
        <v>25</v>
      </c>
      <c r="W109" s="12">
        <v>25</v>
      </c>
      <c r="X109" s="12" t="s">
        <v>134</v>
      </c>
      <c r="Y109" s="12" t="s">
        <v>147</v>
      </c>
      <c r="Z109" s="12" t="s">
        <v>1</v>
      </c>
      <c r="AA109" s="12" t="s">
        <v>148</v>
      </c>
      <c r="AB109" s="12" t="s">
        <v>2</v>
      </c>
      <c r="AC109" s="12" t="s">
        <v>2</v>
      </c>
      <c r="AD109" s="12" t="s">
        <v>2</v>
      </c>
      <c r="AE109" s="12" t="s">
        <v>363</v>
      </c>
      <c r="AF109" s="12">
        <v>0.83</v>
      </c>
      <c r="AG109" s="12">
        <v>0.77</v>
      </c>
      <c r="AH109" s="12">
        <v>2.5099999999999998</v>
      </c>
      <c r="AI109" s="12">
        <f t="shared" si="30"/>
        <v>0.19555373882511332</v>
      </c>
      <c r="AJ109" s="12">
        <f t="shared" si="31"/>
        <v>3.2587367203592045E-2</v>
      </c>
    </row>
    <row r="110" spans="1:45" s="12" customFormat="1" ht="14.25" customHeight="1">
      <c r="A110" s="12">
        <v>192</v>
      </c>
      <c r="B110" s="12" t="s">
        <v>29</v>
      </c>
      <c r="C110" s="12" t="s">
        <v>91</v>
      </c>
      <c r="D110" s="12">
        <v>2016</v>
      </c>
      <c r="E110" s="12">
        <v>2009</v>
      </c>
      <c r="F110" s="12" t="s">
        <v>120</v>
      </c>
      <c r="G110" s="12" t="s">
        <v>109</v>
      </c>
      <c r="H110" s="12">
        <v>41.511228000000003</v>
      </c>
      <c r="I110" s="12" t="s">
        <v>206</v>
      </c>
      <c r="J110" s="12" t="s">
        <v>135</v>
      </c>
      <c r="K110" s="12" t="s">
        <v>177</v>
      </c>
      <c r="L110" s="12" t="s">
        <v>178</v>
      </c>
      <c r="M110" s="12" t="s">
        <v>237</v>
      </c>
      <c r="N110" s="12" t="s">
        <v>239</v>
      </c>
      <c r="O110" s="12" t="s">
        <v>86</v>
      </c>
      <c r="P110" s="12" t="s">
        <v>129</v>
      </c>
      <c r="Q110" s="12" t="s">
        <v>93</v>
      </c>
      <c r="R110" s="12">
        <v>2008</v>
      </c>
      <c r="S110" s="12">
        <v>1</v>
      </c>
      <c r="U110" s="12">
        <v>1200</v>
      </c>
      <c r="V110" s="12">
        <v>25</v>
      </c>
      <c r="W110" s="12">
        <v>25</v>
      </c>
      <c r="X110" s="12" t="s">
        <v>134</v>
      </c>
      <c r="Y110" s="12" t="s">
        <v>147</v>
      </c>
      <c r="Z110" s="12" t="s">
        <v>1</v>
      </c>
      <c r="AA110" s="12" t="s">
        <v>148</v>
      </c>
      <c r="AB110" s="12" t="s">
        <v>2</v>
      </c>
      <c r="AC110" s="12" t="s">
        <v>2</v>
      </c>
      <c r="AD110" s="12" t="s">
        <v>2</v>
      </c>
      <c r="AE110" s="12" t="s">
        <v>363</v>
      </c>
      <c r="AF110" s="12">
        <v>0.67</v>
      </c>
      <c r="AG110" s="12">
        <v>0.77</v>
      </c>
      <c r="AH110" s="12">
        <v>2.56</v>
      </c>
      <c r="AI110" s="12">
        <f t="shared" si="30"/>
        <v>0.24987747321659995</v>
      </c>
      <c r="AJ110" s="12">
        <f t="shared" si="31"/>
        <v>-6.0415922471655406E-2</v>
      </c>
    </row>
    <row r="111" spans="1:45" s="12" customFormat="1" ht="14.25" customHeight="1">
      <c r="A111" s="12">
        <v>327</v>
      </c>
      <c r="B111" s="12" t="s">
        <v>46</v>
      </c>
      <c r="C111" s="12" t="s">
        <v>85</v>
      </c>
      <c r="D111" s="12">
        <v>2022</v>
      </c>
      <c r="E111" s="12">
        <v>2020</v>
      </c>
      <c r="F111" s="12" t="s">
        <v>120</v>
      </c>
      <c r="G111" s="12" t="s">
        <v>109</v>
      </c>
      <c r="H111" s="12">
        <v>40.578930999999997</v>
      </c>
      <c r="I111" s="12">
        <v>-2.0713569999999999</v>
      </c>
      <c r="J111" s="12" t="s">
        <v>128</v>
      </c>
      <c r="K111" s="12" t="s">
        <v>177</v>
      </c>
      <c r="L111" s="12" t="s">
        <v>192</v>
      </c>
      <c r="M111" s="12" t="s">
        <v>237</v>
      </c>
      <c r="N111" s="12" t="s">
        <v>239</v>
      </c>
      <c r="O111" s="12" t="s">
        <v>121</v>
      </c>
      <c r="P111" s="12" t="s">
        <v>146</v>
      </c>
      <c r="Q111" s="12" t="s">
        <v>93</v>
      </c>
      <c r="R111" s="12">
        <v>2016</v>
      </c>
      <c r="S111" s="12">
        <v>4</v>
      </c>
      <c r="V111" s="12">
        <v>15</v>
      </c>
      <c r="W111" s="12">
        <v>15</v>
      </c>
      <c r="X111" s="12" t="s">
        <v>97</v>
      </c>
      <c r="Y111" s="12" t="s">
        <v>147</v>
      </c>
      <c r="Z111" s="12" t="s">
        <v>1</v>
      </c>
      <c r="AA111" s="12" t="s">
        <v>98</v>
      </c>
      <c r="AB111" s="12" t="s">
        <v>203</v>
      </c>
      <c r="AC111" s="12" t="s">
        <v>110</v>
      </c>
      <c r="AD111" s="12" t="s">
        <v>102</v>
      </c>
      <c r="AE111" s="12" t="s">
        <v>257</v>
      </c>
      <c r="AF111" s="12">
        <v>0.42</v>
      </c>
      <c r="AG111" s="12">
        <v>0.65</v>
      </c>
      <c r="AH111" s="12">
        <v>0.52</v>
      </c>
      <c r="AI111" s="12">
        <f t="shared" si="30"/>
        <v>-0.31338043405041049</v>
      </c>
      <c r="AJ111" s="12">
        <f t="shared" si="31"/>
        <v>-0.18966406624495516</v>
      </c>
    </row>
    <row r="112" spans="1:45" s="12" customFormat="1" ht="14.25" customHeight="1">
      <c r="A112" s="12">
        <v>448</v>
      </c>
      <c r="B112" s="12" t="s">
        <v>56</v>
      </c>
      <c r="C112" s="12" t="s">
        <v>85</v>
      </c>
      <c r="D112" s="12">
        <v>2019</v>
      </c>
      <c r="E112" s="12">
        <v>2015</v>
      </c>
      <c r="F112" s="12" t="s">
        <v>153</v>
      </c>
      <c r="G112" s="12" t="s">
        <v>117</v>
      </c>
      <c r="H112" s="12">
        <v>61.96461</v>
      </c>
      <c r="I112" s="12">
        <v>-116.850157</v>
      </c>
      <c r="J112" s="12" t="s">
        <v>128</v>
      </c>
      <c r="K112" s="12" t="s">
        <v>103</v>
      </c>
      <c r="L112" s="12" t="s">
        <v>188</v>
      </c>
      <c r="M112" s="12" t="s">
        <v>237</v>
      </c>
      <c r="N112" s="12" t="s">
        <v>239</v>
      </c>
      <c r="O112" s="12" t="s">
        <v>86</v>
      </c>
      <c r="P112" s="12" t="s">
        <v>129</v>
      </c>
      <c r="Q112" s="12" t="s">
        <v>93</v>
      </c>
      <c r="R112" s="12">
        <v>2014</v>
      </c>
      <c r="S112" s="12">
        <v>1</v>
      </c>
      <c r="U112" s="12" t="s">
        <v>279</v>
      </c>
      <c r="V112" s="12">
        <v>12</v>
      </c>
      <c r="W112" s="12">
        <v>50</v>
      </c>
      <c r="X112" s="12" t="s">
        <v>97</v>
      </c>
      <c r="Y112" s="12">
        <v>13.5</v>
      </c>
      <c r="Z112" s="12" t="s">
        <v>1</v>
      </c>
      <c r="AA112" s="12" t="s">
        <v>98</v>
      </c>
      <c r="AB112" s="12" t="s">
        <v>203</v>
      </c>
      <c r="AC112" s="12" t="s">
        <v>99</v>
      </c>
      <c r="AD112" s="12" t="s">
        <v>102</v>
      </c>
      <c r="AE112" s="12" t="s">
        <v>257</v>
      </c>
      <c r="AF112" s="12">
        <v>0.22</v>
      </c>
      <c r="AG112" s="12">
        <v>0.19</v>
      </c>
      <c r="AH112" s="12">
        <v>0.4</v>
      </c>
      <c r="AI112" s="12">
        <f t="shared" si="30"/>
        <v>-1.0723865391773113E-2</v>
      </c>
      <c r="AJ112" s="12">
        <f t="shared" si="31"/>
        <v>6.3669079869377296E-2</v>
      </c>
    </row>
    <row r="113" spans="1:36" s="1" customFormat="1" ht="14.25" customHeight="1">
      <c r="A113" s="12">
        <v>403</v>
      </c>
      <c r="B113" s="12" t="s">
        <v>50</v>
      </c>
      <c r="C113" s="1" t="s">
        <v>85</v>
      </c>
      <c r="D113" s="1">
        <v>2020</v>
      </c>
      <c r="E113" s="1">
        <v>2017</v>
      </c>
      <c r="F113" s="1" t="s">
        <v>215</v>
      </c>
      <c r="G113" s="1" t="s">
        <v>162</v>
      </c>
      <c r="H113" s="1">
        <v>50.903193999999999</v>
      </c>
      <c r="I113" s="1">
        <v>121.194889</v>
      </c>
      <c r="J113" s="1" t="s">
        <v>128</v>
      </c>
      <c r="K113" s="1" t="s">
        <v>173</v>
      </c>
      <c r="L113" s="1" t="s">
        <v>174</v>
      </c>
      <c r="M113" s="1" t="s">
        <v>237</v>
      </c>
      <c r="N113" s="1" t="s">
        <v>239</v>
      </c>
      <c r="O113" s="1" t="s">
        <v>86</v>
      </c>
      <c r="P113" s="1" t="s">
        <v>2</v>
      </c>
      <c r="Q113" s="1" t="s">
        <v>93</v>
      </c>
      <c r="R113" s="1">
        <v>2016</v>
      </c>
      <c r="S113" s="1">
        <v>1</v>
      </c>
      <c r="U113" s="1" t="s">
        <v>2</v>
      </c>
      <c r="V113" s="1">
        <v>4</v>
      </c>
      <c r="W113" s="1">
        <v>4</v>
      </c>
      <c r="X113" s="1" t="s">
        <v>97</v>
      </c>
      <c r="Y113" s="1" t="s">
        <v>130</v>
      </c>
      <c r="Z113" s="1" t="s">
        <v>1</v>
      </c>
      <c r="AA113" s="1" t="s">
        <v>98</v>
      </c>
      <c r="AB113" s="1" t="s">
        <v>203</v>
      </c>
      <c r="AC113" s="1" t="s">
        <v>99</v>
      </c>
      <c r="AD113" s="1" t="s">
        <v>102</v>
      </c>
      <c r="AE113" s="1" t="s">
        <v>257</v>
      </c>
      <c r="AF113" s="1">
        <v>0.41</v>
      </c>
      <c r="AG113" s="1">
        <v>0.44</v>
      </c>
      <c r="AH113" s="1">
        <v>1.06</v>
      </c>
      <c r="AI113" s="1">
        <f t="shared" si="30"/>
        <v>9.5886939550477515E-2</v>
      </c>
      <c r="AJ113" s="1">
        <f t="shared" si="31"/>
        <v>-3.0668819766451961E-2</v>
      </c>
    </row>
    <row r="114" spans="1:36" s="1" customFormat="1" ht="14.25" customHeight="1">
      <c r="A114" s="12">
        <v>403</v>
      </c>
      <c r="B114" s="12" t="s">
        <v>50</v>
      </c>
      <c r="C114" s="1" t="s">
        <v>85</v>
      </c>
      <c r="D114" s="1">
        <v>2020</v>
      </c>
      <c r="E114" s="1">
        <v>2017</v>
      </c>
      <c r="F114" s="1" t="s">
        <v>215</v>
      </c>
      <c r="G114" s="1" t="s">
        <v>162</v>
      </c>
      <c r="H114" s="1">
        <v>50.903193999999999</v>
      </c>
      <c r="I114" s="1">
        <v>121.194889</v>
      </c>
      <c r="J114" s="1" t="s">
        <v>128</v>
      </c>
      <c r="K114" s="1" t="s">
        <v>173</v>
      </c>
      <c r="L114" s="1" t="s">
        <v>174</v>
      </c>
      <c r="M114" s="1" t="s">
        <v>237</v>
      </c>
      <c r="N114" s="1" t="s">
        <v>239</v>
      </c>
      <c r="O114" s="1" t="s">
        <v>86</v>
      </c>
      <c r="P114" s="1" t="s">
        <v>2</v>
      </c>
      <c r="Q114" s="1" t="s">
        <v>93</v>
      </c>
      <c r="R114" s="1">
        <v>2016</v>
      </c>
      <c r="S114" s="1">
        <v>1</v>
      </c>
      <c r="U114" s="1" t="s">
        <v>2</v>
      </c>
      <c r="V114" s="1">
        <v>4</v>
      </c>
      <c r="W114" s="1">
        <v>4</v>
      </c>
      <c r="X114" s="1" t="s">
        <v>97</v>
      </c>
      <c r="Y114" s="1" t="s">
        <v>233</v>
      </c>
      <c r="Z114" s="1" t="s">
        <v>1</v>
      </c>
      <c r="AA114" s="1" t="s">
        <v>98</v>
      </c>
      <c r="AB114" s="1" t="s">
        <v>203</v>
      </c>
      <c r="AC114" s="1" t="s">
        <v>99</v>
      </c>
      <c r="AD114" s="1" t="s">
        <v>102</v>
      </c>
      <c r="AE114" s="1" t="s">
        <v>257</v>
      </c>
      <c r="AF114" s="1">
        <v>0.27</v>
      </c>
      <c r="AG114" s="1">
        <v>0.94</v>
      </c>
      <c r="AH114" s="1">
        <v>0.82</v>
      </c>
      <c r="AI114" s="1">
        <f t="shared" si="30"/>
        <v>-0.16897151793273341</v>
      </c>
      <c r="AJ114" s="1">
        <f t="shared" si="31"/>
        <v>-0.54176408944071131</v>
      </c>
    </row>
    <row r="115" spans="1:36" s="1" customFormat="1" ht="14.25" customHeight="1">
      <c r="A115" s="12">
        <v>403</v>
      </c>
      <c r="B115" s="12" t="s">
        <v>50</v>
      </c>
      <c r="C115" s="1" t="s">
        <v>85</v>
      </c>
      <c r="D115" s="1">
        <v>2020</v>
      </c>
      <c r="E115" s="1">
        <v>2017</v>
      </c>
      <c r="F115" s="1" t="s">
        <v>215</v>
      </c>
      <c r="G115" s="1" t="s">
        <v>162</v>
      </c>
      <c r="H115" s="1">
        <v>50.903193999999999</v>
      </c>
      <c r="I115" s="1">
        <v>121.194889</v>
      </c>
      <c r="J115" s="1" t="s">
        <v>128</v>
      </c>
      <c r="K115" s="1" t="s">
        <v>173</v>
      </c>
      <c r="L115" s="1" t="s">
        <v>174</v>
      </c>
      <c r="M115" s="1" t="s">
        <v>237</v>
      </c>
      <c r="N115" s="1" t="s">
        <v>239</v>
      </c>
      <c r="O115" s="1" t="s">
        <v>86</v>
      </c>
      <c r="P115" s="1" t="s">
        <v>2</v>
      </c>
      <c r="Q115" s="1" t="s">
        <v>93</v>
      </c>
      <c r="R115" s="1">
        <v>2016</v>
      </c>
      <c r="S115" s="1">
        <v>1</v>
      </c>
      <c r="U115" s="1" t="s">
        <v>2</v>
      </c>
      <c r="V115" s="1">
        <v>4</v>
      </c>
      <c r="W115" s="1">
        <v>4</v>
      </c>
      <c r="X115" s="1" t="s">
        <v>97</v>
      </c>
      <c r="Y115" s="1" t="s">
        <v>221</v>
      </c>
      <c r="Z115" s="1" t="s">
        <v>1</v>
      </c>
      <c r="AA115" s="1" t="s">
        <v>98</v>
      </c>
      <c r="AB115" s="1" t="s">
        <v>203</v>
      </c>
      <c r="AC115" s="1" t="s">
        <v>99</v>
      </c>
      <c r="AD115" s="1" t="s">
        <v>102</v>
      </c>
      <c r="AE115" s="1" t="s">
        <v>257</v>
      </c>
      <c r="AF115" s="1">
        <v>0.33</v>
      </c>
      <c r="AG115" s="1">
        <v>0.9</v>
      </c>
      <c r="AH115" s="1">
        <v>0.81</v>
      </c>
      <c r="AI115" s="1">
        <f t="shared" si="30"/>
        <v>-0.18142009256074818</v>
      </c>
      <c r="AJ115" s="1">
        <f t="shared" si="31"/>
        <v>-0.43572856956143735</v>
      </c>
    </row>
    <row r="116" spans="1:36" s="1" customFormat="1" ht="14.25" customHeight="1">
      <c r="A116" s="12">
        <v>403</v>
      </c>
      <c r="B116" s="12" t="s">
        <v>50</v>
      </c>
      <c r="C116" s="1" t="s">
        <v>85</v>
      </c>
      <c r="D116" s="1">
        <v>2020</v>
      </c>
      <c r="E116" s="1">
        <v>2017</v>
      </c>
      <c r="F116" s="1" t="s">
        <v>215</v>
      </c>
      <c r="G116" s="1" t="s">
        <v>162</v>
      </c>
      <c r="H116" s="1">
        <v>50.903193999999999</v>
      </c>
      <c r="I116" s="1">
        <v>121.194889</v>
      </c>
      <c r="J116" s="1" t="s">
        <v>128</v>
      </c>
      <c r="K116" s="1" t="s">
        <v>173</v>
      </c>
      <c r="L116" s="1" t="s">
        <v>174</v>
      </c>
      <c r="M116" s="1" t="s">
        <v>237</v>
      </c>
      <c r="N116" s="1" t="s">
        <v>239</v>
      </c>
      <c r="O116" s="1" t="s">
        <v>86</v>
      </c>
      <c r="P116" s="1" t="s">
        <v>2</v>
      </c>
      <c r="Q116" s="1" t="s">
        <v>93</v>
      </c>
      <c r="R116" s="1">
        <v>2015</v>
      </c>
      <c r="S116" s="1">
        <v>2</v>
      </c>
      <c r="U116" s="1" t="s">
        <v>2</v>
      </c>
      <c r="V116" s="1">
        <v>4</v>
      </c>
      <c r="W116" s="1">
        <v>4</v>
      </c>
      <c r="X116" s="1" t="s">
        <v>97</v>
      </c>
      <c r="Y116" s="1" t="s">
        <v>130</v>
      </c>
      <c r="Z116" s="1" t="s">
        <v>1</v>
      </c>
      <c r="AA116" s="1" t="s">
        <v>98</v>
      </c>
      <c r="AB116" s="1" t="s">
        <v>203</v>
      </c>
      <c r="AC116" s="1" t="s">
        <v>99</v>
      </c>
      <c r="AD116" s="1" t="s">
        <v>102</v>
      </c>
      <c r="AE116" s="1" t="s">
        <v>257</v>
      </c>
      <c r="AF116" s="1">
        <v>0.25</v>
      </c>
      <c r="AG116" s="1">
        <v>0.26</v>
      </c>
      <c r="AH116" s="1">
        <v>1.25</v>
      </c>
      <c r="AI116" s="1">
        <f t="shared" si="30"/>
        <v>0.38933983691012009</v>
      </c>
      <c r="AJ116" s="1">
        <f t="shared" si="31"/>
        <v>-1.7033339298780394E-2</v>
      </c>
    </row>
    <row r="117" spans="1:36" s="1" customFormat="1" ht="14.25" customHeight="1">
      <c r="A117" s="12">
        <v>403</v>
      </c>
      <c r="B117" s="12" t="s">
        <v>50</v>
      </c>
      <c r="C117" s="1" t="s">
        <v>85</v>
      </c>
      <c r="D117" s="1">
        <v>2020</v>
      </c>
      <c r="E117" s="1">
        <v>2017</v>
      </c>
      <c r="F117" s="1" t="s">
        <v>215</v>
      </c>
      <c r="G117" s="1" t="s">
        <v>162</v>
      </c>
      <c r="H117" s="1">
        <v>50.903193999999999</v>
      </c>
      <c r="I117" s="1">
        <v>121.194889</v>
      </c>
      <c r="J117" s="1" t="s">
        <v>128</v>
      </c>
      <c r="K117" s="1" t="s">
        <v>173</v>
      </c>
      <c r="L117" s="1" t="s">
        <v>174</v>
      </c>
      <c r="M117" s="1" t="s">
        <v>237</v>
      </c>
      <c r="N117" s="1" t="s">
        <v>239</v>
      </c>
      <c r="O117" s="1" t="s">
        <v>86</v>
      </c>
      <c r="P117" s="1" t="s">
        <v>2</v>
      </c>
      <c r="Q117" s="1" t="s">
        <v>93</v>
      </c>
      <c r="R117" s="1">
        <v>2015</v>
      </c>
      <c r="S117" s="1">
        <v>2</v>
      </c>
      <c r="U117" s="1" t="s">
        <v>2</v>
      </c>
      <c r="V117" s="1">
        <v>4</v>
      </c>
      <c r="W117" s="1">
        <v>4</v>
      </c>
      <c r="X117" s="1" t="s">
        <v>97</v>
      </c>
      <c r="Y117" s="1" t="s">
        <v>233</v>
      </c>
      <c r="Z117" s="1" t="s">
        <v>1</v>
      </c>
      <c r="AA117" s="1" t="s">
        <v>98</v>
      </c>
      <c r="AB117" s="1" t="s">
        <v>203</v>
      </c>
      <c r="AC117" s="1" t="s">
        <v>99</v>
      </c>
      <c r="AD117" s="1" t="s">
        <v>102</v>
      </c>
      <c r="AE117" s="1" t="s">
        <v>257</v>
      </c>
      <c r="AF117" s="1">
        <v>0.23</v>
      </c>
      <c r="AG117" s="1">
        <v>0.37</v>
      </c>
      <c r="AH117" s="1">
        <v>0.48</v>
      </c>
      <c r="AI117" s="1">
        <f t="shared" si="30"/>
        <v>-9.6910013008056392E-2</v>
      </c>
      <c r="AJ117" s="1">
        <f t="shared" si="31"/>
        <v>-0.20647388804940214</v>
      </c>
    </row>
    <row r="118" spans="1:36" s="1" customFormat="1" ht="14.25" customHeight="1">
      <c r="A118" s="12">
        <v>403</v>
      </c>
      <c r="B118" s="12" t="s">
        <v>50</v>
      </c>
      <c r="C118" s="1" t="s">
        <v>85</v>
      </c>
      <c r="D118" s="1">
        <v>2020</v>
      </c>
      <c r="E118" s="1">
        <v>2017</v>
      </c>
      <c r="F118" s="1" t="s">
        <v>215</v>
      </c>
      <c r="G118" s="1" t="s">
        <v>162</v>
      </c>
      <c r="H118" s="1">
        <v>50.903193999999999</v>
      </c>
      <c r="I118" s="1">
        <v>121.194889</v>
      </c>
      <c r="J118" s="1" t="s">
        <v>128</v>
      </c>
      <c r="K118" s="1" t="s">
        <v>173</v>
      </c>
      <c r="L118" s="1" t="s">
        <v>174</v>
      </c>
      <c r="M118" s="1" t="s">
        <v>237</v>
      </c>
      <c r="N118" s="1" t="s">
        <v>239</v>
      </c>
      <c r="O118" s="1" t="s">
        <v>86</v>
      </c>
      <c r="P118" s="1" t="s">
        <v>2</v>
      </c>
      <c r="Q118" s="1" t="s">
        <v>93</v>
      </c>
      <c r="R118" s="1">
        <v>2015</v>
      </c>
      <c r="S118" s="1">
        <v>2</v>
      </c>
      <c r="U118" s="1" t="s">
        <v>2</v>
      </c>
      <c r="V118" s="1">
        <v>4</v>
      </c>
      <c r="W118" s="1">
        <v>4</v>
      </c>
      <c r="X118" s="1" t="s">
        <v>97</v>
      </c>
      <c r="Y118" s="1" t="s">
        <v>221</v>
      </c>
      <c r="Z118" s="1" t="s">
        <v>1</v>
      </c>
      <c r="AA118" s="1" t="s">
        <v>98</v>
      </c>
      <c r="AB118" s="1" t="s">
        <v>203</v>
      </c>
      <c r="AC118" s="1" t="s">
        <v>99</v>
      </c>
      <c r="AD118" s="1" t="s">
        <v>102</v>
      </c>
      <c r="AE118" s="1" t="s">
        <v>257</v>
      </c>
      <c r="AF118" s="1">
        <v>0.27</v>
      </c>
      <c r="AG118" s="1">
        <v>0.55000000000000004</v>
      </c>
      <c r="AH118" s="1">
        <v>0.52</v>
      </c>
      <c r="AI118" s="1">
        <f t="shared" si="30"/>
        <v>-0.19781050874891754</v>
      </c>
      <c r="AJ118" s="1">
        <f t="shared" si="31"/>
        <v>-0.30899892533525652</v>
      </c>
    </row>
    <row r="119" spans="1:36" s="1" customFormat="1" ht="14.25" customHeight="1">
      <c r="A119" s="12">
        <v>403</v>
      </c>
      <c r="B119" s="12" t="s">
        <v>50</v>
      </c>
      <c r="C119" s="1" t="s">
        <v>85</v>
      </c>
      <c r="D119" s="1">
        <v>2020</v>
      </c>
      <c r="E119" s="1">
        <v>2017</v>
      </c>
      <c r="F119" s="1" t="s">
        <v>215</v>
      </c>
      <c r="G119" s="1" t="s">
        <v>162</v>
      </c>
      <c r="H119" s="1">
        <v>50.903193999999999</v>
      </c>
      <c r="I119" s="1">
        <v>121.194889</v>
      </c>
      <c r="J119" s="1" t="s">
        <v>128</v>
      </c>
      <c r="K119" s="1" t="s">
        <v>173</v>
      </c>
      <c r="L119" s="1" t="s">
        <v>174</v>
      </c>
      <c r="M119" s="1" t="s">
        <v>237</v>
      </c>
      <c r="N119" s="1" t="s">
        <v>239</v>
      </c>
      <c r="O119" s="1" t="s">
        <v>86</v>
      </c>
      <c r="P119" s="1" t="s">
        <v>2</v>
      </c>
      <c r="Q119" s="1" t="s">
        <v>93</v>
      </c>
      <c r="R119" s="1">
        <v>2009</v>
      </c>
      <c r="S119" s="1">
        <v>8</v>
      </c>
      <c r="U119" s="1" t="s">
        <v>2</v>
      </c>
      <c r="V119" s="1">
        <v>4</v>
      </c>
      <c r="W119" s="1">
        <v>4</v>
      </c>
      <c r="X119" s="1" t="s">
        <v>97</v>
      </c>
      <c r="Y119" s="1" t="s">
        <v>130</v>
      </c>
      <c r="Z119" s="1" t="s">
        <v>1</v>
      </c>
      <c r="AA119" s="1" t="s">
        <v>98</v>
      </c>
      <c r="AB119" s="1" t="s">
        <v>203</v>
      </c>
      <c r="AC119" s="1" t="s">
        <v>99</v>
      </c>
      <c r="AD119" s="1" t="s">
        <v>102</v>
      </c>
      <c r="AE119" s="1" t="s">
        <v>257</v>
      </c>
      <c r="AF119" s="1">
        <v>0.36</v>
      </c>
      <c r="AG119" s="1">
        <v>0.31</v>
      </c>
      <c r="AH119" s="1">
        <v>0.89</v>
      </c>
      <c r="AI119" s="1">
        <f t="shared" si="30"/>
        <v>0.12331520394408638</v>
      </c>
      <c r="AJ119" s="1">
        <f t="shared" si="31"/>
        <v>6.494080693301453E-2</v>
      </c>
    </row>
    <row r="120" spans="1:36" s="1" customFormat="1" ht="14.25" customHeight="1">
      <c r="A120" s="12">
        <v>403</v>
      </c>
      <c r="B120" s="12" t="s">
        <v>50</v>
      </c>
      <c r="C120" s="1" t="s">
        <v>85</v>
      </c>
      <c r="D120" s="1">
        <v>2020</v>
      </c>
      <c r="E120" s="1">
        <v>2017</v>
      </c>
      <c r="F120" s="1" t="s">
        <v>215</v>
      </c>
      <c r="G120" s="1" t="s">
        <v>162</v>
      </c>
      <c r="H120" s="1">
        <v>50.903193999999999</v>
      </c>
      <c r="I120" s="1">
        <v>121.194889</v>
      </c>
      <c r="J120" s="1" t="s">
        <v>128</v>
      </c>
      <c r="K120" s="1" t="s">
        <v>173</v>
      </c>
      <c r="L120" s="1" t="s">
        <v>174</v>
      </c>
      <c r="M120" s="1" t="s">
        <v>237</v>
      </c>
      <c r="N120" s="1" t="s">
        <v>239</v>
      </c>
      <c r="O120" s="1" t="s">
        <v>86</v>
      </c>
      <c r="P120" s="1" t="s">
        <v>2</v>
      </c>
      <c r="Q120" s="1" t="s">
        <v>93</v>
      </c>
      <c r="R120" s="1">
        <v>2009</v>
      </c>
      <c r="S120" s="1">
        <v>8</v>
      </c>
      <c r="U120" s="1" t="s">
        <v>2</v>
      </c>
      <c r="V120" s="1">
        <v>4</v>
      </c>
      <c r="W120" s="1">
        <v>4</v>
      </c>
      <c r="X120" s="1" t="s">
        <v>97</v>
      </c>
      <c r="Y120" s="1" t="s">
        <v>233</v>
      </c>
      <c r="Z120" s="1" t="s">
        <v>1</v>
      </c>
      <c r="AA120" s="1" t="s">
        <v>98</v>
      </c>
      <c r="AB120" s="1" t="s">
        <v>203</v>
      </c>
      <c r="AC120" s="1" t="s">
        <v>99</v>
      </c>
      <c r="AD120" s="1" t="s">
        <v>102</v>
      </c>
      <c r="AE120" s="1" t="s">
        <v>257</v>
      </c>
      <c r="AF120" s="1">
        <v>0.3</v>
      </c>
      <c r="AG120" s="1">
        <v>0.32</v>
      </c>
      <c r="AH120" s="1">
        <v>1.1100000000000001</v>
      </c>
      <c r="AI120" s="1">
        <f t="shared" si="30"/>
        <v>0.25293128928840358</v>
      </c>
      <c r="AJ120" s="1">
        <f t="shared" si="31"/>
        <v>-2.8028723600243537E-2</v>
      </c>
    </row>
    <row r="121" spans="1:36" s="1" customFormat="1" ht="14.25" customHeight="1">
      <c r="A121" s="12">
        <v>403</v>
      </c>
      <c r="B121" s="12" t="s">
        <v>50</v>
      </c>
      <c r="C121" s="1" t="s">
        <v>85</v>
      </c>
      <c r="D121" s="1">
        <v>2020</v>
      </c>
      <c r="E121" s="1">
        <v>2017</v>
      </c>
      <c r="F121" s="1" t="s">
        <v>215</v>
      </c>
      <c r="G121" s="1" t="s">
        <v>162</v>
      </c>
      <c r="H121" s="1">
        <v>50.903193999999999</v>
      </c>
      <c r="I121" s="1">
        <v>121.194889</v>
      </c>
      <c r="J121" s="1" t="s">
        <v>128</v>
      </c>
      <c r="K121" s="1" t="s">
        <v>173</v>
      </c>
      <c r="L121" s="1" t="s">
        <v>174</v>
      </c>
      <c r="M121" s="1" t="s">
        <v>237</v>
      </c>
      <c r="N121" s="1" t="s">
        <v>239</v>
      </c>
      <c r="O121" s="1" t="s">
        <v>86</v>
      </c>
      <c r="P121" s="1" t="s">
        <v>2</v>
      </c>
      <c r="Q121" s="1" t="s">
        <v>93</v>
      </c>
      <c r="R121" s="1">
        <v>2009</v>
      </c>
      <c r="S121" s="1">
        <v>8</v>
      </c>
      <c r="U121" s="1" t="s">
        <v>2</v>
      </c>
      <c r="V121" s="1">
        <v>4</v>
      </c>
      <c r="W121" s="1">
        <v>4</v>
      </c>
      <c r="X121" s="1" t="s">
        <v>97</v>
      </c>
      <c r="Y121" s="1" t="s">
        <v>221</v>
      </c>
      <c r="Z121" s="1" t="s">
        <v>1</v>
      </c>
      <c r="AA121" s="1" t="s">
        <v>98</v>
      </c>
      <c r="AB121" s="1" t="s">
        <v>203</v>
      </c>
      <c r="AC121" s="1" t="s">
        <v>99</v>
      </c>
      <c r="AD121" s="1" t="s">
        <v>102</v>
      </c>
      <c r="AE121" s="1" t="s">
        <v>257</v>
      </c>
      <c r="AF121" s="1">
        <v>0.7</v>
      </c>
      <c r="AG121" s="1">
        <v>0.54</v>
      </c>
      <c r="AH121" s="1">
        <v>0.59</v>
      </c>
      <c r="AI121" s="1">
        <f t="shared" si="30"/>
        <v>-0.32256967352009092</v>
      </c>
      <c r="AJ121" s="1">
        <f t="shared" si="31"/>
        <v>0.11270428019128824</v>
      </c>
    </row>
    <row r="122" spans="1:36" s="1" customFormat="1" ht="14.25" customHeight="1">
      <c r="A122" s="12">
        <v>403</v>
      </c>
      <c r="B122" s="12" t="s">
        <v>50</v>
      </c>
      <c r="C122" s="1" t="s">
        <v>85</v>
      </c>
      <c r="D122" s="1">
        <v>2020</v>
      </c>
      <c r="E122" s="1">
        <v>2017</v>
      </c>
      <c r="F122" s="1" t="s">
        <v>215</v>
      </c>
      <c r="G122" s="1" t="s">
        <v>162</v>
      </c>
      <c r="H122" s="1">
        <v>50.903193999999999</v>
      </c>
      <c r="I122" s="1">
        <v>121.194889</v>
      </c>
      <c r="J122" s="1" t="s">
        <v>128</v>
      </c>
      <c r="K122" s="1" t="s">
        <v>173</v>
      </c>
      <c r="L122" s="1" t="s">
        <v>174</v>
      </c>
      <c r="M122" s="1" t="s">
        <v>237</v>
      </c>
      <c r="N122" s="1" t="s">
        <v>239</v>
      </c>
      <c r="O122" s="1" t="s">
        <v>86</v>
      </c>
      <c r="P122" s="1" t="s">
        <v>2</v>
      </c>
      <c r="Q122" s="1" t="s">
        <v>93</v>
      </c>
      <c r="R122" s="1">
        <v>2003</v>
      </c>
      <c r="S122" s="1">
        <v>14</v>
      </c>
      <c r="U122" s="1" t="s">
        <v>2</v>
      </c>
      <c r="V122" s="1">
        <v>4</v>
      </c>
      <c r="W122" s="1">
        <v>4</v>
      </c>
      <c r="X122" s="1" t="s">
        <v>97</v>
      </c>
      <c r="Y122" s="1" t="s">
        <v>130</v>
      </c>
      <c r="Z122" s="1" t="s">
        <v>1</v>
      </c>
      <c r="AA122" s="1" t="s">
        <v>98</v>
      </c>
      <c r="AB122" s="1" t="s">
        <v>203</v>
      </c>
      <c r="AC122" s="1" t="s">
        <v>99</v>
      </c>
      <c r="AD122" s="1" t="s">
        <v>102</v>
      </c>
      <c r="AE122" s="1" t="s">
        <v>257</v>
      </c>
      <c r="AF122" s="1">
        <v>0.19</v>
      </c>
      <c r="AG122" s="1">
        <v>0.26</v>
      </c>
      <c r="AH122" s="1">
        <v>1.36</v>
      </c>
      <c r="AI122" s="1">
        <f t="shared" si="30"/>
        <v>0.48032639459487381</v>
      </c>
      <c r="AJ122" s="1">
        <f t="shared" si="31"/>
        <v>-0.13621974701798903</v>
      </c>
    </row>
    <row r="123" spans="1:36" s="1" customFormat="1" ht="14.25" customHeight="1">
      <c r="A123" s="12">
        <v>403</v>
      </c>
      <c r="B123" s="12" t="s">
        <v>50</v>
      </c>
      <c r="C123" s="1" t="s">
        <v>85</v>
      </c>
      <c r="D123" s="1">
        <v>2020</v>
      </c>
      <c r="E123" s="1">
        <v>2017</v>
      </c>
      <c r="F123" s="1" t="s">
        <v>215</v>
      </c>
      <c r="G123" s="1" t="s">
        <v>162</v>
      </c>
      <c r="H123" s="1">
        <v>50.903193999999999</v>
      </c>
      <c r="I123" s="1">
        <v>121.194889</v>
      </c>
      <c r="J123" s="1" t="s">
        <v>128</v>
      </c>
      <c r="K123" s="1" t="s">
        <v>173</v>
      </c>
      <c r="L123" s="1" t="s">
        <v>174</v>
      </c>
      <c r="M123" s="1" t="s">
        <v>237</v>
      </c>
      <c r="N123" s="1" t="s">
        <v>239</v>
      </c>
      <c r="O123" s="1" t="s">
        <v>86</v>
      </c>
      <c r="P123" s="1" t="s">
        <v>2</v>
      </c>
      <c r="Q123" s="1" t="s">
        <v>93</v>
      </c>
      <c r="R123" s="1">
        <v>2003</v>
      </c>
      <c r="S123" s="1">
        <v>14</v>
      </c>
      <c r="U123" s="1" t="s">
        <v>2</v>
      </c>
      <c r="V123" s="1">
        <v>4</v>
      </c>
      <c r="W123" s="1">
        <v>4</v>
      </c>
      <c r="X123" s="1" t="s">
        <v>97</v>
      </c>
      <c r="Y123" s="1" t="s">
        <v>233</v>
      </c>
      <c r="Z123" s="1" t="s">
        <v>1</v>
      </c>
      <c r="AA123" s="1" t="s">
        <v>98</v>
      </c>
      <c r="AB123" s="1" t="s">
        <v>203</v>
      </c>
      <c r="AC123" s="1" t="s">
        <v>99</v>
      </c>
      <c r="AD123" s="1" t="s">
        <v>102</v>
      </c>
      <c r="AE123" s="1" t="s">
        <v>257</v>
      </c>
      <c r="AF123" s="1">
        <v>0.34</v>
      </c>
      <c r="AG123" s="1">
        <v>0.46</v>
      </c>
      <c r="AH123" s="1">
        <v>0.92</v>
      </c>
      <c r="AI123" s="1">
        <f t="shared" si="30"/>
        <v>6.069784035361165E-2</v>
      </c>
      <c r="AJ123" s="1">
        <f t="shared" si="31"/>
        <v>-0.1312789146393189</v>
      </c>
    </row>
    <row r="124" spans="1:36" s="1" customFormat="1" ht="14.25" customHeight="1">
      <c r="A124" s="12">
        <v>403</v>
      </c>
      <c r="B124" s="12" t="s">
        <v>50</v>
      </c>
      <c r="C124" s="1" t="s">
        <v>85</v>
      </c>
      <c r="D124" s="1">
        <v>2020</v>
      </c>
      <c r="E124" s="1">
        <v>2017</v>
      </c>
      <c r="F124" s="1" t="s">
        <v>215</v>
      </c>
      <c r="G124" s="1" t="s">
        <v>162</v>
      </c>
      <c r="H124" s="1">
        <v>50.903193999999999</v>
      </c>
      <c r="I124" s="1">
        <v>121.194889</v>
      </c>
      <c r="J124" s="1" t="s">
        <v>128</v>
      </c>
      <c r="K124" s="1" t="s">
        <v>173</v>
      </c>
      <c r="L124" s="1" t="s">
        <v>174</v>
      </c>
      <c r="M124" s="1" t="s">
        <v>237</v>
      </c>
      <c r="N124" s="1" t="s">
        <v>239</v>
      </c>
      <c r="O124" s="1" t="s">
        <v>86</v>
      </c>
      <c r="P124" s="1" t="s">
        <v>2</v>
      </c>
      <c r="Q124" s="1" t="s">
        <v>93</v>
      </c>
      <c r="R124" s="1">
        <v>2003</v>
      </c>
      <c r="S124" s="1">
        <v>14</v>
      </c>
      <c r="U124" s="1" t="s">
        <v>2</v>
      </c>
      <c r="V124" s="1">
        <v>4</v>
      </c>
      <c r="W124" s="1">
        <v>4</v>
      </c>
      <c r="X124" s="1" t="s">
        <v>97</v>
      </c>
      <c r="Y124" s="1" t="s">
        <v>221</v>
      </c>
      <c r="Z124" s="1" t="s">
        <v>1</v>
      </c>
      <c r="AA124" s="1" t="s">
        <v>98</v>
      </c>
      <c r="AB124" s="1" t="s">
        <v>203</v>
      </c>
      <c r="AC124" s="1" t="s">
        <v>99</v>
      </c>
      <c r="AD124" s="1" t="s">
        <v>102</v>
      </c>
      <c r="AE124" s="1" t="s">
        <v>257</v>
      </c>
      <c r="AF124" s="1">
        <v>0.27</v>
      </c>
      <c r="AG124" s="1">
        <v>0.52</v>
      </c>
      <c r="AH124" s="1">
        <v>0.95</v>
      </c>
      <c r="AI124" s="1">
        <f t="shared" si="30"/>
        <v>8.0096513998406324E-2</v>
      </c>
      <c r="AJ124" s="1">
        <f t="shared" si="31"/>
        <v>-0.28463957947581181</v>
      </c>
    </row>
    <row r="125" spans="1:36" s="1" customFormat="1" ht="15" customHeight="1">
      <c r="A125" s="12">
        <v>452</v>
      </c>
      <c r="B125" s="12" t="s">
        <v>58</v>
      </c>
      <c r="C125" s="1" t="s">
        <v>85</v>
      </c>
      <c r="D125" s="1">
        <v>2022</v>
      </c>
      <c r="E125" s="1">
        <v>2015</v>
      </c>
      <c r="F125" s="1" t="s">
        <v>153</v>
      </c>
      <c r="G125" s="1" t="s">
        <v>117</v>
      </c>
      <c r="H125" s="1">
        <v>66.900244999999998</v>
      </c>
      <c r="I125" s="1">
        <v>-136.24644499999999</v>
      </c>
      <c r="J125" s="1" t="s">
        <v>128</v>
      </c>
      <c r="K125" s="1" t="s">
        <v>103</v>
      </c>
      <c r="L125" s="1" t="s">
        <v>261</v>
      </c>
      <c r="M125" s="1" t="s">
        <v>237</v>
      </c>
      <c r="N125" s="1" t="s">
        <v>239</v>
      </c>
      <c r="O125" s="1" t="s">
        <v>86</v>
      </c>
      <c r="P125" s="1" t="s">
        <v>2</v>
      </c>
      <c r="Q125" s="1" t="s">
        <v>93</v>
      </c>
      <c r="R125" s="1">
        <v>2012</v>
      </c>
      <c r="S125" s="1">
        <v>3</v>
      </c>
      <c r="U125" s="1" t="s">
        <v>2</v>
      </c>
      <c r="V125" s="1">
        <v>9</v>
      </c>
      <c r="W125" s="1">
        <v>9</v>
      </c>
      <c r="X125" s="1" t="s">
        <v>97</v>
      </c>
      <c r="Y125" s="1" t="s">
        <v>130</v>
      </c>
      <c r="Z125" s="1" t="s">
        <v>1</v>
      </c>
      <c r="AA125" s="1" t="s">
        <v>98</v>
      </c>
      <c r="AB125" s="1" t="s">
        <v>203</v>
      </c>
      <c r="AC125" s="1" t="s">
        <v>99</v>
      </c>
      <c r="AD125" s="1" t="s">
        <v>102</v>
      </c>
      <c r="AE125" s="1" t="s">
        <v>255</v>
      </c>
      <c r="AF125" s="1">
        <v>17.72</v>
      </c>
      <c r="AG125" s="1">
        <v>19.61</v>
      </c>
      <c r="AH125" s="1">
        <v>31.16</v>
      </c>
      <c r="AI125" s="1">
        <f>LOG(AH125/(AG125+AF125))</f>
        <v>-7.8460540925777686E-2</v>
      </c>
      <c r="AJ125" s="1">
        <f>LOG(AF125/AG125)</f>
        <v>-4.4013876116752129E-2</v>
      </c>
    </row>
    <row r="126" spans="1:36" s="1" customFormat="1" ht="14.25" customHeight="1">
      <c r="A126" s="12">
        <v>452</v>
      </c>
      <c r="B126" s="12" t="s">
        <v>58</v>
      </c>
      <c r="C126" s="1" t="s">
        <v>85</v>
      </c>
      <c r="D126" s="1">
        <v>2022</v>
      </c>
      <c r="E126" s="1">
        <v>2015</v>
      </c>
      <c r="F126" s="1" t="s">
        <v>153</v>
      </c>
      <c r="G126" s="1" t="s">
        <v>117</v>
      </c>
      <c r="H126" s="1">
        <v>66.900244999999998</v>
      </c>
      <c r="I126" s="1">
        <v>-136.24644499999999</v>
      </c>
      <c r="J126" s="1" t="s">
        <v>128</v>
      </c>
      <c r="K126" s="1" t="s">
        <v>103</v>
      </c>
      <c r="L126" s="1" t="s">
        <v>261</v>
      </c>
      <c r="M126" s="1" t="s">
        <v>237</v>
      </c>
      <c r="N126" s="1" t="s">
        <v>239</v>
      </c>
      <c r="O126" s="1" t="s">
        <v>86</v>
      </c>
      <c r="P126" s="1" t="s">
        <v>2</v>
      </c>
      <c r="Q126" s="1" t="s">
        <v>93</v>
      </c>
      <c r="R126" s="1">
        <v>2012</v>
      </c>
      <c r="S126" s="1">
        <v>3</v>
      </c>
      <c r="U126" s="1" t="s">
        <v>2</v>
      </c>
      <c r="V126" s="1">
        <v>9</v>
      </c>
      <c r="W126" s="1">
        <v>9</v>
      </c>
      <c r="X126" s="1" t="s">
        <v>97</v>
      </c>
      <c r="Y126" s="1" t="s">
        <v>233</v>
      </c>
      <c r="Z126" s="1" t="s">
        <v>1</v>
      </c>
      <c r="AA126" s="1" t="s">
        <v>98</v>
      </c>
      <c r="AB126" s="1" t="s">
        <v>203</v>
      </c>
      <c r="AC126" s="1" t="s">
        <v>99</v>
      </c>
      <c r="AD126" s="1" t="s">
        <v>102</v>
      </c>
      <c r="AE126" s="1" t="s">
        <v>255</v>
      </c>
      <c r="AF126" s="1">
        <v>18.87</v>
      </c>
      <c r="AG126" s="1">
        <v>33.049999999999997</v>
      </c>
      <c r="AH126" s="1">
        <v>36.72</v>
      </c>
      <c r="AI126" s="1">
        <f>LOG(AH126/(AG126+AF126))</f>
        <v>-0.15043201126310798</v>
      </c>
      <c r="AJ126" s="1">
        <f>LOG(AF126/AG126)</f>
        <v>-0.24339956365672766</v>
      </c>
    </row>
    <row r="127" spans="1:36" s="1" customFormat="1" ht="14.25" customHeight="1">
      <c r="A127" s="12">
        <v>452</v>
      </c>
      <c r="B127" s="12" t="s">
        <v>58</v>
      </c>
      <c r="C127" s="1" t="s">
        <v>85</v>
      </c>
      <c r="D127" s="1">
        <v>2022</v>
      </c>
      <c r="E127" s="1">
        <v>2015</v>
      </c>
      <c r="F127" s="1" t="s">
        <v>153</v>
      </c>
      <c r="G127" s="1" t="s">
        <v>117</v>
      </c>
      <c r="H127" s="1">
        <v>66.900244999999998</v>
      </c>
      <c r="I127" s="1">
        <v>-136.24644499999999</v>
      </c>
      <c r="J127" s="1" t="s">
        <v>128</v>
      </c>
      <c r="K127" s="1" t="s">
        <v>103</v>
      </c>
      <c r="L127" s="1" t="s">
        <v>261</v>
      </c>
      <c r="M127" s="1" t="s">
        <v>237</v>
      </c>
      <c r="N127" s="1" t="s">
        <v>239</v>
      </c>
      <c r="O127" s="1" t="s">
        <v>86</v>
      </c>
      <c r="P127" s="1" t="s">
        <v>2</v>
      </c>
      <c r="Q127" s="1" t="s">
        <v>93</v>
      </c>
      <c r="R127" s="1">
        <v>2012</v>
      </c>
      <c r="S127" s="1">
        <v>3</v>
      </c>
      <c r="U127" s="1" t="s">
        <v>2</v>
      </c>
      <c r="V127" s="1">
        <v>9</v>
      </c>
      <c r="W127" s="1">
        <v>9</v>
      </c>
      <c r="X127" s="1" t="s">
        <v>97</v>
      </c>
      <c r="Y127" s="1" t="s">
        <v>234</v>
      </c>
      <c r="Z127" s="1" t="s">
        <v>1</v>
      </c>
      <c r="AA127" s="1" t="s">
        <v>98</v>
      </c>
      <c r="AB127" s="1" t="s">
        <v>203</v>
      </c>
      <c r="AC127" s="1" t="s">
        <v>99</v>
      </c>
      <c r="AD127" s="1" t="s">
        <v>102</v>
      </c>
      <c r="AE127" s="1" t="s">
        <v>255</v>
      </c>
      <c r="AF127" s="1">
        <v>10.34</v>
      </c>
      <c r="AG127" s="1">
        <v>22.76</v>
      </c>
      <c r="AH127" s="1">
        <v>31.15</v>
      </c>
      <c r="AI127" s="1">
        <f>LOG(AH127/(AG127+AF127))</f>
        <v>-2.6369942780530373E-2</v>
      </c>
      <c r="AJ127" s="1">
        <f>LOG(AF127/AG127)</f>
        <v>-0.34265171896510993</v>
      </c>
    </row>
    <row r="128" spans="1:36">
      <c r="AF128" s="1"/>
      <c r="AG128" s="1"/>
      <c r="AH128" s="1"/>
      <c r="AI128" s="1"/>
      <c r="AJ128" s="1"/>
    </row>
  </sheetData>
  <autoFilter ref="A1:AJ128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sqref="A1:E4"/>
    </sheetView>
  </sheetViews>
  <sheetFormatPr baseColWidth="10" defaultRowHeight="14.25"/>
  <sheetData>
    <row r="1" spans="1:5">
      <c r="C1" t="s">
        <v>128</v>
      </c>
      <c r="D1" t="s">
        <v>387</v>
      </c>
      <c r="E1" t="s">
        <v>114</v>
      </c>
    </row>
    <row r="2" spans="1:5">
      <c r="A2" t="s">
        <v>85</v>
      </c>
      <c r="B2">
        <v>65</v>
      </c>
      <c r="C2">
        <v>37</v>
      </c>
      <c r="D2">
        <v>12</v>
      </c>
      <c r="E2">
        <v>15</v>
      </c>
    </row>
    <row r="3" spans="1:5">
      <c r="A3" t="s">
        <v>91</v>
      </c>
      <c r="B3">
        <v>3</v>
      </c>
      <c r="C3">
        <v>1</v>
      </c>
      <c r="D3">
        <v>2</v>
      </c>
      <c r="E3">
        <v>0</v>
      </c>
    </row>
    <row r="4" spans="1:5">
      <c r="A4" t="s">
        <v>386</v>
      </c>
      <c r="B4">
        <v>4</v>
      </c>
      <c r="C4">
        <v>1</v>
      </c>
      <c r="D4">
        <v>3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means_data</vt:lpstr>
      <vt:lpstr>ordinations_data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Amara Santiesteban Serrano</dc:creator>
  <cp:lastModifiedBy>amara santiesteban serrano</cp:lastModifiedBy>
  <dcterms:created xsi:type="dcterms:W3CDTF">2024-09-09T18:41:41Z</dcterms:created>
  <dcterms:modified xsi:type="dcterms:W3CDTF">2025-12-16T12:28:14Z</dcterms:modified>
</cp:coreProperties>
</file>