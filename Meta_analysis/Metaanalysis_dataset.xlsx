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amara.santiesteban\Desktop\FPI_INIA\PhDcode\Meta_analysis\"/>
    </mc:Choice>
  </mc:AlternateContent>
  <bookViews>
    <workbookView xWindow="-105" yWindow="-105" windowWidth="19425" windowHeight="10425"/>
  </bookViews>
  <sheets>
    <sheet name="means_data" sheetId="2" r:id="rId1"/>
    <sheet name="ordinations_data" sheetId="4" r:id="rId2"/>
    <sheet name="Summary" sheetId="5" r:id="rId3"/>
  </sheets>
  <definedNames>
    <definedName name="_xlnm._FilterDatabase" localSheetId="0" hidden="1">means_data!$A$1:$BK$489</definedName>
    <definedName name="_xlnm._FilterDatabase" localSheetId="1" hidden="1">ordinations_data!$A$1:$AJ$128</definedName>
  </definedNames>
  <calcPr calcId="162913"/>
</workbook>
</file>

<file path=xl/calcChain.xml><?xml version="1.0" encoding="utf-8"?>
<calcChain xmlns="http://schemas.openxmlformats.org/spreadsheetml/2006/main">
  <c r="T116" i="2" l="1"/>
  <c r="T127" i="2"/>
  <c r="T377" i="2"/>
  <c r="T373" i="2"/>
  <c r="T359" i="2"/>
  <c r="T488" i="2"/>
  <c r="T484" i="2"/>
  <c r="T480" i="2"/>
  <c r="T476" i="2"/>
  <c r="T475" i="2"/>
  <c r="T474" i="2"/>
  <c r="T473" i="2"/>
  <c r="T472" i="2"/>
  <c r="T471" i="2"/>
  <c r="T470" i="2"/>
  <c r="T469" i="2"/>
  <c r="T468" i="2"/>
  <c r="T467" i="2"/>
  <c r="T466" i="2"/>
  <c r="T465" i="2"/>
  <c r="T464" i="2"/>
  <c r="T462" i="2"/>
  <c r="T456" i="2"/>
  <c r="T454" i="2"/>
  <c r="T450" i="2"/>
  <c r="T440" i="2"/>
  <c r="T412" i="2"/>
  <c r="T398" i="2"/>
  <c r="T397" i="2"/>
  <c r="T396" i="2"/>
  <c r="T395" i="2"/>
  <c r="T391" i="2"/>
  <c r="T390" i="2"/>
  <c r="T387" i="2"/>
  <c r="T386" i="2"/>
  <c r="T354" i="2"/>
  <c r="T353" i="2"/>
  <c r="T352" i="2"/>
  <c r="T351" i="2"/>
  <c r="T338" i="2"/>
  <c r="T336" i="2"/>
  <c r="T333" i="2"/>
  <c r="T332" i="2"/>
  <c r="T329" i="2"/>
  <c r="T326" i="2"/>
  <c r="T323" i="2"/>
  <c r="T293" i="2"/>
  <c r="T290" i="2"/>
  <c r="T289" i="2"/>
  <c r="T286" i="2"/>
  <c r="T283" i="2"/>
  <c r="T278" i="2"/>
  <c r="T273" i="2"/>
  <c r="T268" i="2"/>
  <c r="T265" i="2"/>
  <c r="T263" i="2"/>
  <c r="T261" i="2"/>
  <c r="T259" i="2"/>
  <c r="T257" i="2"/>
  <c r="T255" i="2"/>
  <c r="T253" i="2"/>
  <c r="T250" i="2"/>
  <c r="T247" i="2"/>
  <c r="T243" i="2"/>
  <c r="T240" i="2"/>
  <c r="T237" i="2"/>
  <c r="T232" i="2"/>
  <c r="T231" i="2"/>
  <c r="T224" i="2"/>
  <c r="T222" i="2"/>
  <c r="T220" i="2"/>
  <c r="T218" i="2"/>
  <c r="T204" i="2"/>
  <c r="T201" i="2"/>
  <c r="T187" i="2"/>
  <c r="T186" i="2"/>
  <c r="T185" i="2"/>
  <c r="T169" i="2"/>
  <c r="T162" i="2"/>
  <c r="T154" i="2"/>
  <c r="T149" i="2"/>
  <c r="T140" i="2"/>
  <c r="T110" i="2"/>
  <c r="T99" i="2"/>
  <c r="T95" i="2"/>
  <c r="T91" i="2"/>
  <c r="T87" i="2"/>
  <c r="T85" i="2"/>
  <c r="T83" i="2"/>
  <c r="T78" i="2"/>
  <c r="T73" i="2"/>
  <c r="T67" i="2"/>
  <c r="T63" i="2"/>
  <c r="T59" i="2"/>
  <c r="T56" i="2"/>
  <c r="T53" i="2"/>
  <c r="T52" i="2"/>
  <c r="T50" i="2"/>
  <c r="T49" i="2"/>
  <c r="T42" i="2"/>
  <c r="T36" i="2"/>
  <c r="T27" i="2"/>
  <c r="T26" i="2"/>
  <c r="T23" i="2"/>
  <c r="T22" i="2"/>
  <c r="T13" i="2"/>
  <c r="T452" i="2"/>
  <c r="T451" i="2"/>
  <c r="T242" i="2"/>
  <c r="T241" i="2"/>
  <c r="T239" i="2"/>
  <c r="T238" i="2"/>
  <c r="T168" i="2"/>
  <c r="T165" i="2"/>
  <c r="T161" i="2"/>
  <c r="T158" i="2"/>
  <c r="T144" i="2"/>
  <c r="T143" i="2"/>
  <c r="T142" i="2"/>
  <c r="T141" i="2"/>
  <c r="T113" i="2"/>
  <c r="T45" i="2"/>
  <c r="T44" i="2"/>
  <c r="T41" i="2"/>
  <c r="T40" i="2"/>
  <c r="T39" i="2"/>
  <c r="T38" i="2"/>
  <c r="T11" i="2"/>
  <c r="T10" i="2"/>
  <c r="T9" i="2"/>
  <c r="T8" i="2"/>
  <c r="T487" i="2" l="1"/>
  <c r="T486" i="2"/>
  <c r="T485" i="2"/>
  <c r="T483" i="2"/>
  <c r="T482" i="2"/>
  <c r="T481" i="2"/>
  <c r="T479" i="2"/>
  <c r="T478" i="2"/>
  <c r="T477" i="2"/>
  <c r="T463" i="2"/>
  <c r="T461" i="2"/>
  <c r="T460" i="2"/>
  <c r="T459" i="2"/>
  <c r="T458" i="2"/>
  <c r="T399" i="2"/>
  <c r="T455" i="2"/>
  <c r="T453" i="2"/>
  <c r="T449" i="2"/>
  <c r="T448" i="2"/>
  <c r="T447" i="2"/>
  <c r="T446" i="2"/>
  <c r="T445" i="2"/>
  <c r="T444" i="2"/>
  <c r="T443" i="2"/>
  <c r="T442" i="2"/>
  <c r="T118" i="2"/>
  <c r="T439" i="2"/>
  <c r="T438" i="2"/>
  <c r="T437" i="2"/>
  <c r="T436" i="2"/>
  <c r="T435" i="2"/>
  <c r="T434" i="2"/>
  <c r="T433" i="2"/>
  <c r="T432" i="2"/>
  <c r="T104" i="2"/>
  <c r="T410" i="2"/>
  <c r="T411" i="2"/>
  <c r="T417" i="2"/>
  <c r="T394" i="2"/>
  <c r="T393" i="2"/>
  <c r="T392" i="2"/>
  <c r="T200" i="2"/>
  <c r="T176" i="2"/>
  <c r="T385" i="2"/>
  <c r="T384" i="2"/>
  <c r="T383" i="2"/>
  <c r="T382" i="2"/>
  <c r="T381" i="2"/>
  <c r="T380" i="2"/>
  <c r="T379" i="2"/>
  <c r="T378" i="2"/>
  <c r="T376" i="2"/>
  <c r="T375" i="2"/>
  <c r="T123" i="2"/>
  <c r="T372" i="2"/>
  <c r="T371" i="2"/>
  <c r="T106" i="2"/>
  <c r="T366" i="2"/>
  <c r="T367" i="2"/>
  <c r="T368" i="2"/>
  <c r="T86" i="2"/>
  <c r="T361" i="2"/>
  <c r="T362" i="2"/>
  <c r="T363" i="2"/>
  <c r="T70" i="2"/>
  <c r="T358" i="2"/>
  <c r="T357" i="2"/>
  <c r="T356" i="2"/>
  <c r="T128" i="2"/>
  <c r="T350" i="2"/>
  <c r="T349" i="2"/>
  <c r="T17" i="2"/>
  <c r="T347" i="2"/>
  <c r="T346" i="2"/>
  <c r="T60" i="2"/>
  <c r="T344" i="2"/>
  <c r="T343" i="2"/>
  <c r="T28" i="2"/>
  <c r="T341" i="2"/>
  <c r="T340" i="2"/>
  <c r="T14" i="2"/>
  <c r="T389" i="2"/>
  <c r="T335" i="2"/>
  <c r="T334" i="2"/>
  <c r="T331" i="2"/>
  <c r="T330" i="2"/>
  <c r="T328" i="2"/>
  <c r="T327" i="2"/>
  <c r="T325" i="2"/>
  <c r="T324" i="2"/>
  <c r="T322" i="2"/>
  <c r="T321" i="2"/>
  <c r="T212" i="2"/>
  <c r="T295" i="2"/>
  <c r="T294" i="2"/>
  <c r="T292" i="2"/>
  <c r="T291" i="2"/>
  <c r="T288" i="2"/>
  <c r="T287" i="2"/>
  <c r="T285" i="2"/>
  <c r="T284" i="2"/>
  <c r="T282" i="2"/>
  <c r="T281" i="2"/>
  <c r="T280" i="2"/>
  <c r="T279" i="2"/>
  <c r="T277" i="2"/>
  <c r="T276" i="2"/>
  <c r="T275" i="2"/>
  <c r="T355" i="2"/>
  <c r="T272" i="2"/>
  <c r="T271" i="2"/>
  <c r="T270" i="2"/>
  <c r="T274" i="2"/>
  <c r="T267" i="2"/>
  <c r="T266" i="2"/>
  <c r="T264" i="2"/>
  <c r="T262" i="2"/>
  <c r="T260" i="2"/>
  <c r="T258" i="2"/>
  <c r="T256" i="2"/>
  <c r="T254" i="2"/>
  <c r="T420" i="2"/>
  <c r="T84" i="2"/>
  <c r="T32" i="2"/>
  <c r="T37" i="2"/>
  <c r="T246" i="2"/>
  <c r="T245" i="2"/>
  <c r="T244" i="2"/>
  <c r="T236" i="2"/>
  <c r="T235" i="2"/>
  <c r="T234" i="2"/>
  <c r="T145" i="2"/>
  <c r="T230" i="2"/>
  <c r="T229" i="2"/>
  <c r="T228" i="2"/>
  <c r="T227" i="2"/>
  <c r="T226" i="2"/>
  <c r="T225" i="2"/>
  <c r="T223" i="2"/>
  <c r="T221" i="2"/>
  <c r="T219" i="2"/>
  <c r="T217" i="2"/>
  <c r="T345" i="2"/>
  <c r="T215" i="2"/>
  <c r="T214" i="2"/>
  <c r="T213" i="2"/>
  <c r="T251" i="2"/>
  <c r="T211" i="2"/>
  <c r="T210" i="2"/>
  <c r="T209" i="2"/>
  <c r="T252" i="2"/>
  <c r="T207" i="2"/>
  <c r="T206" i="2"/>
  <c r="T205" i="2"/>
  <c r="T203" i="2"/>
  <c r="T64" i="2"/>
  <c r="T423" i="2"/>
  <c r="T199" i="2"/>
  <c r="T198" i="2"/>
  <c r="T197" i="2"/>
  <c r="T196" i="2"/>
  <c r="T195" i="2"/>
  <c r="T194" i="2"/>
  <c r="T193" i="2"/>
  <c r="T457" i="2"/>
  <c r="T191" i="2"/>
  <c r="T190" i="2"/>
  <c r="T431" i="2"/>
  <c r="T188" i="2"/>
  <c r="T184" i="2"/>
  <c r="T183" i="2"/>
  <c r="T182" i="2"/>
  <c r="T174" i="2"/>
  <c r="T175" i="2"/>
  <c r="T365" i="2"/>
  <c r="T177" i="2"/>
  <c r="T178" i="2"/>
  <c r="T388" i="2"/>
  <c r="T167" i="2"/>
  <c r="T166" i="2"/>
  <c r="T164" i="2"/>
  <c r="T163" i="2"/>
  <c r="T160" i="2"/>
  <c r="T159" i="2"/>
  <c r="T157" i="2"/>
  <c r="T156" i="2"/>
  <c r="T155" i="2"/>
  <c r="T153" i="2"/>
  <c r="T152" i="2"/>
  <c r="T151" i="2"/>
  <c r="T189" i="2"/>
  <c r="T148" i="2"/>
  <c r="T147" i="2"/>
  <c r="T146" i="2"/>
  <c r="T202" i="2"/>
  <c r="T139" i="2"/>
  <c r="T138" i="2"/>
  <c r="T137" i="2"/>
  <c r="T414" i="2"/>
  <c r="T124" i="2"/>
  <c r="T125" i="2"/>
  <c r="T126" i="2"/>
  <c r="T192" i="2"/>
  <c r="T129" i="2"/>
  <c r="T130" i="2"/>
  <c r="T131" i="2"/>
  <c r="T269" i="2"/>
  <c r="T119" i="2"/>
  <c r="T120" i="2"/>
  <c r="T121" i="2"/>
  <c r="T360" i="2"/>
  <c r="T114" i="2"/>
  <c r="T112" i="2"/>
  <c r="T441" i="2"/>
  <c r="T101" i="2"/>
  <c r="T102" i="2"/>
  <c r="T103" i="2"/>
  <c r="T100" i="2"/>
  <c r="T98" i="2"/>
  <c r="T97" i="2"/>
  <c r="T96" i="2"/>
  <c r="T94" i="2"/>
  <c r="T93" i="2"/>
  <c r="T92" i="2"/>
  <c r="T90" i="2"/>
  <c r="T89" i="2"/>
  <c r="T88" i="2"/>
  <c r="T348" i="2"/>
  <c r="T173" i="2"/>
  <c r="T82" i="2"/>
  <c r="T76" i="2"/>
  <c r="T80" i="2"/>
  <c r="T79" i="2"/>
  <c r="T77" i="2"/>
  <c r="T339" i="2"/>
  <c r="T75" i="2"/>
  <c r="T74" i="2"/>
  <c r="T72" i="2"/>
  <c r="T71" i="2"/>
  <c r="T170" i="2"/>
  <c r="T66" i="2"/>
  <c r="T65" i="2"/>
  <c r="T374" i="2"/>
  <c r="T62" i="2"/>
  <c r="T61" i="2"/>
  <c r="T320" i="2"/>
  <c r="T58" i="2"/>
  <c r="T57" i="2"/>
  <c r="T55" i="2"/>
  <c r="T54" i="2"/>
  <c r="T51" i="2"/>
  <c r="T48" i="2"/>
  <c r="T47" i="2"/>
  <c r="T46" i="2"/>
  <c r="T248" i="2"/>
  <c r="T136" i="2"/>
  <c r="T31" i="2"/>
  <c r="T30" i="2"/>
  <c r="T29" i="2"/>
  <c r="T43" i="2"/>
  <c r="T7" i="2"/>
  <c r="T6" i="2"/>
  <c r="T5" i="2"/>
  <c r="T4" i="2"/>
  <c r="T3" i="2"/>
  <c r="T2" i="2"/>
  <c r="AF384" i="2"/>
  <c r="AF456" i="2"/>
  <c r="AF454" i="2"/>
  <c r="AF266" i="2"/>
  <c r="AF385" i="2"/>
  <c r="AF381" i="2"/>
  <c r="AF246" i="2"/>
  <c r="AF103" i="2"/>
  <c r="AF59" i="2"/>
  <c r="AF101" i="2"/>
  <c r="AF387" i="2"/>
  <c r="AF386" i="2"/>
  <c r="AF268" i="2"/>
  <c r="AF247" i="2"/>
  <c r="AF383" i="2"/>
  <c r="AF379" i="2"/>
  <c r="AF244" i="2"/>
  <c r="AF155" i="2"/>
  <c r="AF102" i="2"/>
  <c r="AF100" i="2"/>
  <c r="AF58" i="2"/>
  <c r="AF380" i="2"/>
  <c r="AF267" i="2"/>
  <c r="AF245" i="2"/>
  <c r="AF57" i="2"/>
  <c r="AF56" i="2"/>
  <c r="AF55" i="2"/>
  <c r="AF54" i="2"/>
  <c r="AI137" i="2" l="1"/>
  <c r="AI99" i="4" l="1"/>
  <c r="AJ99" i="4"/>
  <c r="AI98" i="4"/>
  <c r="AJ98" i="4"/>
  <c r="AJ200" i="2"/>
  <c r="AI200" i="2" s="1"/>
  <c r="AM200" i="2"/>
  <c r="AL200" i="2" s="1"/>
  <c r="AJ176" i="2"/>
  <c r="AI176" i="2" s="1"/>
  <c r="AM176" i="2"/>
  <c r="AL176" i="2" s="1"/>
  <c r="AR200" i="2"/>
  <c r="AN200" i="2"/>
  <c r="AI385" i="2"/>
  <c r="AI381" i="2"/>
  <c r="AL385" i="2"/>
  <c r="AL381" i="2"/>
  <c r="AI384" i="2"/>
  <c r="AL384" i="2"/>
  <c r="AL380" i="2"/>
  <c r="AI380" i="2"/>
  <c r="AN378" i="2"/>
  <c r="AR378" i="2"/>
  <c r="AN379" i="2"/>
  <c r="AR379" i="2"/>
  <c r="AN380" i="2"/>
  <c r="AR380" i="2"/>
  <c r="AN381" i="2"/>
  <c r="AR381" i="2"/>
  <c r="AN382" i="2"/>
  <c r="AR382" i="2"/>
  <c r="AN383" i="2"/>
  <c r="AR383" i="2"/>
  <c r="AN384" i="2"/>
  <c r="AR384" i="2"/>
  <c r="AN385" i="2"/>
  <c r="AR385" i="2"/>
  <c r="AI383" i="2"/>
  <c r="AI379" i="2"/>
  <c r="AL383" i="2"/>
  <c r="AL379" i="2"/>
  <c r="AL382" i="2"/>
  <c r="AL378" i="2"/>
  <c r="AI378" i="2"/>
  <c r="AI382" i="2"/>
  <c r="AI97" i="4"/>
  <c r="AJ97" i="4"/>
  <c r="AI96" i="4"/>
  <c r="AJ96" i="4"/>
  <c r="AI31" i="2"/>
  <c r="AL31" i="2"/>
  <c r="AI30" i="2"/>
  <c r="AL30" i="2"/>
  <c r="AI29" i="2"/>
  <c r="AL29" i="2"/>
  <c r="AI43" i="2"/>
  <c r="AL43" i="2"/>
  <c r="AN244" i="2"/>
  <c r="AR244" i="2"/>
  <c r="AN245" i="2"/>
  <c r="AO245" i="2"/>
  <c r="AR245" i="2"/>
  <c r="AN246" i="2"/>
  <c r="AO246" i="2"/>
  <c r="AR246" i="2"/>
  <c r="AL244" i="2"/>
  <c r="AI244" i="2"/>
  <c r="AP246" i="2" l="1"/>
  <c r="AQ246" i="2" s="1"/>
  <c r="AU246" i="2" s="1"/>
  <c r="AO380" i="2"/>
  <c r="AP380" i="2" s="1"/>
  <c r="AQ380" i="2" s="1"/>
  <c r="AO378" i="2"/>
  <c r="AP378" i="2" s="1"/>
  <c r="AO200" i="2"/>
  <c r="AO381" i="2"/>
  <c r="AP381" i="2" s="1"/>
  <c r="AQ381" i="2" s="1"/>
  <c r="AO385" i="2"/>
  <c r="AP385" i="2" s="1"/>
  <c r="AS385" i="2" s="1"/>
  <c r="AP245" i="2"/>
  <c r="AQ245" i="2" s="1"/>
  <c r="AU245" i="2" s="1"/>
  <c r="AO384" i="2"/>
  <c r="AP384" i="2" s="1"/>
  <c r="AS384" i="2" s="1"/>
  <c r="AO383" i="2"/>
  <c r="AP383" i="2" s="1"/>
  <c r="AS383" i="2" s="1"/>
  <c r="AO379" i="2"/>
  <c r="AP379" i="2" s="1"/>
  <c r="AS379" i="2" s="1"/>
  <c r="AO382" i="2"/>
  <c r="AP382" i="2" s="1"/>
  <c r="AQ382" i="2" s="1"/>
  <c r="AP200" i="2"/>
  <c r="AQ200" i="2" s="1"/>
  <c r="AO244" i="2"/>
  <c r="AP244" i="2" s="1"/>
  <c r="AQ244" i="2" s="1"/>
  <c r="AU244" i="2" s="1"/>
  <c r="AI49" i="4"/>
  <c r="AJ49" i="4"/>
  <c r="AI48" i="4"/>
  <c r="AJ48" i="4"/>
  <c r="AL229" i="2"/>
  <c r="AL230" i="2"/>
  <c r="AI229" i="2"/>
  <c r="AI230" i="2"/>
  <c r="AL228" i="2"/>
  <c r="AI228" i="2"/>
  <c r="AL227" i="2"/>
  <c r="AI227" i="2"/>
  <c r="AS246" i="2" l="1"/>
  <c r="AU382" i="2"/>
  <c r="AT382" i="2"/>
  <c r="AV382" i="2" s="1"/>
  <c r="AU380" i="2"/>
  <c r="AT380" i="2"/>
  <c r="AV380" i="2" s="1"/>
  <c r="AU381" i="2"/>
  <c r="AT381" i="2"/>
  <c r="AV381" i="2" s="1"/>
  <c r="AU200" i="2"/>
  <c r="AT200" i="2"/>
  <c r="AV200" i="2" s="1"/>
  <c r="AS200" i="2"/>
  <c r="AS380" i="2"/>
  <c r="AS378" i="2"/>
  <c r="AQ378" i="2"/>
  <c r="AQ379" i="2"/>
  <c r="AQ383" i="2"/>
  <c r="AS245" i="2"/>
  <c r="AS244" i="2"/>
  <c r="AS381" i="2"/>
  <c r="AQ385" i="2"/>
  <c r="AS382" i="2"/>
  <c r="AQ384" i="2"/>
  <c r="AR230" i="2"/>
  <c r="AO230" i="2"/>
  <c r="AN230" i="2"/>
  <c r="AR228" i="2"/>
  <c r="AO228" i="2"/>
  <c r="AN228" i="2"/>
  <c r="AR229" i="2"/>
  <c r="AO229" i="2"/>
  <c r="AN229" i="2"/>
  <c r="AN431" i="2"/>
  <c r="AO431" i="2"/>
  <c r="AR431" i="2"/>
  <c r="AN190" i="2"/>
  <c r="AO190" i="2"/>
  <c r="AR190" i="2"/>
  <c r="AN191" i="2"/>
  <c r="AR191" i="2"/>
  <c r="AN457" i="2"/>
  <c r="AO457" i="2"/>
  <c r="AR457" i="2"/>
  <c r="AN193" i="2"/>
  <c r="AO193" i="2"/>
  <c r="AR193" i="2"/>
  <c r="AI46" i="4"/>
  <c r="AJ46" i="4"/>
  <c r="AI45" i="4"/>
  <c r="AJ45" i="4"/>
  <c r="AI44" i="4"/>
  <c r="AJ44" i="4"/>
  <c r="AN182" i="2"/>
  <c r="AR182" i="2"/>
  <c r="AN183" i="2"/>
  <c r="AR183" i="2"/>
  <c r="AN184" i="2"/>
  <c r="AR184" i="2"/>
  <c r="AI182" i="2"/>
  <c r="AI183" i="2"/>
  <c r="AI184" i="2"/>
  <c r="AL184" i="2"/>
  <c r="AL183" i="2"/>
  <c r="AL182" i="2"/>
  <c r="AI35" i="4"/>
  <c r="AJ35" i="4"/>
  <c r="AI34" i="4"/>
  <c r="AJ34" i="4"/>
  <c r="AI28" i="4"/>
  <c r="AJ28" i="4"/>
  <c r="AP431" i="2" l="1"/>
  <c r="AS431" i="2" s="1"/>
  <c r="AU379" i="2"/>
  <c r="AT379" i="2"/>
  <c r="AX380" i="2"/>
  <c r="AW380" i="2"/>
  <c r="AX200" i="2"/>
  <c r="AW200" i="2"/>
  <c r="AU384" i="2"/>
  <c r="AT384" i="2"/>
  <c r="AU383" i="2"/>
  <c r="AT383" i="2"/>
  <c r="AX382" i="2"/>
  <c r="AW382" i="2"/>
  <c r="AU385" i="2"/>
  <c r="AT385" i="2"/>
  <c r="AU378" i="2"/>
  <c r="AT378" i="2"/>
  <c r="AV378" i="2" s="1"/>
  <c r="AX381" i="2"/>
  <c r="AW381" i="2"/>
  <c r="AP190" i="2"/>
  <c r="AS190" i="2" s="1"/>
  <c r="AP193" i="2"/>
  <c r="AQ193" i="2" s="1"/>
  <c r="AU193" i="2" s="1"/>
  <c r="AP457" i="2"/>
  <c r="AQ457" i="2" s="1"/>
  <c r="AU457" i="2" s="1"/>
  <c r="AP230" i="2"/>
  <c r="AS230" i="2" s="1"/>
  <c r="AP228" i="2"/>
  <c r="AQ228" i="2" s="1"/>
  <c r="AO183" i="2"/>
  <c r="AP183" i="2" s="1"/>
  <c r="AS183" i="2" s="1"/>
  <c r="AP229" i="2"/>
  <c r="AS229" i="2" s="1"/>
  <c r="AO184" i="2"/>
  <c r="AP184" i="2" s="1"/>
  <c r="AQ184" i="2" s="1"/>
  <c r="AO182" i="2"/>
  <c r="AP182" i="2" s="1"/>
  <c r="AS182" i="2" s="1"/>
  <c r="AJ195" i="2"/>
  <c r="AI195" i="2" s="1"/>
  <c r="AM195" i="2"/>
  <c r="AL195" i="2" s="1"/>
  <c r="AJ199" i="2"/>
  <c r="AI199" i="2" s="1"/>
  <c r="AM199" i="2"/>
  <c r="AL199" i="2" s="1"/>
  <c r="AJ198" i="2"/>
  <c r="AI198" i="2" s="1"/>
  <c r="AM198" i="2"/>
  <c r="AL198" i="2" s="1"/>
  <c r="AJ197" i="2"/>
  <c r="AI197" i="2" s="1"/>
  <c r="AM197" i="2"/>
  <c r="AL197" i="2" s="1"/>
  <c r="AJ196" i="2"/>
  <c r="AI196" i="2" s="1"/>
  <c r="AM196" i="2"/>
  <c r="AL196" i="2" s="1"/>
  <c r="AJ194" i="2"/>
  <c r="AI194" i="2" s="1"/>
  <c r="AM194" i="2"/>
  <c r="AL194" i="2" s="1"/>
  <c r="AR199" i="2"/>
  <c r="AN199" i="2"/>
  <c r="AR198" i="2"/>
  <c r="AN198" i="2"/>
  <c r="AR197" i="2"/>
  <c r="AN197" i="2"/>
  <c r="AR196" i="2"/>
  <c r="AN196" i="2"/>
  <c r="AQ431" i="2" l="1"/>
  <c r="AU431" i="2" s="1"/>
  <c r="AQ190" i="2"/>
  <c r="AU190" i="2" s="1"/>
  <c r="AV385" i="2"/>
  <c r="AX385" i="2"/>
  <c r="AW385" i="2"/>
  <c r="AW378" i="2"/>
  <c r="AV384" i="2"/>
  <c r="AW384" i="2"/>
  <c r="AX384" i="2"/>
  <c r="AS457" i="2"/>
  <c r="AX378" i="2"/>
  <c r="AV383" i="2"/>
  <c r="AX383" i="2"/>
  <c r="AW383" i="2"/>
  <c r="AV379" i="2"/>
  <c r="AX379" i="2"/>
  <c r="AW379" i="2"/>
  <c r="AU184" i="2"/>
  <c r="AT184" i="2"/>
  <c r="AV184" i="2" s="1"/>
  <c r="AU228" i="2"/>
  <c r="AT228" i="2"/>
  <c r="AV228" i="2" s="1"/>
  <c r="AS193" i="2"/>
  <c r="AQ230" i="2"/>
  <c r="AS228" i="2"/>
  <c r="AQ183" i="2"/>
  <c r="AQ229" i="2"/>
  <c r="AQ182" i="2"/>
  <c r="AS184" i="2"/>
  <c r="AO197" i="2"/>
  <c r="AP197" i="2" s="1"/>
  <c r="AS197" i="2" s="1"/>
  <c r="AO198" i="2"/>
  <c r="AP198" i="2" s="1"/>
  <c r="AS198" i="2" s="1"/>
  <c r="AO196" i="2"/>
  <c r="AP196" i="2" s="1"/>
  <c r="AQ196" i="2" s="1"/>
  <c r="AO199" i="2"/>
  <c r="AP199" i="2" s="1"/>
  <c r="AS199" i="2" s="1"/>
  <c r="AI420" i="2"/>
  <c r="AN84" i="2"/>
  <c r="AR84" i="2"/>
  <c r="AL420" i="2"/>
  <c r="AI84" i="2"/>
  <c r="AL84" i="2"/>
  <c r="AI32" i="2"/>
  <c r="AL32" i="2"/>
  <c r="AI37" i="2"/>
  <c r="AL37" i="2"/>
  <c r="AN37" i="2"/>
  <c r="AR37" i="2"/>
  <c r="AN32" i="2"/>
  <c r="AR32" i="2"/>
  <c r="AN420" i="2"/>
  <c r="AR420" i="2"/>
  <c r="AI51" i="4"/>
  <c r="AJ51" i="4"/>
  <c r="AI50" i="4"/>
  <c r="AJ50" i="4"/>
  <c r="AI52" i="4"/>
  <c r="AJ52" i="4"/>
  <c r="AJ203" i="2"/>
  <c r="AI203" i="2" s="1"/>
  <c r="AM203" i="2"/>
  <c r="AL203" i="2" s="1"/>
  <c r="AM64" i="2"/>
  <c r="AL64" i="2" s="1"/>
  <c r="AJ64" i="2"/>
  <c r="AI64" i="2" s="1"/>
  <c r="AR203" i="2"/>
  <c r="AN203" i="2"/>
  <c r="AN128" i="2"/>
  <c r="AR128" i="2"/>
  <c r="AN356" i="2"/>
  <c r="AR356" i="2"/>
  <c r="AN357" i="2"/>
  <c r="AR357" i="2"/>
  <c r="AN358" i="2"/>
  <c r="AR358" i="2"/>
  <c r="AN70" i="2"/>
  <c r="AR70" i="2"/>
  <c r="AN361" i="2"/>
  <c r="AR361" i="2"/>
  <c r="AN362" i="2"/>
  <c r="AR362" i="2"/>
  <c r="AN363" i="2"/>
  <c r="AR363" i="2"/>
  <c r="AN86" i="2"/>
  <c r="AR86" i="2"/>
  <c r="AN366" i="2"/>
  <c r="AR366" i="2"/>
  <c r="AN367" i="2"/>
  <c r="AR367" i="2"/>
  <c r="AN368" i="2"/>
  <c r="AR368" i="2"/>
  <c r="AJ368" i="2"/>
  <c r="AI368" i="2" s="1"/>
  <c r="AM368" i="2"/>
  <c r="AL368" i="2" s="1"/>
  <c r="AJ363" i="2"/>
  <c r="AI363" i="2" s="1"/>
  <c r="AM363" i="2"/>
  <c r="AL363" i="2" s="1"/>
  <c r="AJ358" i="2"/>
  <c r="AI358" i="2" s="1"/>
  <c r="AM358" i="2"/>
  <c r="AL358" i="2" s="1"/>
  <c r="AJ367" i="2"/>
  <c r="AI367" i="2" s="1"/>
  <c r="AM367" i="2"/>
  <c r="AL367" i="2" s="1"/>
  <c r="AJ362" i="2"/>
  <c r="AI362" i="2" s="1"/>
  <c r="AM362" i="2"/>
  <c r="AL362" i="2" s="1"/>
  <c r="AJ357" i="2"/>
  <c r="AI357" i="2" s="1"/>
  <c r="AM357" i="2"/>
  <c r="AL357" i="2" s="1"/>
  <c r="AJ366" i="2"/>
  <c r="AI366" i="2" s="1"/>
  <c r="AM366" i="2"/>
  <c r="AL366" i="2" s="1"/>
  <c r="AJ361" i="2"/>
  <c r="AI361" i="2" s="1"/>
  <c r="AM361" i="2"/>
  <c r="AL361" i="2" s="1"/>
  <c r="AJ356" i="2"/>
  <c r="AI356" i="2" s="1"/>
  <c r="AM356" i="2"/>
  <c r="AL356" i="2" s="1"/>
  <c r="AI93" i="4"/>
  <c r="AJ93" i="4"/>
  <c r="AI92" i="4"/>
  <c r="AJ92" i="4"/>
  <c r="AI91" i="4"/>
  <c r="AJ91" i="4"/>
  <c r="AJ86" i="2"/>
  <c r="AI86" i="2" s="1"/>
  <c r="AM86" i="2"/>
  <c r="AL86" i="2" s="1"/>
  <c r="AJ70" i="2"/>
  <c r="AI70" i="2" s="1"/>
  <c r="AM70" i="2"/>
  <c r="AL70" i="2" s="1"/>
  <c r="AJ128" i="2"/>
  <c r="AI128" i="2" s="1"/>
  <c r="AM128" i="2"/>
  <c r="AL128" i="2" s="1"/>
  <c r="AI88" i="4"/>
  <c r="AJ88" i="4"/>
  <c r="AI89" i="4"/>
  <c r="AJ89" i="4"/>
  <c r="AI90" i="4"/>
  <c r="AJ90" i="4"/>
  <c r="AI87" i="4"/>
  <c r="AJ87" i="4"/>
  <c r="AU229" i="2" l="1"/>
  <c r="AT229" i="2"/>
  <c r="AX228" i="2"/>
  <c r="AW228" i="2"/>
  <c r="AU183" i="2"/>
  <c r="AT183" i="2"/>
  <c r="AU182" i="2"/>
  <c r="AT182" i="2"/>
  <c r="AU230" i="2"/>
  <c r="AT230" i="2"/>
  <c r="AU196" i="2"/>
  <c r="AT196" i="2"/>
  <c r="AV196" i="2" s="1"/>
  <c r="AX184" i="2"/>
  <c r="AW184" i="2"/>
  <c r="AO37" i="2"/>
  <c r="AP37" i="2" s="1"/>
  <c r="AS37" i="2" s="1"/>
  <c r="AS196" i="2"/>
  <c r="AQ197" i="2"/>
  <c r="AQ198" i="2"/>
  <c r="AQ199" i="2"/>
  <c r="AO32" i="2"/>
  <c r="AP32" i="2" s="1"/>
  <c r="AQ32" i="2" s="1"/>
  <c r="AO84" i="2"/>
  <c r="AP84" i="2" s="1"/>
  <c r="AS84" i="2" s="1"/>
  <c r="AO203" i="2"/>
  <c r="AP203" i="2" s="1"/>
  <c r="AO128" i="2"/>
  <c r="AP128" i="2" s="1"/>
  <c r="AQ128" i="2" s="1"/>
  <c r="AO357" i="2"/>
  <c r="AP357" i="2" s="1"/>
  <c r="AQ357" i="2" s="1"/>
  <c r="AO356" i="2"/>
  <c r="AP356" i="2" s="1"/>
  <c r="AS356" i="2" s="1"/>
  <c r="AO358" i="2"/>
  <c r="AP358" i="2" s="1"/>
  <c r="AS358" i="2" s="1"/>
  <c r="AO368" i="2"/>
  <c r="AP368" i="2" s="1"/>
  <c r="AS368" i="2" s="1"/>
  <c r="AO70" i="2"/>
  <c r="AP70" i="2" s="1"/>
  <c r="AS70" i="2" s="1"/>
  <c r="AO361" i="2"/>
  <c r="AP361" i="2" s="1"/>
  <c r="AQ361" i="2" s="1"/>
  <c r="AO363" i="2"/>
  <c r="AP363" i="2" s="1"/>
  <c r="AQ363" i="2" s="1"/>
  <c r="AO362" i="2"/>
  <c r="AP362" i="2" s="1"/>
  <c r="AS362" i="2" s="1"/>
  <c r="AO366" i="2"/>
  <c r="AP366" i="2" s="1"/>
  <c r="AQ366" i="2" s="1"/>
  <c r="AO367" i="2"/>
  <c r="AP367" i="2" s="1"/>
  <c r="AQ367" i="2" s="1"/>
  <c r="AO86" i="2"/>
  <c r="AP86" i="2" s="1"/>
  <c r="AQ86" i="2" s="1"/>
  <c r="AR350" i="2"/>
  <c r="AO350" i="2"/>
  <c r="AN350" i="2"/>
  <c r="AR349" i="2"/>
  <c r="AO349" i="2"/>
  <c r="AN349" i="2"/>
  <c r="AR347" i="2"/>
  <c r="AO347" i="2"/>
  <c r="AN347" i="2"/>
  <c r="AR346" i="2"/>
  <c r="AO346" i="2"/>
  <c r="AN346" i="2"/>
  <c r="AR344" i="2"/>
  <c r="AO344" i="2"/>
  <c r="AN344" i="2"/>
  <c r="AR343" i="2"/>
  <c r="AO343" i="2"/>
  <c r="AN343" i="2"/>
  <c r="AR341" i="2"/>
  <c r="AO341" i="2"/>
  <c r="AN341" i="2"/>
  <c r="AR340" i="2"/>
  <c r="AO340" i="2"/>
  <c r="AN340" i="2"/>
  <c r="AI86" i="4"/>
  <c r="AJ86" i="4"/>
  <c r="AI389" i="2"/>
  <c r="AL389" i="2"/>
  <c r="AI335" i="2"/>
  <c r="AI331" i="2"/>
  <c r="AI325" i="2"/>
  <c r="AL335" i="2"/>
  <c r="AL331" i="2"/>
  <c r="AL325" i="2"/>
  <c r="AI328" i="2"/>
  <c r="AI322" i="2"/>
  <c r="AL328" i="2"/>
  <c r="AL322" i="2"/>
  <c r="AR335" i="2"/>
  <c r="AN335" i="2"/>
  <c r="AR331" i="2"/>
  <c r="AN331" i="2"/>
  <c r="AR328" i="2"/>
  <c r="AN328" i="2"/>
  <c r="AR325" i="2"/>
  <c r="AN325" i="2"/>
  <c r="AR322" i="2"/>
  <c r="AN322" i="2"/>
  <c r="AI334" i="2"/>
  <c r="AI330" i="2"/>
  <c r="AI324" i="2"/>
  <c r="AL334" i="2"/>
  <c r="AL330" i="2"/>
  <c r="AL324" i="2"/>
  <c r="AL327" i="2"/>
  <c r="AI327" i="2"/>
  <c r="AI321" i="2"/>
  <c r="AL321" i="2"/>
  <c r="AI100" i="4"/>
  <c r="AJ100" i="4"/>
  <c r="AJ394" i="2"/>
  <c r="AI394" i="2" s="1"/>
  <c r="AM394" i="2"/>
  <c r="AL394" i="2" s="1"/>
  <c r="AJ393" i="2"/>
  <c r="AI393" i="2" s="1"/>
  <c r="AM393" i="2"/>
  <c r="AL393" i="2" s="1"/>
  <c r="AR394" i="2"/>
  <c r="AN394" i="2"/>
  <c r="AR393" i="2"/>
  <c r="AN393" i="2"/>
  <c r="AJ392" i="2"/>
  <c r="AI392" i="2" s="1"/>
  <c r="AM392" i="2"/>
  <c r="AL392" i="2" s="1"/>
  <c r="AU357" i="2" l="1"/>
  <c r="AT357" i="2"/>
  <c r="AV357" i="2" s="1"/>
  <c r="AV230" i="2"/>
  <c r="AX230" i="2"/>
  <c r="AW230" i="2"/>
  <c r="AU367" i="2"/>
  <c r="AT367" i="2"/>
  <c r="AV367" i="2" s="1"/>
  <c r="AV183" i="2"/>
  <c r="AW183" i="2"/>
  <c r="AX183" i="2"/>
  <c r="AU128" i="2"/>
  <c r="AT128" i="2"/>
  <c r="AV128" i="2" s="1"/>
  <c r="AU366" i="2"/>
  <c r="AT366" i="2"/>
  <c r="AV366" i="2" s="1"/>
  <c r="AU32" i="2"/>
  <c r="AT32" i="2"/>
  <c r="AV32" i="2" s="1"/>
  <c r="AX196" i="2"/>
  <c r="AW196" i="2"/>
  <c r="AU198" i="2"/>
  <c r="AT198" i="2"/>
  <c r="AU197" i="2"/>
  <c r="AT197" i="2"/>
  <c r="AV182" i="2"/>
  <c r="AX182" i="2"/>
  <c r="AW182" i="2"/>
  <c r="AU86" i="2"/>
  <c r="AT86" i="2"/>
  <c r="AV86" i="2" s="1"/>
  <c r="AU363" i="2"/>
  <c r="AT363" i="2"/>
  <c r="AV363" i="2" s="1"/>
  <c r="AU361" i="2"/>
  <c r="AT361" i="2"/>
  <c r="AV361" i="2" s="1"/>
  <c r="AV229" i="2"/>
  <c r="AX229" i="2"/>
  <c r="AW229" i="2"/>
  <c r="AU199" i="2"/>
  <c r="AT199" i="2"/>
  <c r="AS128" i="2"/>
  <c r="AO322" i="2"/>
  <c r="AP322" i="2" s="1"/>
  <c r="AQ84" i="2"/>
  <c r="AO328" i="2"/>
  <c r="AP328" i="2" s="1"/>
  <c r="AS32" i="2"/>
  <c r="AQ37" i="2"/>
  <c r="AQ356" i="2"/>
  <c r="AS357" i="2"/>
  <c r="AS86" i="2"/>
  <c r="AS203" i="2"/>
  <c r="AQ203" i="2"/>
  <c r="AO335" i="2"/>
  <c r="AP335" i="2" s="1"/>
  <c r="AQ358" i="2"/>
  <c r="AO325" i="2"/>
  <c r="AP325" i="2" s="1"/>
  <c r="AO331" i="2"/>
  <c r="AP331" i="2" s="1"/>
  <c r="AQ362" i="2"/>
  <c r="AQ70" i="2"/>
  <c r="AQ368" i="2"/>
  <c r="AS363" i="2"/>
  <c r="AS366" i="2"/>
  <c r="AS361" i="2"/>
  <c r="AS367" i="2"/>
  <c r="AP349" i="2"/>
  <c r="AQ349" i="2" s="1"/>
  <c r="AP350" i="2"/>
  <c r="AS350" i="2" s="1"/>
  <c r="AP346" i="2"/>
  <c r="AS346" i="2" s="1"/>
  <c r="AP347" i="2"/>
  <c r="AS347" i="2" s="1"/>
  <c r="AP343" i="2"/>
  <c r="AS343" i="2" s="1"/>
  <c r="AP344" i="2"/>
  <c r="AS344" i="2" s="1"/>
  <c r="AP341" i="2"/>
  <c r="AS341" i="2" s="1"/>
  <c r="AP340" i="2"/>
  <c r="AQ340" i="2" s="1"/>
  <c r="AO393" i="2"/>
  <c r="AP393" i="2" s="1"/>
  <c r="AO394" i="2"/>
  <c r="AP394" i="2" s="1"/>
  <c r="AI406" i="2"/>
  <c r="AL406" i="2"/>
  <c r="AI402" i="2"/>
  <c r="AL402" i="2"/>
  <c r="AI405" i="2"/>
  <c r="AL405" i="2"/>
  <c r="AI401" i="2"/>
  <c r="AL401" i="2"/>
  <c r="AI404" i="2"/>
  <c r="AL404" i="2"/>
  <c r="AI400" i="2"/>
  <c r="AL400" i="2"/>
  <c r="AI216" i="2"/>
  <c r="AL216" i="2"/>
  <c r="AI150" i="2"/>
  <c r="AL150" i="2"/>
  <c r="AI103" i="4"/>
  <c r="AJ103" i="4"/>
  <c r="AI102" i="4"/>
  <c r="AJ102" i="4"/>
  <c r="AI101" i="4"/>
  <c r="AJ101" i="4"/>
  <c r="AI449" i="2"/>
  <c r="AI439" i="2"/>
  <c r="AL449" i="2"/>
  <c r="AL439" i="2"/>
  <c r="AI448" i="2"/>
  <c r="AI438" i="2"/>
  <c r="AL448" i="2"/>
  <c r="AL438" i="2"/>
  <c r="AI447" i="2"/>
  <c r="AI437" i="2"/>
  <c r="AL447" i="2"/>
  <c r="AL437" i="2"/>
  <c r="AI446" i="2"/>
  <c r="AI436" i="2"/>
  <c r="AL446" i="2"/>
  <c r="AL436" i="2"/>
  <c r="AI445" i="2"/>
  <c r="AL445" i="2"/>
  <c r="AL435" i="2"/>
  <c r="AO435" i="2" s="1"/>
  <c r="AI444" i="2"/>
  <c r="AI434" i="2"/>
  <c r="AL444" i="2"/>
  <c r="AL434" i="2"/>
  <c r="AN434" i="2"/>
  <c r="AR434" i="2"/>
  <c r="AN435" i="2"/>
  <c r="AR435" i="2"/>
  <c r="AN436" i="2"/>
  <c r="AR436" i="2"/>
  <c r="AN437" i="2"/>
  <c r="AR437" i="2"/>
  <c r="AN438" i="2"/>
  <c r="AR438" i="2"/>
  <c r="AN439" i="2"/>
  <c r="AR439" i="2"/>
  <c r="AR446" i="2"/>
  <c r="AN446" i="2"/>
  <c r="AR445" i="2"/>
  <c r="AN445" i="2"/>
  <c r="AR444" i="2"/>
  <c r="AN444" i="2"/>
  <c r="AR448" i="2"/>
  <c r="AN448" i="2"/>
  <c r="AR447" i="2"/>
  <c r="AN447" i="2"/>
  <c r="AR443" i="2"/>
  <c r="AN443" i="2"/>
  <c r="AL443" i="2"/>
  <c r="AI443" i="2"/>
  <c r="AR433" i="2"/>
  <c r="AN433" i="2"/>
  <c r="AL433" i="2"/>
  <c r="AI433" i="2"/>
  <c r="AI118" i="2"/>
  <c r="AI442" i="2"/>
  <c r="AI432" i="2"/>
  <c r="AL442" i="2"/>
  <c r="AL432" i="2"/>
  <c r="AI104" i="2"/>
  <c r="AL118" i="2"/>
  <c r="AL104" i="2"/>
  <c r="AU362" i="2" l="1"/>
  <c r="AT362" i="2"/>
  <c r="AX32" i="2"/>
  <c r="AW32" i="2"/>
  <c r="AX363" i="2"/>
  <c r="AW363" i="2"/>
  <c r="AV197" i="2"/>
  <c r="AX197" i="2"/>
  <c r="AW197" i="2"/>
  <c r="AU84" i="2"/>
  <c r="AT84" i="2"/>
  <c r="AU37" i="2"/>
  <c r="AT37" i="2"/>
  <c r="AV198" i="2"/>
  <c r="AW198" i="2"/>
  <c r="AX198" i="2"/>
  <c r="AU349" i="2"/>
  <c r="AT349" i="2"/>
  <c r="AV349" i="2" s="1"/>
  <c r="AU203" i="2"/>
  <c r="AT203" i="2"/>
  <c r="AV203" i="2" s="1"/>
  <c r="AV199" i="2"/>
  <c r="AX199" i="2"/>
  <c r="AW199" i="2"/>
  <c r="AW128" i="2"/>
  <c r="AX128" i="2"/>
  <c r="AW367" i="2"/>
  <c r="AX367" i="2"/>
  <c r="AU356" i="2"/>
  <c r="AT356" i="2"/>
  <c r="AU340" i="2"/>
  <c r="AT340" i="2"/>
  <c r="AV340" i="2" s="1"/>
  <c r="AU358" i="2"/>
  <c r="AT358" i="2"/>
  <c r="AX361" i="2"/>
  <c r="AW361" i="2"/>
  <c r="AX86" i="2"/>
  <c r="AW86" i="2"/>
  <c r="AU368" i="2"/>
  <c r="AT368" i="2"/>
  <c r="AU70" i="2"/>
  <c r="AT70" i="2"/>
  <c r="AX366" i="2"/>
  <c r="AW366" i="2"/>
  <c r="AX357" i="2"/>
  <c r="AW357" i="2"/>
  <c r="AO443" i="2"/>
  <c r="AP443" i="2" s="1"/>
  <c r="AO433" i="2"/>
  <c r="AP433" i="2" s="1"/>
  <c r="AQ350" i="2"/>
  <c r="AS349" i="2"/>
  <c r="AS340" i="2"/>
  <c r="AQ341" i="2"/>
  <c r="AQ343" i="2"/>
  <c r="AQ344" i="2"/>
  <c r="AQ346" i="2"/>
  <c r="AQ347" i="2"/>
  <c r="AS335" i="2"/>
  <c r="AQ335" i="2"/>
  <c r="AQ331" i="2"/>
  <c r="AS331" i="2"/>
  <c r="AQ328" i="2"/>
  <c r="AS328" i="2"/>
  <c r="AS325" i="2"/>
  <c r="AQ325" i="2"/>
  <c r="AS322" i="2"/>
  <c r="AQ322" i="2"/>
  <c r="AQ394" i="2"/>
  <c r="AS394" i="2"/>
  <c r="AS393" i="2"/>
  <c r="AQ393" i="2"/>
  <c r="AO439" i="2"/>
  <c r="AP439" i="2" s="1"/>
  <c r="AS439" i="2" s="1"/>
  <c r="AO448" i="2"/>
  <c r="AP448" i="2" s="1"/>
  <c r="AO446" i="2"/>
  <c r="AP446" i="2" s="1"/>
  <c r="AS446" i="2" s="1"/>
  <c r="AO444" i="2"/>
  <c r="AP444" i="2" s="1"/>
  <c r="AQ444" i="2" s="1"/>
  <c r="AO434" i="2"/>
  <c r="AP434" i="2" s="1"/>
  <c r="AS434" i="2" s="1"/>
  <c r="AO447" i="2"/>
  <c r="AP447" i="2" s="1"/>
  <c r="AO438" i="2"/>
  <c r="AP438" i="2" s="1"/>
  <c r="AS438" i="2" s="1"/>
  <c r="AO445" i="2"/>
  <c r="AP445" i="2" s="1"/>
  <c r="AS445" i="2" s="1"/>
  <c r="AO436" i="2"/>
  <c r="AP436" i="2" s="1"/>
  <c r="AO437" i="2"/>
  <c r="AP437" i="2" s="1"/>
  <c r="AP435" i="2"/>
  <c r="AQ435" i="2" s="1"/>
  <c r="AJ455" i="2"/>
  <c r="AI455" i="2" s="1"/>
  <c r="AJ453" i="2"/>
  <c r="AI453" i="2" s="1"/>
  <c r="AM455" i="2"/>
  <c r="AL455" i="2" s="1"/>
  <c r="AM453" i="2"/>
  <c r="AL453" i="2" s="1"/>
  <c r="AI110" i="4"/>
  <c r="AJ110" i="4"/>
  <c r="AI109" i="4"/>
  <c r="AJ109" i="4"/>
  <c r="AN455" i="2"/>
  <c r="AR455" i="2"/>
  <c r="AN453" i="2"/>
  <c r="AR453" i="2"/>
  <c r="AI111" i="4"/>
  <c r="AJ111" i="4"/>
  <c r="AJ461" i="2"/>
  <c r="AI461" i="2" s="1"/>
  <c r="AM461" i="2"/>
  <c r="AL461" i="2" s="1"/>
  <c r="AJ460" i="2"/>
  <c r="AI460" i="2" s="1"/>
  <c r="AM460" i="2"/>
  <c r="AL460" i="2" s="1"/>
  <c r="AI459" i="2"/>
  <c r="AL459" i="2"/>
  <c r="AI458" i="2"/>
  <c r="AL458" i="2"/>
  <c r="AI399" i="2"/>
  <c r="AL399" i="2"/>
  <c r="AN459" i="2"/>
  <c r="AR459" i="2"/>
  <c r="AN460" i="2"/>
  <c r="AR460" i="2"/>
  <c r="AN461" i="2"/>
  <c r="AR461" i="2"/>
  <c r="AR458" i="2"/>
  <c r="AN458" i="2"/>
  <c r="AJ463" i="2"/>
  <c r="AI463" i="2" s="1"/>
  <c r="AL463" i="2"/>
  <c r="AI112" i="4"/>
  <c r="AJ112" i="4"/>
  <c r="AR282" i="2"/>
  <c r="AN282" i="2"/>
  <c r="AM282" i="2"/>
  <c r="AL282" i="2" s="1"/>
  <c r="AJ282" i="2"/>
  <c r="AI282" i="2" s="1"/>
  <c r="AJ281" i="2"/>
  <c r="AI281" i="2" s="1"/>
  <c r="AJ280" i="2"/>
  <c r="AI280" i="2" s="1"/>
  <c r="AJ279" i="2"/>
  <c r="AI279" i="2" s="1"/>
  <c r="AN280" i="2"/>
  <c r="AR280" i="2"/>
  <c r="AN281" i="2"/>
  <c r="AR281" i="2"/>
  <c r="AM281" i="2"/>
  <c r="AL281" i="2" s="1"/>
  <c r="AM280" i="2"/>
  <c r="AL280" i="2" s="1"/>
  <c r="AM279" i="2"/>
  <c r="AL279" i="2" s="1"/>
  <c r="AI70" i="4"/>
  <c r="AJ70" i="4"/>
  <c r="AI295" i="2"/>
  <c r="AI292" i="2"/>
  <c r="AL295" i="2"/>
  <c r="AL292" i="2"/>
  <c r="AI294" i="2"/>
  <c r="AI291" i="2"/>
  <c r="AL294" i="2"/>
  <c r="AL291" i="2"/>
  <c r="AN294" i="2"/>
  <c r="AR294" i="2"/>
  <c r="AN295" i="2"/>
  <c r="AR295" i="2"/>
  <c r="AN291" i="2"/>
  <c r="AR291" i="2"/>
  <c r="AN292" i="2"/>
  <c r="AR292" i="2"/>
  <c r="AI74" i="4"/>
  <c r="AJ74" i="4"/>
  <c r="AI73" i="4"/>
  <c r="AJ73" i="4"/>
  <c r="AI72" i="4"/>
  <c r="AJ72" i="4"/>
  <c r="AI71" i="4"/>
  <c r="AJ71" i="4"/>
  <c r="AI288" i="2"/>
  <c r="AI285" i="2"/>
  <c r="AL288" i="2"/>
  <c r="AL285" i="2"/>
  <c r="AR285" i="2"/>
  <c r="AN285" i="2"/>
  <c r="AR288" i="2"/>
  <c r="AN288" i="2"/>
  <c r="AI287" i="2"/>
  <c r="AI284" i="2"/>
  <c r="AL287" i="2"/>
  <c r="AL284" i="2"/>
  <c r="AX203" i="2" l="1"/>
  <c r="AW203" i="2"/>
  <c r="AU347" i="2"/>
  <c r="AT347" i="2"/>
  <c r="AU394" i="2"/>
  <c r="AT394" i="2"/>
  <c r="AV394" i="2" s="1"/>
  <c r="AU346" i="2"/>
  <c r="AT346" i="2"/>
  <c r="AU435" i="2"/>
  <c r="AT435" i="2"/>
  <c r="AV435" i="2" s="1"/>
  <c r="AV358" i="2"/>
  <c r="AW358" i="2"/>
  <c r="AX358" i="2"/>
  <c r="AU322" i="2"/>
  <c r="AT322" i="2"/>
  <c r="AV322" i="2" s="1"/>
  <c r="AU344" i="2"/>
  <c r="AT344" i="2"/>
  <c r="AV37" i="2"/>
  <c r="AW37" i="2"/>
  <c r="AX37" i="2"/>
  <c r="AX322" i="2"/>
  <c r="AU343" i="2"/>
  <c r="AT343" i="2"/>
  <c r="AU325" i="2"/>
  <c r="AT325" i="2"/>
  <c r="AV325" i="2" s="1"/>
  <c r="AU341" i="2"/>
  <c r="AT341" i="2"/>
  <c r="AV70" i="2"/>
  <c r="AX70" i="2"/>
  <c r="AW70" i="2"/>
  <c r="AV356" i="2"/>
  <c r="AX356" i="2"/>
  <c r="AW356" i="2"/>
  <c r="AV84" i="2"/>
  <c r="AW84" i="2"/>
  <c r="AX84" i="2"/>
  <c r="AV362" i="2"/>
  <c r="AX362" i="2"/>
  <c r="AW362" i="2"/>
  <c r="AV368" i="2"/>
  <c r="AW368" i="2"/>
  <c r="AX368" i="2"/>
  <c r="AU328" i="2"/>
  <c r="AT328" i="2"/>
  <c r="AV328" i="2" s="1"/>
  <c r="AU350" i="2"/>
  <c r="AT350" i="2"/>
  <c r="AX340" i="2"/>
  <c r="AW340" i="2"/>
  <c r="AU444" i="2"/>
  <c r="AT444" i="2"/>
  <c r="AV444" i="2" s="1"/>
  <c r="AW349" i="2"/>
  <c r="AX349" i="2"/>
  <c r="AU331" i="2"/>
  <c r="AT331" i="2"/>
  <c r="AV331" i="2" s="1"/>
  <c r="AU393" i="2"/>
  <c r="AT393" i="2"/>
  <c r="AV393" i="2" s="1"/>
  <c r="AU335" i="2"/>
  <c r="AT335" i="2"/>
  <c r="AV335" i="2" s="1"/>
  <c r="AS435" i="2"/>
  <c r="AQ436" i="2"/>
  <c r="AS436" i="2"/>
  <c r="AQ446" i="2"/>
  <c r="AQ437" i="2"/>
  <c r="AS437" i="2"/>
  <c r="AQ438" i="2"/>
  <c r="AQ445" i="2"/>
  <c r="AQ439" i="2"/>
  <c r="AO453" i="2"/>
  <c r="AP453" i="2" s="1"/>
  <c r="AS453" i="2" s="1"/>
  <c r="AQ434" i="2"/>
  <c r="AS444" i="2"/>
  <c r="AQ448" i="2"/>
  <c r="AS448" i="2"/>
  <c r="AQ447" i="2"/>
  <c r="AS447" i="2"/>
  <c r="AS443" i="2"/>
  <c r="AQ443" i="2"/>
  <c r="AS433" i="2"/>
  <c r="AQ433" i="2"/>
  <c r="AO460" i="2"/>
  <c r="AP460" i="2" s="1"/>
  <c r="AS460" i="2" s="1"/>
  <c r="AO294" i="2"/>
  <c r="AP294" i="2" s="1"/>
  <c r="AQ294" i="2" s="1"/>
  <c r="AO461" i="2"/>
  <c r="AP461" i="2" s="1"/>
  <c r="AS461" i="2" s="1"/>
  <c r="AO458" i="2"/>
  <c r="AP458" i="2" s="1"/>
  <c r="AS458" i="2" s="1"/>
  <c r="AO459" i="2"/>
  <c r="AP459" i="2" s="1"/>
  <c r="AS459" i="2" s="1"/>
  <c r="AO288" i="2"/>
  <c r="AP288" i="2" s="1"/>
  <c r="AO291" i="2"/>
  <c r="AP291" i="2" s="1"/>
  <c r="AQ291" i="2" s="1"/>
  <c r="AO455" i="2"/>
  <c r="AP455" i="2" s="1"/>
  <c r="AS455" i="2" s="1"/>
  <c r="AO292" i="2"/>
  <c r="AP292" i="2" s="1"/>
  <c r="AQ292" i="2" s="1"/>
  <c r="AO295" i="2"/>
  <c r="AP295" i="2" s="1"/>
  <c r="AO282" i="2"/>
  <c r="AP282" i="2" s="1"/>
  <c r="AO280" i="2"/>
  <c r="AP280" i="2" s="1"/>
  <c r="AQ280" i="2" s="1"/>
  <c r="AO281" i="2"/>
  <c r="AP281" i="2" s="1"/>
  <c r="AQ281" i="2" s="1"/>
  <c r="AO285" i="2"/>
  <c r="AP285" i="2" s="1"/>
  <c r="AI108" i="4"/>
  <c r="AJ108" i="4"/>
  <c r="AI107" i="4"/>
  <c r="AJ107" i="4"/>
  <c r="AI83" i="4"/>
  <c r="AJ83" i="4"/>
  <c r="AI84" i="4"/>
  <c r="AJ84" i="4"/>
  <c r="AI85" i="4"/>
  <c r="AJ85" i="4"/>
  <c r="AI82" i="4"/>
  <c r="AJ82" i="4"/>
  <c r="AI81" i="4"/>
  <c r="AJ81" i="4"/>
  <c r="AN118" i="2"/>
  <c r="AO118" i="2"/>
  <c r="AR118" i="2"/>
  <c r="AN442" i="2"/>
  <c r="AO442" i="2"/>
  <c r="AR442" i="2"/>
  <c r="AN449" i="2"/>
  <c r="AO449" i="2"/>
  <c r="AR449" i="2"/>
  <c r="AN104" i="2"/>
  <c r="AO104" i="2"/>
  <c r="AR104" i="2"/>
  <c r="AN432" i="2"/>
  <c r="AO432" i="2"/>
  <c r="AR432" i="2"/>
  <c r="AR334" i="2"/>
  <c r="AO334" i="2"/>
  <c r="AN334" i="2"/>
  <c r="AR330" i="2"/>
  <c r="AO330" i="2"/>
  <c r="AN330" i="2"/>
  <c r="AR327" i="2"/>
  <c r="AO327" i="2"/>
  <c r="AN327" i="2"/>
  <c r="AR324" i="2"/>
  <c r="AO324" i="2"/>
  <c r="AN324" i="2"/>
  <c r="AN321" i="2"/>
  <c r="AO321" i="2"/>
  <c r="AR321" i="2"/>
  <c r="AL212" i="2"/>
  <c r="AI212" i="2"/>
  <c r="AI236" i="2"/>
  <c r="AL236" i="2"/>
  <c r="AR236" i="2"/>
  <c r="AN236" i="2"/>
  <c r="AI57" i="4"/>
  <c r="AJ57" i="4"/>
  <c r="AI145" i="2"/>
  <c r="AL145" i="2"/>
  <c r="AI235" i="2"/>
  <c r="AL235" i="2"/>
  <c r="AN145" i="2"/>
  <c r="AR145" i="2"/>
  <c r="AN234" i="2"/>
  <c r="AR234" i="2"/>
  <c r="AN235" i="2"/>
  <c r="AR235" i="2"/>
  <c r="AI234" i="2"/>
  <c r="AL234" i="2"/>
  <c r="AJ318" i="2"/>
  <c r="AI318" i="2" s="1"/>
  <c r="AJ314" i="2"/>
  <c r="AI314" i="2" s="1"/>
  <c r="AJ310" i="2"/>
  <c r="AI310" i="2" s="1"/>
  <c r="AJ306" i="2"/>
  <c r="AI306" i="2" s="1"/>
  <c r="AJ302" i="2"/>
  <c r="AI302" i="2" s="1"/>
  <c r="AJ298" i="2"/>
  <c r="AI298" i="2" s="1"/>
  <c r="AM318" i="2"/>
  <c r="AL318" i="2" s="1"/>
  <c r="AM310" i="2"/>
  <c r="AL310" i="2" s="1"/>
  <c r="AM302" i="2"/>
  <c r="AL302" i="2" s="1"/>
  <c r="AM314" i="2"/>
  <c r="AL314" i="2" s="1"/>
  <c r="AM306" i="2"/>
  <c r="AL306" i="2" s="1"/>
  <c r="AN297" i="2"/>
  <c r="AR297" i="2"/>
  <c r="AN298" i="2"/>
  <c r="AR298" i="2"/>
  <c r="AM298" i="2"/>
  <c r="AL298" i="2" s="1"/>
  <c r="AJ317" i="2"/>
  <c r="AI317" i="2" s="1"/>
  <c r="AJ313" i="2"/>
  <c r="AI313" i="2" s="1"/>
  <c r="AJ309" i="2"/>
  <c r="AI309" i="2" s="1"/>
  <c r="AN302" i="2"/>
  <c r="AR302" i="2"/>
  <c r="AN305" i="2"/>
  <c r="AR305" i="2"/>
  <c r="AN306" i="2"/>
  <c r="AR306" i="2"/>
  <c r="AJ305" i="2"/>
  <c r="AI305" i="2" s="1"/>
  <c r="AN301" i="2"/>
  <c r="AR301" i="2"/>
  <c r="AJ301" i="2"/>
  <c r="AI301" i="2" s="1"/>
  <c r="AJ297" i="2"/>
  <c r="AI297" i="2" s="1"/>
  <c r="AM317" i="2"/>
  <c r="AL317" i="2" s="1"/>
  <c r="AM309" i="2"/>
  <c r="AL309" i="2" s="1"/>
  <c r="AM301" i="2"/>
  <c r="AL301" i="2" s="1"/>
  <c r="AM313" i="2"/>
  <c r="AL313" i="2" s="1"/>
  <c r="AM305" i="2"/>
  <c r="AL305" i="2" s="1"/>
  <c r="AM297" i="2"/>
  <c r="AL297" i="2" s="1"/>
  <c r="AR318" i="2"/>
  <c r="AN318" i="2"/>
  <c r="AR317" i="2"/>
  <c r="AN317" i="2"/>
  <c r="AR314" i="2"/>
  <c r="AN314" i="2"/>
  <c r="AR313" i="2"/>
  <c r="AN313" i="2"/>
  <c r="AR310" i="2"/>
  <c r="AN310" i="2"/>
  <c r="AR309" i="2"/>
  <c r="AN309" i="2"/>
  <c r="AJ77" i="4"/>
  <c r="AJ78" i="4"/>
  <c r="AJ79" i="4"/>
  <c r="AJ80" i="4"/>
  <c r="AI77" i="4"/>
  <c r="AI78" i="4"/>
  <c r="AI79" i="4"/>
  <c r="AI80" i="4"/>
  <c r="AI76" i="4"/>
  <c r="AJ76" i="4"/>
  <c r="AI75" i="4"/>
  <c r="AJ75" i="4"/>
  <c r="AJ316" i="2"/>
  <c r="AI316" i="2" s="1"/>
  <c r="AJ312" i="2"/>
  <c r="AI312" i="2" s="1"/>
  <c r="AJ308" i="2"/>
  <c r="AI308" i="2" s="1"/>
  <c r="AJ304" i="2"/>
  <c r="AI304" i="2" s="1"/>
  <c r="AJ300" i="2"/>
  <c r="AI300" i="2" s="1"/>
  <c r="AJ296" i="2"/>
  <c r="AI296" i="2" s="1"/>
  <c r="AM316" i="2"/>
  <c r="AL316" i="2" s="1"/>
  <c r="AM308" i="2"/>
  <c r="AL308" i="2" s="1"/>
  <c r="AM300" i="2"/>
  <c r="AL300" i="2" s="1"/>
  <c r="AM312" i="2"/>
  <c r="AL312" i="2" s="1"/>
  <c r="AM304" i="2"/>
  <c r="AL304" i="2" s="1"/>
  <c r="AM296" i="2"/>
  <c r="AL296" i="2" s="1"/>
  <c r="AR316" i="2"/>
  <c r="AN316" i="2"/>
  <c r="AR308" i="2"/>
  <c r="AN308" i="2"/>
  <c r="AR300" i="2"/>
  <c r="AN300" i="2"/>
  <c r="AR312" i="2"/>
  <c r="AN312" i="2"/>
  <c r="AR304" i="2"/>
  <c r="AN304" i="2"/>
  <c r="AX335" i="2" l="1"/>
  <c r="AW331" i="2"/>
  <c r="AX331" i="2"/>
  <c r="AW394" i="2"/>
  <c r="AW322" i="2"/>
  <c r="AU448" i="2"/>
  <c r="AT448" i="2"/>
  <c r="AV448" i="2" s="1"/>
  <c r="AX435" i="2"/>
  <c r="AW435" i="2"/>
  <c r="AW335" i="2"/>
  <c r="AV341" i="2"/>
  <c r="AX341" i="2"/>
  <c r="AW341" i="2"/>
  <c r="AU436" i="2"/>
  <c r="AT436" i="2"/>
  <c r="AV436" i="2" s="1"/>
  <c r="AW444" i="2"/>
  <c r="AX444" i="2"/>
  <c r="AU434" i="2"/>
  <c r="AT434" i="2"/>
  <c r="AU294" i="2"/>
  <c r="AT294" i="2"/>
  <c r="AV294" i="2" s="1"/>
  <c r="AU281" i="2"/>
  <c r="AT281" i="2"/>
  <c r="AV281" i="2" s="1"/>
  <c r="AU439" i="2"/>
  <c r="AT439" i="2"/>
  <c r="AW393" i="2"/>
  <c r="AU280" i="2"/>
  <c r="AT280" i="2"/>
  <c r="AV280" i="2" s="1"/>
  <c r="AU433" i="2"/>
  <c r="AT433" i="2"/>
  <c r="AV433" i="2" s="1"/>
  <c r="AU445" i="2"/>
  <c r="AT445" i="2"/>
  <c r="AX393" i="2"/>
  <c r="AV346" i="2"/>
  <c r="AW346" i="2"/>
  <c r="AX346" i="2"/>
  <c r="AV350" i="2"/>
  <c r="AW350" i="2"/>
  <c r="AX350" i="2"/>
  <c r="AU438" i="2"/>
  <c r="AT438" i="2"/>
  <c r="AV343" i="2"/>
  <c r="AX343" i="2"/>
  <c r="AW343" i="2"/>
  <c r="AV344" i="2"/>
  <c r="AX344" i="2"/>
  <c r="AW344" i="2"/>
  <c r="AU443" i="2"/>
  <c r="AT443" i="2"/>
  <c r="AV443" i="2" s="1"/>
  <c r="AW328" i="2"/>
  <c r="AU292" i="2"/>
  <c r="AT292" i="2"/>
  <c r="AV292" i="2" s="1"/>
  <c r="AU437" i="2"/>
  <c r="AT437" i="2"/>
  <c r="AV437" i="2" s="1"/>
  <c r="AU446" i="2"/>
  <c r="AT446" i="2"/>
  <c r="AW325" i="2"/>
  <c r="AX328" i="2"/>
  <c r="AV347" i="2"/>
  <c r="AW347" i="2"/>
  <c r="AX347" i="2"/>
  <c r="AU291" i="2"/>
  <c r="AT291" i="2"/>
  <c r="AV291" i="2" s="1"/>
  <c r="AU447" i="2"/>
  <c r="AT447" i="2"/>
  <c r="AV447" i="2" s="1"/>
  <c r="AX325" i="2"/>
  <c r="AX394" i="2"/>
  <c r="AQ461" i="2"/>
  <c r="AS294" i="2"/>
  <c r="AO145" i="2"/>
  <c r="AP145" i="2" s="1"/>
  <c r="AS145" i="2" s="1"/>
  <c r="AQ453" i="2"/>
  <c r="AO234" i="2"/>
  <c r="AP234" i="2" s="1"/>
  <c r="AS234" i="2" s="1"/>
  <c r="AS295" i="2"/>
  <c r="AQ295" i="2"/>
  <c r="AS292" i="2"/>
  <c r="AQ460" i="2"/>
  <c r="AQ459" i="2"/>
  <c r="AQ455" i="2"/>
  <c r="AQ458" i="2"/>
  <c r="AS281" i="2"/>
  <c r="AS280" i="2"/>
  <c r="AS282" i="2"/>
  <c r="AQ282" i="2"/>
  <c r="AS291" i="2"/>
  <c r="AS285" i="2"/>
  <c r="AQ285" i="2"/>
  <c r="AS288" i="2"/>
  <c r="AQ288" i="2"/>
  <c r="AP449" i="2"/>
  <c r="AQ449" i="2" s="1"/>
  <c r="AO235" i="2"/>
  <c r="AP235" i="2" s="1"/>
  <c r="AQ235" i="2" s="1"/>
  <c r="AO236" i="2"/>
  <c r="AP236" i="2" s="1"/>
  <c r="AP330" i="2"/>
  <c r="AQ330" i="2" s="1"/>
  <c r="AO317" i="2"/>
  <c r="AP317" i="2" s="1"/>
  <c r="AP442" i="2"/>
  <c r="AQ442" i="2" s="1"/>
  <c r="AP432" i="2"/>
  <c r="AS432" i="2" s="1"/>
  <c r="AP118" i="2"/>
  <c r="AS118" i="2" s="1"/>
  <c r="AP327" i="2"/>
  <c r="AS327" i="2" s="1"/>
  <c r="AP321" i="2"/>
  <c r="AQ321" i="2" s="1"/>
  <c r="AP324" i="2"/>
  <c r="AS324" i="2" s="1"/>
  <c r="AP334" i="2"/>
  <c r="AQ334" i="2" s="1"/>
  <c r="AP104" i="2"/>
  <c r="AQ104" i="2" s="1"/>
  <c r="AO306" i="2"/>
  <c r="AP306" i="2" s="1"/>
  <c r="AS306" i="2" s="1"/>
  <c r="AO310" i="2"/>
  <c r="AP310" i="2" s="1"/>
  <c r="AO301" i="2"/>
  <c r="AP301" i="2" s="1"/>
  <c r="AS301" i="2" s="1"/>
  <c r="AO305" i="2"/>
  <c r="AP305" i="2" s="1"/>
  <c r="AS305" i="2" s="1"/>
  <c r="AO297" i="2"/>
  <c r="AP297" i="2" s="1"/>
  <c r="AQ297" i="2" s="1"/>
  <c r="AO302" i="2"/>
  <c r="AP302" i="2" s="1"/>
  <c r="AS302" i="2" s="1"/>
  <c r="AO318" i="2"/>
  <c r="AP318" i="2" s="1"/>
  <c r="AO298" i="2"/>
  <c r="AP298" i="2" s="1"/>
  <c r="AS298" i="2" s="1"/>
  <c r="AO309" i="2"/>
  <c r="AP309" i="2" s="1"/>
  <c r="AO313" i="2"/>
  <c r="AP313" i="2" s="1"/>
  <c r="AO314" i="2"/>
  <c r="AP314" i="2" s="1"/>
  <c r="AO300" i="2"/>
  <c r="AP300" i="2" s="1"/>
  <c r="AQ300" i="2" s="1"/>
  <c r="AO312" i="2"/>
  <c r="AP312" i="2" s="1"/>
  <c r="AQ312" i="2" s="1"/>
  <c r="AO308" i="2"/>
  <c r="AP308" i="2" s="1"/>
  <c r="AO316" i="2"/>
  <c r="AP316" i="2" s="1"/>
  <c r="AO304" i="2"/>
  <c r="AP304" i="2" s="1"/>
  <c r="AS304" i="2" s="1"/>
  <c r="AI69" i="4"/>
  <c r="AJ69" i="4"/>
  <c r="AI68" i="4"/>
  <c r="AJ68" i="4"/>
  <c r="AR277" i="2"/>
  <c r="AO277" i="2"/>
  <c r="AN277" i="2"/>
  <c r="AR276" i="2"/>
  <c r="AO276" i="2"/>
  <c r="AN276" i="2"/>
  <c r="AR275" i="2"/>
  <c r="AO275" i="2"/>
  <c r="AN275" i="2"/>
  <c r="AR355" i="2"/>
  <c r="AO355" i="2"/>
  <c r="AN355" i="2"/>
  <c r="AR272" i="2"/>
  <c r="AO272" i="2"/>
  <c r="AN272" i="2"/>
  <c r="AR271" i="2"/>
  <c r="AO271" i="2"/>
  <c r="AN271" i="2"/>
  <c r="AR270" i="2"/>
  <c r="AO270" i="2"/>
  <c r="AN270" i="2"/>
  <c r="AN266" i="2"/>
  <c r="AO266" i="2"/>
  <c r="AR266" i="2"/>
  <c r="AN267" i="2"/>
  <c r="AO267" i="2"/>
  <c r="AR267" i="2"/>
  <c r="AI67" i="4"/>
  <c r="AJ67" i="4"/>
  <c r="AJ63" i="4"/>
  <c r="AJ64" i="4"/>
  <c r="AJ65" i="4"/>
  <c r="AJ66" i="4"/>
  <c r="AJ62" i="4"/>
  <c r="AI63" i="4"/>
  <c r="AI64" i="4"/>
  <c r="AI65" i="4"/>
  <c r="AI66" i="4"/>
  <c r="AI60" i="4"/>
  <c r="AI55" i="4"/>
  <c r="AI47" i="4"/>
  <c r="AI62" i="4"/>
  <c r="AI61" i="4"/>
  <c r="AJ61" i="4"/>
  <c r="AI264" i="2"/>
  <c r="AI260" i="2"/>
  <c r="AI256" i="2"/>
  <c r="AL264" i="2"/>
  <c r="AL260" i="2"/>
  <c r="AL256" i="2"/>
  <c r="AI262" i="2"/>
  <c r="AI258" i="2"/>
  <c r="AI254" i="2"/>
  <c r="AL262" i="2"/>
  <c r="AL258" i="2"/>
  <c r="AL254" i="2"/>
  <c r="AR264" i="2"/>
  <c r="AN264" i="2"/>
  <c r="AR262" i="2"/>
  <c r="AN262" i="2"/>
  <c r="AR260" i="2"/>
  <c r="AN260" i="2"/>
  <c r="AR258" i="2"/>
  <c r="AN258" i="2"/>
  <c r="AR256" i="2"/>
  <c r="AN256" i="2"/>
  <c r="AJ60" i="4"/>
  <c r="AI59" i="4"/>
  <c r="AJ59" i="4"/>
  <c r="AI58" i="4"/>
  <c r="AJ58" i="4"/>
  <c r="AH242" i="2"/>
  <c r="AH241" i="2"/>
  <c r="AH239" i="2"/>
  <c r="AH238" i="2"/>
  <c r="AK242" i="2"/>
  <c r="AK241" i="2"/>
  <c r="AK239" i="2"/>
  <c r="AK238" i="2"/>
  <c r="AR226" i="2"/>
  <c r="AO226" i="2"/>
  <c r="AN226" i="2"/>
  <c r="AI56" i="4"/>
  <c r="AJ56" i="4"/>
  <c r="AJ55" i="4"/>
  <c r="AI54" i="4"/>
  <c r="AJ54" i="4"/>
  <c r="AI53" i="4"/>
  <c r="AJ53" i="4"/>
  <c r="AI223" i="2"/>
  <c r="AI221" i="2"/>
  <c r="AI219" i="2"/>
  <c r="AI217" i="2"/>
  <c r="AL223" i="2"/>
  <c r="AL221" i="2"/>
  <c r="AL219" i="2"/>
  <c r="AL217" i="2"/>
  <c r="AM345" i="2"/>
  <c r="AL345" i="2" s="1"/>
  <c r="AJ251" i="2"/>
  <c r="AI251" i="2" s="1"/>
  <c r="AM251" i="2"/>
  <c r="AL251" i="2" s="1"/>
  <c r="AJ252" i="2"/>
  <c r="AI252" i="2" s="1"/>
  <c r="AM215" i="2"/>
  <c r="AL215" i="2" s="1"/>
  <c r="AJ214" i="2"/>
  <c r="AI214" i="2" s="1"/>
  <c r="AM214" i="2"/>
  <c r="AL214" i="2" s="1"/>
  <c r="AJ210" i="2"/>
  <c r="AI210" i="2" s="1"/>
  <c r="AM210" i="2"/>
  <c r="AL210" i="2" s="1"/>
  <c r="AJ206" i="2"/>
  <c r="AI206" i="2" s="1"/>
  <c r="AM206" i="2"/>
  <c r="AL206" i="2" s="1"/>
  <c r="AJ213" i="2"/>
  <c r="AI213" i="2" s="1"/>
  <c r="AM213" i="2"/>
  <c r="AL213" i="2" s="1"/>
  <c r="AL207" i="2"/>
  <c r="AL252" i="2"/>
  <c r="AL211" i="2"/>
  <c r="AI207" i="2"/>
  <c r="AI211" i="2"/>
  <c r="AI215" i="2"/>
  <c r="AI345" i="2"/>
  <c r="AN64" i="2"/>
  <c r="AO64" i="2"/>
  <c r="AR64" i="2"/>
  <c r="AN205" i="2"/>
  <c r="AR205" i="2"/>
  <c r="AN206" i="2"/>
  <c r="AR206" i="2"/>
  <c r="AN207" i="2"/>
  <c r="AR207" i="2"/>
  <c r="AN252" i="2"/>
  <c r="AR252" i="2"/>
  <c r="AN209" i="2"/>
  <c r="AR209" i="2"/>
  <c r="AN210" i="2"/>
  <c r="AR210" i="2"/>
  <c r="AN211" i="2"/>
  <c r="AR211" i="2"/>
  <c r="AN251" i="2"/>
  <c r="AR251" i="2"/>
  <c r="AN213" i="2"/>
  <c r="AR213" i="2"/>
  <c r="AN214" i="2"/>
  <c r="AR214" i="2"/>
  <c r="AN215" i="2"/>
  <c r="AR215" i="2"/>
  <c r="AN345" i="2"/>
  <c r="AR345" i="2"/>
  <c r="AJ209" i="2"/>
  <c r="AI209" i="2" s="1"/>
  <c r="AM209" i="2"/>
  <c r="AL209" i="2" s="1"/>
  <c r="AJ205" i="2"/>
  <c r="AI205" i="2" s="1"/>
  <c r="AM205" i="2"/>
  <c r="AL205" i="2" s="1"/>
  <c r="AK452" i="2"/>
  <c r="AK451" i="2"/>
  <c r="AH452" i="2"/>
  <c r="AH451" i="2"/>
  <c r="AH144" i="2"/>
  <c r="AK144" i="2"/>
  <c r="AK142" i="2"/>
  <c r="AH142" i="2"/>
  <c r="AH143" i="2"/>
  <c r="AK143" i="2"/>
  <c r="AK141" i="2"/>
  <c r="AH141" i="2"/>
  <c r="AW448" i="2" l="1"/>
  <c r="AX448" i="2"/>
  <c r="AW437" i="2"/>
  <c r="AW433" i="2"/>
  <c r="AX437" i="2"/>
  <c r="AX433" i="2"/>
  <c r="AU334" i="2"/>
  <c r="AT334" i="2"/>
  <c r="AV334" i="2" s="1"/>
  <c r="AU288" i="2"/>
  <c r="AT288" i="2"/>
  <c r="AV288" i="2" s="1"/>
  <c r="AU460" i="2"/>
  <c r="AT460" i="2"/>
  <c r="AX436" i="2"/>
  <c r="AW447" i="2"/>
  <c r="AU104" i="2"/>
  <c r="AT104" i="2"/>
  <c r="AV104" i="2" s="1"/>
  <c r="AX292" i="2"/>
  <c r="AW292" i="2"/>
  <c r="AX447" i="2"/>
  <c r="AU321" i="2"/>
  <c r="AT321" i="2"/>
  <c r="AV321" i="2" s="1"/>
  <c r="AU285" i="2"/>
  <c r="AT285" i="2"/>
  <c r="AV285" i="2" s="1"/>
  <c r="AU295" i="2"/>
  <c r="AT295" i="2"/>
  <c r="AV295" i="2" s="1"/>
  <c r="AU459" i="2"/>
  <c r="AT459" i="2"/>
  <c r="AX291" i="2"/>
  <c r="AW291" i="2"/>
  <c r="AU449" i="2"/>
  <c r="AT449" i="2"/>
  <c r="AV449" i="2" s="1"/>
  <c r="AV434" i="2"/>
  <c r="AW434" i="2"/>
  <c r="AX434" i="2"/>
  <c r="AU282" i="2"/>
  <c r="AT282" i="2"/>
  <c r="AV282" i="2" s="1"/>
  <c r="AU453" i="2"/>
  <c r="AT453" i="2"/>
  <c r="AV439" i="2"/>
  <c r="AX439" i="2"/>
  <c r="AW439" i="2"/>
  <c r="AU297" i="2"/>
  <c r="AT297" i="2"/>
  <c r="AV297" i="2" s="1"/>
  <c r="AU442" i="2"/>
  <c r="AT442" i="2"/>
  <c r="AV442" i="2" s="1"/>
  <c r="AX443" i="2"/>
  <c r="AU300" i="2"/>
  <c r="AT300" i="2"/>
  <c r="AV300" i="2" s="1"/>
  <c r="AX280" i="2"/>
  <c r="AW280" i="2"/>
  <c r="AX294" i="2"/>
  <c r="AW294" i="2"/>
  <c r="AW443" i="2"/>
  <c r="AU330" i="2"/>
  <c r="AT330" i="2"/>
  <c r="AV330" i="2" s="1"/>
  <c r="AX281" i="2"/>
  <c r="AW281" i="2"/>
  <c r="AU461" i="2"/>
  <c r="AT461" i="2"/>
  <c r="AV445" i="2"/>
  <c r="AW445" i="2"/>
  <c r="AX445" i="2"/>
  <c r="AU458" i="2"/>
  <c r="AT458" i="2"/>
  <c r="AV438" i="2"/>
  <c r="AW438" i="2"/>
  <c r="AX438" i="2"/>
  <c r="AW436" i="2"/>
  <c r="AU312" i="2"/>
  <c r="AT312" i="2"/>
  <c r="AV312" i="2" s="1"/>
  <c r="AU235" i="2"/>
  <c r="AT235" i="2"/>
  <c r="AV235" i="2" s="1"/>
  <c r="AU455" i="2"/>
  <c r="AT455" i="2"/>
  <c r="AV446" i="2"/>
  <c r="AX446" i="2"/>
  <c r="AW446" i="2"/>
  <c r="AS330" i="2"/>
  <c r="AS449" i="2"/>
  <c r="AS321" i="2"/>
  <c r="AQ234" i="2"/>
  <c r="AQ118" i="2"/>
  <c r="AY142" i="2"/>
  <c r="AQ432" i="2"/>
  <c r="AS334" i="2"/>
  <c r="AS442" i="2"/>
  <c r="AQ327" i="2"/>
  <c r="AS235" i="2"/>
  <c r="AY241" i="2"/>
  <c r="AZ241" i="2"/>
  <c r="AY242" i="2"/>
  <c r="AZ242" i="2"/>
  <c r="AS104" i="2"/>
  <c r="AZ141" i="2"/>
  <c r="AQ324" i="2"/>
  <c r="AQ145" i="2"/>
  <c r="AY238" i="2"/>
  <c r="AZ238" i="2"/>
  <c r="AY239" i="2"/>
  <c r="AZ239" i="2"/>
  <c r="AS236" i="2"/>
  <c r="AQ236" i="2"/>
  <c r="AQ301" i="2"/>
  <c r="AQ305" i="2"/>
  <c r="AQ298" i="2"/>
  <c r="AS297" i="2"/>
  <c r="AQ306" i="2"/>
  <c r="AO260" i="2"/>
  <c r="AP260" i="2" s="1"/>
  <c r="AQ260" i="2" s="1"/>
  <c r="AQ302" i="2"/>
  <c r="AS318" i="2"/>
  <c r="AQ318" i="2"/>
  <c r="AS317" i="2"/>
  <c r="AQ317" i="2"/>
  <c r="AS314" i="2"/>
  <c r="AQ314" i="2"/>
  <c r="AS313" i="2"/>
  <c r="AQ313" i="2"/>
  <c r="AS310" i="2"/>
  <c r="AQ310" i="2"/>
  <c r="AS309" i="2"/>
  <c r="AQ309" i="2"/>
  <c r="AZ144" i="2"/>
  <c r="AO258" i="2"/>
  <c r="AP258" i="2" s="1"/>
  <c r="AS258" i="2" s="1"/>
  <c r="AO262" i="2"/>
  <c r="AP262" i="2" s="1"/>
  <c r="AS262" i="2" s="1"/>
  <c r="AO264" i="2"/>
  <c r="AP264" i="2" s="1"/>
  <c r="AS264" i="2" s="1"/>
  <c r="AO256" i="2"/>
  <c r="AP256" i="2" s="1"/>
  <c r="AS256" i="2" s="1"/>
  <c r="AZ143" i="2"/>
  <c r="AQ316" i="2"/>
  <c r="AS316" i="2"/>
  <c r="AS300" i="2"/>
  <c r="AQ308" i="2"/>
  <c r="AS308" i="2"/>
  <c r="AS312" i="2"/>
  <c r="AQ304" i="2"/>
  <c r="AP277" i="2"/>
  <c r="AQ277" i="2" s="1"/>
  <c r="AP276" i="2"/>
  <c r="AS276" i="2" s="1"/>
  <c r="AP355" i="2"/>
  <c r="AS355" i="2" s="1"/>
  <c r="AP275" i="2"/>
  <c r="AQ275" i="2" s="1"/>
  <c r="AP270" i="2"/>
  <c r="AS270" i="2" s="1"/>
  <c r="AP266" i="2"/>
  <c r="AS266" i="2" s="1"/>
  <c r="AP271" i="2"/>
  <c r="AS271" i="2" s="1"/>
  <c r="AO206" i="2"/>
  <c r="AP206" i="2" s="1"/>
  <c r="AQ206" i="2" s="1"/>
  <c r="AP272" i="2"/>
  <c r="AS272" i="2" s="1"/>
  <c r="AP267" i="2"/>
  <c r="AS267" i="2" s="1"/>
  <c r="AZ451" i="2"/>
  <c r="AY144" i="2"/>
  <c r="AP226" i="2"/>
  <c r="AQ226" i="2" s="1"/>
  <c r="AU226" i="2" s="1"/>
  <c r="AZ142" i="2"/>
  <c r="AZ452" i="2"/>
  <c r="AY143" i="2"/>
  <c r="AY141" i="2"/>
  <c r="AO211" i="2"/>
  <c r="AP211" i="2" s="1"/>
  <c r="AQ211" i="2" s="1"/>
  <c r="AO205" i="2"/>
  <c r="AP205" i="2" s="1"/>
  <c r="AQ205" i="2" s="1"/>
  <c r="AO209" i="2"/>
  <c r="AP209" i="2" s="1"/>
  <c r="AQ209" i="2" s="1"/>
  <c r="AP64" i="2"/>
  <c r="AQ64" i="2" s="1"/>
  <c r="AO345" i="2"/>
  <c r="AP345" i="2" s="1"/>
  <c r="AO251" i="2"/>
  <c r="AP251" i="2" s="1"/>
  <c r="AS251" i="2" s="1"/>
  <c r="AO252" i="2"/>
  <c r="AP252" i="2" s="1"/>
  <c r="AO215" i="2"/>
  <c r="AP215" i="2" s="1"/>
  <c r="AO207" i="2"/>
  <c r="AP207" i="2" s="1"/>
  <c r="AQ207" i="2" s="1"/>
  <c r="AO214" i="2"/>
  <c r="AP214" i="2" s="1"/>
  <c r="AQ214" i="2" s="1"/>
  <c r="AO210" i="2"/>
  <c r="AP210" i="2" s="1"/>
  <c r="AO213" i="2"/>
  <c r="AP213" i="2" s="1"/>
  <c r="AS213" i="2" s="1"/>
  <c r="AY452" i="2"/>
  <c r="AY451" i="2"/>
  <c r="AH168" i="2"/>
  <c r="AK168" i="2"/>
  <c r="AK161" i="2"/>
  <c r="AH161" i="2"/>
  <c r="AK165" i="2"/>
  <c r="AK158" i="2"/>
  <c r="AH165" i="2"/>
  <c r="AH158" i="2"/>
  <c r="AI30" i="4"/>
  <c r="AJ30" i="4"/>
  <c r="AI29" i="4"/>
  <c r="AJ29" i="4"/>
  <c r="AJ167" i="2"/>
  <c r="AI167" i="2" s="1"/>
  <c r="AM167" i="2"/>
  <c r="AL167" i="2" s="1"/>
  <c r="AM160" i="2"/>
  <c r="AL160" i="2" s="1"/>
  <c r="AJ160" i="2"/>
  <c r="AI160" i="2" s="1"/>
  <c r="AJ164" i="2"/>
  <c r="AI164" i="2" s="1"/>
  <c r="AM164" i="2"/>
  <c r="AL164" i="2" s="1"/>
  <c r="AM157" i="2"/>
  <c r="AL157" i="2" s="1"/>
  <c r="AJ157" i="2"/>
  <c r="AI157" i="2" s="1"/>
  <c r="AJ166" i="2"/>
  <c r="AI166" i="2" s="1"/>
  <c r="AM166" i="2"/>
  <c r="AL166" i="2" s="1"/>
  <c r="AM159" i="2"/>
  <c r="AL159" i="2" s="1"/>
  <c r="AJ159" i="2"/>
  <c r="AI159" i="2" s="1"/>
  <c r="AJ163" i="2"/>
  <c r="AI163" i="2" s="1"/>
  <c r="AR167" i="2"/>
  <c r="AN167" i="2"/>
  <c r="AR166" i="2"/>
  <c r="AN166" i="2"/>
  <c r="AR164" i="2"/>
  <c r="AN164" i="2"/>
  <c r="AR163" i="2"/>
  <c r="AN163" i="2"/>
  <c r="AM163" i="2"/>
  <c r="AL163" i="2" s="1"/>
  <c r="AM156" i="2"/>
  <c r="AL156" i="2" s="1"/>
  <c r="AN156" i="2"/>
  <c r="AR156" i="2"/>
  <c r="AJ156" i="2"/>
  <c r="AI156" i="2" s="1"/>
  <c r="AR159" i="2"/>
  <c r="AN159" i="2"/>
  <c r="AR157" i="2"/>
  <c r="AN157" i="2"/>
  <c r="AR160" i="2"/>
  <c r="AN160" i="2"/>
  <c r="AI180" i="2"/>
  <c r="AL180" i="2"/>
  <c r="AI342" i="2"/>
  <c r="AL342" i="2"/>
  <c r="AX282" i="2" l="1"/>
  <c r="AW282" i="2"/>
  <c r="AX285" i="2"/>
  <c r="AU205" i="2"/>
  <c r="AT205" i="2"/>
  <c r="AV205" i="2" s="1"/>
  <c r="AU313" i="2"/>
  <c r="AT313" i="2"/>
  <c r="AV313" i="2" s="1"/>
  <c r="AU298" i="2"/>
  <c r="AT298" i="2"/>
  <c r="AW104" i="2"/>
  <c r="AX104" i="2"/>
  <c r="AU234" i="2"/>
  <c r="AT234" i="2"/>
  <c r="AW285" i="2"/>
  <c r="AU206" i="2"/>
  <c r="AT206" i="2"/>
  <c r="AV206" i="2" s="1"/>
  <c r="AX297" i="2"/>
  <c r="AW297" i="2"/>
  <c r="AU211" i="2"/>
  <c r="AT211" i="2"/>
  <c r="AV211" i="2" s="1"/>
  <c r="AX321" i="2"/>
  <c r="AW321" i="2"/>
  <c r="AU301" i="2"/>
  <c r="AT301" i="2"/>
  <c r="AU275" i="2"/>
  <c r="AT275" i="2"/>
  <c r="AV275" i="2" s="1"/>
  <c r="AU236" i="2"/>
  <c r="AT236" i="2"/>
  <c r="AV236" i="2" s="1"/>
  <c r="AX330" i="2"/>
  <c r="AW330" i="2"/>
  <c r="AW295" i="2"/>
  <c r="AV453" i="2"/>
  <c r="AX453" i="2"/>
  <c r="AW453" i="2"/>
  <c r="AU214" i="2"/>
  <c r="AT214" i="2"/>
  <c r="AV214" i="2" s="1"/>
  <c r="AU317" i="2"/>
  <c r="AT317" i="2"/>
  <c r="AV317" i="2" s="1"/>
  <c r="AX295" i="2"/>
  <c r="AV461" i="2"/>
  <c r="AW461" i="2"/>
  <c r="AX461" i="2"/>
  <c r="AU207" i="2"/>
  <c r="AT207" i="2"/>
  <c r="AV207" i="2" s="1"/>
  <c r="AW235" i="2"/>
  <c r="AX235" i="2"/>
  <c r="AV460" i="2"/>
  <c r="AW460" i="2"/>
  <c r="AX460" i="2"/>
  <c r="AU277" i="2"/>
  <c r="AT277" i="2"/>
  <c r="AV277" i="2" s="1"/>
  <c r="AU318" i="2"/>
  <c r="AT318" i="2"/>
  <c r="AV318" i="2" s="1"/>
  <c r="AU327" i="2"/>
  <c r="AT327" i="2"/>
  <c r="AX300" i="2"/>
  <c r="AW300" i="2"/>
  <c r="AU316" i="2"/>
  <c r="AT316" i="2"/>
  <c r="AV316" i="2" s="1"/>
  <c r="AU304" i="2"/>
  <c r="AT304" i="2"/>
  <c r="AX442" i="2"/>
  <c r="AW442" i="2"/>
  <c r="AV455" i="2"/>
  <c r="AX455" i="2"/>
  <c r="AW455" i="2"/>
  <c r="AU305" i="2"/>
  <c r="AT305" i="2"/>
  <c r="AU314" i="2"/>
  <c r="AT314" i="2"/>
  <c r="AV314" i="2" s="1"/>
  <c r="AX449" i="2"/>
  <c r="AW449" i="2"/>
  <c r="AX312" i="2"/>
  <c r="AW312" i="2"/>
  <c r="AU309" i="2"/>
  <c r="AT309" i="2"/>
  <c r="AV309" i="2" s="1"/>
  <c r="AU302" i="2"/>
  <c r="AT302" i="2"/>
  <c r="AX334" i="2"/>
  <c r="AW334" i="2"/>
  <c r="AU209" i="2"/>
  <c r="AT209" i="2"/>
  <c r="AV209" i="2" s="1"/>
  <c r="AU118" i="2"/>
  <c r="AT118" i="2"/>
  <c r="AU260" i="2"/>
  <c r="AT260" i="2"/>
  <c r="AV260" i="2" s="1"/>
  <c r="AU145" i="2"/>
  <c r="AT145" i="2"/>
  <c r="AU432" i="2"/>
  <c r="AT432" i="2"/>
  <c r="AV458" i="2"/>
  <c r="AX458" i="2"/>
  <c r="AW458" i="2"/>
  <c r="AW288" i="2"/>
  <c r="AU64" i="2"/>
  <c r="AT64" i="2"/>
  <c r="AV64" i="2" s="1"/>
  <c r="AU308" i="2"/>
  <c r="AT308" i="2"/>
  <c r="AV308" i="2" s="1"/>
  <c r="AU310" i="2"/>
  <c r="AT310" i="2"/>
  <c r="AV310" i="2" s="1"/>
  <c r="AU306" i="2"/>
  <c r="AT306" i="2"/>
  <c r="AU324" i="2"/>
  <c r="AT324" i="2"/>
  <c r="AV459" i="2"/>
  <c r="AX459" i="2"/>
  <c r="AW459" i="2"/>
  <c r="AX288" i="2"/>
  <c r="AQ272" i="2"/>
  <c r="AQ276" i="2"/>
  <c r="AS226" i="2"/>
  <c r="AY161" i="2"/>
  <c r="AZ161" i="2"/>
  <c r="AS277" i="2"/>
  <c r="AS275" i="2"/>
  <c r="AQ355" i="2"/>
  <c r="AS209" i="2"/>
  <c r="AQ271" i="2"/>
  <c r="AQ270" i="2"/>
  <c r="AQ266" i="2"/>
  <c r="AU266" i="2" s="1"/>
  <c r="AQ267" i="2"/>
  <c r="AU267" i="2" s="1"/>
  <c r="AQ262" i="2"/>
  <c r="AQ256" i="2"/>
  <c r="AS260" i="2"/>
  <c r="AQ258" i="2"/>
  <c r="AQ264" i="2"/>
  <c r="AY168" i="2"/>
  <c r="AS64" i="2"/>
  <c r="AS205" i="2"/>
  <c r="AS206" i="2"/>
  <c r="AQ213" i="2"/>
  <c r="AS211" i="2"/>
  <c r="AO157" i="2"/>
  <c r="AP157" i="2" s="1"/>
  <c r="AQ157" i="2" s="1"/>
  <c r="AS252" i="2"/>
  <c r="AQ252" i="2"/>
  <c r="AO164" i="2"/>
  <c r="AP164" i="2" s="1"/>
  <c r="AS164" i="2" s="1"/>
  <c r="AO163" i="2"/>
  <c r="AP163" i="2" s="1"/>
  <c r="AQ345" i="2"/>
  <c r="AS345" i="2"/>
  <c r="AS215" i="2"/>
  <c r="AQ215" i="2"/>
  <c r="AS210" i="2"/>
  <c r="AQ210" i="2"/>
  <c r="AQ251" i="2"/>
  <c r="AS214" i="2"/>
  <c r="AS207" i="2"/>
  <c r="AY165" i="2"/>
  <c r="AZ168" i="2"/>
  <c r="AO156" i="2"/>
  <c r="AP156" i="2" s="1"/>
  <c r="AS156" i="2" s="1"/>
  <c r="AO159" i="2"/>
  <c r="AP159" i="2" s="1"/>
  <c r="AS159" i="2" s="1"/>
  <c r="AO167" i="2"/>
  <c r="AP167" i="2" s="1"/>
  <c r="AQ167" i="2" s="1"/>
  <c r="AZ165" i="2"/>
  <c r="AO166" i="2"/>
  <c r="AP166" i="2" s="1"/>
  <c r="AQ166" i="2" s="1"/>
  <c r="AZ158" i="2"/>
  <c r="AO160" i="2"/>
  <c r="AP160" i="2" s="1"/>
  <c r="AS160" i="2" s="1"/>
  <c r="AY158" i="2"/>
  <c r="AI153" i="2"/>
  <c r="AI148" i="2"/>
  <c r="AL153" i="2"/>
  <c r="AL148" i="2"/>
  <c r="AI152" i="2"/>
  <c r="AI147" i="2"/>
  <c r="AL152" i="2"/>
  <c r="AL147" i="2"/>
  <c r="AI151" i="2"/>
  <c r="AI146" i="2"/>
  <c r="AL151" i="2"/>
  <c r="AL146" i="2"/>
  <c r="AI189" i="2"/>
  <c r="AN151" i="2"/>
  <c r="AR151" i="2"/>
  <c r="AN146" i="2"/>
  <c r="AR146" i="2"/>
  <c r="AI202" i="2"/>
  <c r="AL189" i="2"/>
  <c r="AL202" i="2"/>
  <c r="AI139" i="2"/>
  <c r="AL139" i="2"/>
  <c r="AI138" i="2"/>
  <c r="AL138" i="2"/>
  <c r="AL137" i="2"/>
  <c r="AI414" i="2"/>
  <c r="AL414" i="2"/>
  <c r="AR139" i="2"/>
  <c r="AN139" i="2"/>
  <c r="AI134" i="2"/>
  <c r="AL134" i="2"/>
  <c r="AI111" i="2"/>
  <c r="AL111" i="2"/>
  <c r="AI121" i="2"/>
  <c r="AL121" i="2"/>
  <c r="AI120" i="2"/>
  <c r="AL120" i="2"/>
  <c r="AI119" i="2"/>
  <c r="AL119" i="2"/>
  <c r="AI360" i="2"/>
  <c r="AL360" i="2"/>
  <c r="AI131" i="2"/>
  <c r="AI126" i="2"/>
  <c r="AL131" i="2"/>
  <c r="AL126" i="2"/>
  <c r="AI130" i="2"/>
  <c r="AN124" i="2"/>
  <c r="AN112" i="2"/>
  <c r="AN103" i="2"/>
  <c r="AN102" i="2"/>
  <c r="AN130" i="2"/>
  <c r="AR130" i="2"/>
  <c r="AN125" i="2"/>
  <c r="AR125" i="2"/>
  <c r="AI125" i="2"/>
  <c r="AL130" i="2"/>
  <c r="AL125" i="2"/>
  <c r="AI129" i="2"/>
  <c r="AI124" i="2"/>
  <c r="AL129" i="2"/>
  <c r="AL124" i="2"/>
  <c r="AI269" i="2"/>
  <c r="AL269" i="2"/>
  <c r="AI192" i="2"/>
  <c r="AL192" i="2"/>
  <c r="X113" i="2"/>
  <c r="W113" i="2"/>
  <c r="X112" i="2"/>
  <c r="W112" i="2"/>
  <c r="X441" i="2"/>
  <c r="W441" i="2"/>
  <c r="AK113" i="2"/>
  <c r="AH113" i="2"/>
  <c r="AI33" i="4"/>
  <c r="AJ33" i="4"/>
  <c r="AI32" i="4"/>
  <c r="AJ32" i="4"/>
  <c r="AI31" i="4"/>
  <c r="AJ31" i="4"/>
  <c r="AL348" i="2"/>
  <c r="AI348" i="2"/>
  <c r="AL173" i="2"/>
  <c r="AI173" i="2"/>
  <c r="AI69" i="2"/>
  <c r="AN68" i="2"/>
  <c r="AN69" i="2"/>
  <c r="AL69" i="2"/>
  <c r="AI68" i="2"/>
  <c r="AL68" i="2"/>
  <c r="AI7" i="2"/>
  <c r="AI6" i="2"/>
  <c r="AI22" i="4"/>
  <c r="AJ22" i="4"/>
  <c r="AI21" i="4"/>
  <c r="AJ21" i="4"/>
  <c r="AN58" i="2"/>
  <c r="AR58" i="2"/>
  <c r="AI55" i="2"/>
  <c r="AL55" i="2"/>
  <c r="AL58" i="2"/>
  <c r="AO58" i="2" s="1"/>
  <c r="AR57" i="2"/>
  <c r="AN57" i="2"/>
  <c r="AL57" i="2"/>
  <c r="AI57" i="2"/>
  <c r="AI54" i="2"/>
  <c r="AL54" i="2"/>
  <c r="AI51" i="2"/>
  <c r="AL51" i="2"/>
  <c r="AL48" i="2"/>
  <c r="AI48" i="2"/>
  <c r="AX317" i="2" l="1"/>
  <c r="AW317" i="2"/>
  <c r="AW309" i="2"/>
  <c r="AX308" i="2"/>
  <c r="AW314" i="2"/>
  <c r="AW310" i="2"/>
  <c r="AX314" i="2"/>
  <c r="AX310" i="2"/>
  <c r="AX309" i="2"/>
  <c r="AW308" i="2"/>
  <c r="AX206" i="2"/>
  <c r="AW206" i="2"/>
  <c r="AU271" i="2"/>
  <c r="AT271" i="2"/>
  <c r="AU210" i="2"/>
  <c r="AT210" i="2"/>
  <c r="AV210" i="2" s="1"/>
  <c r="AW205" i="2"/>
  <c r="AX205" i="2"/>
  <c r="AV298" i="2"/>
  <c r="AW298" i="2"/>
  <c r="AX298" i="2"/>
  <c r="AW64" i="2"/>
  <c r="AX64" i="2"/>
  <c r="AU355" i="2"/>
  <c r="AT355" i="2"/>
  <c r="AV324" i="2"/>
  <c r="AW324" i="2"/>
  <c r="AX324" i="2"/>
  <c r="AU167" i="2"/>
  <c r="AT167" i="2"/>
  <c r="AV167" i="2" s="1"/>
  <c r="AX275" i="2"/>
  <c r="AW275" i="2"/>
  <c r="AU166" i="2"/>
  <c r="AT166" i="2"/>
  <c r="AV166" i="2" s="1"/>
  <c r="AU345" i="2"/>
  <c r="AT345" i="2"/>
  <c r="AV345" i="2" s="1"/>
  <c r="AU264" i="2"/>
  <c r="AT264" i="2"/>
  <c r="AX277" i="2"/>
  <c r="AW277" i="2"/>
  <c r="AV306" i="2"/>
  <c r="AX306" i="2"/>
  <c r="AW306" i="2"/>
  <c r="AV118" i="2"/>
  <c r="AX118" i="2"/>
  <c r="AW118" i="2"/>
  <c r="AW313" i="2"/>
  <c r="AU258" i="2"/>
  <c r="AT258" i="2"/>
  <c r="AX318" i="2"/>
  <c r="AV327" i="2"/>
  <c r="AX327" i="2"/>
  <c r="AW327" i="2"/>
  <c r="AX313" i="2"/>
  <c r="AW316" i="2"/>
  <c r="AX260" i="2"/>
  <c r="AW260" i="2"/>
  <c r="AV432" i="2"/>
  <c r="AX432" i="2"/>
  <c r="AW432" i="2"/>
  <c r="AW318" i="2"/>
  <c r="AX236" i="2"/>
  <c r="AX316" i="2"/>
  <c r="AU252" i="2"/>
  <c r="AT252" i="2"/>
  <c r="AV252" i="2" s="1"/>
  <c r="AW236" i="2"/>
  <c r="AU270" i="2"/>
  <c r="AT270" i="2"/>
  <c r="AX209" i="2"/>
  <c r="AW209" i="2"/>
  <c r="AU256" i="2"/>
  <c r="AT256" i="2"/>
  <c r="AX207" i="2"/>
  <c r="AW207" i="2"/>
  <c r="AU262" i="2"/>
  <c r="AT262" i="2"/>
  <c r="AU276" i="2"/>
  <c r="AT276" i="2"/>
  <c r="AV145" i="2"/>
  <c r="AW145" i="2"/>
  <c r="AX145" i="2"/>
  <c r="AV301" i="2"/>
  <c r="AX301" i="2"/>
  <c r="AW301" i="2"/>
  <c r="AU213" i="2"/>
  <c r="AT213" i="2"/>
  <c r="AU215" i="2"/>
  <c r="AT215" i="2"/>
  <c r="AV215" i="2" s="1"/>
  <c r="AV304" i="2"/>
  <c r="AW304" i="2"/>
  <c r="AX304" i="2"/>
  <c r="AX214" i="2"/>
  <c r="AW214" i="2"/>
  <c r="AU157" i="2"/>
  <c r="AT157" i="2"/>
  <c r="AV157" i="2" s="1"/>
  <c r="AU272" i="2"/>
  <c r="AT272" i="2"/>
  <c r="AV234" i="2"/>
  <c r="AX234" i="2"/>
  <c r="AW234" i="2"/>
  <c r="AU251" i="2"/>
  <c r="AT251" i="2"/>
  <c r="AX211" i="2"/>
  <c r="AW211" i="2"/>
  <c r="AV302" i="2"/>
  <c r="AW302" i="2"/>
  <c r="AX302" i="2"/>
  <c r="AV305" i="2"/>
  <c r="AX305" i="2"/>
  <c r="AW305" i="2"/>
  <c r="AO130" i="2"/>
  <c r="AP130" i="2" s="1"/>
  <c r="AZ113" i="2"/>
  <c r="AQ156" i="2"/>
  <c r="AS157" i="2"/>
  <c r="AO125" i="2"/>
  <c r="AP125" i="2" s="1"/>
  <c r="AS125" i="2" s="1"/>
  <c r="AO139" i="2"/>
  <c r="AP139" i="2" s="1"/>
  <c r="AO57" i="2"/>
  <c r="AP57" i="2" s="1"/>
  <c r="AS167" i="2"/>
  <c r="AQ164" i="2"/>
  <c r="AO146" i="2"/>
  <c r="AP146" i="2" s="1"/>
  <c r="AS146" i="2" s="1"/>
  <c r="AO151" i="2"/>
  <c r="AP151" i="2" s="1"/>
  <c r="AQ151" i="2" s="1"/>
  <c r="AQ159" i="2"/>
  <c r="AS166" i="2"/>
  <c r="AQ160" i="2"/>
  <c r="AS163" i="2"/>
  <c r="AQ163" i="2"/>
  <c r="AY113" i="2"/>
  <c r="AP58" i="2"/>
  <c r="AQ58" i="2" s="1"/>
  <c r="AI12" i="4"/>
  <c r="AJ12" i="4"/>
  <c r="AL33" i="2"/>
  <c r="AL34" i="2"/>
  <c r="AL370" i="2"/>
  <c r="AI33" i="2"/>
  <c r="AI34" i="2"/>
  <c r="AI370" i="2"/>
  <c r="AR33" i="2"/>
  <c r="AN33" i="2"/>
  <c r="AR34" i="2"/>
  <c r="AN34" i="2"/>
  <c r="AR370" i="2"/>
  <c r="AN370" i="2"/>
  <c r="AX157" i="2" l="1"/>
  <c r="AW157" i="2"/>
  <c r="AV270" i="2"/>
  <c r="AW270" i="2"/>
  <c r="AX270" i="2"/>
  <c r="AV355" i="2"/>
  <c r="AX355" i="2"/>
  <c r="AW355" i="2"/>
  <c r="AU160" i="2"/>
  <c r="AT160" i="2"/>
  <c r="AW166" i="2"/>
  <c r="AX166" i="2"/>
  <c r="AU159" i="2"/>
  <c r="AT159" i="2"/>
  <c r="AV213" i="2"/>
  <c r="AW213" i="2"/>
  <c r="AX213" i="2"/>
  <c r="AW252" i="2"/>
  <c r="AV271" i="2"/>
  <c r="AW271" i="2"/>
  <c r="AX271" i="2"/>
  <c r="AU163" i="2"/>
  <c r="AT163" i="2"/>
  <c r="AV163" i="2" s="1"/>
  <c r="AU164" i="2"/>
  <c r="AT164" i="2"/>
  <c r="AV272" i="2"/>
  <c r="AW272" i="2"/>
  <c r="AX272" i="2"/>
  <c r="AX252" i="2"/>
  <c r="AV264" i="2"/>
  <c r="AW264" i="2"/>
  <c r="AX264" i="2"/>
  <c r="AW167" i="2"/>
  <c r="AX167" i="2"/>
  <c r="AU151" i="2"/>
  <c r="AT151" i="2"/>
  <c r="AV151" i="2" s="1"/>
  <c r="AX215" i="2"/>
  <c r="AU156" i="2"/>
  <c r="AT156" i="2"/>
  <c r="AV276" i="2"/>
  <c r="AW276" i="2"/>
  <c r="AX276" i="2"/>
  <c r="AU58" i="2"/>
  <c r="AT58" i="2"/>
  <c r="AV58" i="2" s="1"/>
  <c r="AV256" i="2"/>
  <c r="AX256" i="2"/>
  <c r="AW256" i="2"/>
  <c r="AX345" i="2"/>
  <c r="AW215" i="2"/>
  <c r="AW210" i="2"/>
  <c r="AV251" i="2"/>
  <c r="AX251" i="2"/>
  <c r="AW251" i="2"/>
  <c r="AV262" i="2"/>
  <c r="AX262" i="2"/>
  <c r="AW262" i="2"/>
  <c r="AV258" i="2"/>
  <c r="AX258" i="2"/>
  <c r="AW258" i="2"/>
  <c r="AW345" i="2"/>
  <c r="AX210" i="2"/>
  <c r="AQ125" i="2"/>
  <c r="AS130" i="2"/>
  <c r="AQ130" i="2"/>
  <c r="AO34" i="2"/>
  <c r="AP34" i="2" s="1"/>
  <c r="AS34" i="2" s="1"/>
  <c r="AO33" i="2"/>
  <c r="AP33" i="2" s="1"/>
  <c r="AS33" i="2" s="1"/>
  <c r="AS139" i="2"/>
  <c r="AQ139" i="2"/>
  <c r="AS151" i="2"/>
  <c r="AS58" i="2"/>
  <c r="AQ146" i="2"/>
  <c r="AS57" i="2"/>
  <c r="AQ57" i="2"/>
  <c r="AO370" i="2"/>
  <c r="AP370" i="2" s="1"/>
  <c r="AS370" i="2" s="1"/>
  <c r="AL191" i="2"/>
  <c r="AL188" i="2"/>
  <c r="AI191" i="2"/>
  <c r="AO191" i="2" s="1"/>
  <c r="AP191" i="2" s="1"/>
  <c r="AI188" i="2"/>
  <c r="AR195" i="2"/>
  <c r="AO195" i="2"/>
  <c r="AN195" i="2"/>
  <c r="AJ47" i="4"/>
  <c r="AR423" i="2"/>
  <c r="AO423" i="2"/>
  <c r="AN423" i="2"/>
  <c r="AW163" i="2" l="1"/>
  <c r="AV160" i="2"/>
  <c r="AW160" i="2"/>
  <c r="AX160" i="2"/>
  <c r="AU57" i="2"/>
  <c r="AT57" i="2"/>
  <c r="AV57" i="2" s="1"/>
  <c r="AV156" i="2"/>
  <c r="AW156" i="2"/>
  <c r="AX156" i="2"/>
  <c r="AU125" i="2"/>
  <c r="AT125" i="2"/>
  <c r="AU146" i="2"/>
  <c r="AT146" i="2"/>
  <c r="AU130" i="2"/>
  <c r="AT130" i="2"/>
  <c r="AV130" i="2" s="1"/>
  <c r="AW58" i="2"/>
  <c r="AX58" i="2"/>
  <c r="AV164" i="2"/>
  <c r="AX164" i="2"/>
  <c r="AW164" i="2"/>
  <c r="AX163" i="2"/>
  <c r="AU139" i="2"/>
  <c r="AT139" i="2"/>
  <c r="AV139" i="2" s="1"/>
  <c r="AV159" i="2"/>
  <c r="AX159" i="2"/>
  <c r="AW159" i="2"/>
  <c r="AW151" i="2"/>
  <c r="AX151" i="2"/>
  <c r="AS191" i="2"/>
  <c r="AQ191" i="2"/>
  <c r="AQ34" i="2"/>
  <c r="AQ33" i="2"/>
  <c r="AQ370" i="2"/>
  <c r="AP195" i="2"/>
  <c r="AS195" i="2" s="1"/>
  <c r="AP423" i="2"/>
  <c r="AS423" i="2" s="1"/>
  <c r="AI94" i="4"/>
  <c r="AJ94" i="4"/>
  <c r="AI95" i="4"/>
  <c r="AJ95" i="4"/>
  <c r="AR376" i="2"/>
  <c r="AO376" i="2"/>
  <c r="AN376" i="2"/>
  <c r="AR375" i="2"/>
  <c r="AO375" i="2"/>
  <c r="AN375" i="2"/>
  <c r="AR123" i="2"/>
  <c r="AO123" i="2"/>
  <c r="AN123" i="2"/>
  <c r="AR372" i="2"/>
  <c r="AO372" i="2"/>
  <c r="AN372" i="2"/>
  <c r="AR371" i="2"/>
  <c r="AO371" i="2"/>
  <c r="AN371" i="2"/>
  <c r="AI43" i="4"/>
  <c r="AJ43" i="4"/>
  <c r="AR180" i="2"/>
  <c r="AO180" i="2"/>
  <c r="AN180" i="2"/>
  <c r="AV146" i="2" l="1"/>
  <c r="AW146" i="2"/>
  <c r="AX146" i="2"/>
  <c r="AU370" i="2"/>
  <c r="AT370" i="2"/>
  <c r="AV125" i="2"/>
  <c r="AX125" i="2"/>
  <c r="AW125" i="2"/>
  <c r="AX130" i="2"/>
  <c r="AW57" i="2"/>
  <c r="AW130" i="2"/>
  <c r="AU34" i="2"/>
  <c r="AT34" i="2"/>
  <c r="AU191" i="2"/>
  <c r="AT191" i="2"/>
  <c r="AV191" i="2" s="1"/>
  <c r="AX57" i="2"/>
  <c r="AX191" i="2"/>
  <c r="AW191" i="2"/>
  <c r="AW139" i="2"/>
  <c r="AX139" i="2"/>
  <c r="AU33" i="2"/>
  <c r="AT33" i="2"/>
  <c r="AQ195" i="2"/>
  <c r="AQ423" i="2"/>
  <c r="AU423" i="2" s="1"/>
  <c r="AP372" i="2"/>
  <c r="AQ372" i="2" s="1"/>
  <c r="AP371" i="2"/>
  <c r="AS371" i="2" s="1"/>
  <c r="AP376" i="2"/>
  <c r="AS376" i="2" s="1"/>
  <c r="AP375" i="2"/>
  <c r="AQ375" i="2" s="1"/>
  <c r="AP123" i="2"/>
  <c r="AS123" i="2" s="1"/>
  <c r="AP180" i="2"/>
  <c r="AS180" i="2" s="1"/>
  <c r="AL171" i="2"/>
  <c r="AO171" i="2" s="1"/>
  <c r="AL172" i="2"/>
  <c r="AL388" i="2"/>
  <c r="AL174" i="2"/>
  <c r="AL175" i="2"/>
  <c r="AL365" i="2"/>
  <c r="AL177" i="2"/>
  <c r="AL178" i="2"/>
  <c r="AL337" i="2"/>
  <c r="AI171" i="2"/>
  <c r="AI172" i="2"/>
  <c r="AI388" i="2"/>
  <c r="AI174" i="2"/>
  <c r="AI175" i="2"/>
  <c r="AI365" i="2"/>
  <c r="AI177" i="2"/>
  <c r="AI178" i="2"/>
  <c r="AI337" i="2"/>
  <c r="AR178" i="2"/>
  <c r="AN178" i="2"/>
  <c r="AR177" i="2"/>
  <c r="AN177" i="2"/>
  <c r="AR175" i="2"/>
  <c r="AN175" i="2"/>
  <c r="AR174" i="2"/>
  <c r="AN174" i="2"/>
  <c r="AR172" i="2"/>
  <c r="AN172" i="2"/>
  <c r="AR171" i="2"/>
  <c r="AN171" i="2"/>
  <c r="AO175" i="2" l="1"/>
  <c r="AP175" i="2" s="1"/>
  <c r="AS175" i="2" s="1"/>
  <c r="AU375" i="2"/>
  <c r="AT375" i="2"/>
  <c r="AV375" i="2" s="1"/>
  <c r="AV370" i="2"/>
  <c r="AW370" i="2"/>
  <c r="AX370" i="2"/>
  <c r="AV34" i="2"/>
  <c r="AX34" i="2"/>
  <c r="AW34" i="2"/>
  <c r="AU195" i="2"/>
  <c r="AT195" i="2"/>
  <c r="AU372" i="2"/>
  <c r="AT372" i="2"/>
  <c r="AV372" i="2" s="1"/>
  <c r="AV33" i="2"/>
  <c r="AX33" i="2"/>
  <c r="AW33" i="2"/>
  <c r="AQ376" i="2"/>
  <c r="AQ123" i="2"/>
  <c r="AS375" i="2"/>
  <c r="AS372" i="2"/>
  <c r="AQ371" i="2"/>
  <c r="AO172" i="2"/>
  <c r="AP172" i="2" s="1"/>
  <c r="AS172" i="2" s="1"/>
  <c r="AO178" i="2"/>
  <c r="AP178" i="2" s="1"/>
  <c r="AQ178" i="2" s="1"/>
  <c r="AQ180" i="2"/>
  <c r="AO174" i="2"/>
  <c r="AP174" i="2" s="1"/>
  <c r="AS174" i="2" s="1"/>
  <c r="AO177" i="2"/>
  <c r="AP177" i="2" s="1"/>
  <c r="AS177" i="2" s="1"/>
  <c r="AP171" i="2"/>
  <c r="AS171" i="2" s="1"/>
  <c r="AI155" i="2"/>
  <c r="AL155" i="2"/>
  <c r="AI41" i="4"/>
  <c r="AJ41" i="4"/>
  <c r="AI42" i="4"/>
  <c r="AJ42" i="4"/>
  <c r="AR153" i="2"/>
  <c r="AO153" i="2"/>
  <c r="AN153" i="2"/>
  <c r="AR152" i="2"/>
  <c r="AO152" i="2"/>
  <c r="AN152" i="2"/>
  <c r="AR189" i="2"/>
  <c r="AO189" i="2"/>
  <c r="AN189" i="2"/>
  <c r="AR148" i="2"/>
  <c r="AO148" i="2"/>
  <c r="AN148" i="2"/>
  <c r="AR147" i="2"/>
  <c r="AO147" i="2"/>
  <c r="AN147" i="2"/>
  <c r="AI40" i="4"/>
  <c r="AJ40" i="4"/>
  <c r="AU178" i="2" l="1"/>
  <c r="AT178" i="2"/>
  <c r="AV178" i="2" s="1"/>
  <c r="AU376" i="2"/>
  <c r="AT376" i="2"/>
  <c r="AX372" i="2"/>
  <c r="AW372" i="2"/>
  <c r="AU180" i="2"/>
  <c r="AT180" i="2"/>
  <c r="AU371" i="2"/>
  <c r="AT371" i="2"/>
  <c r="AX375" i="2"/>
  <c r="AW375" i="2"/>
  <c r="AV195" i="2"/>
  <c r="AX195" i="2"/>
  <c r="AW195" i="2"/>
  <c r="AU123" i="2"/>
  <c r="AT123" i="2"/>
  <c r="AS178" i="2"/>
  <c r="AQ177" i="2"/>
  <c r="AQ172" i="2"/>
  <c r="AQ175" i="2"/>
  <c r="AQ174" i="2"/>
  <c r="AQ171" i="2"/>
  <c r="AP152" i="2"/>
  <c r="AQ152" i="2" s="1"/>
  <c r="AP153" i="2"/>
  <c r="AQ153" i="2" s="1"/>
  <c r="AP189" i="2"/>
  <c r="AS189" i="2" s="1"/>
  <c r="AP147" i="2"/>
  <c r="AS147" i="2" s="1"/>
  <c r="AP148" i="2"/>
  <c r="AS148" i="2" s="1"/>
  <c r="AI39" i="4"/>
  <c r="AJ39" i="4"/>
  <c r="AR134" i="2"/>
  <c r="AO134" i="2"/>
  <c r="AN134" i="2"/>
  <c r="AI36" i="4"/>
  <c r="AJ36" i="4"/>
  <c r="AI37" i="4"/>
  <c r="AJ37" i="4"/>
  <c r="AR131" i="2"/>
  <c r="AO131" i="2"/>
  <c r="AN131" i="2"/>
  <c r="AR129" i="2"/>
  <c r="AO129" i="2"/>
  <c r="AN129" i="2"/>
  <c r="AR269" i="2"/>
  <c r="AO269" i="2"/>
  <c r="AN269" i="2"/>
  <c r="AR126" i="2"/>
  <c r="AO126" i="2"/>
  <c r="AN126" i="2"/>
  <c r="AR124" i="2"/>
  <c r="AO124" i="2"/>
  <c r="AI26" i="4"/>
  <c r="AJ26" i="4"/>
  <c r="AI27" i="4"/>
  <c r="AJ27" i="4"/>
  <c r="AI38" i="4"/>
  <c r="AJ38" i="4"/>
  <c r="AN360" i="2"/>
  <c r="AO360" i="2"/>
  <c r="AR360" i="2"/>
  <c r="AN119" i="2"/>
  <c r="AO119" i="2"/>
  <c r="AR119" i="2"/>
  <c r="AN120" i="2"/>
  <c r="AO120" i="2"/>
  <c r="AR120" i="2"/>
  <c r="AN121" i="2"/>
  <c r="AO121" i="2"/>
  <c r="AR121" i="2"/>
  <c r="AO429" i="2"/>
  <c r="AO105" i="2"/>
  <c r="AO426" i="2"/>
  <c r="AO107" i="2"/>
  <c r="AO441" i="2"/>
  <c r="AO112" i="2"/>
  <c r="AO103" i="2"/>
  <c r="AO100" i="2"/>
  <c r="AO101" i="2"/>
  <c r="AO102" i="2"/>
  <c r="AI115" i="2"/>
  <c r="AN109" i="2"/>
  <c r="AN441" i="2"/>
  <c r="AN114" i="2"/>
  <c r="AN115" i="2"/>
  <c r="AI114" i="2"/>
  <c r="AL115" i="2"/>
  <c r="AL114" i="2"/>
  <c r="AR115" i="2"/>
  <c r="AU153" i="2" l="1"/>
  <c r="AT153" i="2"/>
  <c r="AV153" i="2" s="1"/>
  <c r="AU175" i="2"/>
  <c r="AT175" i="2"/>
  <c r="AU172" i="2"/>
  <c r="AT172" i="2"/>
  <c r="AU177" i="2"/>
  <c r="AT177" i="2"/>
  <c r="AX178" i="2"/>
  <c r="AW178" i="2"/>
  <c r="AV371" i="2"/>
  <c r="AX371" i="2"/>
  <c r="AW371" i="2"/>
  <c r="AV376" i="2"/>
  <c r="AX376" i="2"/>
  <c r="AW376" i="2"/>
  <c r="AU171" i="2"/>
  <c r="AT171" i="2"/>
  <c r="AV123" i="2"/>
  <c r="AX123" i="2"/>
  <c r="AW123" i="2"/>
  <c r="AU152" i="2"/>
  <c r="AT152" i="2"/>
  <c r="AV152" i="2" s="1"/>
  <c r="AU174" i="2"/>
  <c r="AT174" i="2"/>
  <c r="AV180" i="2"/>
  <c r="AW180" i="2"/>
  <c r="AX180" i="2"/>
  <c r="AS153" i="2"/>
  <c r="AP360" i="2"/>
  <c r="AS360" i="2" s="1"/>
  <c r="AQ189" i="2"/>
  <c r="AS152" i="2"/>
  <c r="AQ147" i="2"/>
  <c r="AO115" i="2"/>
  <c r="AP115" i="2" s="1"/>
  <c r="AS115" i="2" s="1"/>
  <c r="AQ148" i="2"/>
  <c r="AO114" i="2"/>
  <c r="AP121" i="2"/>
  <c r="AQ121" i="2" s="1"/>
  <c r="AP131" i="2"/>
  <c r="AS131" i="2" s="1"/>
  <c r="AP269" i="2"/>
  <c r="AQ269" i="2" s="1"/>
  <c r="AP134" i="2"/>
  <c r="AS134" i="2" s="1"/>
  <c r="AP124" i="2"/>
  <c r="AS124" i="2" s="1"/>
  <c r="AP129" i="2"/>
  <c r="AS129" i="2" s="1"/>
  <c r="AP126" i="2"/>
  <c r="AS126" i="2" s="1"/>
  <c r="AP120" i="2"/>
  <c r="AS120" i="2" s="1"/>
  <c r="AP119" i="2"/>
  <c r="AS119" i="2" s="1"/>
  <c r="AJ108" i="2"/>
  <c r="AI108" i="2" s="1"/>
  <c r="AM109" i="2"/>
  <c r="AL109" i="2" s="1"/>
  <c r="AO109" i="2" s="1"/>
  <c r="AM108" i="2"/>
  <c r="AL108" i="2" s="1"/>
  <c r="AR108" i="2"/>
  <c r="AN108" i="2"/>
  <c r="AR107" i="2"/>
  <c r="AN107" i="2"/>
  <c r="AR426" i="2"/>
  <c r="AN426" i="2"/>
  <c r="AR105" i="2"/>
  <c r="AN105" i="2"/>
  <c r="AX153" i="2" l="1"/>
  <c r="AW153" i="2"/>
  <c r="AU269" i="2"/>
  <c r="AT269" i="2"/>
  <c r="AV269" i="2" s="1"/>
  <c r="AV175" i="2"/>
  <c r="AX175" i="2"/>
  <c r="AW175" i="2"/>
  <c r="AV171" i="2"/>
  <c r="AW171" i="2"/>
  <c r="AX171" i="2"/>
  <c r="AU121" i="2"/>
  <c r="AT121" i="2"/>
  <c r="AV121" i="2" s="1"/>
  <c r="AU148" i="2"/>
  <c r="AT148" i="2"/>
  <c r="AV177" i="2"/>
  <c r="AW177" i="2"/>
  <c r="AX177" i="2"/>
  <c r="AV172" i="2"/>
  <c r="AX172" i="2"/>
  <c r="AW172" i="2"/>
  <c r="AQ360" i="2"/>
  <c r="AV174" i="2"/>
  <c r="AX174" i="2"/>
  <c r="AW174" i="2"/>
  <c r="AU147" i="2"/>
  <c r="AT147" i="2"/>
  <c r="AQ129" i="2"/>
  <c r="AX152" i="2"/>
  <c r="AW152" i="2"/>
  <c r="AU189" i="2"/>
  <c r="AT189" i="2"/>
  <c r="AS121" i="2"/>
  <c r="AQ131" i="2"/>
  <c r="AQ124" i="2"/>
  <c r="AQ115" i="2"/>
  <c r="AS269" i="2"/>
  <c r="AO108" i="2"/>
  <c r="AP108" i="2" s="1"/>
  <c r="AQ108" i="2" s="1"/>
  <c r="AQ119" i="2"/>
  <c r="AQ120" i="2"/>
  <c r="AQ134" i="2"/>
  <c r="AQ126" i="2"/>
  <c r="AP105" i="2"/>
  <c r="AQ105" i="2" s="1"/>
  <c r="AU105" i="2" s="1"/>
  <c r="AP426" i="2"/>
  <c r="AS426" i="2" s="1"/>
  <c r="AP107" i="2"/>
  <c r="AS107" i="2" s="1"/>
  <c r="AR103" i="2"/>
  <c r="AR101" i="2"/>
  <c r="AN101" i="2"/>
  <c r="AR102" i="2"/>
  <c r="AI92" i="2"/>
  <c r="AI93" i="2"/>
  <c r="AI94" i="2"/>
  <c r="AI96" i="2"/>
  <c r="AI97" i="2"/>
  <c r="AI98" i="2"/>
  <c r="AL98" i="2"/>
  <c r="AL97" i="2"/>
  <c r="AL96" i="2"/>
  <c r="AL94" i="2"/>
  <c r="AL93" i="2"/>
  <c r="AL92" i="2"/>
  <c r="AI89" i="2"/>
  <c r="AI90" i="2"/>
  <c r="AL89" i="2"/>
  <c r="AL90" i="2"/>
  <c r="AL88" i="2"/>
  <c r="AI88" i="2"/>
  <c r="AR98" i="2"/>
  <c r="AN98" i="2"/>
  <c r="AR97" i="2"/>
  <c r="AN97" i="2"/>
  <c r="AR94" i="2"/>
  <c r="AN94" i="2"/>
  <c r="AR93" i="2"/>
  <c r="AN93" i="2"/>
  <c r="AR90" i="2"/>
  <c r="AN90" i="2"/>
  <c r="AR89" i="2"/>
  <c r="AN89" i="2"/>
  <c r="AR348" i="2"/>
  <c r="AO348" i="2"/>
  <c r="AN348" i="2"/>
  <c r="AI25" i="4"/>
  <c r="AJ25" i="4"/>
  <c r="AI24" i="4"/>
  <c r="AJ24" i="4"/>
  <c r="AI80" i="2"/>
  <c r="AI76" i="2"/>
  <c r="AI82" i="2"/>
  <c r="AI79" i="2"/>
  <c r="AN339" i="2"/>
  <c r="AN77" i="2"/>
  <c r="AN79" i="2"/>
  <c r="AN80" i="2"/>
  <c r="AN76" i="2"/>
  <c r="AN82" i="2"/>
  <c r="AI75" i="2"/>
  <c r="AI339" i="2"/>
  <c r="AI77" i="2"/>
  <c r="AI74" i="2"/>
  <c r="AL76" i="2"/>
  <c r="AL82" i="2"/>
  <c r="AL80" i="2"/>
  <c r="AL79" i="2"/>
  <c r="AL75" i="2"/>
  <c r="AL339" i="2"/>
  <c r="AL77" i="2"/>
  <c r="AL74" i="2"/>
  <c r="AR69" i="2"/>
  <c r="AO69" i="2"/>
  <c r="AP69" i="2" s="1"/>
  <c r="AO93" i="2" l="1"/>
  <c r="AP93" i="2" s="1"/>
  <c r="AS93" i="2" s="1"/>
  <c r="AU119" i="2"/>
  <c r="AT119" i="2"/>
  <c r="AU360" i="2"/>
  <c r="AT360" i="2"/>
  <c r="AX269" i="2"/>
  <c r="AW269" i="2"/>
  <c r="AV147" i="2"/>
  <c r="AX147" i="2"/>
  <c r="AW147" i="2"/>
  <c r="AV148" i="2"/>
  <c r="AW148" i="2"/>
  <c r="AX148" i="2"/>
  <c r="AU126" i="2"/>
  <c r="AT126" i="2"/>
  <c r="AU134" i="2"/>
  <c r="AT134" i="2"/>
  <c r="AU120" i="2"/>
  <c r="AT120" i="2"/>
  <c r="AU115" i="2"/>
  <c r="AT115" i="2"/>
  <c r="AU124" i="2"/>
  <c r="AT124" i="2"/>
  <c r="AU129" i="2"/>
  <c r="AT129" i="2"/>
  <c r="AU131" i="2"/>
  <c r="AT131" i="2"/>
  <c r="AU108" i="2"/>
  <c r="AT108" i="2"/>
  <c r="AV108" i="2" s="1"/>
  <c r="AX121" i="2"/>
  <c r="AW121" i="2"/>
  <c r="AV189" i="2"/>
  <c r="AW189" i="2"/>
  <c r="AX189" i="2"/>
  <c r="AO94" i="2"/>
  <c r="AP94" i="2" s="1"/>
  <c r="AS94" i="2" s="1"/>
  <c r="AQ107" i="2"/>
  <c r="AU107" i="2" s="1"/>
  <c r="AS105" i="2"/>
  <c r="AO97" i="2"/>
  <c r="AP97" i="2" s="1"/>
  <c r="AS97" i="2" s="1"/>
  <c r="AQ426" i="2"/>
  <c r="AU426" i="2" s="1"/>
  <c r="AO98" i="2"/>
  <c r="AP98" i="2" s="1"/>
  <c r="AS98" i="2" s="1"/>
  <c r="AO90" i="2"/>
  <c r="AP90" i="2" s="1"/>
  <c r="AS90" i="2" s="1"/>
  <c r="AO89" i="2"/>
  <c r="AP89" i="2" s="1"/>
  <c r="AS89" i="2" s="1"/>
  <c r="AS108" i="2"/>
  <c r="AP103" i="2"/>
  <c r="AS103" i="2" s="1"/>
  <c r="AP101" i="2"/>
  <c r="AQ101" i="2" s="1"/>
  <c r="AP102" i="2"/>
  <c r="AS102" i="2" s="1"/>
  <c r="AP348" i="2"/>
  <c r="AQ348" i="2" s="1"/>
  <c r="AS69" i="2"/>
  <c r="AQ69" i="2"/>
  <c r="AJ20" i="4"/>
  <c r="AI20" i="4"/>
  <c r="AI19" i="4"/>
  <c r="AJ19" i="4"/>
  <c r="AI66" i="2"/>
  <c r="AI62" i="2"/>
  <c r="AL66" i="2"/>
  <c r="AL62" i="2"/>
  <c r="AI65" i="2"/>
  <c r="AI61" i="2"/>
  <c r="AL65" i="2"/>
  <c r="AL61" i="2"/>
  <c r="AI374" i="2"/>
  <c r="AI320" i="2"/>
  <c r="AL374" i="2"/>
  <c r="AL320" i="2"/>
  <c r="AR66" i="2"/>
  <c r="AN66" i="2"/>
  <c r="AR65" i="2"/>
  <c r="AN65" i="2"/>
  <c r="AR62" i="2"/>
  <c r="AN62" i="2"/>
  <c r="AR61" i="2"/>
  <c r="AN61" i="2"/>
  <c r="AR374" i="2"/>
  <c r="AN374" i="2"/>
  <c r="AV124" i="2" l="1"/>
  <c r="AX124" i="2"/>
  <c r="AW124" i="2"/>
  <c r="AV115" i="2"/>
  <c r="AW115" i="2"/>
  <c r="AX115" i="2"/>
  <c r="AV129" i="2"/>
  <c r="AW129" i="2"/>
  <c r="AX129" i="2"/>
  <c r="AU101" i="2"/>
  <c r="AT101" i="2"/>
  <c r="AV101" i="2" s="1"/>
  <c r="AX108" i="2"/>
  <c r="AW108" i="2"/>
  <c r="AV120" i="2"/>
  <c r="AX120" i="2"/>
  <c r="AW120" i="2"/>
  <c r="AU348" i="2"/>
  <c r="AT348" i="2"/>
  <c r="AV348" i="2" s="1"/>
  <c r="AV134" i="2"/>
  <c r="AX134" i="2"/>
  <c r="AW134" i="2"/>
  <c r="AV360" i="2"/>
  <c r="AX360" i="2"/>
  <c r="AW360" i="2"/>
  <c r="AV131" i="2"/>
  <c r="AX131" i="2"/>
  <c r="AW131" i="2"/>
  <c r="AV126" i="2"/>
  <c r="AW126" i="2"/>
  <c r="AX126" i="2"/>
  <c r="AV119" i="2"/>
  <c r="AX119" i="2"/>
  <c r="AW119" i="2"/>
  <c r="AU69" i="2"/>
  <c r="AT69" i="2"/>
  <c r="AV69" i="2" s="1"/>
  <c r="AQ103" i="2"/>
  <c r="AS348" i="2"/>
  <c r="AS101" i="2"/>
  <c r="AO374" i="2"/>
  <c r="AP374" i="2" s="1"/>
  <c r="AQ374" i="2" s="1"/>
  <c r="AO66" i="2"/>
  <c r="AP66" i="2" s="1"/>
  <c r="AS66" i="2" s="1"/>
  <c r="AO62" i="2"/>
  <c r="AP62" i="2" s="1"/>
  <c r="AS62" i="2" s="1"/>
  <c r="AO65" i="2"/>
  <c r="AP65" i="2" s="1"/>
  <c r="AS65" i="2" s="1"/>
  <c r="AQ89" i="2"/>
  <c r="AQ94" i="2"/>
  <c r="AQ97" i="2"/>
  <c r="AQ98" i="2"/>
  <c r="AQ102" i="2"/>
  <c r="AQ93" i="2"/>
  <c r="AQ90" i="2"/>
  <c r="AO61" i="2"/>
  <c r="AP61" i="2" s="1"/>
  <c r="AQ61" i="2" s="1"/>
  <c r="AI23" i="4"/>
  <c r="AJ23" i="4"/>
  <c r="AR72" i="2"/>
  <c r="AO72" i="2"/>
  <c r="AN72" i="2"/>
  <c r="AR71" i="2"/>
  <c r="AO71" i="2"/>
  <c r="AN71" i="2"/>
  <c r="AI16" i="4"/>
  <c r="AJ16" i="4"/>
  <c r="AI17" i="4"/>
  <c r="AJ17" i="4"/>
  <c r="AI18" i="4"/>
  <c r="AJ18" i="4"/>
  <c r="AI15" i="4"/>
  <c r="AJ15" i="4"/>
  <c r="AH41" i="2"/>
  <c r="AK47" i="2"/>
  <c r="AK41" i="2"/>
  <c r="AH47" i="2"/>
  <c r="AH46" i="2"/>
  <c r="AK46" i="2"/>
  <c r="AH40" i="2"/>
  <c r="AK40" i="2"/>
  <c r="AK45" i="2"/>
  <c r="AK44" i="2"/>
  <c r="AH45" i="2"/>
  <c r="AH44" i="2"/>
  <c r="AK39" i="2"/>
  <c r="AH39" i="2"/>
  <c r="AY39" i="2" s="1"/>
  <c r="AK38" i="2"/>
  <c r="AH38" i="2"/>
  <c r="AX69" i="2" l="1"/>
  <c r="AW69" i="2"/>
  <c r="AX101" i="2"/>
  <c r="AW101" i="2"/>
  <c r="AU61" i="2"/>
  <c r="AT61" i="2"/>
  <c r="AV61" i="2" s="1"/>
  <c r="AU93" i="2"/>
  <c r="AT93" i="2"/>
  <c r="AU98" i="2"/>
  <c r="AT98" i="2"/>
  <c r="AU374" i="2"/>
  <c r="AT374" i="2"/>
  <c r="AV374" i="2" s="1"/>
  <c r="AU103" i="2"/>
  <c r="AT103" i="2"/>
  <c r="AU102" i="2"/>
  <c r="AT102" i="2"/>
  <c r="AU97" i="2"/>
  <c r="AT97" i="2"/>
  <c r="AU90" i="2"/>
  <c r="AT90" i="2"/>
  <c r="AU94" i="2"/>
  <c r="AT94" i="2"/>
  <c r="AX348" i="2"/>
  <c r="AW348" i="2"/>
  <c r="AU89" i="2"/>
  <c r="AT89" i="2"/>
  <c r="AY38" i="2"/>
  <c r="AZ38" i="2"/>
  <c r="AP71" i="2"/>
  <c r="AQ71" i="2" s="1"/>
  <c r="AQ65" i="2"/>
  <c r="AQ66" i="2"/>
  <c r="AY41" i="2"/>
  <c r="AQ62" i="2"/>
  <c r="AS61" i="2"/>
  <c r="AS374" i="2"/>
  <c r="AP72" i="2"/>
  <c r="AS72" i="2" s="1"/>
  <c r="AZ44" i="2"/>
  <c r="AZ45" i="2"/>
  <c r="AZ41" i="2"/>
  <c r="AZ40" i="2"/>
  <c r="AZ39" i="2"/>
  <c r="AY40" i="2"/>
  <c r="AY45" i="2"/>
  <c r="AY44" i="2"/>
  <c r="AN248" i="2"/>
  <c r="AR248" i="2"/>
  <c r="AN136" i="2"/>
  <c r="AR136" i="2"/>
  <c r="AJ14" i="4"/>
  <c r="AI14" i="4"/>
  <c r="AI13" i="4"/>
  <c r="AJ13" i="4"/>
  <c r="AV98" i="2" l="1"/>
  <c r="AX98" i="2"/>
  <c r="AW98" i="2"/>
  <c r="AU65" i="2"/>
  <c r="AT65" i="2"/>
  <c r="AV93" i="2"/>
  <c r="AW93" i="2"/>
  <c r="AX93" i="2"/>
  <c r="AV103" i="2"/>
  <c r="AX103" i="2"/>
  <c r="AW103" i="2"/>
  <c r="AV94" i="2"/>
  <c r="AX94" i="2"/>
  <c r="AW94" i="2"/>
  <c r="AU66" i="2"/>
  <c r="AT66" i="2"/>
  <c r="AV90" i="2"/>
  <c r="AW90" i="2"/>
  <c r="AX90" i="2"/>
  <c r="AV102" i="2"/>
  <c r="AW102" i="2"/>
  <c r="AX102" i="2"/>
  <c r="AX374" i="2"/>
  <c r="AW374" i="2"/>
  <c r="AW61" i="2"/>
  <c r="AX61" i="2"/>
  <c r="AU71" i="2"/>
  <c r="AT71" i="2"/>
  <c r="AV71" i="2" s="1"/>
  <c r="AV97" i="2"/>
  <c r="AW97" i="2"/>
  <c r="AX97" i="2"/>
  <c r="AV89" i="2"/>
  <c r="AX89" i="2"/>
  <c r="AW89" i="2"/>
  <c r="AU62" i="2"/>
  <c r="AT62" i="2"/>
  <c r="AS71" i="2"/>
  <c r="AQ72" i="2"/>
  <c r="AO248" i="2"/>
  <c r="AP248" i="2" s="1"/>
  <c r="AO136" i="2"/>
  <c r="AP136" i="2" s="1"/>
  <c r="AQ136" i="2" s="1"/>
  <c r="AL179" i="2"/>
  <c r="AL18" i="2"/>
  <c r="AL19" i="2"/>
  <c r="AL15" i="2"/>
  <c r="AL16" i="2"/>
  <c r="AL233" i="2"/>
  <c r="AI233" i="2"/>
  <c r="AI15" i="2"/>
  <c r="AI16" i="2"/>
  <c r="AI18" i="2"/>
  <c r="AI19" i="2"/>
  <c r="AI179" i="2"/>
  <c r="AI5" i="2"/>
  <c r="AI8" i="4"/>
  <c r="AJ8" i="4"/>
  <c r="AI9" i="4"/>
  <c r="AJ9" i="4"/>
  <c r="AI10" i="4"/>
  <c r="AJ10" i="4"/>
  <c r="AI11" i="4"/>
  <c r="AJ11" i="4"/>
  <c r="AI7" i="4"/>
  <c r="AI4" i="4"/>
  <c r="AJ4" i="4"/>
  <c r="AI5" i="4"/>
  <c r="AJ5" i="4"/>
  <c r="AI6" i="4"/>
  <c r="AJ6" i="4"/>
  <c r="AJ7" i="4"/>
  <c r="AI2" i="4"/>
  <c r="AJ2" i="4"/>
  <c r="AI3" i="4"/>
  <c r="AJ3" i="4"/>
  <c r="AK11" i="2"/>
  <c r="AK10" i="2"/>
  <c r="AK9" i="2"/>
  <c r="AK8" i="2"/>
  <c r="AH11" i="2"/>
  <c r="AH10" i="2"/>
  <c r="AH9" i="2"/>
  <c r="AH8" i="2"/>
  <c r="AL6" i="2"/>
  <c r="AO6" i="2" s="1"/>
  <c r="AL5" i="2"/>
  <c r="AR7" i="2"/>
  <c r="AN7" i="2"/>
  <c r="AO7" i="2"/>
  <c r="AR6" i="2"/>
  <c r="AN6" i="2"/>
  <c r="AR4" i="2"/>
  <c r="AN4" i="2"/>
  <c r="AI4" i="2"/>
  <c r="AO4" i="2" s="1"/>
  <c r="AR3" i="2"/>
  <c r="AN3" i="2"/>
  <c r="AL3" i="2"/>
  <c r="AI3" i="2"/>
  <c r="AL2" i="2"/>
  <c r="AI2" i="2"/>
  <c r="AR406" i="2"/>
  <c r="AN406" i="2"/>
  <c r="AR405" i="2"/>
  <c r="AN405" i="2"/>
  <c r="AR404" i="2"/>
  <c r="AN404" i="2"/>
  <c r="AR402" i="2"/>
  <c r="AN402" i="2"/>
  <c r="AR401" i="2"/>
  <c r="AN401" i="2"/>
  <c r="AR400" i="2"/>
  <c r="AN400" i="2"/>
  <c r="AR2" i="2"/>
  <c r="AR5" i="2"/>
  <c r="AR233" i="2"/>
  <c r="AR15" i="2"/>
  <c r="AR16" i="2"/>
  <c r="AR179" i="2"/>
  <c r="AR18" i="2"/>
  <c r="AR19" i="2"/>
  <c r="AR43" i="2"/>
  <c r="AR29" i="2"/>
  <c r="AR30" i="2"/>
  <c r="AR31" i="2"/>
  <c r="AR48" i="2"/>
  <c r="AR51" i="2"/>
  <c r="AR54" i="2"/>
  <c r="AR55" i="2"/>
  <c r="AR320" i="2"/>
  <c r="AR68" i="2"/>
  <c r="AR170" i="2"/>
  <c r="AR74" i="2"/>
  <c r="AR75" i="2"/>
  <c r="AR339" i="2"/>
  <c r="AR77" i="2"/>
  <c r="AR79" i="2"/>
  <c r="AR80" i="2"/>
  <c r="AR76" i="2"/>
  <c r="AR82" i="2"/>
  <c r="AR173" i="2"/>
  <c r="AR88" i="2"/>
  <c r="AR92" i="2"/>
  <c r="AR96" i="2"/>
  <c r="AR100" i="2"/>
  <c r="AR429" i="2"/>
  <c r="AR109" i="2"/>
  <c r="AR441" i="2"/>
  <c r="AR112" i="2"/>
  <c r="AR114" i="2"/>
  <c r="AR192" i="2"/>
  <c r="AR111" i="2"/>
  <c r="AR414" i="2"/>
  <c r="AR137" i="2"/>
  <c r="AR138" i="2"/>
  <c r="AR202" i="2"/>
  <c r="AR155" i="2"/>
  <c r="AR337" i="2"/>
  <c r="AR388" i="2"/>
  <c r="AR365" i="2"/>
  <c r="AR342" i="2"/>
  <c r="AR188" i="2"/>
  <c r="AR194" i="2"/>
  <c r="AR217" i="2"/>
  <c r="AR219" i="2"/>
  <c r="AR221" i="2"/>
  <c r="AR223" i="2"/>
  <c r="AR225" i="2"/>
  <c r="AR227" i="2"/>
  <c r="AR254" i="2"/>
  <c r="AR274" i="2"/>
  <c r="AR279" i="2"/>
  <c r="AR284" i="2"/>
  <c r="AR287" i="2"/>
  <c r="AR296" i="2"/>
  <c r="AR212" i="2"/>
  <c r="AR389" i="2"/>
  <c r="AR14" i="2"/>
  <c r="AR28" i="2"/>
  <c r="AR60" i="2"/>
  <c r="AR17" i="2"/>
  <c r="AR106" i="2"/>
  <c r="AR176" i="2"/>
  <c r="AR392" i="2"/>
  <c r="AR150" i="2"/>
  <c r="AR216" i="2"/>
  <c r="AO43" i="2"/>
  <c r="AO29" i="2"/>
  <c r="AO30" i="2"/>
  <c r="AO31" i="2"/>
  <c r="AO48" i="2"/>
  <c r="AO51" i="2"/>
  <c r="AO54" i="2"/>
  <c r="AO55" i="2"/>
  <c r="AO320" i="2"/>
  <c r="AO68" i="2"/>
  <c r="AP68" i="2" s="1"/>
  <c r="AO170" i="2"/>
  <c r="AO74" i="2"/>
  <c r="AO75" i="2"/>
  <c r="AO339" i="2"/>
  <c r="AO77" i="2"/>
  <c r="AO79" i="2"/>
  <c r="AO80" i="2"/>
  <c r="AO76" i="2"/>
  <c r="AO82" i="2"/>
  <c r="AO173" i="2"/>
  <c r="AO88" i="2"/>
  <c r="AO92" i="2"/>
  <c r="AO96" i="2"/>
  <c r="AO192" i="2"/>
  <c r="AO111" i="2"/>
  <c r="AO414" i="2"/>
  <c r="AO137" i="2"/>
  <c r="AO138" i="2"/>
  <c r="AO202" i="2"/>
  <c r="AO155" i="2"/>
  <c r="AO337" i="2"/>
  <c r="AO388" i="2"/>
  <c r="AO365" i="2"/>
  <c r="AO342" i="2"/>
  <c r="AO188" i="2"/>
  <c r="AO194" i="2"/>
  <c r="AO217" i="2"/>
  <c r="AO219" i="2"/>
  <c r="AO221" i="2"/>
  <c r="AO223" i="2"/>
  <c r="AO225" i="2"/>
  <c r="AO227" i="2"/>
  <c r="AO254" i="2"/>
  <c r="AO274" i="2"/>
  <c r="AO279" i="2"/>
  <c r="AO284" i="2"/>
  <c r="AO287" i="2"/>
  <c r="AO296" i="2"/>
  <c r="AO212" i="2"/>
  <c r="AO389" i="2"/>
  <c r="AO14" i="2"/>
  <c r="AO28" i="2"/>
  <c r="AO60" i="2"/>
  <c r="AO17" i="2"/>
  <c r="AO106" i="2"/>
  <c r="AO176" i="2"/>
  <c r="AO392" i="2"/>
  <c r="AI104" i="4"/>
  <c r="AJ104" i="4"/>
  <c r="AI105" i="4"/>
  <c r="AJ105" i="4"/>
  <c r="AJ106" i="4"/>
  <c r="AI106" i="4"/>
  <c r="AL411" i="2"/>
  <c r="AI411" i="2"/>
  <c r="AL410" i="2"/>
  <c r="AL417" i="2"/>
  <c r="AI410" i="2"/>
  <c r="AR417" i="2"/>
  <c r="AR410" i="2"/>
  <c r="AR411" i="2"/>
  <c r="AI417" i="2"/>
  <c r="AU136" i="2" l="1"/>
  <c r="AT136" i="2"/>
  <c r="AV136" i="2" s="1"/>
  <c r="AV66" i="2"/>
  <c r="AX66" i="2"/>
  <c r="AW66" i="2"/>
  <c r="AV65" i="2"/>
  <c r="AX65" i="2"/>
  <c r="AW65" i="2"/>
  <c r="AU72" i="2"/>
  <c r="AT72" i="2"/>
  <c r="AX71" i="2"/>
  <c r="AW71" i="2"/>
  <c r="AV62" i="2"/>
  <c r="AX62" i="2"/>
  <c r="AW62" i="2"/>
  <c r="AQ248" i="2"/>
  <c r="AS248" i="2"/>
  <c r="AS136" i="2"/>
  <c r="AO179" i="2"/>
  <c r="AO19" i="2"/>
  <c r="AO18" i="2"/>
  <c r="AO16" i="2"/>
  <c r="AO15" i="2"/>
  <c r="AO406" i="2"/>
  <c r="AP406" i="2" s="1"/>
  <c r="AS406" i="2" s="1"/>
  <c r="AO233" i="2"/>
  <c r="AY8" i="2"/>
  <c r="AY9" i="2"/>
  <c r="AY10" i="2"/>
  <c r="AY11" i="2"/>
  <c r="AZ8" i="2"/>
  <c r="AZ11" i="2"/>
  <c r="AZ10" i="2"/>
  <c r="AO402" i="2"/>
  <c r="AP402" i="2" s="1"/>
  <c r="AS402" i="2" s="1"/>
  <c r="AO401" i="2"/>
  <c r="AP401" i="2" s="1"/>
  <c r="AS401" i="2" s="1"/>
  <c r="AZ9" i="2"/>
  <c r="AO405" i="2"/>
  <c r="AP405" i="2" s="1"/>
  <c r="AO404" i="2"/>
  <c r="AP404" i="2" s="1"/>
  <c r="AO400" i="2"/>
  <c r="AP400" i="2" s="1"/>
  <c r="AO410" i="2"/>
  <c r="AO216" i="2"/>
  <c r="AO150" i="2"/>
  <c r="AO2" i="2"/>
  <c r="AP7" i="2"/>
  <c r="AP6" i="2"/>
  <c r="AO3" i="2"/>
  <c r="AP3" i="2" s="1"/>
  <c r="AP4" i="2"/>
  <c r="AO5" i="2"/>
  <c r="AS68" i="2"/>
  <c r="AQ68" i="2"/>
  <c r="AO411" i="2"/>
  <c r="AO417" i="2"/>
  <c r="AN411" i="2"/>
  <c r="AN410" i="2"/>
  <c r="AJ430" i="2"/>
  <c r="AI430" i="2" s="1"/>
  <c r="AM430" i="2"/>
  <c r="AL430" i="2" s="1"/>
  <c r="AJ427" i="2"/>
  <c r="AI427" i="2" s="1"/>
  <c r="AM427" i="2"/>
  <c r="AL427" i="2" s="1"/>
  <c r="AJ424" i="2"/>
  <c r="AI424" i="2" s="1"/>
  <c r="AM424" i="2"/>
  <c r="AL424" i="2" s="1"/>
  <c r="AJ421" i="2"/>
  <c r="AI421" i="2" s="1"/>
  <c r="AM421" i="2"/>
  <c r="AL421" i="2" s="1"/>
  <c r="AJ418" i="2"/>
  <c r="AI418" i="2" s="1"/>
  <c r="AN418" i="2"/>
  <c r="AM418" i="2"/>
  <c r="AL418" i="2" s="1"/>
  <c r="AJ415" i="2"/>
  <c r="AI415" i="2" s="1"/>
  <c r="AR415" i="2"/>
  <c r="AR416" i="2"/>
  <c r="AR208" i="2"/>
  <c r="AR418" i="2"/>
  <c r="AN415" i="2"/>
  <c r="AM415" i="2"/>
  <c r="AL415" i="2" s="1"/>
  <c r="AJ133" i="2"/>
  <c r="AI133" i="2" s="1"/>
  <c r="AM133" i="2"/>
  <c r="AL133" i="2" s="1"/>
  <c r="AJ409" i="2"/>
  <c r="AI409" i="2" s="1"/>
  <c r="AN133" i="2"/>
  <c r="AR133" i="2"/>
  <c r="AN430" i="2"/>
  <c r="AR430" i="2"/>
  <c r="AN409" i="2"/>
  <c r="AR409" i="2"/>
  <c r="AN427" i="2"/>
  <c r="AR427" i="2"/>
  <c r="AN249" i="2"/>
  <c r="AR249" i="2"/>
  <c r="AN424" i="2"/>
  <c r="AR424" i="2"/>
  <c r="AN421" i="2"/>
  <c r="AR421" i="2"/>
  <c r="AN403" i="2"/>
  <c r="AR403" i="2"/>
  <c r="AM409" i="2"/>
  <c r="AL409" i="2" s="1"/>
  <c r="AJ249" i="2"/>
  <c r="AI249" i="2" s="1"/>
  <c r="AM249" i="2"/>
  <c r="AL249" i="2" s="1"/>
  <c r="AJ403" i="2"/>
  <c r="AI403" i="2" s="1"/>
  <c r="AM403" i="2"/>
  <c r="AL403" i="2" s="1"/>
  <c r="AN208" i="2"/>
  <c r="AJ208" i="2"/>
  <c r="AI208" i="2" s="1"/>
  <c r="AM208" i="2"/>
  <c r="AL208" i="2" s="1"/>
  <c r="AR81" i="2"/>
  <c r="AN81" i="2"/>
  <c r="AJ81" i="2"/>
  <c r="AI81" i="2" s="1"/>
  <c r="AM81" i="2"/>
  <c r="AL81" i="2" s="1"/>
  <c r="AJ428" i="2"/>
  <c r="AI428" i="2" s="1"/>
  <c r="AM428" i="2"/>
  <c r="AL428" i="2" s="1"/>
  <c r="AJ425" i="2"/>
  <c r="AI425" i="2" s="1"/>
  <c r="AM425" i="2"/>
  <c r="AL425" i="2" s="1"/>
  <c r="AM422" i="2"/>
  <c r="AL422" i="2" s="1"/>
  <c r="AM419" i="2"/>
  <c r="AL419" i="2" s="1"/>
  <c r="AM416" i="2"/>
  <c r="AL416" i="2" s="1"/>
  <c r="AJ422" i="2"/>
  <c r="AI422" i="2" s="1"/>
  <c r="AJ419" i="2"/>
  <c r="AI419" i="2" s="1"/>
  <c r="AO420" i="2" s="1"/>
  <c r="AP420" i="2" s="1"/>
  <c r="AJ416" i="2"/>
  <c r="AI416" i="2" s="1"/>
  <c r="AJ413" i="2"/>
  <c r="AI413" i="2" s="1"/>
  <c r="AR413" i="2"/>
  <c r="AR419" i="2"/>
  <c r="AR422" i="2"/>
  <c r="AR425" i="2"/>
  <c r="AR428" i="2"/>
  <c r="AR399" i="2"/>
  <c r="AR463" i="2"/>
  <c r="AO399" i="2"/>
  <c r="AO463" i="2"/>
  <c r="AM413" i="2"/>
  <c r="AL413" i="2" s="1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S420" i="2" l="1"/>
  <c r="AQ420" i="2"/>
  <c r="AV72" i="2"/>
  <c r="AX72" i="2"/>
  <c r="AW72" i="2"/>
  <c r="AX136" i="2"/>
  <c r="AW136" i="2"/>
  <c r="AU248" i="2"/>
  <c r="AT248" i="2"/>
  <c r="AV248" i="2" s="1"/>
  <c r="AU68" i="2"/>
  <c r="AT68" i="2"/>
  <c r="AV68" i="2" s="1"/>
  <c r="AP410" i="2"/>
  <c r="AS410" i="2" s="1"/>
  <c r="AO419" i="2"/>
  <c r="AO422" i="2"/>
  <c r="AO425" i="2"/>
  <c r="AS7" i="2"/>
  <c r="AQ7" i="2"/>
  <c r="AS6" i="2"/>
  <c r="AQ6" i="2"/>
  <c r="AS4" i="2"/>
  <c r="AQ4" i="2"/>
  <c r="AS3" i="2"/>
  <c r="AQ3" i="2"/>
  <c r="AQ401" i="2"/>
  <c r="AO416" i="2"/>
  <c r="AQ402" i="2"/>
  <c r="AP411" i="2"/>
  <c r="AS411" i="2" s="1"/>
  <c r="AQ406" i="2"/>
  <c r="AS405" i="2"/>
  <c r="AQ405" i="2"/>
  <c r="AS404" i="2"/>
  <c r="AQ404" i="2"/>
  <c r="AS400" i="2"/>
  <c r="AQ400" i="2"/>
  <c r="AO133" i="2"/>
  <c r="AP133" i="2" s="1"/>
  <c r="AS133" i="2" s="1"/>
  <c r="AO427" i="2"/>
  <c r="AP427" i="2" s="1"/>
  <c r="AS427" i="2" s="1"/>
  <c r="AO428" i="2"/>
  <c r="AO409" i="2"/>
  <c r="AP409" i="2" s="1"/>
  <c r="AS409" i="2" s="1"/>
  <c r="AO249" i="2"/>
  <c r="AP249" i="2" s="1"/>
  <c r="AS249" i="2" s="1"/>
  <c r="AO418" i="2"/>
  <c r="AP418" i="2" s="1"/>
  <c r="AQ418" i="2" s="1"/>
  <c r="AO403" i="2"/>
  <c r="AP403" i="2" s="1"/>
  <c r="AQ403" i="2" s="1"/>
  <c r="AO415" i="2"/>
  <c r="AP415" i="2" s="1"/>
  <c r="AO430" i="2"/>
  <c r="AP430" i="2" s="1"/>
  <c r="AO421" i="2"/>
  <c r="AP421" i="2" s="1"/>
  <c r="AO81" i="2"/>
  <c r="AP81" i="2" s="1"/>
  <c r="AQ81" i="2" s="1"/>
  <c r="AO208" i="2"/>
  <c r="AP208" i="2" s="1"/>
  <c r="AS208" i="2" s="1"/>
  <c r="AO424" i="2"/>
  <c r="AP424" i="2" s="1"/>
  <c r="AS424" i="2" s="1"/>
  <c r="AO413" i="2"/>
  <c r="AI125" i="4"/>
  <c r="AO477" i="2"/>
  <c r="AN477" i="2"/>
  <c r="AT420" i="2" l="1"/>
  <c r="AV420" i="2" s="1"/>
  <c r="AU420" i="2"/>
  <c r="AX420" i="2"/>
  <c r="AW420" i="2"/>
  <c r="AX248" i="2"/>
  <c r="AU402" i="2"/>
  <c r="AT402" i="2"/>
  <c r="AU81" i="2"/>
  <c r="AT81" i="2"/>
  <c r="AV81" i="2" s="1"/>
  <c r="AU4" i="2"/>
  <c r="AT4" i="2"/>
  <c r="AV4" i="2" s="1"/>
  <c r="AU404" i="2"/>
  <c r="AT404" i="2"/>
  <c r="AV404" i="2" s="1"/>
  <c r="AX68" i="2"/>
  <c r="AU401" i="2"/>
  <c r="AT401" i="2"/>
  <c r="AU3" i="2"/>
  <c r="AT3" i="2"/>
  <c r="AV3" i="2" s="1"/>
  <c r="AU6" i="2"/>
  <c r="AT6" i="2"/>
  <c r="AV6" i="2" s="1"/>
  <c r="AU406" i="2"/>
  <c r="AT406" i="2"/>
  <c r="AU405" i="2"/>
  <c r="AT405" i="2"/>
  <c r="AV405" i="2" s="1"/>
  <c r="AU418" i="2"/>
  <c r="AT418" i="2"/>
  <c r="AV418" i="2" s="1"/>
  <c r="AU400" i="2"/>
  <c r="AT400" i="2"/>
  <c r="AV400" i="2" s="1"/>
  <c r="AW68" i="2"/>
  <c r="AU403" i="2"/>
  <c r="AT403" i="2"/>
  <c r="AV403" i="2" s="1"/>
  <c r="AU7" i="2"/>
  <c r="AT7" i="2"/>
  <c r="AV7" i="2" s="1"/>
  <c r="AW248" i="2"/>
  <c r="AQ410" i="2"/>
  <c r="AQ411" i="2"/>
  <c r="AS418" i="2"/>
  <c r="AQ249" i="2"/>
  <c r="AS403" i="2"/>
  <c r="AQ409" i="2"/>
  <c r="AS415" i="2"/>
  <c r="AQ415" i="2"/>
  <c r="AQ427" i="2"/>
  <c r="AQ208" i="2"/>
  <c r="AS421" i="2"/>
  <c r="AQ421" i="2"/>
  <c r="AS430" i="2"/>
  <c r="AQ430" i="2"/>
  <c r="AS81" i="2"/>
  <c r="AQ424" i="2"/>
  <c r="AQ133" i="2"/>
  <c r="AJ127" i="4"/>
  <c r="AI127" i="4"/>
  <c r="AJ126" i="4"/>
  <c r="AI126" i="4"/>
  <c r="AJ125" i="4"/>
  <c r="AW4" i="2" l="1"/>
  <c r="AX4" i="2"/>
  <c r="AX405" i="2"/>
  <c r="AW405" i="2"/>
  <c r="AX404" i="2"/>
  <c r="AW7" i="2"/>
  <c r="AV406" i="2"/>
  <c r="AW406" i="2"/>
  <c r="AX406" i="2"/>
  <c r="AX6" i="2"/>
  <c r="AW404" i="2"/>
  <c r="AX403" i="2"/>
  <c r="AW403" i="2"/>
  <c r="AV402" i="2"/>
  <c r="AX402" i="2"/>
  <c r="AW402" i="2"/>
  <c r="AU410" i="2"/>
  <c r="AT410" i="2"/>
  <c r="AU208" i="2"/>
  <c r="AT208" i="2"/>
  <c r="AW6" i="2"/>
  <c r="AU133" i="2"/>
  <c r="AT133" i="2"/>
  <c r="AU249" i="2"/>
  <c r="AT249" i="2"/>
  <c r="AW400" i="2"/>
  <c r="AU415" i="2"/>
  <c r="AT415" i="2"/>
  <c r="AV415" i="2" s="1"/>
  <c r="AU409" i="2"/>
  <c r="AT409" i="2"/>
  <c r="AW418" i="2"/>
  <c r="AX418" i="2"/>
  <c r="AX400" i="2"/>
  <c r="AW3" i="2"/>
  <c r="AU421" i="2"/>
  <c r="AT421" i="2"/>
  <c r="AV421" i="2" s="1"/>
  <c r="AX7" i="2"/>
  <c r="AU427" i="2"/>
  <c r="AT427" i="2"/>
  <c r="AU424" i="2"/>
  <c r="AT424" i="2"/>
  <c r="AX81" i="2"/>
  <c r="AW81" i="2"/>
  <c r="AU430" i="2"/>
  <c r="AT430" i="2"/>
  <c r="AV430" i="2" s="1"/>
  <c r="AU411" i="2"/>
  <c r="AT411" i="2"/>
  <c r="AV401" i="2"/>
  <c r="AX401" i="2"/>
  <c r="AW401" i="2"/>
  <c r="AX3" i="2"/>
  <c r="AR478" i="2"/>
  <c r="AR479" i="2"/>
  <c r="AR481" i="2"/>
  <c r="AR482" i="2"/>
  <c r="AR483" i="2"/>
  <c r="AR485" i="2"/>
  <c r="AR486" i="2"/>
  <c r="AR487" i="2"/>
  <c r="AR477" i="2"/>
  <c r="AO478" i="2"/>
  <c r="AO479" i="2"/>
  <c r="AO481" i="2"/>
  <c r="AO482" i="2"/>
  <c r="AO483" i="2"/>
  <c r="AO485" i="2"/>
  <c r="AO486" i="2"/>
  <c r="AO487" i="2"/>
  <c r="AN487" i="2"/>
  <c r="AN486" i="2"/>
  <c r="AN483" i="2"/>
  <c r="AN482" i="2"/>
  <c r="AN479" i="2"/>
  <c r="AN478" i="2"/>
  <c r="AN5" i="2"/>
  <c r="AP5" i="2" s="1"/>
  <c r="AN233" i="2"/>
  <c r="AP233" i="2" s="1"/>
  <c r="AN15" i="2"/>
  <c r="AP15" i="2" s="1"/>
  <c r="AN16" i="2"/>
  <c r="AP16" i="2" s="1"/>
  <c r="AN179" i="2"/>
  <c r="AP179" i="2" s="1"/>
  <c r="AN18" i="2"/>
  <c r="AP18" i="2" s="1"/>
  <c r="AN19" i="2"/>
  <c r="AP19" i="2" s="1"/>
  <c r="AN43" i="2"/>
  <c r="AP43" i="2" s="1"/>
  <c r="AN29" i="2"/>
  <c r="AP29" i="2" s="1"/>
  <c r="AN30" i="2"/>
  <c r="AP30" i="2" s="1"/>
  <c r="AN31" i="2"/>
  <c r="AP31" i="2" s="1"/>
  <c r="AN48" i="2"/>
  <c r="AP48" i="2" s="1"/>
  <c r="AN51" i="2"/>
  <c r="AP51" i="2" s="1"/>
  <c r="AN54" i="2"/>
  <c r="AP54" i="2" s="1"/>
  <c r="AN55" i="2"/>
  <c r="AP55" i="2" s="1"/>
  <c r="AN320" i="2"/>
  <c r="AP320" i="2" s="1"/>
  <c r="AN170" i="2"/>
  <c r="AP170" i="2" s="1"/>
  <c r="AN74" i="2"/>
  <c r="AP74" i="2" s="1"/>
  <c r="AN75" i="2"/>
  <c r="AP75" i="2" s="1"/>
  <c r="AP339" i="2"/>
  <c r="AP77" i="2"/>
  <c r="AP79" i="2"/>
  <c r="AP80" i="2"/>
  <c r="AP76" i="2"/>
  <c r="AP82" i="2"/>
  <c r="AN173" i="2"/>
  <c r="AP173" i="2" s="1"/>
  <c r="AN88" i="2"/>
  <c r="AP88" i="2" s="1"/>
  <c r="AN92" i="2"/>
  <c r="AP92" i="2" s="1"/>
  <c r="AN96" i="2"/>
  <c r="AP96" i="2" s="1"/>
  <c r="AN100" i="2"/>
  <c r="AP100" i="2" s="1"/>
  <c r="AN429" i="2"/>
  <c r="AP429" i="2" s="1"/>
  <c r="AP109" i="2"/>
  <c r="AP441" i="2"/>
  <c r="AP112" i="2"/>
  <c r="AP114" i="2"/>
  <c r="AN192" i="2"/>
  <c r="AP192" i="2" s="1"/>
  <c r="AN111" i="2"/>
  <c r="AP111" i="2" s="1"/>
  <c r="AN414" i="2"/>
  <c r="AP414" i="2" s="1"/>
  <c r="AN137" i="2"/>
  <c r="AP137" i="2" s="1"/>
  <c r="AN138" i="2"/>
  <c r="AP138" i="2" s="1"/>
  <c r="AN202" i="2"/>
  <c r="AP202" i="2" s="1"/>
  <c r="AN155" i="2"/>
  <c r="AP155" i="2" s="1"/>
  <c r="AN337" i="2"/>
  <c r="AP337" i="2" s="1"/>
  <c r="AN388" i="2"/>
  <c r="AP388" i="2" s="1"/>
  <c r="AN365" i="2"/>
  <c r="AP365" i="2" s="1"/>
  <c r="AN342" i="2"/>
  <c r="AP342" i="2" s="1"/>
  <c r="AN188" i="2"/>
  <c r="AP188" i="2" s="1"/>
  <c r="AN194" i="2"/>
  <c r="AP194" i="2" s="1"/>
  <c r="AN217" i="2"/>
  <c r="AP217" i="2" s="1"/>
  <c r="AN219" i="2"/>
  <c r="AP219" i="2" s="1"/>
  <c r="AN221" i="2"/>
  <c r="AP221" i="2" s="1"/>
  <c r="AN223" i="2"/>
  <c r="AP223" i="2" s="1"/>
  <c r="AN225" i="2"/>
  <c r="AP225" i="2" s="1"/>
  <c r="AN227" i="2"/>
  <c r="AP227" i="2" s="1"/>
  <c r="AN254" i="2"/>
  <c r="AP254" i="2" s="1"/>
  <c r="AN274" i="2"/>
  <c r="AP274" i="2" s="1"/>
  <c r="AN279" i="2"/>
  <c r="AP279" i="2" s="1"/>
  <c r="AN284" i="2"/>
  <c r="AP284" i="2" s="1"/>
  <c r="AN287" i="2"/>
  <c r="AP287" i="2" s="1"/>
  <c r="AN296" i="2"/>
  <c r="AP296" i="2" s="1"/>
  <c r="AN212" i="2"/>
  <c r="AP212" i="2" s="1"/>
  <c r="AN389" i="2"/>
  <c r="AP389" i="2" s="1"/>
  <c r="AN14" i="2"/>
  <c r="AP14" i="2" s="1"/>
  <c r="AN28" i="2"/>
  <c r="AP28" i="2" s="1"/>
  <c r="AN60" i="2"/>
  <c r="AP60" i="2" s="1"/>
  <c r="AN17" i="2"/>
  <c r="AP17" i="2" s="1"/>
  <c r="AN106" i="2"/>
  <c r="AP106" i="2" s="1"/>
  <c r="AN176" i="2"/>
  <c r="AP176" i="2" s="1"/>
  <c r="AN392" i="2"/>
  <c r="AP392" i="2" s="1"/>
  <c r="AN150" i="2"/>
  <c r="AP150" i="2" s="1"/>
  <c r="AN216" i="2"/>
  <c r="AP216" i="2" s="1"/>
  <c r="AN417" i="2"/>
  <c r="AP417" i="2" s="1"/>
  <c r="AN413" i="2"/>
  <c r="AP413" i="2" s="1"/>
  <c r="AN416" i="2"/>
  <c r="AP416" i="2" s="1"/>
  <c r="AN419" i="2"/>
  <c r="AP419" i="2" s="1"/>
  <c r="AN422" i="2"/>
  <c r="AP422" i="2" s="1"/>
  <c r="AN425" i="2"/>
  <c r="AP425" i="2" s="1"/>
  <c r="AN428" i="2"/>
  <c r="AP428" i="2" s="1"/>
  <c r="AN399" i="2"/>
  <c r="AP399" i="2" s="1"/>
  <c r="AN463" i="2"/>
  <c r="AP463" i="2" s="1"/>
  <c r="AP477" i="2"/>
  <c r="AN481" i="2"/>
  <c r="AN485" i="2"/>
  <c r="AN2" i="2"/>
  <c r="AP2" i="2" s="1"/>
  <c r="AX430" i="2" l="1"/>
  <c r="AW430" i="2"/>
  <c r="AV249" i="2"/>
  <c r="AX249" i="2"/>
  <c r="AW249" i="2"/>
  <c r="AV133" i="2"/>
  <c r="AW133" i="2"/>
  <c r="AX133" i="2"/>
  <c r="AV424" i="2"/>
  <c r="AW424" i="2"/>
  <c r="AX424" i="2"/>
  <c r="AW421" i="2"/>
  <c r="AV409" i="2"/>
  <c r="AX409" i="2"/>
  <c r="AW409" i="2"/>
  <c r="AV208" i="2"/>
  <c r="AW208" i="2"/>
  <c r="AX208" i="2"/>
  <c r="AX421" i="2"/>
  <c r="AV427" i="2"/>
  <c r="AX427" i="2"/>
  <c r="AW427" i="2"/>
  <c r="AV411" i="2"/>
  <c r="AX411" i="2"/>
  <c r="AW411" i="2"/>
  <c r="AW415" i="2"/>
  <c r="AV410" i="2"/>
  <c r="AX410" i="2"/>
  <c r="AW410" i="2"/>
  <c r="AX415" i="2"/>
  <c r="AS477" i="2"/>
  <c r="AS170" i="2"/>
  <c r="AQ170" i="2"/>
  <c r="AS441" i="2"/>
  <c r="AQ441" i="2"/>
  <c r="AU441" i="2" s="1"/>
  <c r="AS88" i="2"/>
  <c r="AQ88" i="2"/>
  <c r="AS30" i="2"/>
  <c r="AQ30" i="2"/>
  <c r="AS216" i="2"/>
  <c r="AQ216" i="2"/>
  <c r="AS320" i="2"/>
  <c r="AQ320" i="2"/>
  <c r="AS48" i="2"/>
  <c r="AQ48" i="2"/>
  <c r="AS29" i="2"/>
  <c r="AQ29" i="2"/>
  <c r="AS173" i="2"/>
  <c r="AQ173" i="2"/>
  <c r="AS43" i="2"/>
  <c r="AQ43" i="2"/>
  <c r="AS31" i="2"/>
  <c r="AQ31" i="2"/>
  <c r="AS82" i="2"/>
  <c r="AQ82" i="2"/>
  <c r="AS19" i="2"/>
  <c r="AQ19" i="2"/>
  <c r="AS219" i="2"/>
  <c r="AQ219" i="2"/>
  <c r="AQ150" i="2"/>
  <c r="AS150" i="2"/>
  <c r="AS138" i="2"/>
  <c r="AQ138" i="2"/>
  <c r="AS76" i="2"/>
  <c r="AQ76" i="2"/>
  <c r="AS18" i="2"/>
  <c r="AQ18" i="2"/>
  <c r="AS287" i="2"/>
  <c r="AQ287" i="2"/>
  <c r="AS14" i="2"/>
  <c r="AQ14" i="2"/>
  <c r="AS176" i="2"/>
  <c r="AQ176" i="2"/>
  <c r="AS202" i="2"/>
  <c r="AQ202" i="2"/>
  <c r="AS137" i="2"/>
  <c r="AQ137" i="2"/>
  <c r="AS80" i="2"/>
  <c r="AQ80" i="2"/>
  <c r="AQ179" i="2"/>
  <c r="AS179" i="2"/>
  <c r="AS284" i="2"/>
  <c r="AQ284" i="2"/>
  <c r="AS389" i="2"/>
  <c r="AQ389" i="2"/>
  <c r="AS227" i="2"/>
  <c r="AQ227" i="2"/>
  <c r="AS342" i="2"/>
  <c r="AQ342" i="2"/>
  <c r="AS155" i="2"/>
  <c r="AQ155" i="2"/>
  <c r="AS414" i="2"/>
  <c r="AQ414" i="2"/>
  <c r="AS109" i="2"/>
  <c r="AQ109" i="2"/>
  <c r="AQ79" i="2"/>
  <c r="AS79" i="2"/>
  <c r="AQ55" i="2"/>
  <c r="AS55" i="2"/>
  <c r="AS92" i="2"/>
  <c r="AQ92" i="2"/>
  <c r="AS217" i="2"/>
  <c r="AQ217" i="2"/>
  <c r="AS60" i="2"/>
  <c r="AQ60" i="2"/>
  <c r="AS212" i="2"/>
  <c r="AQ212" i="2"/>
  <c r="AQ225" i="2"/>
  <c r="AU225" i="2" s="1"/>
  <c r="AS225" i="2"/>
  <c r="AQ365" i="2"/>
  <c r="AS365" i="2"/>
  <c r="AQ111" i="2"/>
  <c r="AS111" i="2"/>
  <c r="AQ429" i="2"/>
  <c r="AU429" i="2" s="1"/>
  <c r="AS429" i="2"/>
  <c r="AQ77" i="2"/>
  <c r="AS77" i="2"/>
  <c r="AS54" i="2"/>
  <c r="AQ54" i="2"/>
  <c r="AQ5" i="2"/>
  <c r="AS5" i="2"/>
  <c r="AS28" i="2"/>
  <c r="AQ28" i="2"/>
  <c r="AS254" i="2"/>
  <c r="AQ254" i="2"/>
  <c r="AQ194" i="2"/>
  <c r="AS194" i="2"/>
  <c r="AQ388" i="2"/>
  <c r="AS388" i="2"/>
  <c r="AQ192" i="2"/>
  <c r="AS192" i="2"/>
  <c r="AS339" i="2"/>
  <c r="AQ339" i="2"/>
  <c r="AS16" i="2"/>
  <c r="AQ16" i="2"/>
  <c r="AS112" i="2"/>
  <c r="AQ112" i="2"/>
  <c r="AU112" i="2" s="1"/>
  <c r="AS274" i="2"/>
  <c r="AQ274" i="2"/>
  <c r="AS392" i="2"/>
  <c r="AQ392" i="2"/>
  <c r="AS296" i="2"/>
  <c r="AQ296" i="2"/>
  <c r="AS223" i="2"/>
  <c r="AQ223" i="2"/>
  <c r="AS188" i="2"/>
  <c r="AQ188" i="2"/>
  <c r="AS337" i="2"/>
  <c r="AQ337" i="2"/>
  <c r="AS114" i="2"/>
  <c r="AQ114" i="2"/>
  <c r="AS100" i="2"/>
  <c r="AQ100" i="2"/>
  <c r="AS75" i="2"/>
  <c r="AQ75" i="2"/>
  <c r="AS15" i="2"/>
  <c r="AQ15" i="2"/>
  <c r="AS17" i="2"/>
  <c r="AQ17" i="2"/>
  <c r="AQ2" i="2"/>
  <c r="AT2" i="2" s="1"/>
  <c r="AV2" i="2" s="1"/>
  <c r="AS2" i="2"/>
  <c r="AS106" i="2"/>
  <c r="AQ106" i="2"/>
  <c r="AS279" i="2"/>
  <c r="AQ279" i="2"/>
  <c r="AS221" i="2"/>
  <c r="AQ221" i="2"/>
  <c r="AS96" i="2"/>
  <c r="AQ96" i="2"/>
  <c r="AS74" i="2"/>
  <c r="AQ74" i="2"/>
  <c r="AS51" i="2"/>
  <c r="AQ51" i="2"/>
  <c r="AS233" i="2"/>
  <c r="AQ233" i="2"/>
  <c r="AQ417" i="2"/>
  <c r="AS417" i="2"/>
  <c r="AQ463" i="2"/>
  <c r="AS463" i="2"/>
  <c r="AQ416" i="2"/>
  <c r="AS416" i="2"/>
  <c r="AS413" i="2"/>
  <c r="AQ413" i="2"/>
  <c r="AS399" i="2"/>
  <c r="AQ399" i="2"/>
  <c r="AQ428" i="2"/>
  <c r="AS428" i="2"/>
  <c r="AS425" i="2"/>
  <c r="AQ425" i="2"/>
  <c r="AQ422" i="2"/>
  <c r="AS422" i="2"/>
  <c r="AQ419" i="2"/>
  <c r="AS419" i="2"/>
  <c r="AP481" i="2"/>
  <c r="AQ481" i="2" s="1"/>
  <c r="AP479" i="2"/>
  <c r="AQ479" i="2" s="1"/>
  <c r="AP478" i="2"/>
  <c r="AS478" i="2" s="1"/>
  <c r="AP483" i="2"/>
  <c r="AS483" i="2" s="1"/>
  <c r="AP486" i="2"/>
  <c r="AS486" i="2" s="1"/>
  <c r="AP487" i="2"/>
  <c r="AS487" i="2" s="1"/>
  <c r="AQ477" i="2"/>
  <c r="AP485" i="2"/>
  <c r="AS485" i="2" s="1"/>
  <c r="AP482" i="2"/>
  <c r="AS482" i="2" s="1"/>
  <c r="AU212" i="2" l="1"/>
  <c r="AT212" i="2"/>
  <c r="AV212" i="2" s="1"/>
  <c r="AU192" i="2"/>
  <c r="AT192" i="2"/>
  <c r="AV192" i="2" s="1"/>
  <c r="AU75" i="2"/>
  <c r="AT75" i="2"/>
  <c r="AV75" i="2" s="1"/>
  <c r="AU60" i="2"/>
  <c r="AT60" i="2"/>
  <c r="AV60" i="2" s="1"/>
  <c r="AU414" i="2"/>
  <c r="AT414" i="2"/>
  <c r="AV414" i="2" s="1"/>
  <c r="AU287" i="2"/>
  <c r="AT287" i="2"/>
  <c r="AV287" i="2" s="1"/>
  <c r="AU19" i="2"/>
  <c r="AT19" i="2"/>
  <c r="AV19" i="2" s="1"/>
  <c r="AU48" i="2"/>
  <c r="AT48" i="2"/>
  <c r="AV48" i="2" s="1"/>
  <c r="AU170" i="2"/>
  <c r="AT170" i="2"/>
  <c r="AV170" i="2" s="1"/>
  <c r="AU416" i="2"/>
  <c r="AT416" i="2"/>
  <c r="AV416" i="2" s="1"/>
  <c r="AU14" i="2"/>
  <c r="AT14" i="2"/>
  <c r="AV14" i="2" s="1"/>
  <c r="AU463" i="2"/>
  <c r="AT463" i="2"/>
  <c r="AV463" i="2" s="1"/>
  <c r="AU425" i="2"/>
  <c r="AT425" i="2"/>
  <c r="AV425" i="2" s="1"/>
  <c r="AU388" i="2"/>
  <c r="AT388" i="2"/>
  <c r="AV388" i="2" s="1"/>
  <c r="AU77" i="2"/>
  <c r="AT77" i="2"/>
  <c r="AV77" i="2" s="1"/>
  <c r="AU179" i="2"/>
  <c r="AT179" i="2"/>
  <c r="AV179" i="2" s="1"/>
  <c r="AU5" i="2"/>
  <c r="AT5" i="2"/>
  <c r="AV5" i="2" s="1"/>
  <c r="AU221" i="2"/>
  <c r="AT221" i="2"/>
  <c r="AV221" i="2" s="1"/>
  <c r="AU18" i="2"/>
  <c r="AT18" i="2"/>
  <c r="AV18" i="2" s="1"/>
  <c r="AU219" i="2"/>
  <c r="AT219" i="2"/>
  <c r="AV219" i="2" s="1"/>
  <c r="AU422" i="2"/>
  <c r="AT422" i="2"/>
  <c r="AV422" i="2" s="1"/>
  <c r="AU392" i="2"/>
  <c r="AT392" i="2"/>
  <c r="AV392" i="2" s="1"/>
  <c r="AU419" i="2"/>
  <c r="AT419" i="2"/>
  <c r="AV419" i="2" s="1"/>
  <c r="AU150" i="2"/>
  <c r="AT150" i="2"/>
  <c r="AV150" i="2" s="1"/>
  <c r="AU109" i="2"/>
  <c r="AT109" i="2"/>
  <c r="AV109" i="2" s="1"/>
  <c r="AU106" i="2"/>
  <c r="AT106" i="2"/>
  <c r="AV106" i="2" s="1"/>
  <c r="AU82" i="2"/>
  <c r="AT82" i="2"/>
  <c r="AV82" i="2" s="1"/>
  <c r="AU51" i="2"/>
  <c r="AT51" i="2"/>
  <c r="AV51" i="2" s="1"/>
  <c r="AU137" i="2"/>
  <c r="AT137" i="2"/>
  <c r="AV137" i="2" s="1"/>
  <c r="AU31" i="2"/>
  <c r="AT31" i="2"/>
  <c r="AV31" i="2" s="1"/>
  <c r="AU216" i="2"/>
  <c r="AT216" i="2"/>
  <c r="AV216" i="2" s="1"/>
  <c r="AU296" i="2"/>
  <c r="AT296" i="2"/>
  <c r="AV296" i="2" s="1"/>
  <c r="AU284" i="2"/>
  <c r="AT284" i="2"/>
  <c r="AV284" i="2" s="1"/>
  <c r="AU279" i="2"/>
  <c r="AT279" i="2"/>
  <c r="AV279" i="2" s="1"/>
  <c r="AU114" i="2"/>
  <c r="AT114" i="2"/>
  <c r="AV114" i="2" s="1"/>
  <c r="AU217" i="2"/>
  <c r="AT217" i="2"/>
  <c r="AV217" i="2" s="1"/>
  <c r="AU80" i="2"/>
  <c r="AT80" i="2"/>
  <c r="AV80" i="2" s="1"/>
  <c r="AU428" i="2"/>
  <c r="AT428" i="2"/>
  <c r="AV428" i="2" s="1"/>
  <c r="AU399" i="2"/>
  <c r="AT399" i="2"/>
  <c r="AV399" i="2" s="1"/>
  <c r="AU337" i="2"/>
  <c r="AT337" i="2"/>
  <c r="AV337" i="2" s="1"/>
  <c r="AU254" i="2"/>
  <c r="AT254" i="2"/>
  <c r="AV254" i="2" s="1"/>
  <c r="AU92" i="2"/>
  <c r="AT92" i="2"/>
  <c r="AV92" i="2" s="1"/>
  <c r="AU111" i="2"/>
  <c r="AT111" i="2"/>
  <c r="AV111" i="2" s="1"/>
  <c r="AU79" i="2"/>
  <c r="AT79" i="2"/>
  <c r="AV79" i="2" s="1"/>
  <c r="AU100" i="2"/>
  <c r="AT100" i="2"/>
  <c r="AV100" i="2" s="1"/>
  <c r="AU477" i="2"/>
  <c r="AT477" i="2"/>
  <c r="AV477" i="2" s="1"/>
  <c r="AU274" i="2"/>
  <c r="AT274" i="2"/>
  <c r="AV274" i="2" s="1"/>
  <c r="AU194" i="2"/>
  <c r="AT194" i="2"/>
  <c r="AV194" i="2" s="1"/>
  <c r="AU342" i="2"/>
  <c r="AT342" i="2"/>
  <c r="AV342" i="2" s="1"/>
  <c r="AU413" i="2"/>
  <c r="AT413" i="2"/>
  <c r="AV413" i="2" s="1"/>
  <c r="AU17" i="2"/>
  <c r="AT17" i="2"/>
  <c r="AV17" i="2" s="1"/>
  <c r="AU16" i="2"/>
  <c r="AT16" i="2"/>
  <c r="AV16" i="2" s="1"/>
  <c r="AU227" i="2"/>
  <c r="AT227" i="2"/>
  <c r="AV227" i="2" s="1"/>
  <c r="AU202" i="2"/>
  <c r="AT202" i="2"/>
  <c r="AV202" i="2" s="1"/>
  <c r="AU138" i="2"/>
  <c r="AT138" i="2"/>
  <c r="AV138" i="2" s="1"/>
  <c r="AU43" i="2"/>
  <c r="AT43" i="2"/>
  <c r="AV43" i="2" s="1"/>
  <c r="AU30" i="2"/>
  <c r="AT30" i="2"/>
  <c r="AV30" i="2" s="1"/>
  <c r="AU29" i="2"/>
  <c r="AT29" i="2"/>
  <c r="AV29" i="2" s="1"/>
  <c r="AU417" i="2"/>
  <c r="AT417" i="2"/>
  <c r="AV417" i="2" s="1"/>
  <c r="AU233" i="2"/>
  <c r="AT233" i="2"/>
  <c r="AV233" i="2" s="1"/>
  <c r="AU155" i="2"/>
  <c r="AT155" i="2"/>
  <c r="AV155" i="2" s="1"/>
  <c r="AX2" i="2"/>
  <c r="AW2" i="2"/>
  <c r="AU76" i="2"/>
  <c r="AT76" i="2"/>
  <c r="AV76" i="2" s="1"/>
  <c r="AX399" i="2"/>
  <c r="AW399" i="2"/>
  <c r="AU479" i="2"/>
  <c r="AT479" i="2"/>
  <c r="AV479" i="2" s="1"/>
  <c r="AU74" i="2"/>
  <c r="AT74" i="2"/>
  <c r="AV74" i="2" s="1"/>
  <c r="AU188" i="2"/>
  <c r="AT188" i="2"/>
  <c r="AV188" i="2" s="1"/>
  <c r="AU28" i="2"/>
  <c r="AT28" i="2"/>
  <c r="AV28" i="2" s="1"/>
  <c r="AU481" i="2"/>
  <c r="AT481" i="2"/>
  <c r="AV481" i="2" s="1"/>
  <c r="AW188" i="2"/>
  <c r="AX28" i="2"/>
  <c r="AU365" i="2"/>
  <c r="AT365" i="2"/>
  <c r="AV365" i="2" s="1"/>
  <c r="AU55" i="2"/>
  <c r="AT55" i="2"/>
  <c r="AV55" i="2" s="1"/>
  <c r="AU54" i="2"/>
  <c r="AT54" i="2"/>
  <c r="AV54" i="2" s="1"/>
  <c r="AU320" i="2"/>
  <c r="AT320" i="2"/>
  <c r="AV320" i="2" s="1"/>
  <c r="AU96" i="2"/>
  <c r="AT96" i="2"/>
  <c r="AV96" i="2" s="1"/>
  <c r="AU15" i="2"/>
  <c r="AT15" i="2"/>
  <c r="AV15" i="2" s="1"/>
  <c r="AU223" i="2"/>
  <c r="AT223" i="2"/>
  <c r="AV223" i="2" s="1"/>
  <c r="AU339" i="2"/>
  <c r="AT339" i="2"/>
  <c r="AV339" i="2" s="1"/>
  <c r="AU389" i="2"/>
  <c r="AT389" i="2"/>
  <c r="AV389" i="2" s="1"/>
  <c r="AU176" i="2"/>
  <c r="AT176" i="2"/>
  <c r="AV176" i="2" s="1"/>
  <c r="AU173" i="2"/>
  <c r="AT173" i="2"/>
  <c r="AV173" i="2" s="1"/>
  <c r="AU88" i="2"/>
  <c r="AT88" i="2"/>
  <c r="AV88" i="2" s="1"/>
  <c r="AU2" i="2"/>
  <c r="AQ478" i="2"/>
  <c r="AQ486" i="2"/>
  <c r="AQ483" i="2"/>
  <c r="AS479" i="2"/>
  <c r="AS481" i="2"/>
  <c r="AQ487" i="2"/>
  <c r="AQ485" i="2"/>
  <c r="AQ482" i="2"/>
  <c r="AW150" i="2" l="1"/>
  <c r="AX150" i="2"/>
  <c r="AW82" i="2"/>
  <c r="AX419" i="2"/>
  <c r="AW137" i="2"/>
  <c r="AX14" i="2"/>
  <c r="AW14" i="2"/>
  <c r="AW43" i="2"/>
  <c r="AW5" i="2"/>
  <c r="AX43" i="2"/>
  <c r="AW416" i="2"/>
  <c r="AX416" i="2"/>
  <c r="AW28" i="2"/>
  <c r="AW219" i="2"/>
  <c r="AX219" i="2"/>
  <c r="AX55" i="2"/>
  <c r="AX96" i="2"/>
  <c r="AW138" i="2"/>
  <c r="AX138" i="2"/>
  <c r="AX202" i="2"/>
  <c r="AX106" i="2"/>
  <c r="AW227" i="2"/>
  <c r="AX287" i="2"/>
  <c r="AW202" i="2"/>
  <c r="AW106" i="2"/>
  <c r="AX227" i="2"/>
  <c r="AW114" i="2"/>
  <c r="AW16" i="2"/>
  <c r="AX82" i="2"/>
  <c r="AW155" i="2"/>
  <c r="AX155" i="2"/>
  <c r="AW413" i="2"/>
  <c r="AW77" i="2"/>
  <c r="AW388" i="2"/>
  <c r="AX388" i="2"/>
  <c r="AW287" i="2"/>
  <c r="AX413" i="2"/>
  <c r="AX77" i="2"/>
  <c r="AX51" i="2"/>
  <c r="AX75" i="2"/>
  <c r="AW419" i="2"/>
  <c r="AW221" i="2"/>
  <c r="AW216" i="2"/>
  <c r="AW75" i="2"/>
  <c r="AX216" i="2"/>
  <c r="AX30" i="2"/>
  <c r="AX422" i="2"/>
  <c r="AX31" i="2"/>
  <c r="AW296" i="2"/>
  <c r="AW111" i="2"/>
  <c r="AW414" i="2"/>
  <c r="AW74" i="2"/>
  <c r="AW30" i="2"/>
  <c r="AX114" i="2"/>
  <c r="AW96" i="2"/>
  <c r="AW55" i="2"/>
  <c r="AW31" i="2"/>
  <c r="AW274" i="2"/>
  <c r="AX296" i="2"/>
  <c r="AX111" i="2"/>
  <c r="AX414" i="2"/>
  <c r="AX137" i="2"/>
  <c r="AW365" i="2"/>
  <c r="AW342" i="2"/>
  <c r="AW18" i="2"/>
  <c r="AW279" i="2"/>
  <c r="AU482" i="2"/>
  <c r="AT482" i="2"/>
  <c r="AX365" i="2"/>
  <c r="AX342" i="2"/>
  <c r="AX18" i="2"/>
  <c r="AU487" i="2"/>
  <c r="AT487" i="2"/>
  <c r="AX481" i="2"/>
  <c r="AW481" i="2"/>
  <c r="AW417" i="2"/>
  <c r="AX92" i="2"/>
  <c r="AW80" i="2"/>
  <c r="AX284" i="2"/>
  <c r="AX417" i="2"/>
  <c r="AW92" i="2"/>
  <c r="AX80" i="2"/>
  <c r="AW284" i="2"/>
  <c r="AW233" i="2"/>
  <c r="AW170" i="2"/>
  <c r="AW60" i="2"/>
  <c r="AW173" i="2"/>
  <c r="AX109" i="2"/>
  <c r="AW463" i="2"/>
  <c r="AX477" i="2"/>
  <c r="AX233" i="2"/>
  <c r="AX170" i="2"/>
  <c r="AX60" i="2"/>
  <c r="AX173" i="2"/>
  <c r="AW109" i="2"/>
  <c r="AX463" i="2"/>
  <c r="AX428" i="2"/>
  <c r="AU483" i="2"/>
  <c r="AT483" i="2"/>
  <c r="AW254" i="2"/>
  <c r="AW392" i="2"/>
  <c r="AX217" i="2"/>
  <c r="AX389" i="2"/>
  <c r="AW48" i="2"/>
  <c r="AW192" i="2"/>
  <c r="AW179" i="2"/>
  <c r="AW223" i="2"/>
  <c r="AX212" i="2"/>
  <c r="AW88" i="2"/>
  <c r="AX479" i="2"/>
  <c r="AW479" i="2"/>
  <c r="AU486" i="2"/>
  <c r="AT486" i="2"/>
  <c r="AX188" i="2"/>
  <c r="AW79" i="2"/>
  <c r="AX79" i="2"/>
  <c r="AX17" i="2"/>
  <c r="AX254" i="2"/>
  <c r="AX392" i="2"/>
  <c r="AW217" i="2"/>
  <c r="AW389" i="2"/>
  <c r="AX48" i="2"/>
  <c r="AX192" i="2"/>
  <c r="AX179" i="2"/>
  <c r="AX223" i="2"/>
  <c r="AW212" i="2"/>
  <c r="AX88" i="2"/>
  <c r="AX279" i="2"/>
  <c r="AU485" i="2"/>
  <c r="AT485" i="2"/>
  <c r="AW428" i="2"/>
  <c r="AX16" i="2"/>
  <c r="AW477" i="2"/>
  <c r="AX221" i="2"/>
  <c r="AU478" i="2"/>
  <c r="AT478" i="2"/>
  <c r="AW17" i="2"/>
  <c r="AX5" i="2"/>
  <c r="AW176" i="2"/>
  <c r="AX74" i="2"/>
  <c r="AW422" i="2"/>
  <c r="AW51" i="2"/>
  <c r="AW100" i="2"/>
  <c r="AW76" i="2"/>
  <c r="AX337" i="2"/>
  <c r="AX274" i="2"/>
  <c r="AW425" i="2"/>
  <c r="AX320" i="2"/>
  <c r="AW194" i="2"/>
  <c r="AX339" i="2"/>
  <c r="AW19" i="2"/>
  <c r="AW29" i="2"/>
  <c r="AW54" i="2"/>
  <c r="AW15" i="2"/>
  <c r="AX176" i="2"/>
  <c r="AX100" i="2"/>
  <c r="AX76" i="2"/>
  <c r="AW337" i="2"/>
  <c r="AX425" i="2"/>
  <c r="AW320" i="2"/>
  <c r="AX194" i="2"/>
  <c r="AW339" i="2"/>
  <c r="AX19" i="2"/>
  <c r="AX29" i="2"/>
  <c r="AX54" i="2"/>
  <c r="AX15" i="2"/>
  <c r="AV482" i="2" l="1"/>
  <c r="AX482" i="2"/>
  <c r="AW482" i="2"/>
  <c r="AV485" i="2"/>
  <c r="AX485" i="2"/>
  <c r="AW485" i="2"/>
  <c r="AV486" i="2"/>
  <c r="AX486" i="2"/>
  <c r="AW486" i="2"/>
  <c r="AV478" i="2"/>
  <c r="AX478" i="2"/>
  <c r="AW478" i="2"/>
  <c r="AV487" i="2"/>
  <c r="AX487" i="2"/>
  <c r="AW487" i="2"/>
  <c r="AV483" i="2"/>
  <c r="AX483" i="2"/>
  <c r="AW483" i="2"/>
</calcChain>
</file>

<file path=xl/comments1.xml><?xml version="1.0" encoding="utf-8"?>
<comments xmlns="http://schemas.openxmlformats.org/spreadsheetml/2006/main">
  <authors>
    <author>Amara</author>
  </authors>
  <commentList>
    <comment ref="K1" authorId="0" shapeId="0">
      <text>
        <r>
          <rPr>
            <b/>
            <sz val="9"/>
            <color indexed="81"/>
            <rFont val="Tahoma"/>
            <family val="2"/>
          </rPr>
          <t>Amara:</t>
        </r>
        <r>
          <rPr>
            <sz val="9"/>
            <color indexed="81"/>
            <rFont val="Tahoma"/>
            <family val="2"/>
          </rPr>
          <t xml:space="preserve">
Note that forest species are only relevant when samples are taken from root-tips. If samples are from soil, we only want to make sure that it was an ECM forest</t>
        </r>
      </text>
    </comment>
  </commentList>
</comments>
</file>

<file path=xl/comments2.xml><?xml version="1.0" encoding="utf-8"?>
<comments xmlns="http://schemas.openxmlformats.org/spreadsheetml/2006/main">
  <authors>
    <author>Amara</author>
  </authors>
  <commentList>
    <comment ref="K1" authorId="0" shapeId="0">
      <text>
        <r>
          <rPr>
            <b/>
            <sz val="9"/>
            <color indexed="81"/>
            <rFont val="Tahoma"/>
            <family val="2"/>
          </rPr>
          <t>Amara:</t>
        </r>
        <r>
          <rPr>
            <sz val="9"/>
            <color indexed="81"/>
            <rFont val="Tahoma"/>
            <family val="2"/>
          </rPr>
          <t xml:space="preserve">
Note that forest species are only relevant when samples are taken from root-tips. If samples are from soil, we only want to make sure that it was an ECM forest</t>
        </r>
      </text>
    </comment>
  </commentList>
</comments>
</file>

<file path=xl/sharedStrings.xml><?xml version="1.0" encoding="utf-8"?>
<sst xmlns="http://schemas.openxmlformats.org/spreadsheetml/2006/main" count="13392" uniqueCount="390">
  <si>
    <t>NO</t>
  </si>
  <si>
    <t>YES</t>
  </si>
  <si>
    <t>NA</t>
  </si>
  <si>
    <t>Buscardo, Erika; Rodriguez-Echeverria, Susana; Martin, Maria P.; De Angelis, Paolo; Pereira, Joao Santos; Freitas, Helena</t>
  </si>
  <si>
    <t>de Román, M; de Miguel, AM</t>
  </si>
  <si>
    <t>Jonsson, L; Dahlberg, A; Nilsson, MC; Zackrisson, O; Kåren, O</t>
  </si>
  <si>
    <t>Lazaruk, LW; Kernaghan, G; Macdonald, SE; Khasa, D</t>
  </si>
  <si>
    <t>Salo, Kauko; Kouki, Jari</t>
  </si>
  <si>
    <t>Beals, Kendall K.; Scearce, Alex E.; Swystun, Alex T.; Schweitzer, Jennifer A.</t>
  </si>
  <si>
    <t>Packard, Erica E.; Durall, Daniel M.; Jones, Melanie D.</t>
  </si>
  <si>
    <t>Cowan, Ariel D.; Smith, Jane E.; Fitzgerald, Stephen A.</t>
  </si>
  <si>
    <t>Barker, Jason S.; Simard, Suzanne W.; Jones, Melanie D.; Durall, D. M.</t>
  </si>
  <si>
    <t>Olchowik, Jacek; Hilszczanska, Dorota; Studnicki, Marcin; Malewski, Tadeusz; Kariman, Khalil; Borowski, Zbigniew</t>
  </si>
  <si>
    <t>Longo, M. Silvana; Urcelay, Carlos; Nouhra, Eduardo</t>
  </si>
  <si>
    <t>Fowler, Julie A.; Nelson, Amelia R.; Bechtold, Emily K.; Paul, Raegan; Wettengel, Alexandra M.; McNorvell, Michael A.; Stevens-Rumann, Camille S.; Fegel, Timothy S.; Anderson, Erik; Rhoades, Charles C.; Wilkins, Michael J.</t>
  </si>
  <si>
    <t>Orumaa, Argo; Agan, Ahto; Anslan, Sten; Drenkhan, Tiia; Drenkhan, Rein; Kauer, Karin; Koster, Kajar; Tedersoo, Leho; Metslaid, Marek</t>
  </si>
  <si>
    <t>Franco-Manchon, Ivan; Salo, Kauko; Andres Oria-de-Rueda, Juan; Antonio Bonet, Jose; Martin-Pinto, Pablo</t>
  </si>
  <si>
    <t>Motiejunaite, Jurga; Adamonyte, Grazina; Irsenaite, Reda; Juzenas, Sigitas; Kasparavicius, Jonas; Kutorga, Ernestas; Markovskaja, Svetlana</t>
  </si>
  <si>
    <t>Tuininga, AR; Dighton, J</t>
  </si>
  <si>
    <t>Miyamoto, Yumiko; Danilov, Aleksandr V.; Bryanin, Semyon V.</t>
  </si>
  <si>
    <t>Mediavilla, Olaya; Andres Oria-de-Rueda, Juan; Martin-Pinto, Pablo</t>
  </si>
  <si>
    <t>Duran-Manual, Francisco; Espinosa, Juncal; Perez-Pereda, Edelmys; Mediavilla, Olaya; Geada-Lopez, Gretel; Dejene, Tatek; Sanz-Benito, Ignacio; Martin-Pinto, Pablo; Martinez-Becerra, Luis W.</t>
  </si>
  <si>
    <t>Holden, Sandra R.; Gutierrez, Abraham; Treseder, Kathleen K.</t>
  </si>
  <si>
    <t>Smith, Gabriel Reuben; Edy, Lucy C.; Peay, Kabir G.</t>
  </si>
  <si>
    <t>Hart, Benjamin T. N.; Smith, Jane E.; Luoma, Daniel L.; Hatten, Jeff A.</t>
  </si>
  <si>
    <t>Buscardo, Erika; Rodriguez-Echeverria, Susana; Freitas, Helena; De Angelis, Paolo; Pereira, Joao Santos; Muller, Ludo A. H.</t>
  </si>
  <si>
    <t>Bastias, Brigitte A.; Xu, Zhihong; Cairney, John W. G.</t>
  </si>
  <si>
    <t>Beck, Jackson L.; Cale, Jonathan A.; Rodriguez-Ramos, Jean C.; Kanekar, Sanat S.; Karst, Justine; Cahill, James F.; Simard, Suzanne W.; Erbilgin, Nadir</t>
  </si>
  <si>
    <t>Robinson, Richard M.; Mellican, Amanda E.; Smith, Robert H.</t>
  </si>
  <si>
    <t>Vasquez-Gassibe, Pablo; Oria-de-Rueda, Juan-Andres; Santos-del-Blanco, Luis; Martin-Pinto, Pablo</t>
  </si>
  <si>
    <t>Owen, Suzanne M.; Patterson, Adair M.; Gehring, Catherine A.; Sieg, Carolyn H.; Baggett, L. Scott; Fule, Peter Z.</t>
  </si>
  <si>
    <t>Almonacid-Munoz, Leonardo; Herrera, Hector; Fuentes-Ramirez, Andres; Vargas-Gaete, Rodrigo; Toy-Opazo, Octavio; Costa, Paulo Henrique de Oliveira; Valadares, Rafael Borges da Silva</t>
  </si>
  <si>
    <t>Kouki, Jari; Salo, Kauko</t>
  </si>
  <si>
    <t>Rincon, A.; Santamaria, B. P.; Ocana, L.; Verdu, M.</t>
  </si>
  <si>
    <t>Dahlberg, A; Schimmel, J; Taylor, AFS; Johannesson, H</t>
  </si>
  <si>
    <t>Rodriguez-Ramos, Jean C.; Cale, Jonathan A.; Cahill, James F., Jr.; Simard, Suzanne W.; Karst, Justine; Erbilgin, Nadir</t>
  </si>
  <si>
    <t>Sun, Hui; Santalahti, Minna; Pumpanen, Jukka; Koster, Kajar; Berninger, Frank; Raffaello, Tommaso; Jumpponen, Ari; Asiegbu, Fred O.; Heinonsalo, Jussi</t>
  </si>
  <si>
    <t>Pulido-Chavez, M. Fabiola; Alvarado, Ernesto C.; DeLuca, Thomas H.; Edmonds, Robert L.; Glassman, Sydney I.</t>
  </si>
  <si>
    <t>Vasquez Gassibe, Pablo; Fraile Fabero, Raul; Hernandez-Rodriguez, Maria; Andres Oria-de-Rueda, Juan; Martin-Pinto, Pablo</t>
  </si>
  <si>
    <t>WATERS, JR; MCKELVEY, KS; ZABEL, CJ; OLIVER, WW</t>
  </si>
  <si>
    <t>Martín-Pinto, P; Vaquerizo, W; Peñalver, F; Olaizola, J; Oria-de-Rueda, JA</t>
  </si>
  <si>
    <t>Bowman, Elizabeth A.; Hayden, Daniel R.; Arnold, A. Elizabeth</t>
  </si>
  <si>
    <t>Kutorga, Ernestas; Adamonyte, Grazina; Irsenaite, Reda; Juzenas, Sigitas; Kasparavicius, Jonas; Markovskaja, Svetlana; Motiejunaite, Jurga; Treigiene, Ausra</t>
  </si>
  <si>
    <t>Oliver, Alena K.; Callaham, Mac A., Jr.; Jumpponen, Ari</t>
  </si>
  <si>
    <t>Reazin, C.; Morris, S.; Smith, J. E.; Cowan, A. D.; Jumpponen, A.</t>
  </si>
  <si>
    <t>Fox, Sam; Taylor, Melanie K.; Callaham Jr, Mac; Jumpponen, Ari</t>
  </si>
  <si>
    <t>Vazquez-Veloso, Aitor; Dejene, Tatek; Andres Oria-de-Rueda, Juan; Guijarro, Mercedes; Hernando, Carmen; Espinosa, Juncal; Madrigal, Javier; Martin-Pinto, Pablo</t>
  </si>
  <si>
    <t>Bastias, Brigitte A.; Huang, Zhiqun Q.; Blumfield, Tim; Xu, Zhihong; Cairney, John W. G.</t>
  </si>
  <si>
    <t>?</t>
  </si>
  <si>
    <t>Porter, Teresita M.; Smenderovac, Emily; Morris, Dave; Venier, Lisa</t>
  </si>
  <si>
    <t>Yang, Teng; Tedersoo, Leho; Lin, Xingwu; Fitzpatrick, Matthew C.; Jia, Yunsheng; Liu, Xu; Ni, Yingying; Shi, Yu; Lu, Pengpeng; Zhu, Jianguo; Chu, Haiyan</t>
  </si>
  <si>
    <t>Brown, Shawn P.; Callaham, Mac A., Jr.; Oliver, Alena K.; Jumpponen, Ari</t>
  </si>
  <si>
    <t>Akema, Tamio; Nurhiftisni, Ida; Suciatmih; Simbolon, Herwint</t>
  </si>
  <si>
    <t>Hopkins, Jacob R.; Semenova-Nelsen, Tatiana; Sikes, Benjamin A.</t>
  </si>
  <si>
    <t>Hernandez-Rodriguez, Maria; Andres Oria-de-Rueda, Juan; Pando, Valentin; Martin-Pinto, Pablo</t>
  </si>
  <si>
    <t>Anderson, Ian C.; Bastias, Brigitte A.; Genney, David R.; Parkin, Pamela I.; Cairney, John W. G.</t>
  </si>
  <si>
    <t>Whitman, Thea; Whitman, Ellen; Woolet, Jamie; Flannigan, Mike D.; Thompson, Dan K.; Parisien, Marc-Andre</t>
  </si>
  <si>
    <t>Day, Nicola J.; Dunfield, Kari E.; Johnstone, Jill F.; Mack, Michelle C.; Turetsky, Merritt R.; Walker, Xanthe J.; White, Alison L.; Baltzer, Jennifer L.</t>
  </si>
  <si>
    <t>Zhang, Yue-mei; Qu, Zhao-lei; Sietio, Outi-Maaria; Zhou, Xuan; Heinonsalo, Jussi; Koster, Kajar; Berninger, Frank; Pumpanen, Jukka; Sun, Hui</t>
  </si>
  <si>
    <t>Nelson, Amelia R.; Narrowe, Adrienne B.; Rhoades, Charles C.; Fegel, Timothy S.; Daly, Rebecca A.; Roth, Holly K.; Chu, Rosalie K.; Amundson, Kaela K.; Young, Robert B.; Steindorff, Andrei S.; Mondo, Stephen J.; Grigoriev, Igor, V; Salamov, Asaf; Borch, Thomas; Wilkins, Michael J.</t>
  </si>
  <si>
    <t>Martin-Pinto, Pablo; Dejene, Tatek; Benucci, Gian Maria Niccolo; Mediavilla, Olaya; Hernandez-Rodriguez, Maria; Geml, Jozsef; Baldrian, Petr; Sanz-Benito, Ignacio; Olaizola, Jaime; Bonito, Gregory; Oria-de-Rueda, Juan Andres</t>
  </si>
  <si>
    <t>Espinosa, Juncal; Dejene, Tatek; Guijarro, Mercedes; Cerda, Xim; Madrigal, Javier; Martin-Pinto, Pablo</t>
  </si>
  <si>
    <t>Mardji, D.</t>
  </si>
  <si>
    <t>Lou, Hu; Cai, Huiying; Fu, Rao; Guo, Chao; Fan, Baozhen; Hu, Haiqing; Zhang, Jie; Sun, Long</t>
  </si>
  <si>
    <t>Bowd, Elle J.; Banks, Sam C.; Bissett, Andrew; May, Tom W.; Lindenmayer, David B.</t>
  </si>
  <si>
    <t>Cheng, Zhichao; Wu, Song; Pan, Hong; Lu, Xinming; Liu, Yongzhi; Yang, Libin</t>
  </si>
  <si>
    <t>Bowd, Elle J. J.; Egidi, Eleonora; Lindenmayer, David B. B.; Wardle, David A. A.; Kardol, Paul; Foster, Claire</t>
  </si>
  <si>
    <t>Castano, Carles; Hernandez-Rodriguez, Maria; Geml, Jozsef; Eberhart, Joyce; Olaizola, Jaime; Andres Oria-de-Rueda, Juan; Martin-Pinto, Pablo</t>
  </si>
  <si>
    <t>Pulido-Chavez, M. Fabiola; Randolph, James W. J.; Zalman, Cassandra; Larios, Loralee; Homyak, Peter M. M.; Glassman, Sydney I. I.</t>
  </si>
  <si>
    <t>Johnston, Mitchell T.; Miller, Adam D.; Holland, Owen J.; Clark, Zach; Wevill, Tricia</t>
  </si>
  <si>
    <t>Perez-Valera, Eduardo; Verdu, Miguel; Antonio Navarro-Cano, Jose; Goberna, Marta</t>
  </si>
  <si>
    <t>Greenwood, Leanne; Nimmo, Dale G.; Egidi, Eleonora; Price, Jodi N.; McIntosh, Rachel; Frew, Adam</t>
  </si>
  <si>
    <t>Authors</t>
  </si>
  <si>
    <t>Territory</t>
  </si>
  <si>
    <t>Latitude</t>
  </si>
  <si>
    <t>Longitude</t>
  </si>
  <si>
    <t>Fire_type</t>
  </si>
  <si>
    <t>Fire_severity</t>
  </si>
  <si>
    <t>Year_of_fire</t>
  </si>
  <si>
    <t>Time_since_fire_years</t>
  </si>
  <si>
    <t>Size_fire_ha</t>
  </si>
  <si>
    <t>Method_ECM_measurement</t>
  </si>
  <si>
    <t>Sequencing_type</t>
  </si>
  <si>
    <t>Amplicon</t>
  </si>
  <si>
    <t>Research_type</t>
  </si>
  <si>
    <t>Descriptive</t>
  </si>
  <si>
    <t>Wildfire</t>
  </si>
  <si>
    <t>Sample_type</t>
  </si>
  <si>
    <t>Soil_properties_measured</t>
  </si>
  <si>
    <t>Field_experiment</t>
  </si>
  <si>
    <t>Study_ID</t>
  </si>
  <si>
    <t>Bioassay</t>
  </si>
  <si>
    <t>Portugal</t>
  </si>
  <si>
    <t>Unburnt</t>
  </si>
  <si>
    <t>Soil_samples_depth_cm</t>
  </si>
  <si>
    <t>Study_Year</t>
  </si>
  <si>
    <t>Australia</t>
  </si>
  <si>
    <t>Soil</t>
  </si>
  <si>
    <t>DNA</t>
  </si>
  <si>
    <t>Illumina MiSeq</t>
  </si>
  <si>
    <t>ITS</t>
  </si>
  <si>
    <t>Sampling_year</t>
  </si>
  <si>
    <t>ITS2</t>
  </si>
  <si>
    <t>Picea</t>
  </si>
  <si>
    <t>N_control_samples</t>
  </si>
  <si>
    <t>N_burned_samples</t>
  </si>
  <si>
    <t>0-10</t>
  </si>
  <si>
    <t>Root_colonization</t>
  </si>
  <si>
    <t>Biome</t>
  </si>
  <si>
    <t>Mediterranean</t>
  </si>
  <si>
    <t>Illumina</t>
  </si>
  <si>
    <t>ITS1</t>
  </si>
  <si>
    <t>Eucalyptus</t>
  </si>
  <si>
    <t>Sporocarp_survey</t>
  </si>
  <si>
    <t>Sporocarps</t>
  </si>
  <si>
    <t>Prefire</t>
  </si>
  <si>
    <t>Sweden</t>
  </si>
  <si>
    <t>Boreal</t>
  </si>
  <si>
    <t>Control_type</t>
  </si>
  <si>
    <t>Semiarid</t>
  </si>
  <si>
    <t>Spain</t>
  </si>
  <si>
    <t>Prescribed_fire</t>
  </si>
  <si>
    <t>0-20</t>
  </si>
  <si>
    <t>Guild_studied</t>
  </si>
  <si>
    <t>Tropical</t>
  </si>
  <si>
    <t>Indonesia</t>
  </si>
  <si>
    <t>Macrosporocarps</t>
  </si>
  <si>
    <t>1997; 1998</t>
  </si>
  <si>
    <t>All_fungi</t>
  </si>
  <si>
    <t>High_severity</t>
  </si>
  <si>
    <t>0_5</t>
  </si>
  <si>
    <t>18S</t>
  </si>
  <si>
    <t>0_2.5</t>
  </si>
  <si>
    <t>0_10</t>
  </si>
  <si>
    <t>Root_tips</t>
  </si>
  <si>
    <t>Mycorrhizal</t>
  </si>
  <si>
    <t>Lithuania</t>
  </si>
  <si>
    <t>2007; 2009</t>
  </si>
  <si>
    <t>Response_type</t>
  </si>
  <si>
    <t>UB_value</t>
  </si>
  <si>
    <t>Burnt_value</t>
  </si>
  <si>
    <t>2016; 2017</t>
  </si>
  <si>
    <t>Subtropical</t>
  </si>
  <si>
    <t>USA</t>
  </si>
  <si>
    <t>Sequencher 4.2</t>
  </si>
  <si>
    <t>1998; 2001</t>
  </si>
  <si>
    <t>Low_severity</t>
  </si>
  <si>
    <t>0_20</t>
  </si>
  <si>
    <t>Morphotypes</t>
  </si>
  <si>
    <t>Shannon_diversity</t>
  </si>
  <si>
    <t>Saprotroph_richness</t>
  </si>
  <si>
    <t>&lt; 1 (2months)</t>
  </si>
  <si>
    <t>Canada</t>
  </si>
  <si>
    <t>Finland</t>
  </si>
  <si>
    <t>0_15</t>
  </si>
  <si>
    <t>2.12M ha</t>
  </si>
  <si>
    <t>&lt; 1</t>
  </si>
  <si>
    <t>&lt; 1 (1 week)</t>
  </si>
  <si>
    <t>Sanger</t>
  </si>
  <si>
    <t>Continental</t>
  </si>
  <si>
    <t>Poland</t>
  </si>
  <si>
    <t>Temperate</t>
  </si>
  <si>
    <t>&lt; 1 (3 months)</t>
  </si>
  <si>
    <t>Rusia</t>
  </si>
  <si>
    <t>Argentina</t>
  </si>
  <si>
    <t>&lt; 1 (8 months)</t>
  </si>
  <si>
    <t>Subartic</t>
  </si>
  <si>
    <t>Estonia</t>
  </si>
  <si>
    <t>Hemiboreal</t>
  </si>
  <si>
    <t>&gt; 200</t>
  </si>
  <si>
    <t>Forest_genus</t>
  </si>
  <si>
    <t>Forest_species</t>
  </si>
  <si>
    <t>Larix</t>
  </si>
  <si>
    <t>gmelinii</t>
  </si>
  <si>
    <t>Pseudotsuga</t>
  </si>
  <si>
    <t>menziesii</t>
  </si>
  <si>
    <t>Pinus</t>
  </si>
  <si>
    <t>pinaster</t>
  </si>
  <si>
    <t>Quercus</t>
  </si>
  <si>
    <t>suber</t>
  </si>
  <si>
    <t>regnans</t>
  </si>
  <si>
    <t>diversicolor</t>
  </si>
  <si>
    <t>sylvestris</t>
  </si>
  <si>
    <t>garryana</t>
  </si>
  <si>
    <t>Cistus</t>
  </si>
  <si>
    <t>ladanifer</t>
  </si>
  <si>
    <t>contorta</t>
  </si>
  <si>
    <t>mariana</t>
  </si>
  <si>
    <t>pilularis</t>
  </si>
  <si>
    <t>palustris</t>
  </si>
  <si>
    <t>banksiana</t>
  </si>
  <si>
    <t>nigra</t>
  </si>
  <si>
    <t>ponderosa</t>
  </si>
  <si>
    <t>mugo</t>
  </si>
  <si>
    <t>ilex</t>
  </si>
  <si>
    <t>glauca</t>
  </si>
  <si>
    <t>Nothofagus</t>
  </si>
  <si>
    <t>pumilio</t>
  </si>
  <si>
    <t>rigida</t>
  </si>
  <si>
    <t>Cuba</t>
  </si>
  <si>
    <t>cubensis</t>
  </si>
  <si>
    <t>Sequencing_device</t>
  </si>
  <si>
    <t>NGS</t>
  </si>
  <si>
    <t>ABI 3730xl DNA Analyzer</t>
  </si>
  <si>
    <t>Root</t>
  </si>
  <si>
    <t> -3.699135</t>
  </si>
  <si>
    <t>Chile</t>
  </si>
  <si>
    <t>Rhizosphere</t>
  </si>
  <si>
    <t>taeda</t>
  </si>
  <si>
    <t> -117.645071</t>
  </si>
  <si>
    <t>Moderate_severity</t>
  </si>
  <si>
    <t xml:space="preserve">Spain </t>
  </si>
  <si>
    <t>Abies</t>
  </si>
  <si>
    <t>concolor</t>
  </si>
  <si>
    <t>China</t>
  </si>
  <si>
    <t>Shorea</t>
  </si>
  <si>
    <t>laevis</t>
  </si>
  <si>
    <t>2010; 2013</t>
  </si>
  <si>
    <t>Arctostaphyllos</t>
  </si>
  <si>
    <t>glandulosa</t>
  </si>
  <si>
    <t>10_20</t>
  </si>
  <si>
    <t>RFLP</t>
  </si>
  <si>
    <t>Richness</t>
  </si>
  <si>
    <t>Sandbag</t>
  </si>
  <si>
    <t>DGGE</t>
  </si>
  <si>
    <t>velutina</t>
  </si>
  <si>
    <t>Temperate_subtropical</t>
  </si>
  <si>
    <t>Ion_torrent</t>
  </si>
  <si>
    <t>454_pyrosequencing</t>
  </si>
  <si>
    <t>5_15</t>
  </si>
  <si>
    <t>Fire_recurrency_fires_year</t>
  </si>
  <si>
    <t>2003; 2006</t>
  </si>
  <si>
    <t>5_10</t>
  </si>
  <si>
    <t>10_30</t>
  </si>
  <si>
    <t>Native_non_native</t>
  </si>
  <si>
    <t>Forest_type</t>
  </si>
  <si>
    <t>Conifer</t>
  </si>
  <si>
    <t>Broad_leaves</t>
  </si>
  <si>
    <t>Native</t>
  </si>
  <si>
    <t>Burrill, Haley M.; Ralston, Ellen B.; Dawson, Heather A.; Roy, Bitty A.</t>
  </si>
  <si>
    <t>Espinosa, Juncal; Carrillo, Cristina; Madrigal, Javier; Guijarro, Mercedes; Hernando, Carmen; Martin-Pinto, Pablo</t>
  </si>
  <si>
    <t>Maurice-Lira, Jorge Victor; Prada-Polo, Claudia; Bertocci, Dante; Sanz-Benito, Ignacio; Martin-Pinto, Pablo</t>
  </si>
  <si>
    <t>Philpott, Timothy J.; Danyagri, Gabriel; Wallace, Brian; Frank, Mae</t>
  </si>
  <si>
    <t>Turiel-Santos, Sara; Calvo, Leonor; Pinto, Pablo Martin; Taboada, Angela</t>
  </si>
  <si>
    <t>Mycorrhizae_dry_weight</t>
  </si>
  <si>
    <t>UB_SE</t>
  </si>
  <si>
    <t>Burnt_SE</t>
  </si>
  <si>
    <t>Ascomycota_per</t>
  </si>
  <si>
    <t>Basidiomycota_per</t>
  </si>
  <si>
    <t>Bulk_soil</t>
  </si>
  <si>
    <t>DCA_ordination</t>
  </si>
  <si>
    <t>Recurrent_burning</t>
  </si>
  <si>
    <t>CAP_ordination</t>
  </si>
  <si>
    <t>Simpson_diversity</t>
  </si>
  <si>
    <t>PCOA_ordination</t>
  </si>
  <si>
    <t>&gt;20 without fire</t>
  </si>
  <si>
    <t>NMDS_ordination</t>
  </si>
  <si>
    <t>pilularis; botryoides</t>
  </si>
  <si>
    <t>CCA_ordination</t>
  </si>
  <si>
    <t>SMD</t>
  </si>
  <si>
    <t>mariana; glauca</t>
  </si>
  <si>
    <t>Chao1</t>
  </si>
  <si>
    <t>Burnt_SD</t>
  </si>
  <si>
    <t>UB_SD</t>
  </si>
  <si>
    <t>Sp</t>
  </si>
  <si>
    <t>d</t>
  </si>
  <si>
    <t>vd</t>
  </si>
  <si>
    <t>j</t>
  </si>
  <si>
    <t>g</t>
  </si>
  <si>
    <t>g_se</t>
  </si>
  <si>
    <t>hedges_g</t>
  </si>
  <si>
    <t>Response_var</t>
  </si>
  <si>
    <t>effect_size</t>
  </si>
  <si>
    <t>Dt</t>
  </si>
  <si>
    <t>Dc</t>
  </si>
  <si>
    <t>Db</t>
  </si>
  <si>
    <t>RRstructure</t>
  </si>
  <si>
    <t>RRbeta</t>
  </si>
  <si>
    <t>&gt;14000</t>
  </si>
  <si>
    <t>Tips_abundance</t>
  </si>
  <si>
    <t>0_1</t>
  </si>
  <si>
    <t>1_3</t>
  </si>
  <si>
    <t>3_5</t>
  </si>
  <si>
    <t>logRR</t>
  </si>
  <si>
    <t>var_logRR</t>
  </si>
  <si>
    <t>RR</t>
  </si>
  <si>
    <t>Basidiomycetes</t>
  </si>
  <si>
    <t>Saprotroph_per</t>
  </si>
  <si>
    <t>20_30</t>
  </si>
  <si>
    <t>Litter_bag</t>
  </si>
  <si>
    <t>CA_ordination</t>
  </si>
  <si>
    <t>Method_fungi_measurement</t>
  </si>
  <si>
    <t>Illumina TruSeq</t>
  </si>
  <si>
    <t>Praire</t>
  </si>
  <si>
    <t>Grass</t>
  </si>
  <si>
    <t>Saprotroph_shannon</t>
  </si>
  <si>
    <t>Pyrophilous_shannon</t>
  </si>
  <si>
    <t>Abundance</t>
  </si>
  <si>
    <t>&lt; 1 (4 months)</t>
  </si>
  <si>
    <t>Mycorrhization_per</t>
  </si>
  <si>
    <t>&lt; 1 (15 days)</t>
  </si>
  <si>
    <t>Saprotroph_rel_abun</t>
  </si>
  <si>
    <t>Shrubs</t>
  </si>
  <si>
    <t>Plant_pathogen_richness</t>
  </si>
  <si>
    <t>Wood_saprotroph_richness</t>
  </si>
  <si>
    <t>&lt;1 (1 day)</t>
  </si>
  <si>
    <t>Saprotroph_abun</t>
  </si>
  <si>
    <t>Inverse_Simpson_diversity</t>
  </si>
  <si>
    <t>&lt; 1 (3 weeks)</t>
  </si>
  <si>
    <t>N_control</t>
  </si>
  <si>
    <t>N_burned</t>
  </si>
  <si>
    <t>Alien</t>
  </si>
  <si>
    <t>Pathogen_richness</t>
  </si>
  <si>
    <t>Source</t>
  </si>
  <si>
    <t>Text</t>
  </si>
  <si>
    <t>Fig.3</t>
  </si>
  <si>
    <t>Fig.5</t>
  </si>
  <si>
    <t>Table 1</t>
  </si>
  <si>
    <t>Fig.1</t>
  </si>
  <si>
    <t>Fig.2</t>
  </si>
  <si>
    <t>Fig.3a</t>
  </si>
  <si>
    <t>Fig.3b</t>
  </si>
  <si>
    <t>Fig.2a</t>
  </si>
  <si>
    <t>Fig.2b</t>
  </si>
  <si>
    <t xml:space="preserve">Table 3 </t>
  </si>
  <si>
    <t>Table 3</t>
  </si>
  <si>
    <t>Fig.5b</t>
  </si>
  <si>
    <t>Fig.5a</t>
  </si>
  <si>
    <t>Text 3.1.2</t>
  </si>
  <si>
    <t>Fig.A5</t>
  </si>
  <si>
    <t>Fig.4</t>
  </si>
  <si>
    <t>Table 2</t>
  </si>
  <si>
    <t>Table 4</t>
  </si>
  <si>
    <t>Fig.7</t>
  </si>
  <si>
    <t>Fig. 5</t>
  </si>
  <si>
    <t>Fig. 2</t>
  </si>
  <si>
    <t>Fig.2d</t>
  </si>
  <si>
    <t>Fig.4a</t>
  </si>
  <si>
    <t>Fig.4b</t>
  </si>
  <si>
    <t>Fig.4c</t>
  </si>
  <si>
    <t>Fig.4d</t>
  </si>
  <si>
    <t>annually</t>
  </si>
  <si>
    <t>Fig.1a</t>
  </si>
  <si>
    <t>Fig.2c</t>
  </si>
  <si>
    <t>Saprotroph_abundance</t>
  </si>
  <si>
    <t>Table S1</t>
  </si>
  <si>
    <t>Colonization_per</t>
  </si>
  <si>
    <t>Fig.3c</t>
  </si>
  <si>
    <t>Evenness</t>
  </si>
  <si>
    <t>Fig. 1</t>
  </si>
  <si>
    <t>each 2 y</t>
  </si>
  <si>
    <t>each 6 y</t>
  </si>
  <si>
    <t>RDA_ordination</t>
  </si>
  <si>
    <t>PacBio SMRT</t>
  </si>
  <si>
    <t>PacBio Sequel</t>
  </si>
  <si>
    <t>Fig.S2</t>
  </si>
  <si>
    <t>dbRDA_ordination</t>
  </si>
  <si>
    <t>Table S2</t>
  </si>
  <si>
    <t>PCA_ordination</t>
  </si>
  <si>
    <t>0_23</t>
  </si>
  <si>
    <t>0_13.5</t>
  </si>
  <si>
    <t>Fig.S3</t>
  </si>
  <si>
    <t>Pathogen_shannon</t>
  </si>
  <si>
    <t>Plant_pathogen_abun</t>
  </si>
  <si>
    <t>0_17</t>
  </si>
  <si>
    <t>Table S7</t>
  </si>
  <si>
    <t>Fig.S4</t>
  </si>
  <si>
    <t>&lt;1 (2 weeks)</t>
  </si>
  <si>
    <t>Fig.S6</t>
  </si>
  <si>
    <t>&lt;1 (6 months)</t>
  </si>
  <si>
    <t>Table S10</t>
  </si>
  <si>
    <t>0_26</t>
  </si>
  <si>
    <t>Ion 318TMChip</t>
  </si>
  <si>
    <t>ABI 3730</t>
  </si>
  <si>
    <t>Fig.6b</t>
  </si>
  <si>
    <t>variance_g</t>
  </si>
  <si>
    <t>Total_Weight</t>
  </si>
  <si>
    <t>TWD</t>
  </si>
  <si>
    <t>TWDS</t>
  </si>
  <si>
    <t>Inf</t>
  </si>
  <si>
    <t>*</t>
  </si>
  <si>
    <t>Field_experiments</t>
  </si>
  <si>
    <t>ECM</t>
  </si>
  <si>
    <t>ECM_rel_abun</t>
  </si>
  <si>
    <t>ECM_richness</t>
  </si>
  <si>
    <t>ECM_abun</t>
  </si>
  <si>
    <t>ECM_shannon</t>
  </si>
  <si>
    <t>ECM_Shannon_diversity</t>
  </si>
  <si>
    <t>ECM_per</t>
  </si>
  <si>
    <t>Time_since_fire_months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</si>
</sst>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Aptos Narrow"/>
      <scheme val="minor"/>
    </font>
    <font>
      <sz val="11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scheme val="minor"/>
    </font>
    <font>
      <sz val="1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16" fontId="1" fillId="0" borderId="0" xfId="0" applyNumberFormat="1" applyFont="1"/>
    <xf numFmtId="0" fontId="5" fillId="0" borderId="0" xfId="0" applyFont="1"/>
    <xf numFmtId="0" fontId="1" fillId="9" borderId="0" xfId="0" applyFont="1" applyFill="1"/>
    <xf numFmtId="0" fontId="1" fillId="0" borderId="0" xfId="0" applyFont="1" applyFill="1"/>
    <xf numFmtId="0" fontId="1" fillId="10" borderId="0" xfId="0" applyFont="1" applyFill="1"/>
    <xf numFmtId="0" fontId="1" fillId="11" borderId="0" xfId="0" applyFont="1" applyFill="1"/>
    <xf numFmtId="0" fontId="5" fillId="11" borderId="0" xfId="0" applyFont="1" applyFill="1"/>
    <xf numFmtId="0" fontId="5" fillId="0" borderId="0" xfId="0" applyFont="1" applyFill="1"/>
    <xf numFmtId="0" fontId="5" fillId="2" borderId="0" xfId="0" applyFont="1" applyFill="1"/>
    <xf numFmtId="16" fontId="1" fillId="0" borderId="0" xfId="0" applyNumberFormat="1" applyFont="1" applyFill="1"/>
    <xf numFmtId="0" fontId="1" fillId="0" borderId="0" xfId="0" applyNumberFormat="1" applyFont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K1288"/>
  <sheetViews>
    <sheetView tabSelected="1" topLeftCell="T1" zoomScale="90" zoomScaleNormal="90" workbookViewId="0">
      <pane ySplit="1" topLeftCell="A2" activePane="bottomLeft" state="frozen"/>
      <selection pane="bottomLeft" activeCell="T498" sqref="T498"/>
    </sheetView>
  </sheetViews>
  <sheetFormatPr baseColWidth="10" defaultColWidth="12.625" defaultRowHeight="15" customHeight="1"/>
  <cols>
    <col min="1" max="1" width="6.125" style="2" customWidth="1"/>
    <col min="2" max="2" width="15.75" style="2" customWidth="1"/>
    <col min="3" max="3" width="11.5" style="1" customWidth="1"/>
    <col min="4" max="5" width="8.625" style="1" customWidth="1"/>
    <col min="6" max="6" width="9.625" style="1" customWidth="1"/>
    <col min="7" max="7" width="8.625" style="1" customWidth="1"/>
    <col min="8" max="9" width="11.125" style="1" customWidth="1"/>
    <col min="10" max="10" width="9.25" style="1" customWidth="1"/>
    <col min="11" max="11" width="6.375" style="1" customWidth="1"/>
    <col min="12" max="12" width="10.875" style="1" customWidth="1"/>
    <col min="13" max="13" width="11.25" style="1" customWidth="1"/>
    <col min="14" max="14" width="11.375" style="1" customWidth="1"/>
    <col min="15" max="15" width="10.125" style="1" customWidth="1"/>
    <col min="16" max="16" width="8" style="1" customWidth="1"/>
    <col min="17" max="17" width="10.375" style="1" customWidth="1"/>
    <col min="18" max="18" width="7.5" style="1" customWidth="1"/>
    <col min="19" max="20" width="13.125" style="1" customWidth="1"/>
    <col min="21" max="21" width="8.25" style="1" customWidth="1"/>
    <col min="22" max="22" width="7.625" style="1" customWidth="1"/>
    <col min="23" max="23" width="6.875" style="1" customWidth="1"/>
    <col min="24" max="24" width="8.75" style="1" customWidth="1"/>
    <col min="25" max="25" width="13" style="1" customWidth="1"/>
    <col min="26" max="26" width="14.75" style="1" customWidth="1"/>
    <col min="27" max="27" width="14.25" style="1" customWidth="1"/>
    <col min="28" max="28" width="18.875" style="1" customWidth="1"/>
    <col min="29" max="29" width="12.125" style="1" customWidth="1"/>
    <col min="30" max="30" width="15.75" style="1" customWidth="1"/>
    <col min="31" max="31" width="8.625" style="1" customWidth="1"/>
    <col min="32" max="32" width="13.75" style="1" customWidth="1"/>
    <col min="33" max="33" width="8.5" style="1" customWidth="1"/>
    <col min="34" max="34" width="11.625" style="1" customWidth="1"/>
    <col min="35" max="35" width="11.125" style="1" customWidth="1"/>
    <col min="36" max="36" width="10.75" style="1" customWidth="1"/>
    <col min="37" max="37" width="11.5" style="1" bestFit="1" customWidth="1"/>
    <col min="38" max="38" width="11.5" style="1" customWidth="1"/>
    <col min="39" max="39" width="9" style="1" customWidth="1"/>
    <col min="40" max="63" width="8.625" style="1" customWidth="1"/>
    <col min="64" max="16384" width="12.625" style="1"/>
  </cols>
  <sheetData>
    <row r="1" spans="1:54" ht="14.25" customHeight="1">
      <c r="A1" s="2" t="s">
        <v>90</v>
      </c>
      <c r="B1" s="2" t="s">
        <v>72</v>
      </c>
      <c r="C1" s="3" t="s">
        <v>84</v>
      </c>
      <c r="D1" s="3" t="s">
        <v>95</v>
      </c>
      <c r="E1" s="3" t="s">
        <v>101</v>
      </c>
      <c r="F1" s="3" t="s">
        <v>73</v>
      </c>
      <c r="G1" s="3" t="s">
        <v>108</v>
      </c>
      <c r="H1" s="3" t="s">
        <v>74</v>
      </c>
      <c r="I1" s="3" t="s">
        <v>75</v>
      </c>
      <c r="J1" s="3" t="s">
        <v>123</v>
      </c>
      <c r="K1" s="4" t="s">
        <v>170</v>
      </c>
      <c r="L1" s="4" t="s">
        <v>171</v>
      </c>
      <c r="M1" s="4" t="s">
        <v>235</v>
      </c>
      <c r="N1" s="4" t="s">
        <v>234</v>
      </c>
      <c r="O1" s="5" t="s">
        <v>76</v>
      </c>
      <c r="P1" s="5" t="s">
        <v>77</v>
      </c>
      <c r="Q1" s="6" t="s">
        <v>118</v>
      </c>
      <c r="R1" s="5" t="s">
        <v>78</v>
      </c>
      <c r="S1" s="5" t="s">
        <v>79</v>
      </c>
      <c r="T1" s="5" t="s">
        <v>389</v>
      </c>
      <c r="U1" s="5" t="s">
        <v>230</v>
      </c>
      <c r="V1" s="5" t="s">
        <v>80</v>
      </c>
      <c r="W1" s="6" t="s">
        <v>309</v>
      </c>
      <c r="X1" s="6" t="s">
        <v>310</v>
      </c>
      <c r="Y1" s="8" t="s">
        <v>87</v>
      </c>
      <c r="Z1" s="8" t="s">
        <v>94</v>
      </c>
      <c r="AA1" s="8" t="s">
        <v>88</v>
      </c>
      <c r="AB1" s="8" t="s">
        <v>291</v>
      </c>
      <c r="AC1" s="8" t="s">
        <v>82</v>
      </c>
      <c r="AD1" s="8" t="s">
        <v>201</v>
      </c>
      <c r="AE1" s="8" t="s">
        <v>83</v>
      </c>
      <c r="AF1" s="7" t="s">
        <v>271</v>
      </c>
      <c r="AG1" s="7" t="s">
        <v>313</v>
      </c>
      <c r="AH1" s="7" t="s">
        <v>140</v>
      </c>
      <c r="AI1" s="7" t="s">
        <v>262</v>
      </c>
      <c r="AJ1" s="7" t="s">
        <v>246</v>
      </c>
      <c r="AK1" s="7" t="s">
        <v>139</v>
      </c>
      <c r="AL1" s="7" t="s">
        <v>263</v>
      </c>
      <c r="AM1" s="7" t="s">
        <v>245</v>
      </c>
      <c r="AN1" s="11" t="s">
        <v>259</v>
      </c>
      <c r="AO1" s="11" t="s">
        <v>264</v>
      </c>
      <c r="AP1" s="11" t="s">
        <v>265</v>
      </c>
      <c r="AQ1" s="11" t="s">
        <v>266</v>
      </c>
      <c r="AR1" s="11" t="s">
        <v>267</v>
      </c>
      <c r="AS1" s="11" t="s">
        <v>268</v>
      </c>
      <c r="AT1" s="11" t="s">
        <v>375</v>
      </c>
      <c r="AU1" s="11" t="s">
        <v>269</v>
      </c>
      <c r="AV1" s="6" t="s">
        <v>376</v>
      </c>
      <c r="AW1" s="6" t="s">
        <v>377</v>
      </c>
      <c r="AX1" s="6" t="s">
        <v>378</v>
      </c>
      <c r="AY1" s="11" t="s">
        <v>283</v>
      </c>
      <c r="AZ1" s="11" t="s">
        <v>284</v>
      </c>
      <c r="BA1" s="11" t="s">
        <v>272</v>
      </c>
      <c r="BB1" s="22" t="s">
        <v>379</v>
      </c>
    </row>
    <row r="2" spans="1:54" ht="14.25" customHeight="1">
      <c r="A2" s="2">
        <v>421</v>
      </c>
      <c r="B2" s="2" t="s">
        <v>52</v>
      </c>
      <c r="C2" s="12" t="s">
        <v>85</v>
      </c>
      <c r="D2" s="12">
        <v>2009</v>
      </c>
      <c r="E2" s="12">
        <v>1999</v>
      </c>
      <c r="F2" s="12" t="s">
        <v>125</v>
      </c>
      <c r="G2" s="12" t="s">
        <v>124</v>
      </c>
      <c r="H2" s="12">
        <v>-1.016667</v>
      </c>
      <c r="I2" s="12">
        <v>116.86666700000001</v>
      </c>
      <c r="J2" s="12" t="s">
        <v>135</v>
      </c>
      <c r="K2" s="12" t="s">
        <v>215</v>
      </c>
      <c r="L2" s="12" t="s">
        <v>216</v>
      </c>
      <c r="M2" s="12" t="s">
        <v>237</v>
      </c>
      <c r="N2" s="12" t="s">
        <v>238</v>
      </c>
      <c r="O2" s="12" t="s">
        <v>86</v>
      </c>
      <c r="P2" s="12" t="s">
        <v>129</v>
      </c>
      <c r="Q2" s="12" t="s">
        <v>93</v>
      </c>
      <c r="R2" s="12">
        <v>1998</v>
      </c>
      <c r="S2" s="12">
        <v>1.5</v>
      </c>
      <c r="T2" s="12">
        <f>S2*12</f>
        <v>18</v>
      </c>
      <c r="U2" s="12"/>
      <c r="V2" s="12" t="s">
        <v>2</v>
      </c>
      <c r="W2" s="12">
        <v>8</v>
      </c>
      <c r="X2" s="12">
        <v>7</v>
      </c>
      <c r="Y2" s="12" t="s">
        <v>134</v>
      </c>
      <c r="Z2" s="12" t="s">
        <v>280</v>
      </c>
      <c r="AA2" s="12" t="s">
        <v>0</v>
      </c>
      <c r="AB2" s="12" t="s">
        <v>148</v>
      </c>
      <c r="AC2" s="12" t="s">
        <v>2</v>
      </c>
      <c r="AD2" s="12" t="s">
        <v>2</v>
      </c>
      <c r="AE2" s="12" t="s">
        <v>2</v>
      </c>
      <c r="AF2" s="12" t="s">
        <v>244</v>
      </c>
      <c r="AG2" s="12" t="s">
        <v>317</v>
      </c>
      <c r="AH2" s="12">
        <v>0</v>
      </c>
      <c r="AI2" s="12">
        <f>AJ2*(SQRT(X2))</f>
        <v>0</v>
      </c>
      <c r="AJ2" s="12">
        <v>0</v>
      </c>
      <c r="AK2" s="12">
        <v>15.8</v>
      </c>
      <c r="AL2" s="12">
        <f>AM2*(SQRT(W2))</f>
        <v>20.364675298172571</v>
      </c>
      <c r="AM2" s="12">
        <v>7.2</v>
      </c>
      <c r="AN2" s="12">
        <f t="shared" ref="AN2:AN7" si="0">AH2-AK2</f>
        <v>-15.8</v>
      </c>
      <c r="AO2" s="1">
        <f t="shared" ref="AO2:AO5" si="1">SQRT((((X2-1)*AI2^2)+((W2-1)*AL2^2))/(X2+W2-2))</f>
        <v>14.943586223887801</v>
      </c>
      <c r="AP2" s="1">
        <f t="shared" ref="AP2:AP79" si="2">AN2/AO2</f>
        <v>-1.0573097891818763</v>
      </c>
      <c r="AQ2" s="1">
        <f t="shared" ref="AQ2:AQ7" si="3">1/X2+1/W2+(AP2^2)/(2*(X2+W2))</f>
        <v>0.30512060920047029</v>
      </c>
      <c r="AR2" s="1">
        <f t="shared" ref="AR2:AR7" si="4">1-(3/(4*(X2+W2-2)-1))</f>
        <v>0.94117647058823528</v>
      </c>
      <c r="AS2" s="21">
        <f t="shared" ref="AS2:AS5" si="5">AP2*AR2</f>
        <v>-0.99511509570058954</v>
      </c>
      <c r="AT2" s="21">
        <f>AQ2*(AR2^2)</f>
        <v>0.27027984759626433</v>
      </c>
      <c r="AU2" s="21">
        <f>SQRT(AQ2*AR2^2)</f>
        <v>0.51988445600562472</v>
      </c>
      <c r="AV2" s="20">
        <f>1/AT2</f>
        <v>3.6998688910531317</v>
      </c>
      <c r="AW2" s="20">
        <f>AS2/AT2</f>
        <v>-3.6817953855999712</v>
      </c>
      <c r="AX2" s="20">
        <f>((AS2)^2)/AT2</f>
        <v>3.6638101674913046</v>
      </c>
      <c r="AY2" s="14"/>
      <c r="AZ2" s="14"/>
      <c r="BA2" s="1" t="s">
        <v>270</v>
      </c>
      <c r="BB2" s="2"/>
    </row>
    <row r="3" spans="1:54" ht="14.25" customHeight="1">
      <c r="A3" s="2">
        <v>421</v>
      </c>
      <c r="B3" s="2" t="s">
        <v>52</v>
      </c>
      <c r="C3" s="12" t="s">
        <v>85</v>
      </c>
      <c r="D3" s="12">
        <v>2009</v>
      </c>
      <c r="E3" s="12">
        <v>1999</v>
      </c>
      <c r="F3" s="12" t="s">
        <v>125</v>
      </c>
      <c r="G3" s="12" t="s">
        <v>124</v>
      </c>
      <c r="H3" s="12">
        <v>-1.016667</v>
      </c>
      <c r="I3" s="12">
        <v>116.86666700000001</v>
      </c>
      <c r="J3" s="12" t="s">
        <v>135</v>
      </c>
      <c r="K3" s="12" t="s">
        <v>215</v>
      </c>
      <c r="L3" s="12" t="s">
        <v>216</v>
      </c>
      <c r="M3" s="12" t="s">
        <v>237</v>
      </c>
      <c r="N3" s="12" t="s">
        <v>238</v>
      </c>
      <c r="O3" s="12" t="s">
        <v>86</v>
      </c>
      <c r="P3" s="12" t="s">
        <v>129</v>
      </c>
      <c r="Q3" s="12" t="s">
        <v>93</v>
      </c>
      <c r="R3" s="12">
        <v>1998</v>
      </c>
      <c r="S3" s="12">
        <v>1.5</v>
      </c>
      <c r="T3" s="12">
        <f t="shared" ref="T3:T7" si="6">S3*12</f>
        <v>18</v>
      </c>
      <c r="U3" s="12"/>
      <c r="V3" s="12" t="s">
        <v>2</v>
      </c>
      <c r="W3" s="12">
        <v>8</v>
      </c>
      <c r="X3" s="12">
        <v>7</v>
      </c>
      <c r="Y3" s="12" t="s">
        <v>134</v>
      </c>
      <c r="Z3" s="12" t="s">
        <v>281</v>
      </c>
      <c r="AA3" s="12" t="s">
        <v>0</v>
      </c>
      <c r="AB3" s="12" t="s">
        <v>148</v>
      </c>
      <c r="AC3" s="12" t="s">
        <v>2</v>
      </c>
      <c r="AD3" s="12" t="s">
        <v>2</v>
      </c>
      <c r="AE3" s="12" t="s">
        <v>2</v>
      </c>
      <c r="AF3" s="12" t="s">
        <v>244</v>
      </c>
      <c r="AG3" s="12" t="s">
        <v>317</v>
      </c>
      <c r="AH3" s="12">
        <v>0</v>
      </c>
      <c r="AI3" s="12">
        <f>AJ3*(SQRT(X3))</f>
        <v>0</v>
      </c>
      <c r="AJ3" s="12">
        <v>0</v>
      </c>
      <c r="AK3" s="12">
        <v>5.6</v>
      </c>
      <c r="AL3" s="12">
        <f>AM3*(SQRT(W3))</f>
        <v>9.6166522241370469</v>
      </c>
      <c r="AM3" s="12">
        <v>3.4</v>
      </c>
      <c r="AN3" s="12">
        <f t="shared" si="0"/>
        <v>-5.6</v>
      </c>
      <c r="AO3" s="1">
        <f t="shared" si="1"/>
        <v>7.0566934946136834</v>
      </c>
      <c r="AP3" s="1">
        <f t="shared" ref="AP3" si="7">AN3/AO3</f>
        <v>-0.79357279783717882</v>
      </c>
      <c r="AQ3" s="1">
        <f t="shared" si="3"/>
        <v>0.28884906903938046</v>
      </c>
      <c r="AR3" s="1">
        <f t="shared" si="4"/>
        <v>0.94117647058823528</v>
      </c>
      <c r="AS3" s="21">
        <f t="shared" ref="AS3" si="8">AP3*AR3</f>
        <v>-0.74689204502322715</v>
      </c>
      <c r="AT3" s="21">
        <f t="shared" ref="AT3:AT7" si="9">AQ3*(AR3^2)</f>
        <v>0.25586630337052385</v>
      </c>
      <c r="AU3" s="21">
        <f t="shared" ref="AU3" si="10">SQRT(AQ3*AR3^2)</f>
        <v>0.50583228778966238</v>
      </c>
      <c r="AV3" s="20">
        <f t="shared" ref="AV3:AV7" si="11">1/AT3</f>
        <v>3.9082911146446859</v>
      </c>
      <c r="AW3" s="20">
        <f t="shared" ref="AW3:AW7" si="12">AS3/AT3</f>
        <v>-2.9190715431630774</v>
      </c>
      <c r="AX3" s="20">
        <f t="shared" ref="AX3:AX7" si="13">((AS3)^2)/AT3</f>
        <v>2.1802313144421781</v>
      </c>
      <c r="AY3" s="14"/>
      <c r="AZ3" s="14"/>
      <c r="BA3" s="1" t="s">
        <v>270</v>
      </c>
      <c r="BB3" s="2"/>
    </row>
    <row r="4" spans="1:54" ht="14.25" customHeight="1">
      <c r="A4" s="2">
        <v>421</v>
      </c>
      <c r="B4" s="2" t="s">
        <v>52</v>
      </c>
      <c r="C4" s="12" t="s">
        <v>85</v>
      </c>
      <c r="D4" s="12">
        <v>2009</v>
      </c>
      <c r="E4" s="12">
        <v>1999</v>
      </c>
      <c r="F4" s="12" t="s">
        <v>125</v>
      </c>
      <c r="G4" s="12" t="s">
        <v>124</v>
      </c>
      <c r="H4" s="12">
        <v>-1.016667</v>
      </c>
      <c r="I4" s="12">
        <v>116.86666700000001</v>
      </c>
      <c r="J4" s="12" t="s">
        <v>135</v>
      </c>
      <c r="K4" s="12" t="s">
        <v>215</v>
      </c>
      <c r="L4" s="12" t="s">
        <v>216</v>
      </c>
      <c r="M4" s="12" t="s">
        <v>237</v>
      </c>
      <c r="N4" s="12" t="s">
        <v>238</v>
      </c>
      <c r="O4" s="12" t="s">
        <v>86</v>
      </c>
      <c r="P4" s="12" t="s">
        <v>129</v>
      </c>
      <c r="Q4" s="12" t="s">
        <v>93</v>
      </c>
      <c r="R4" s="12">
        <v>1998</v>
      </c>
      <c r="S4" s="12">
        <v>1.5</v>
      </c>
      <c r="T4" s="12">
        <f t="shared" si="6"/>
        <v>18</v>
      </c>
      <c r="U4" s="12"/>
      <c r="V4" s="12" t="s">
        <v>2</v>
      </c>
      <c r="W4" s="12">
        <v>8</v>
      </c>
      <c r="X4" s="12">
        <v>7</v>
      </c>
      <c r="Y4" s="12" t="s">
        <v>134</v>
      </c>
      <c r="Z4" s="12" t="s">
        <v>282</v>
      </c>
      <c r="AA4" s="12" t="s">
        <v>0</v>
      </c>
      <c r="AB4" s="12" t="s">
        <v>148</v>
      </c>
      <c r="AC4" s="12" t="s">
        <v>2</v>
      </c>
      <c r="AD4" s="12" t="s">
        <v>2</v>
      </c>
      <c r="AE4" s="12" t="s">
        <v>2</v>
      </c>
      <c r="AF4" s="12" t="s">
        <v>244</v>
      </c>
      <c r="AG4" s="12" t="s">
        <v>317</v>
      </c>
      <c r="AH4" s="12">
        <v>0</v>
      </c>
      <c r="AI4" s="12">
        <f>AJ4*(SQRT(X4))</f>
        <v>0</v>
      </c>
      <c r="AJ4" s="12">
        <v>0</v>
      </c>
      <c r="AK4" s="12">
        <v>2.7</v>
      </c>
      <c r="AL4" s="12">
        <v>4.0999999999999996</v>
      </c>
      <c r="AM4" s="12">
        <v>8.6999999999999993</v>
      </c>
      <c r="AN4" s="12">
        <f t="shared" si="0"/>
        <v>-2.7</v>
      </c>
      <c r="AO4" s="1">
        <f t="shared" si="1"/>
        <v>3.0085774813919053</v>
      </c>
      <c r="AP4" s="1">
        <f t="shared" ref="AP4" si="14">AN4/AO4</f>
        <v>-0.89743409192534973</v>
      </c>
      <c r="AQ4" s="1">
        <f t="shared" si="3"/>
        <v>0.29470340783547211</v>
      </c>
      <c r="AR4" s="1">
        <f t="shared" si="4"/>
        <v>0.94117647058823528</v>
      </c>
      <c r="AS4" s="21">
        <f t="shared" ref="AS4" si="15">AP4*AR4</f>
        <v>-0.84464385122385854</v>
      </c>
      <c r="AT4" s="21">
        <f t="shared" si="9"/>
        <v>0.26105215365356699</v>
      </c>
      <c r="AU4" s="21">
        <f t="shared" ref="AU4" si="16">SQRT(AQ4*AR4^2)</f>
        <v>0.51093263122799959</v>
      </c>
      <c r="AV4" s="20">
        <f t="shared" si="11"/>
        <v>3.8306521743048494</v>
      </c>
      <c r="AW4" s="20">
        <f t="shared" si="12"/>
        <v>-3.2355368052038953</v>
      </c>
      <c r="AX4" s="20">
        <f t="shared" si="13"/>
        <v>2.7328762679239573</v>
      </c>
      <c r="AY4" s="14"/>
      <c r="AZ4" s="14"/>
      <c r="BA4" s="1" t="s">
        <v>270</v>
      </c>
      <c r="BB4" s="2"/>
    </row>
    <row r="5" spans="1:54" ht="14.25" customHeight="1">
      <c r="A5" s="2">
        <v>421</v>
      </c>
      <c r="B5" s="2" t="s">
        <v>52</v>
      </c>
      <c r="C5" s="12" t="s">
        <v>85</v>
      </c>
      <c r="D5" s="12">
        <v>2009</v>
      </c>
      <c r="E5" s="12">
        <v>1999</v>
      </c>
      <c r="F5" s="12" t="s">
        <v>125</v>
      </c>
      <c r="G5" s="12" t="s">
        <v>124</v>
      </c>
      <c r="H5" s="12">
        <v>-1.016667</v>
      </c>
      <c r="I5" s="12">
        <v>116.86666700000001</v>
      </c>
      <c r="J5" s="12" t="s">
        <v>135</v>
      </c>
      <c r="K5" s="12" t="s">
        <v>215</v>
      </c>
      <c r="L5" s="12" t="s">
        <v>216</v>
      </c>
      <c r="M5" s="12" t="s">
        <v>237</v>
      </c>
      <c r="N5" s="12" t="s">
        <v>238</v>
      </c>
      <c r="O5" s="12" t="s">
        <v>86</v>
      </c>
      <c r="P5" s="12" t="s">
        <v>210</v>
      </c>
      <c r="Q5" s="12" t="s">
        <v>93</v>
      </c>
      <c r="R5" s="12">
        <v>1998</v>
      </c>
      <c r="S5" s="12">
        <v>1.5</v>
      </c>
      <c r="T5" s="12">
        <f t="shared" si="6"/>
        <v>18</v>
      </c>
      <c r="U5" s="12"/>
      <c r="V5" s="12" t="s">
        <v>2</v>
      </c>
      <c r="W5" s="12">
        <v>8</v>
      </c>
      <c r="X5" s="12">
        <v>7</v>
      </c>
      <c r="Y5" s="12" t="s">
        <v>134</v>
      </c>
      <c r="Z5" s="12" t="s">
        <v>280</v>
      </c>
      <c r="AA5" s="12" t="s">
        <v>0</v>
      </c>
      <c r="AB5" s="12" t="s">
        <v>148</v>
      </c>
      <c r="AC5" s="12" t="s">
        <v>2</v>
      </c>
      <c r="AD5" s="12" t="s">
        <v>2</v>
      </c>
      <c r="AE5" s="12" t="s">
        <v>2</v>
      </c>
      <c r="AF5" s="12" t="s">
        <v>244</v>
      </c>
      <c r="AG5" s="12" t="s">
        <v>317</v>
      </c>
      <c r="AH5" s="12">
        <v>4.2</v>
      </c>
      <c r="AI5" s="12">
        <f>AJ5*(SQRT(X5))</f>
        <v>13.757906817535872</v>
      </c>
      <c r="AJ5" s="12">
        <v>5.2</v>
      </c>
      <c r="AK5" s="12">
        <v>15.8</v>
      </c>
      <c r="AL5" s="12">
        <f>AM5*(SQRT(W5))</f>
        <v>20.364675298172571</v>
      </c>
      <c r="AM5" s="12">
        <v>7.2</v>
      </c>
      <c r="AN5" s="12">
        <f t="shared" si="0"/>
        <v>-11.600000000000001</v>
      </c>
      <c r="AO5" s="1">
        <f t="shared" si="1"/>
        <v>17.625855134737982</v>
      </c>
      <c r="AP5" s="1">
        <f t="shared" si="2"/>
        <v>-0.65812409731758759</v>
      </c>
      <c r="AQ5" s="1">
        <f t="shared" si="3"/>
        <v>0.28229472043947917</v>
      </c>
      <c r="AR5" s="1">
        <f t="shared" si="4"/>
        <v>0.94117647058823528</v>
      </c>
      <c r="AS5" s="21">
        <f t="shared" si="5"/>
        <v>-0.6194109151224354</v>
      </c>
      <c r="AT5" s="21">
        <f t="shared" si="9"/>
        <v>0.250060375198985</v>
      </c>
      <c r="AU5" s="21">
        <f t="shared" ref="AU5" si="17">SQRT(AQ5*AR5^2)</f>
        <v>0.50006037155426042</v>
      </c>
      <c r="AV5" s="20">
        <f t="shared" si="11"/>
        <v>3.9990342300504516</v>
      </c>
      <c r="AW5" s="20">
        <f t="shared" si="12"/>
        <v>-2.477045452041494</v>
      </c>
      <c r="AX5" s="20">
        <f t="shared" si="13"/>
        <v>1.5343089902488884</v>
      </c>
      <c r="AY5" s="14"/>
      <c r="AZ5" s="14"/>
      <c r="BA5" s="1" t="s">
        <v>270</v>
      </c>
      <c r="BB5" s="2"/>
    </row>
    <row r="6" spans="1:54" ht="14.25" customHeight="1">
      <c r="A6" s="2">
        <v>421</v>
      </c>
      <c r="B6" s="2" t="s">
        <v>52</v>
      </c>
      <c r="C6" s="12" t="s">
        <v>85</v>
      </c>
      <c r="D6" s="12">
        <v>2009</v>
      </c>
      <c r="E6" s="12">
        <v>1999</v>
      </c>
      <c r="F6" s="12" t="s">
        <v>125</v>
      </c>
      <c r="G6" s="12" t="s">
        <v>124</v>
      </c>
      <c r="H6" s="12">
        <v>-1.016667</v>
      </c>
      <c r="I6" s="12">
        <v>116.86666700000001</v>
      </c>
      <c r="J6" s="12" t="s">
        <v>135</v>
      </c>
      <c r="K6" s="12" t="s">
        <v>215</v>
      </c>
      <c r="L6" s="12" t="s">
        <v>216</v>
      </c>
      <c r="M6" s="12" t="s">
        <v>237</v>
      </c>
      <c r="N6" s="12" t="s">
        <v>238</v>
      </c>
      <c r="O6" s="12" t="s">
        <v>86</v>
      </c>
      <c r="P6" s="12" t="s">
        <v>210</v>
      </c>
      <c r="Q6" s="12" t="s">
        <v>93</v>
      </c>
      <c r="R6" s="12">
        <v>1998</v>
      </c>
      <c r="S6" s="12">
        <v>1.5</v>
      </c>
      <c r="T6" s="12">
        <f t="shared" si="6"/>
        <v>18</v>
      </c>
      <c r="U6" s="12"/>
      <c r="V6" s="12" t="s">
        <v>2</v>
      </c>
      <c r="W6" s="12">
        <v>8</v>
      </c>
      <c r="X6" s="12">
        <v>7</v>
      </c>
      <c r="Y6" s="12" t="s">
        <v>134</v>
      </c>
      <c r="Z6" s="12" t="s">
        <v>281</v>
      </c>
      <c r="AA6" s="12" t="s">
        <v>0</v>
      </c>
      <c r="AB6" s="12" t="s">
        <v>148</v>
      </c>
      <c r="AC6" s="12" t="s">
        <v>2</v>
      </c>
      <c r="AD6" s="12" t="s">
        <v>2</v>
      </c>
      <c r="AE6" s="12" t="s">
        <v>2</v>
      </c>
      <c r="AF6" s="12" t="s">
        <v>244</v>
      </c>
      <c r="AG6" s="12" t="s">
        <v>317</v>
      </c>
      <c r="AH6" s="12">
        <v>5.3</v>
      </c>
      <c r="AI6" s="1">
        <f>AJ6*SQRT(X6)</f>
        <v>6.3498031465550175</v>
      </c>
      <c r="AJ6" s="12">
        <v>2.4</v>
      </c>
      <c r="AK6" s="12">
        <v>5.6</v>
      </c>
      <c r="AL6" s="12">
        <f>AM6*(SQRT(W6))</f>
        <v>9.6166522241370469</v>
      </c>
      <c r="AM6" s="12">
        <v>3.4</v>
      </c>
      <c r="AN6" s="12">
        <f t="shared" si="0"/>
        <v>-0.29999999999999982</v>
      </c>
      <c r="AO6" s="1">
        <f>SQRT((((X6-1)*AJ6^2)+((W6-1)*AL6^2))/(X6+W6-2))</f>
        <v>7.2426089646883893</v>
      </c>
      <c r="AP6" s="1">
        <f t="shared" ref="AP6" si="18">AN6/AO6</f>
        <v>-4.1421537661726737E-2</v>
      </c>
      <c r="AQ6" s="1">
        <f t="shared" si="3"/>
        <v>0.26791433431655159</v>
      </c>
      <c r="AR6" s="1">
        <f t="shared" si="4"/>
        <v>0.94117647058823528</v>
      </c>
      <c r="AS6" s="21">
        <f t="shared" ref="AS6" si="19">AP6*AR6</f>
        <v>-3.8984976622801634E-2</v>
      </c>
      <c r="AT6" s="21">
        <f t="shared" si="9"/>
        <v>0.23732204008663393</v>
      </c>
      <c r="AU6" s="21">
        <f t="shared" ref="AU6" si="20">SQRT(AQ6*AR6^2)</f>
        <v>0.48715710000638801</v>
      </c>
      <c r="AV6" s="20">
        <f t="shared" si="11"/>
        <v>4.2136836495883481</v>
      </c>
      <c r="AW6" s="20">
        <f t="shared" si="12"/>
        <v>-0.16427035857508324</v>
      </c>
      <c r="AX6" s="20">
        <f t="shared" si="13"/>
        <v>6.4040760888688618E-3</v>
      </c>
      <c r="AY6" s="14"/>
      <c r="AZ6" s="14"/>
      <c r="BA6" s="1" t="s">
        <v>270</v>
      </c>
      <c r="BB6" s="2"/>
    </row>
    <row r="7" spans="1:54" ht="14.25" customHeight="1">
      <c r="A7" s="2">
        <v>421</v>
      </c>
      <c r="B7" s="2" t="s">
        <v>52</v>
      </c>
      <c r="C7" s="12" t="s">
        <v>85</v>
      </c>
      <c r="D7" s="12">
        <v>2009</v>
      </c>
      <c r="E7" s="12">
        <v>1999</v>
      </c>
      <c r="F7" s="12" t="s">
        <v>125</v>
      </c>
      <c r="G7" s="12" t="s">
        <v>124</v>
      </c>
      <c r="H7" s="12">
        <v>-1.016667</v>
      </c>
      <c r="I7" s="12">
        <v>116.86666700000001</v>
      </c>
      <c r="J7" s="12" t="s">
        <v>135</v>
      </c>
      <c r="K7" s="12" t="s">
        <v>215</v>
      </c>
      <c r="L7" s="12" t="s">
        <v>216</v>
      </c>
      <c r="M7" s="12" t="s">
        <v>237</v>
      </c>
      <c r="N7" s="12" t="s">
        <v>238</v>
      </c>
      <c r="O7" s="12" t="s">
        <v>86</v>
      </c>
      <c r="P7" s="12" t="s">
        <v>210</v>
      </c>
      <c r="Q7" s="12" t="s">
        <v>93</v>
      </c>
      <c r="R7" s="12">
        <v>1998</v>
      </c>
      <c r="S7" s="12">
        <v>1.5</v>
      </c>
      <c r="T7" s="12">
        <f t="shared" si="6"/>
        <v>18</v>
      </c>
      <c r="U7" s="12"/>
      <c r="V7" s="12" t="s">
        <v>2</v>
      </c>
      <c r="W7" s="12">
        <v>8</v>
      </c>
      <c r="X7" s="12">
        <v>7</v>
      </c>
      <c r="Y7" s="12" t="s">
        <v>134</v>
      </c>
      <c r="Z7" s="12" t="s">
        <v>282</v>
      </c>
      <c r="AA7" s="12" t="s">
        <v>0</v>
      </c>
      <c r="AB7" s="12" t="s">
        <v>148</v>
      </c>
      <c r="AC7" s="12" t="s">
        <v>2</v>
      </c>
      <c r="AD7" s="12" t="s">
        <v>2</v>
      </c>
      <c r="AE7" s="12" t="s">
        <v>2</v>
      </c>
      <c r="AF7" s="12" t="s">
        <v>244</v>
      </c>
      <c r="AG7" s="12" t="s">
        <v>317</v>
      </c>
      <c r="AH7" s="12">
        <v>5.7</v>
      </c>
      <c r="AI7" s="1">
        <f>AJ7*SQRT(X7)</f>
        <v>11.112155506471282</v>
      </c>
      <c r="AJ7" s="12">
        <v>4.2</v>
      </c>
      <c r="AK7" s="12">
        <v>2.7</v>
      </c>
      <c r="AL7" s="12">
        <v>4.0999999999999996</v>
      </c>
      <c r="AM7" s="12">
        <v>8.6999999999999993</v>
      </c>
      <c r="AN7" s="12">
        <f t="shared" si="0"/>
        <v>3</v>
      </c>
      <c r="AO7" s="1">
        <f>SQRT((((X7-1)*AJ7^2)+((W7-1)*AL7^2))/(X7+W7-2))</f>
        <v>4.1464535356225714</v>
      </c>
      <c r="AP7" s="1">
        <f t="shared" ref="AP7" si="21">AN7/AO7</f>
        <v>0.72350985588689676</v>
      </c>
      <c r="AQ7" s="1">
        <f t="shared" si="3"/>
        <v>0.28530602657599213</v>
      </c>
      <c r="AR7" s="1">
        <f t="shared" si="4"/>
        <v>0.94117647058823528</v>
      </c>
      <c r="AS7" s="21">
        <f t="shared" ref="AS7" si="22">AP7*AR7</f>
        <v>0.68095045259943221</v>
      </c>
      <c r="AT7" s="21">
        <f t="shared" si="9"/>
        <v>0.25272782976973701</v>
      </c>
      <c r="AU7" s="21">
        <f t="shared" ref="AU7" si="23">SQRT(AQ7*AR7^2)</f>
        <v>0.50272042903559933</v>
      </c>
      <c r="AV7" s="20">
        <f t="shared" si="11"/>
        <v>3.9568258110359693</v>
      </c>
      <c r="AW7" s="20">
        <f t="shared" si="12"/>
        <v>2.6944023268820585</v>
      </c>
      <c r="AX7" s="20">
        <f t="shared" si="13"/>
        <v>1.8347544839753012</v>
      </c>
      <c r="AY7" s="14"/>
      <c r="AZ7" s="14"/>
      <c r="BA7" s="1" t="s">
        <v>270</v>
      </c>
      <c r="BB7" s="2"/>
    </row>
    <row r="8" spans="1:54" ht="14.25" customHeight="1">
      <c r="A8" s="2">
        <v>200</v>
      </c>
      <c r="B8" s="2" t="s">
        <v>31</v>
      </c>
      <c r="C8" s="1" t="s">
        <v>85</v>
      </c>
      <c r="D8" s="1">
        <v>2024</v>
      </c>
      <c r="F8" s="1" t="s">
        <v>206</v>
      </c>
      <c r="G8" s="1" t="s">
        <v>161</v>
      </c>
      <c r="H8" s="1">
        <v>-38</v>
      </c>
      <c r="I8" s="1">
        <v>-71</v>
      </c>
      <c r="J8" s="1" t="s">
        <v>128</v>
      </c>
      <c r="K8" s="1" t="s">
        <v>196</v>
      </c>
      <c r="L8" s="1" t="s">
        <v>197</v>
      </c>
      <c r="M8" s="1" t="s">
        <v>237</v>
      </c>
      <c r="N8" s="1" t="s">
        <v>238</v>
      </c>
      <c r="O8" s="1" t="s">
        <v>86</v>
      </c>
      <c r="P8" s="1" t="s">
        <v>210</v>
      </c>
      <c r="Q8" s="1" t="s">
        <v>93</v>
      </c>
      <c r="R8" s="1">
        <v>2015</v>
      </c>
      <c r="S8" s="1">
        <v>8</v>
      </c>
      <c r="T8" s="1">
        <f>S8*12</f>
        <v>96</v>
      </c>
      <c r="V8" s="1">
        <v>3700</v>
      </c>
      <c r="W8" s="1">
        <v>3</v>
      </c>
      <c r="X8" s="1">
        <v>3</v>
      </c>
      <c r="Y8" s="1" t="s">
        <v>207</v>
      </c>
      <c r="Z8" s="1" t="s">
        <v>154</v>
      </c>
      <c r="AA8" s="1" t="s">
        <v>0</v>
      </c>
      <c r="AB8" s="1" t="s">
        <v>98</v>
      </c>
      <c r="AC8" s="1" t="s">
        <v>202</v>
      </c>
      <c r="AD8" s="1" t="s">
        <v>99</v>
      </c>
      <c r="AE8" s="1" t="s">
        <v>102</v>
      </c>
      <c r="AF8" s="10" t="s">
        <v>247</v>
      </c>
      <c r="AG8" s="10" t="s">
        <v>314</v>
      </c>
      <c r="AH8">
        <f>26.1/100</f>
        <v>0.26100000000000001</v>
      </c>
      <c r="AI8" s="13"/>
      <c r="AJ8" s="13"/>
      <c r="AK8">
        <f>26.9/100</f>
        <v>0.26899999999999996</v>
      </c>
      <c r="AL8" s="13"/>
      <c r="AM8" s="13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2">
        <f>LOG(AH8/AK8)</f>
        <v>-1.3111772664126962E-2</v>
      </c>
      <c r="AZ8" s="12">
        <f>((1-AH8)/(AH8*X8))+((1-AK8)/(W8*AK8))</f>
        <v>1.8496299144933936</v>
      </c>
      <c r="BA8" s="1" t="s">
        <v>283</v>
      </c>
    </row>
    <row r="9" spans="1:54" ht="14.25" customHeight="1">
      <c r="A9" s="2">
        <v>200</v>
      </c>
      <c r="B9" s="2" t="s">
        <v>31</v>
      </c>
      <c r="C9" s="1" t="s">
        <v>85</v>
      </c>
      <c r="D9" s="1">
        <v>2024</v>
      </c>
      <c r="F9" s="1" t="s">
        <v>206</v>
      </c>
      <c r="G9" s="1" t="s">
        <v>161</v>
      </c>
      <c r="H9" s="1">
        <v>-38</v>
      </c>
      <c r="I9" s="1">
        <v>-71</v>
      </c>
      <c r="J9" s="1" t="s">
        <v>128</v>
      </c>
      <c r="K9" s="1" t="s">
        <v>196</v>
      </c>
      <c r="L9" s="1" t="s">
        <v>197</v>
      </c>
      <c r="M9" s="1" t="s">
        <v>237</v>
      </c>
      <c r="N9" s="1" t="s">
        <v>238</v>
      </c>
      <c r="O9" s="1" t="s">
        <v>86</v>
      </c>
      <c r="P9" s="1" t="s">
        <v>210</v>
      </c>
      <c r="Q9" s="1" t="s">
        <v>93</v>
      </c>
      <c r="R9" s="1">
        <v>2015</v>
      </c>
      <c r="S9" s="1">
        <v>8</v>
      </c>
      <c r="T9" s="1">
        <f t="shared" ref="T9:T11" si="24">S9*12</f>
        <v>96</v>
      </c>
      <c r="V9" s="1">
        <v>3700</v>
      </c>
      <c r="W9" s="1">
        <v>3</v>
      </c>
      <c r="X9" s="1">
        <v>3</v>
      </c>
      <c r="Y9" s="1" t="s">
        <v>207</v>
      </c>
      <c r="Z9" s="1" t="s">
        <v>154</v>
      </c>
      <c r="AA9" s="1" t="s">
        <v>0</v>
      </c>
      <c r="AB9" s="1" t="s">
        <v>98</v>
      </c>
      <c r="AC9" s="1" t="s">
        <v>202</v>
      </c>
      <c r="AD9" s="1" t="s">
        <v>99</v>
      </c>
      <c r="AE9" s="1" t="s">
        <v>102</v>
      </c>
      <c r="AF9" s="10" t="s">
        <v>248</v>
      </c>
      <c r="AG9" s="10" t="s">
        <v>314</v>
      </c>
      <c r="AH9">
        <f>70/100</f>
        <v>0.7</v>
      </c>
      <c r="AI9" s="13"/>
      <c r="AJ9" s="13"/>
      <c r="AK9">
        <f>71.5/100</f>
        <v>0.71499999999999997</v>
      </c>
      <c r="AL9" s="13"/>
      <c r="AM9" s="13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2">
        <f>LOG(AH9/AK9)</f>
        <v>-9.2080017868238131E-3</v>
      </c>
      <c r="AZ9" s="12">
        <f>((1-AH9)/(AH9*X9))+((1-AK9)/(W9*AK9))</f>
        <v>0.27572427572427582</v>
      </c>
      <c r="BA9" s="1" t="s">
        <v>283</v>
      </c>
    </row>
    <row r="10" spans="1:54" ht="14.25" customHeight="1">
      <c r="A10" s="2">
        <v>200</v>
      </c>
      <c r="B10" s="2" t="s">
        <v>31</v>
      </c>
      <c r="C10" s="1" t="s">
        <v>85</v>
      </c>
      <c r="D10" s="1">
        <v>2024</v>
      </c>
      <c r="F10" s="1" t="s">
        <v>206</v>
      </c>
      <c r="G10" s="1" t="s">
        <v>161</v>
      </c>
      <c r="H10" s="1">
        <v>-38</v>
      </c>
      <c r="I10" s="1">
        <v>-71</v>
      </c>
      <c r="J10" s="1" t="s">
        <v>128</v>
      </c>
      <c r="K10" s="1" t="s">
        <v>196</v>
      </c>
      <c r="L10" s="1" t="s">
        <v>197</v>
      </c>
      <c r="M10" s="1" t="s">
        <v>237</v>
      </c>
      <c r="N10" s="1" t="s">
        <v>238</v>
      </c>
      <c r="O10" s="1" t="s">
        <v>86</v>
      </c>
      <c r="P10" s="1" t="s">
        <v>210</v>
      </c>
      <c r="Q10" s="1" t="s">
        <v>93</v>
      </c>
      <c r="R10" s="1">
        <v>2015</v>
      </c>
      <c r="S10" s="1">
        <v>8</v>
      </c>
      <c r="T10" s="1">
        <f t="shared" si="24"/>
        <v>96</v>
      </c>
      <c r="V10" s="1">
        <v>3700</v>
      </c>
      <c r="W10" s="1">
        <v>3</v>
      </c>
      <c r="X10" s="1">
        <v>3</v>
      </c>
      <c r="Y10" s="1" t="s">
        <v>249</v>
      </c>
      <c r="Z10" s="1" t="s">
        <v>154</v>
      </c>
      <c r="AA10" s="1" t="s">
        <v>0</v>
      </c>
      <c r="AB10" s="1" t="s">
        <v>98</v>
      </c>
      <c r="AC10" s="1" t="s">
        <v>202</v>
      </c>
      <c r="AD10" s="1" t="s">
        <v>99</v>
      </c>
      <c r="AE10" s="1" t="s">
        <v>102</v>
      </c>
      <c r="AF10" s="10" t="s">
        <v>247</v>
      </c>
      <c r="AG10" s="10" t="s">
        <v>314</v>
      </c>
      <c r="AH10">
        <f>32.7/100</f>
        <v>0.32700000000000001</v>
      </c>
      <c r="AI10" s="13"/>
      <c r="AJ10" s="13"/>
      <c r="AK10">
        <f>42.3/100</f>
        <v>0.42299999999999999</v>
      </c>
      <c r="AL10" s="13"/>
      <c r="AM10" s="13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2">
        <f>LOG(AH10/AK10)</f>
        <v>-0.11179261471475627</v>
      </c>
      <c r="AZ10" s="12">
        <f>((1-AH10)/(AH10*X10))+((1-AK10)/(W10*AK10))</f>
        <v>1.1407233897961988</v>
      </c>
      <c r="BA10" s="1" t="s">
        <v>283</v>
      </c>
    </row>
    <row r="11" spans="1:54" ht="14.25" customHeight="1">
      <c r="A11" s="2">
        <v>200</v>
      </c>
      <c r="B11" s="2" t="s">
        <v>31</v>
      </c>
      <c r="C11" s="1" t="s">
        <v>85</v>
      </c>
      <c r="D11" s="1">
        <v>2024</v>
      </c>
      <c r="F11" s="1" t="s">
        <v>206</v>
      </c>
      <c r="G11" s="1" t="s">
        <v>161</v>
      </c>
      <c r="H11" s="1">
        <v>-38</v>
      </c>
      <c r="I11" s="1">
        <v>-71</v>
      </c>
      <c r="J11" s="1" t="s">
        <v>128</v>
      </c>
      <c r="K11" s="1" t="s">
        <v>196</v>
      </c>
      <c r="L11" s="1" t="s">
        <v>197</v>
      </c>
      <c r="M11" s="1" t="s">
        <v>237</v>
      </c>
      <c r="N11" s="1" t="s">
        <v>238</v>
      </c>
      <c r="O11" s="1" t="s">
        <v>86</v>
      </c>
      <c r="P11" s="1" t="s">
        <v>210</v>
      </c>
      <c r="Q11" s="1" t="s">
        <v>93</v>
      </c>
      <c r="R11" s="1">
        <v>2015</v>
      </c>
      <c r="S11" s="1">
        <v>8</v>
      </c>
      <c r="T11" s="1">
        <f t="shared" si="24"/>
        <v>96</v>
      </c>
      <c r="V11" s="1">
        <v>3700</v>
      </c>
      <c r="W11" s="1">
        <v>3</v>
      </c>
      <c r="X11" s="1">
        <v>3</v>
      </c>
      <c r="Y11" s="1" t="s">
        <v>249</v>
      </c>
      <c r="Z11" s="1" t="s">
        <v>154</v>
      </c>
      <c r="AA11" s="1" t="s">
        <v>0</v>
      </c>
      <c r="AB11" s="1" t="s">
        <v>98</v>
      </c>
      <c r="AC11" s="1" t="s">
        <v>202</v>
      </c>
      <c r="AD11" s="1" t="s">
        <v>99</v>
      </c>
      <c r="AE11" s="1" t="s">
        <v>102</v>
      </c>
      <c r="AF11" s="10" t="s">
        <v>248</v>
      </c>
      <c r="AG11" s="10" t="s">
        <v>314</v>
      </c>
      <c r="AH11">
        <f>66.8/100</f>
        <v>0.66799999999999993</v>
      </c>
      <c r="AI11" s="13"/>
      <c r="AJ11" s="13"/>
      <c r="AK11">
        <f>57.4/100</f>
        <v>0.57399999999999995</v>
      </c>
      <c r="AL11" s="13"/>
      <c r="AM11" s="13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2">
        <f>LOG(AH11/AK11)</f>
        <v>6.586457007757214E-2</v>
      </c>
      <c r="AZ11" s="12">
        <f>((1-AH11)/(AH11*X11))+((1-AK11)/(W11*AK11))</f>
        <v>0.41305542225653236</v>
      </c>
      <c r="BA11" s="1" t="s">
        <v>283</v>
      </c>
    </row>
    <row r="12" spans="1:54" ht="14.25" customHeight="1">
      <c r="A12" s="2">
        <v>443</v>
      </c>
      <c r="B12" s="2" t="s">
        <v>55</v>
      </c>
      <c r="C12" s="12" t="s">
        <v>85</v>
      </c>
      <c r="D12" s="12">
        <v>2007</v>
      </c>
      <c r="E12" s="12">
        <v>2003</v>
      </c>
      <c r="F12" s="12" t="s">
        <v>96</v>
      </c>
      <c r="G12" s="12" t="s">
        <v>109</v>
      </c>
      <c r="H12" s="12">
        <v>-26.833333</v>
      </c>
      <c r="I12" s="12">
        <v>152.88333299999999</v>
      </c>
      <c r="J12" s="12" t="s">
        <v>286</v>
      </c>
      <c r="K12" s="12" t="s">
        <v>112</v>
      </c>
      <c r="L12" s="12" t="s">
        <v>188</v>
      </c>
      <c r="M12" s="16" t="s">
        <v>237</v>
      </c>
      <c r="N12" s="12" t="s">
        <v>238</v>
      </c>
      <c r="O12" s="12" t="s">
        <v>121</v>
      </c>
      <c r="P12" s="12"/>
      <c r="Q12" s="12" t="s">
        <v>93</v>
      </c>
      <c r="R12" s="12">
        <v>2003</v>
      </c>
      <c r="S12" s="12" t="s">
        <v>162</v>
      </c>
      <c r="T12" s="12">
        <v>3</v>
      </c>
      <c r="U12" s="12" t="s">
        <v>251</v>
      </c>
      <c r="V12" s="12"/>
      <c r="W12" s="12"/>
      <c r="X12" s="12"/>
      <c r="Y12" s="12" t="s">
        <v>97</v>
      </c>
      <c r="Z12" s="12" t="s">
        <v>147</v>
      </c>
      <c r="AA12" s="12" t="s">
        <v>0</v>
      </c>
      <c r="AB12" s="12" t="s">
        <v>98</v>
      </c>
      <c r="AC12" s="12" t="s">
        <v>221</v>
      </c>
      <c r="AD12" s="12" t="s">
        <v>2</v>
      </c>
      <c r="AE12" s="12" t="s">
        <v>100</v>
      </c>
      <c r="AF12" s="12" t="s">
        <v>250</v>
      </c>
      <c r="AG12" s="12" t="s">
        <v>318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" t="s">
        <v>285</v>
      </c>
    </row>
    <row r="13" spans="1:54" ht="14.25" customHeight="1">
      <c r="A13" s="2">
        <v>443</v>
      </c>
      <c r="B13" s="2" t="s">
        <v>55</v>
      </c>
      <c r="C13" s="12" t="s">
        <v>85</v>
      </c>
      <c r="D13" s="12">
        <v>2007</v>
      </c>
      <c r="E13" s="12">
        <v>2003</v>
      </c>
      <c r="F13" s="12" t="s">
        <v>96</v>
      </c>
      <c r="G13" s="12" t="s">
        <v>109</v>
      </c>
      <c r="H13" s="12">
        <v>-26.833333</v>
      </c>
      <c r="I13" s="12">
        <v>152.88333299999999</v>
      </c>
      <c r="J13" s="12" t="s">
        <v>286</v>
      </c>
      <c r="K13" s="12" t="s">
        <v>112</v>
      </c>
      <c r="L13" s="12" t="s">
        <v>188</v>
      </c>
      <c r="M13" s="16" t="s">
        <v>237</v>
      </c>
      <c r="N13" s="12" t="s">
        <v>238</v>
      </c>
      <c r="O13" s="12" t="s">
        <v>121</v>
      </c>
      <c r="P13" s="12"/>
      <c r="Q13" s="12" t="s">
        <v>93</v>
      </c>
      <c r="R13" s="12">
        <v>2003</v>
      </c>
      <c r="S13" s="12">
        <v>2</v>
      </c>
      <c r="T13" s="12">
        <f>S13*12</f>
        <v>24</v>
      </c>
      <c r="U13" s="12" t="s">
        <v>251</v>
      </c>
      <c r="V13" s="12"/>
      <c r="W13" s="12"/>
      <c r="X13" s="12"/>
      <c r="Y13" s="12" t="s">
        <v>97</v>
      </c>
      <c r="Z13" s="12" t="s">
        <v>147</v>
      </c>
      <c r="AA13" s="12" t="s">
        <v>0</v>
      </c>
      <c r="AB13" s="12" t="s">
        <v>98</v>
      </c>
      <c r="AC13" s="12" t="s">
        <v>221</v>
      </c>
      <c r="AD13" s="12" t="s">
        <v>2</v>
      </c>
      <c r="AE13" s="12" t="s">
        <v>100</v>
      </c>
      <c r="AF13" s="12" t="s">
        <v>250</v>
      </c>
      <c r="AG13" s="12" t="s">
        <v>318</v>
      </c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" t="s">
        <v>285</v>
      </c>
    </row>
    <row r="14" spans="1:54" ht="14.25" customHeight="1">
      <c r="A14" s="2">
        <v>238</v>
      </c>
      <c r="B14" s="2" t="s">
        <v>37</v>
      </c>
      <c r="C14" s="1" t="s">
        <v>85</v>
      </c>
      <c r="D14" s="1">
        <v>2021</v>
      </c>
      <c r="E14" s="1">
        <v>2017</v>
      </c>
      <c r="F14" s="1" t="s">
        <v>143</v>
      </c>
      <c r="G14" s="16" t="s">
        <v>159</v>
      </c>
      <c r="H14" s="1">
        <v>48.602961000000001</v>
      </c>
      <c r="I14" s="1">
        <v>-119.23058899999999</v>
      </c>
      <c r="J14" s="1" t="s">
        <v>128</v>
      </c>
      <c r="K14" s="1" t="s">
        <v>176</v>
      </c>
      <c r="L14" s="1" t="s">
        <v>192</v>
      </c>
      <c r="M14" s="1" t="s">
        <v>236</v>
      </c>
      <c r="N14" s="1" t="s">
        <v>238</v>
      </c>
      <c r="O14" s="1" t="s">
        <v>86</v>
      </c>
      <c r="P14" s="1" t="s">
        <v>129</v>
      </c>
      <c r="Q14" s="1" t="s">
        <v>93</v>
      </c>
      <c r="R14" s="1">
        <v>2006</v>
      </c>
      <c r="S14" s="1">
        <v>11</v>
      </c>
      <c r="T14" s="1">
        <f>S14*12</f>
        <v>132</v>
      </c>
      <c r="V14" s="1">
        <v>17000</v>
      </c>
      <c r="W14" s="1">
        <v>3</v>
      </c>
      <c r="X14" s="1">
        <v>3</v>
      </c>
      <c r="Y14" s="1" t="s">
        <v>97</v>
      </c>
      <c r="Z14" s="1" t="s">
        <v>364</v>
      </c>
      <c r="AA14" s="1" t="s">
        <v>1</v>
      </c>
      <c r="AB14" s="1" t="s">
        <v>98</v>
      </c>
      <c r="AC14" s="1" t="s">
        <v>202</v>
      </c>
      <c r="AD14" s="1" t="s">
        <v>99</v>
      </c>
      <c r="AE14" s="1" t="s">
        <v>111</v>
      </c>
      <c r="AF14" s="1" t="s">
        <v>222</v>
      </c>
      <c r="AG14" s="1" t="s">
        <v>365</v>
      </c>
      <c r="AH14" s="10">
        <v>183</v>
      </c>
      <c r="AI14" s="10">
        <v>0.2</v>
      </c>
      <c r="AJ14" s="10"/>
      <c r="AK14" s="1">
        <v>233</v>
      </c>
      <c r="AL14" s="1">
        <v>1.1399999999999999</v>
      </c>
      <c r="AN14" s="12">
        <f>AH14-AK14</f>
        <v>-50</v>
      </c>
      <c r="AO14" s="1">
        <f>SQRT((((X14-1)*AI14^2)+((W14-1)*AL14^2))/(X14+W14-2))</f>
        <v>0.81841309862440492</v>
      </c>
      <c r="AP14" s="1">
        <f>AN14/AO14</f>
        <v>-61.093841342520527</v>
      </c>
      <c r="AQ14" s="1">
        <f>1/X14+1/W14+(AP14^2)/(2*(X14+W14))</f>
        <v>311.70478749875588</v>
      </c>
      <c r="AR14" s="1">
        <f>1-(3/(4*(X14+W14-2)-1))</f>
        <v>0.8</v>
      </c>
      <c r="AS14" s="21">
        <f>AP14*AR14</f>
        <v>-48.875073074016427</v>
      </c>
      <c r="AT14" s="21">
        <f>AQ14*(AR14^2)</f>
        <v>199.49106399920379</v>
      </c>
      <c r="AU14" s="21">
        <f>SQRT(AQ14*AR14^2)</f>
        <v>14.124130557284005</v>
      </c>
      <c r="AV14" s="20">
        <f>1/AT14</f>
        <v>5.0127558596007645E-3</v>
      </c>
      <c r="AW14" s="20">
        <f>AS14/AT14</f>
        <v>-0.24499880894019141</v>
      </c>
      <c r="AX14" s="20">
        <f>((AS14)^2)/AT14</f>
        <v>11.974334689998845</v>
      </c>
      <c r="AY14" s="14"/>
      <c r="AZ14" s="14"/>
      <c r="BA14" s="1" t="s">
        <v>270</v>
      </c>
      <c r="BB14" s="2"/>
    </row>
    <row r="15" spans="1:54" ht="14.25" customHeight="1">
      <c r="A15" s="2">
        <v>58</v>
      </c>
      <c r="B15" s="2" t="s">
        <v>11</v>
      </c>
      <c r="C15" s="1" t="s">
        <v>89</v>
      </c>
      <c r="D15" s="1">
        <v>2013</v>
      </c>
      <c r="E15" s="1">
        <v>2004</v>
      </c>
      <c r="F15" s="1" t="s">
        <v>152</v>
      </c>
      <c r="G15" s="1" t="s">
        <v>159</v>
      </c>
      <c r="H15" s="1">
        <v>51</v>
      </c>
      <c r="I15" s="1">
        <v>-120</v>
      </c>
      <c r="J15" s="1" t="s">
        <v>135</v>
      </c>
      <c r="K15" s="1" t="s">
        <v>174</v>
      </c>
      <c r="L15" s="1" t="s">
        <v>175</v>
      </c>
      <c r="M15" s="1" t="s">
        <v>236</v>
      </c>
      <c r="N15" s="1" t="s">
        <v>238</v>
      </c>
      <c r="O15" s="1" t="s">
        <v>86</v>
      </c>
      <c r="P15" s="1" t="s">
        <v>129</v>
      </c>
      <c r="Q15" s="1" t="s">
        <v>93</v>
      </c>
      <c r="R15" s="1">
        <v>2003</v>
      </c>
      <c r="S15" s="7"/>
      <c r="T15" s="7"/>
      <c r="V15" s="1">
        <v>26420</v>
      </c>
      <c r="W15" s="1">
        <v>4</v>
      </c>
      <c r="X15" s="1">
        <v>4</v>
      </c>
      <c r="Y15" s="1" t="s">
        <v>134</v>
      </c>
      <c r="Z15" s="1" t="s">
        <v>2</v>
      </c>
      <c r="AA15" s="1" t="s">
        <v>0</v>
      </c>
      <c r="AB15" s="1" t="s">
        <v>98</v>
      </c>
      <c r="AC15" s="1" t="s">
        <v>158</v>
      </c>
      <c r="AD15" s="1" t="s">
        <v>2</v>
      </c>
      <c r="AE15" s="1" t="s">
        <v>100</v>
      </c>
      <c r="AF15" s="1" t="s">
        <v>348</v>
      </c>
      <c r="AG15" s="1" t="s">
        <v>324</v>
      </c>
      <c r="AH15" s="1">
        <v>0.38</v>
      </c>
      <c r="AI15" s="1">
        <f>AJ15*(SQRT(X15))</f>
        <v>0.42</v>
      </c>
      <c r="AJ15" s="1">
        <v>0.21</v>
      </c>
      <c r="AK15" s="1">
        <v>0.85</v>
      </c>
      <c r="AL15" s="1">
        <f>AM15*(SQRT(W15))</f>
        <v>0.42</v>
      </c>
      <c r="AM15" s="1">
        <v>0.21</v>
      </c>
      <c r="AN15" s="12">
        <f>AH15-AK15</f>
        <v>-0.47</v>
      </c>
      <c r="AO15" s="1">
        <f>SQRT((((X15-1)*AI15^2)+((W15-1)*AL15^2))/(X15+W15-2))</f>
        <v>0.42</v>
      </c>
      <c r="AP15" s="1">
        <f>AN15/AO15</f>
        <v>-1.1190476190476191</v>
      </c>
      <c r="AQ15" s="1">
        <f>1/X15+1/W15+(AP15^2)/(2*(X15+W15))</f>
        <v>0.57826672335600904</v>
      </c>
      <c r="AR15" s="1">
        <f>1-(3/(4*(X15+W15-2)-1))</f>
        <v>0.86956521739130432</v>
      </c>
      <c r="AS15" s="21">
        <f>AP15*AR15</f>
        <v>-0.97308488612836441</v>
      </c>
      <c r="AT15" s="21">
        <f>AQ15*(AR15^2)</f>
        <v>0.43725272087410894</v>
      </c>
      <c r="AU15" s="21">
        <f>SQRT(AQ15*AR15^2)</f>
        <v>0.66125087589666676</v>
      </c>
      <c r="AV15" s="20">
        <f>1/AT15</f>
        <v>2.2870069235953681</v>
      </c>
      <c r="AW15" s="20">
        <f>AS15/AT15</f>
        <v>-2.2254518718215794</v>
      </c>
      <c r="AX15" s="20">
        <f>((AS15)^2)/AT15</f>
        <v>2.1655535812756574</v>
      </c>
      <c r="AY15" s="14"/>
      <c r="AZ15" s="14"/>
      <c r="BA15" s="1" t="s">
        <v>270</v>
      </c>
      <c r="BB15" s="2"/>
    </row>
    <row r="16" spans="1:54" ht="14.25" customHeight="1">
      <c r="A16" s="2">
        <v>58</v>
      </c>
      <c r="B16" s="2" t="s">
        <v>11</v>
      </c>
      <c r="C16" s="1" t="s">
        <v>89</v>
      </c>
      <c r="D16" s="1">
        <v>2013</v>
      </c>
      <c r="E16" s="1">
        <v>2004</v>
      </c>
      <c r="F16" s="1" t="s">
        <v>152</v>
      </c>
      <c r="G16" s="1" t="s">
        <v>159</v>
      </c>
      <c r="H16" s="1">
        <v>51</v>
      </c>
      <c r="I16" s="1">
        <v>-120</v>
      </c>
      <c r="J16" s="1" t="s">
        <v>135</v>
      </c>
      <c r="K16" s="1" t="s">
        <v>174</v>
      </c>
      <c r="L16" s="1" t="s">
        <v>175</v>
      </c>
      <c r="M16" s="1" t="s">
        <v>236</v>
      </c>
      <c r="N16" s="1" t="s">
        <v>238</v>
      </c>
      <c r="O16" s="1" t="s">
        <v>86</v>
      </c>
      <c r="P16" s="1" t="s">
        <v>129</v>
      </c>
      <c r="Q16" s="1" t="s">
        <v>93</v>
      </c>
      <c r="R16" s="1">
        <v>2003</v>
      </c>
      <c r="S16" s="7"/>
      <c r="T16" s="7"/>
      <c r="V16" s="1">
        <v>26420</v>
      </c>
      <c r="W16" s="1">
        <v>4</v>
      </c>
      <c r="X16" s="1">
        <v>4</v>
      </c>
      <c r="Y16" s="1" t="s">
        <v>134</v>
      </c>
      <c r="Z16" s="1" t="s">
        <v>2</v>
      </c>
      <c r="AA16" s="1" t="s">
        <v>0</v>
      </c>
      <c r="AB16" s="1" t="s">
        <v>98</v>
      </c>
      <c r="AC16" s="1" t="s">
        <v>158</v>
      </c>
      <c r="AD16" s="1" t="s">
        <v>2</v>
      </c>
      <c r="AE16" s="1" t="s">
        <v>100</v>
      </c>
      <c r="AF16" s="1" t="s">
        <v>149</v>
      </c>
      <c r="AG16" s="1" t="s">
        <v>324</v>
      </c>
      <c r="AH16" s="1">
        <v>0.32</v>
      </c>
      <c r="AI16" s="1">
        <f>AJ16*(SQRT(X16))</f>
        <v>0.44</v>
      </c>
      <c r="AJ16" s="1">
        <v>0.22</v>
      </c>
      <c r="AK16" s="1">
        <v>0.79</v>
      </c>
      <c r="AL16" s="1">
        <f>AM16*(SQRT(W16))</f>
        <v>0.44</v>
      </c>
      <c r="AM16" s="1">
        <v>0.22</v>
      </c>
      <c r="AN16" s="12">
        <f>AH16-AK16</f>
        <v>-0.47000000000000003</v>
      </c>
      <c r="AO16" s="1">
        <f>SQRT((((X16-1)*AI16^2)+((W16-1)*AL16^2))/(X16+W16-2))</f>
        <v>0.44</v>
      </c>
      <c r="AP16" s="1">
        <f>AN16/AO16</f>
        <v>-1.0681818181818183</v>
      </c>
      <c r="AQ16" s="1">
        <f>1/X16+1/W16+(AP16^2)/(2*(X16+W16))</f>
        <v>0.57131327479338845</v>
      </c>
      <c r="AR16" s="1">
        <f>1-(3/(4*(X16+W16-2)-1))</f>
        <v>0.86956521739130432</v>
      </c>
      <c r="AS16" s="21">
        <f>AP16*AR16</f>
        <v>-0.92885375494071154</v>
      </c>
      <c r="AT16" s="21">
        <f>AQ16*(AR16^2)</f>
        <v>0.43199491477760943</v>
      </c>
      <c r="AU16" s="21">
        <f>SQRT(AQ16*AR16^2)</f>
        <v>0.65726320053507437</v>
      </c>
      <c r="AV16" s="20">
        <f>1/AT16</f>
        <v>2.3148420636266032</v>
      </c>
      <c r="AW16" s="20">
        <f>AS16/AT16</f>
        <v>-2.1501497428942757</v>
      </c>
      <c r="AX16" s="20">
        <f>((AS16)^2)/AT16</f>
        <v>1.9971746623721536</v>
      </c>
      <c r="AY16" s="14"/>
      <c r="AZ16" s="14"/>
      <c r="BA16" s="1" t="s">
        <v>270</v>
      </c>
      <c r="BB16" s="2"/>
    </row>
    <row r="17" spans="1:63" ht="14.25" customHeight="1">
      <c r="A17" s="2">
        <v>238</v>
      </c>
      <c r="B17" s="2" t="s">
        <v>37</v>
      </c>
      <c r="C17" s="1" t="s">
        <v>85</v>
      </c>
      <c r="D17" s="1">
        <v>2021</v>
      </c>
      <c r="E17" s="1">
        <v>2017</v>
      </c>
      <c r="F17" s="1" t="s">
        <v>143</v>
      </c>
      <c r="G17" s="16" t="s">
        <v>159</v>
      </c>
      <c r="H17" s="1">
        <v>48.602961000000001</v>
      </c>
      <c r="I17" s="1">
        <v>-119.23058899999999</v>
      </c>
      <c r="J17" s="1" t="s">
        <v>128</v>
      </c>
      <c r="K17" s="1" t="s">
        <v>176</v>
      </c>
      <c r="L17" s="1" t="s">
        <v>192</v>
      </c>
      <c r="M17" s="1" t="s">
        <v>236</v>
      </c>
      <c r="N17" s="1" t="s">
        <v>238</v>
      </c>
      <c r="O17" s="1" t="s">
        <v>86</v>
      </c>
      <c r="P17" s="1" t="s">
        <v>129</v>
      </c>
      <c r="Q17" s="1" t="s">
        <v>93</v>
      </c>
      <c r="R17" s="1">
        <v>2016</v>
      </c>
      <c r="S17" s="1">
        <v>2</v>
      </c>
      <c r="T17" s="1">
        <f>S17*12</f>
        <v>24</v>
      </c>
      <c r="V17" s="1">
        <v>17000</v>
      </c>
      <c r="W17" s="1">
        <v>3</v>
      </c>
      <c r="X17" s="1">
        <v>3</v>
      </c>
      <c r="Y17" s="1" t="s">
        <v>97</v>
      </c>
      <c r="Z17" s="1" t="s">
        <v>364</v>
      </c>
      <c r="AA17" s="1" t="s">
        <v>1</v>
      </c>
      <c r="AB17" s="1" t="s">
        <v>98</v>
      </c>
      <c r="AC17" s="1" t="s">
        <v>202</v>
      </c>
      <c r="AD17" s="1" t="s">
        <v>99</v>
      </c>
      <c r="AE17" s="1" t="s">
        <v>111</v>
      </c>
      <c r="AF17" s="1" t="s">
        <v>222</v>
      </c>
      <c r="AG17" s="1" t="s">
        <v>365</v>
      </c>
      <c r="AH17" s="1">
        <v>202</v>
      </c>
      <c r="AI17" s="1">
        <v>1</v>
      </c>
      <c r="AK17" s="1">
        <v>233</v>
      </c>
      <c r="AL17" s="1">
        <v>1.1399999999999999</v>
      </c>
      <c r="AN17" s="12">
        <f>AH17-AK17</f>
        <v>-31</v>
      </c>
      <c r="AO17" s="1">
        <f>SQRT((((X17-1)*AI17^2)+((W17-1)*AL17^2))/(X17+W17-2))</f>
        <v>1.0722872749408154</v>
      </c>
      <c r="AP17" s="1">
        <f>AN17/AO17</f>
        <v>-28.910163091985808</v>
      </c>
      <c r="AQ17" s="1">
        <f>1/X17+1/W17+(AP17^2)/(2*(X17+W17))</f>
        <v>70.316460833768204</v>
      </c>
      <c r="AR17" s="1">
        <f>1-(3/(4*(X17+W17-2)-1))</f>
        <v>0.8</v>
      </c>
      <c r="AS17" s="21">
        <f>AP17*AR17</f>
        <v>-23.128130473588648</v>
      </c>
      <c r="AT17" s="21">
        <f>AQ17*(AR17^2)</f>
        <v>45.002534933611656</v>
      </c>
      <c r="AU17" s="21">
        <f>SQRT(AQ17*AR17^2)</f>
        <v>6.7083928726343727</v>
      </c>
      <c r="AV17" s="20">
        <f>1/AT17</f>
        <v>2.2220970473668059E-2</v>
      </c>
      <c r="AW17" s="20">
        <f>AS17/AT17</f>
        <v>-0.51392950436475582</v>
      </c>
      <c r="AX17" s="20">
        <f>((AS17)^2)/AT17</f>
        <v>11.88622863117482</v>
      </c>
      <c r="AY17" s="14"/>
      <c r="AZ17" s="14"/>
      <c r="BA17" s="1" t="s">
        <v>270</v>
      </c>
      <c r="BB17" s="2"/>
    </row>
    <row r="18" spans="1:63" ht="14.25" customHeight="1">
      <c r="A18" s="2">
        <v>58</v>
      </c>
      <c r="B18" s="2" t="s">
        <v>11</v>
      </c>
      <c r="C18" s="1" t="s">
        <v>89</v>
      </c>
      <c r="D18" s="1">
        <v>2013</v>
      </c>
      <c r="E18" s="1">
        <v>2004</v>
      </c>
      <c r="F18" s="1" t="s">
        <v>152</v>
      </c>
      <c r="G18" s="1" t="s">
        <v>159</v>
      </c>
      <c r="H18" s="1">
        <v>51</v>
      </c>
      <c r="I18" s="1">
        <v>-120</v>
      </c>
      <c r="J18" s="1" t="s">
        <v>135</v>
      </c>
      <c r="K18" s="1" t="s">
        <v>174</v>
      </c>
      <c r="L18" s="1" t="s">
        <v>175</v>
      </c>
      <c r="M18" s="1" t="s">
        <v>236</v>
      </c>
      <c r="N18" s="1" t="s">
        <v>238</v>
      </c>
      <c r="O18" s="1" t="s">
        <v>86</v>
      </c>
      <c r="P18" s="1" t="s">
        <v>146</v>
      </c>
      <c r="Q18" s="1" t="s">
        <v>93</v>
      </c>
      <c r="R18" s="1">
        <v>2003</v>
      </c>
      <c r="S18" s="7"/>
      <c r="T18" s="7"/>
      <c r="V18" s="1">
        <v>26420</v>
      </c>
      <c r="W18" s="1">
        <v>4</v>
      </c>
      <c r="X18" s="1">
        <v>4</v>
      </c>
      <c r="Y18" s="1" t="s">
        <v>134</v>
      </c>
      <c r="Z18" s="1" t="s">
        <v>2</v>
      </c>
      <c r="AA18" s="1" t="s">
        <v>0</v>
      </c>
      <c r="AB18" s="1" t="s">
        <v>98</v>
      </c>
      <c r="AC18" s="1" t="s">
        <v>158</v>
      </c>
      <c r="AD18" s="1" t="s">
        <v>2</v>
      </c>
      <c r="AE18" s="1" t="s">
        <v>100</v>
      </c>
      <c r="AF18" s="1" t="s">
        <v>348</v>
      </c>
      <c r="AG18" s="1" t="s">
        <v>325</v>
      </c>
      <c r="AH18" s="1">
        <v>0.47</v>
      </c>
      <c r="AI18" s="1">
        <f>AJ18*(SQRT(X18))</f>
        <v>0.52</v>
      </c>
      <c r="AJ18" s="1">
        <v>0.26</v>
      </c>
      <c r="AK18" s="1">
        <v>0.85</v>
      </c>
      <c r="AL18" s="1">
        <f>AM18*(SQRT(W18))</f>
        <v>0.42</v>
      </c>
      <c r="AM18" s="1">
        <v>0.21</v>
      </c>
      <c r="AN18" s="12">
        <f>AH18-AK18</f>
        <v>-0.38</v>
      </c>
      <c r="AO18" s="1">
        <f>SQRT((((X18-1)*AI18^2)+((W18-1)*AL18^2))/(X18+W18-2))</f>
        <v>0.47265209192385893</v>
      </c>
      <c r="AP18" s="1">
        <f>AN18/AO18</f>
        <v>-0.80397401491077169</v>
      </c>
      <c r="AQ18" s="1">
        <f>1/X18+1/W18+(AP18^2)/(2*(X18+W18))</f>
        <v>0.54039838854073408</v>
      </c>
      <c r="AR18" s="1">
        <f>1-(3/(4*(X18+W18-2)-1))</f>
        <v>0.86956521739130432</v>
      </c>
      <c r="AS18" s="21">
        <f>AP18*AR18</f>
        <v>-0.6991078390528449</v>
      </c>
      <c r="AT18" s="21">
        <f>AQ18*(AR18^2)</f>
        <v>0.40861881931246435</v>
      </c>
      <c r="AU18" s="21">
        <f>SQRT(AQ18*AR18^2)</f>
        <v>0.63923299297866687</v>
      </c>
      <c r="AV18" s="20">
        <f>1/AT18</f>
        <v>2.4472685856284944</v>
      </c>
      <c r="AW18" s="20">
        <f>AS18/AT18</f>
        <v>-1.7109046524806488</v>
      </c>
      <c r="AX18" s="20">
        <f>((AS18)^2)/AT18</f>
        <v>1.196106854421205</v>
      </c>
      <c r="AY18" s="14"/>
      <c r="AZ18" s="14"/>
      <c r="BA18" s="1" t="s">
        <v>270</v>
      </c>
      <c r="BB18" s="2"/>
    </row>
    <row r="19" spans="1:63" ht="14.25" customHeight="1">
      <c r="A19" s="2">
        <v>58</v>
      </c>
      <c r="B19" s="2" t="s">
        <v>11</v>
      </c>
      <c r="C19" s="1" t="s">
        <v>89</v>
      </c>
      <c r="D19" s="1">
        <v>2013</v>
      </c>
      <c r="E19" s="1">
        <v>2004</v>
      </c>
      <c r="F19" s="1" t="s">
        <v>152</v>
      </c>
      <c r="G19" s="1" t="s">
        <v>159</v>
      </c>
      <c r="H19" s="1">
        <v>51</v>
      </c>
      <c r="I19" s="1">
        <v>-120</v>
      </c>
      <c r="J19" s="1" t="s">
        <v>135</v>
      </c>
      <c r="K19" s="1" t="s">
        <v>174</v>
      </c>
      <c r="L19" s="1" t="s">
        <v>175</v>
      </c>
      <c r="M19" s="1" t="s">
        <v>236</v>
      </c>
      <c r="N19" s="1" t="s">
        <v>238</v>
      </c>
      <c r="O19" s="1" t="s">
        <v>86</v>
      </c>
      <c r="P19" s="1" t="s">
        <v>146</v>
      </c>
      <c r="Q19" s="1" t="s">
        <v>93</v>
      </c>
      <c r="R19" s="1">
        <v>2003</v>
      </c>
      <c r="S19" s="7"/>
      <c r="T19" s="7"/>
      <c r="V19" s="1">
        <v>26420</v>
      </c>
      <c r="W19" s="1">
        <v>4</v>
      </c>
      <c r="X19" s="1">
        <v>4</v>
      </c>
      <c r="Y19" s="1" t="s">
        <v>134</v>
      </c>
      <c r="Z19" s="1" t="s">
        <v>2</v>
      </c>
      <c r="AA19" s="1" t="s">
        <v>0</v>
      </c>
      <c r="AB19" s="1" t="s">
        <v>98</v>
      </c>
      <c r="AC19" s="1" t="s">
        <v>158</v>
      </c>
      <c r="AD19" s="1" t="s">
        <v>2</v>
      </c>
      <c r="AE19" s="1" t="s">
        <v>100</v>
      </c>
      <c r="AF19" s="1" t="s">
        <v>149</v>
      </c>
      <c r="AG19" s="1" t="s">
        <v>325</v>
      </c>
      <c r="AH19" s="1">
        <v>0.36</v>
      </c>
      <c r="AI19" s="1">
        <f>AJ19*(SQRT(X19))</f>
        <v>0.54</v>
      </c>
      <c r="AJ19" s="1">
        <v>0.27</v>
      </c>
      <c r="AK19" s="1">
        <v>0.79</v>
      </c>
      <c r="AL19" s="1">
        <f>AM19*(SQRT(W19))</f>
        <v>0.44</v>
      </c>
      <c r="AM19" s="1">
        <v>0.22</v>
      </c>
      <c r="AN19" s="12">
        <f>AH19-AK19</f>
        <v>-0.43000000000000005</v>
      </c>
      <c r="AO19" s="1">
        <f>SQRT((((X19-1)*AI19^2)+((W19-1)*AL19^2))/(X19+W19-2))</f>
        <v>0.49254441424099005</v>
      </c>
      <c r="AP19" s="1">
        <f>AN19/AO19</f>
        <v>-0.8730177169151927</v>
      </c>
      <c r="AQ19" s="1">
        <f>1/X19+1/W19+(AP19^2)/(2*(X19+W19))</f>
        <v>0.54763499587798847</v>
      </c>
      <c r="AR19" s="1">
        <f>1-(3/(4*(X19+W19-2)-1))</f>
        <v>0.86956521739130432</v>
      </c>
      <c r="AS19" s="21">
        <f>AP19*AR19</f>
        <v>-0.7591458407958197</v>
      </c>
      <c r="AT19" s="21">
        <f>AQ19*(AR19^2)</f>
        <v>0.41409073412324271</v>
      </c>
      <c r="AU19" s="21">
        <f>SQRT(AQ19*AR19^2)</f>
        <v>0.64349882216150378</v>
      </c>
      <c r="AV19" s="20">
        <f>1/AT19</f>
        <v>2.4149296702262784</v>
      </c>
      <c r="AW19" s="20">
        <f>AS19/AT19</f>
        <v>-1.8332838149666997</v>
      </c>
      <c r="AX19" s="20">
        <f>((AS19)^2)/AT19</f>
        <v>1.3917297831302631</v>
      </c>
      <c r="AY19" s="14"/>
      <c r="AZ19" s="14"/>
      <c r="BA19" s="1" t="s">
        <v>270</v>
      </c>
      <c r="BB19" s="2"/>
    </row>
    <row r="20" spans="1:63" ht="14.25" customHeight="1">
      <c r="A20" s="17">
        <v>331</v>
      </c>
      <c r="B20" s="17" t="s">
        <v>47</v>
      </c>
      <c r="C20" s="12" t="s">
        <v>85</v>
      </c>
      <c r="D20" s="16">
        <v>2006</v>
      </c>
      <c r="E20" s="16">
        <v>2003</v>
      </c>
      <c r="F20" s="16" t="s">
        <v>96</v>
      </c>
      <c r="G20" s="16" t="s">
        <v>109</v>
      </c>
      <c r="H20" s="16">
        <v>-26.25</v>
      </c>
      <c r="I20" s="16">
        <v>152.88333299999999</v>
      </c>
      <c r="J20" s="16" t="s">
        <v>128</v>
      </c>
      <c r="K20" s="16" t="s">
        <v>112</v>
      </c>
      <c r="L20" s="16" t="s">
        <v>188</v>
      </c>
      <c r="M20" s="16" t="s">
        <v>237</v>
      </c>
      <c r="N20" s="12" t="s">
        <v>238</v>
      </c>
      <c r="O20" s="16" t="s">
        <v>121</v>
      </c>
      <c r="P20" s="16"/>
      <c r="Q20" s="16" t="s">
        <v>93</v>
      </c>
      <c r="R20" s="16">
        <v>2003</v>
      </c>
      <c r="S20" s="16" t="s">
        <v>162</v>
      </c>
      <c r="T20" s="16">
        <v>3</v>
      </c>
      <c r="U20" s="12" t="s">
        <v>251</v>
      </c>
      <c r="V20" s="16"/>
      <c r="W20" s="12">
        <v>6</v>
      </c>
      <c r="X20" s="16">
        <v>6</v>
      </c>
      <c r="Y20" s="12" t="s">
        <v>97</v>
      </c>
      <c r="Z20" s="16" t="s">
        <v>133</v>
      </c>
      <c r="AA20" s="16" t="s">
        <v>1</v>
      </c>
      <c r="AB20" s="16" t="s">
        <v>98</v>
      </c>
      <c r="AC20" s="16" t="s">
        <v>224</v>
      </c>
      <c r="AD20" s="16" t="s">
        <v>2</v>
      </c>
      <c r="AE20" s="16" t="s">
        <v>100</v>
      </c>
      <c r="AF20" s="16" t="s">
        <v>252</v>
      </c>
      <c r="AG20" s="16" t="s">
        <v>320</v>
      </c>
      <c r="AH20" s="14"/>
      <c r="AI20" s="14"/>
      <c r="AJ20" s="14"/>
      <c r="AK20" s="15"/>
      <c r="AL20" s="15"/>
      <c r="AM20" s="15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" t="s">
        <v>285</v>
      </c>
    </row>
    <row r="21" spans="1:63" ht="14.25" customHeight="1">
      <c r="A21" s="17">
        <v>331</v>
      </c>
      <c r="B21" s="17" t="s">
        <v>47</v>
      </c>
      <c r="C21" s="12" t="s">
        <v>85</v>
      </c>
      <c r="D21" s="16">
        <v>2006</v>
      </c>
      <c r="E21" s="16">
        <v>2003</v>
      </c>
      <c r="F21" s="16" t="s">
        <v>96</v>
      </c>
      <c r="G21" s="16" t="s">
        <v>109</v>
      </c>
      <c r="H21" s="16">
        <v>-26.25</v>
      </c>
      <c r="I21" s="16">
        <v>152.88333299999999</v>
      </c>
      <c r="J21" s="16" t="s">
        <v>128</v>
      </c>
      <c r="K21" s="16" t="s">
        <v>112</v>
      </c>
      <c r="L21" s="16" t="s">
        <v>188</v>
      </c>
      <c r="M21" s="16" t="s">
        <v>237</v>
      </c>
      <c r="N21" s="12" t="s">
        <v>238</v>
      </c>
      <c r="O21" s="16" t="s">
        <v>121</v>
      </c>
      <c r="P21" s="16"/>
      <c r="Q21" s="16" t="s">
        <v>93</v>
      </c>
      <c r="R21" s="16">
        <v>2003</v>
      </c>
      <c r="S21" s="16" t="s">
        <v>162</v>
      </c>
      <c r="T21" s="16">
        <v>3</v>
      </c>
      <c r="U21" s="12" t="s">
        <v>251</v>
      </c>
      <c r="V21" s="16"/>
      <c r="W21" s="12">
        <v>6</v>
      </c>
      <c r="X21" s="16">
        <v>6</v>
      </c>
      <c r="Y21" s="12" t="s">
        <v>97</v>
      </c>
      <c r="Z21" s="16" t="s">
        <v>220</v>
      </c>
      <c r="AA21" s="16" t="s">
        <v>1</v>
      </c>
      <c r="AB21" s="16" t="s">
        <v>98</v>
      </c>
      <c r="AC21" s="16" t="s">
        <v>224</v>
      </c>
      <c r="AD21" s="16" t="s">
        <v>2</v>
      </c>
      <c r="AE21" s="16" t="s">
        <v>100</v>
      </c>
      <c r="AF21" s="16" t="s">
        <v>252</v>
      </c>
      <c r="AG21" s="16" t="s">
        <v>321</v>
      </c>
      <c r="AH21" s="14"/>
      <c r="AI21" s="14"/>
      <c r="AJ21" s="14"/>
      <c r="AK21" s="15"/>
      <c r="AL21" s="15"/>
      <c r="AM21" s="15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" t="s">
        <v>285</v>
      </c>
    </row>
    <row r="22" spans="1:63" ht="14.25" customHeight="1">
      <c r="A22" s="17">
        <v>331</v>
      </c>
      <c r="B22" s="17" t="s">
        <v>47</v>
      </c>
      <c r="C22" s="12" t="s">
        <v>85</v>
      </c>
      <c r="D22" s="16">
        <v>2006</v>
      </c>
      <c r="E22" s="16">
        <v>2003</v>
      </c>
      <c r="F22" s="16" t="s">
        <v>96</v>
      </c>
      <c r="G22" s="16" t="s">
        <v>109</v>
      </c>
      <c r="H22" s="16">
        <v>-26.25</v>
      </c>
      <c r="I22" s="16">
        <v>152.88333299999999</v>
      </c>
      <c r="J22" s="16" t="s">
        <v>128</v>
      </c>
      <c r="K22" s="16" t="s">
        <v>112</v>
      </c>
      <c r="L22" s="16" t="s">
        <v>188</v>
      </c>
      <c r="M22" s="16" t="s">
        <v>237</v>
      </c>
      <c r="N22" s="12" t="s">
        <v>238</v>
      </c>
      <c r="O22" s="16" t="s">
        <v>121</v>
      </c>
      <c r="P22" s="16"/>
      <c r="Q22" s="16" t="s">
        <v>93</v>
      </c>
      <c r="R22" s="16">
        <v>2003</v>
      </c>
      <c r="S22" s="16">
        <v>2</v>
      </c>
      <c r="T22" s="16">
        <f>S22*12</f>
        <v>24</v>
      </c>
      <c r="U22" s="12" t="s">
        <v>251</v>
      </c>
      <c r="V22" s="16"/>
      <c r="W22" s="12">
        <v>6</v>
      </c>
      <c r="X22" s="16">
        <v>6</v>
      </c>
      <c r="Y22" s="12" t="s">
        <v>97</v>
      </c>
      <c r="Z22" s="16" t="s">
        <v>133</v>
      </c>
      <c r="AA22" s="16" t="s">
        <v>1</v>
      </c>
      <c r="AB22" s="16" t="s">
        <v>98</v>
      </c>
      <c r="AC22" s="16" t="s">
        <v>224</v>
      </c>
      <c r="AD22" s="16" t="s">
        <v>2</v>
      </c>
      <c r="AE22" s="16" t="s">
        <v>100</v>
      </c>
      <c r="AF22" s="16" t="s">
        <v>252</v>
      </c>
      <c r="AG22" s="16" t="s">
        <v>320</v>
      </c>
      <c r="AH22" s="14"/>
      <c r="AI22" s="14"/>
      <c r="AJ22" s="14"/>
      <c r="AK22" s="15"/>
      <c r="AL22" s="15"/>
      <c r="AM22" s="15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" t="s">
        <v>285</v>
      </c>
    </row>
    <row r="23" spans="1:63" ht="14.25" customHeight="1">
      <c r="A23" s="17">
        <v>331</v>
      </c>
      <c r="B23" s="17" t="s">
        <v>47</v>
      </c>
      <c r="C23" s="12" t="s">
        <v>85</v>
      </c>
      <c r="D23" s="16">
        <v>2006</v>
      </c>
      <c r="E23" s="16">
        <v>2003</v>
      </c>
      <c r="F23" s="16" t="s">
        <v>96</v>
      </c>
      <c r="G23" s="16" t="s">
        <v>109</v>
      </c>
      <c r="H23" s="16">
        <v>-26.25</v>
      </c>
      <c r="I23" s="16">
        <v>152.88333299999999</v>
      </c>
      <c r="J23" s="16" t="s">
        <v>128</v>
      </c>
      <c r="K23" s="16" t="s">
        <v>112</v>
      </c>
      <c r="L23" s="16" t="s">
        <v>188</v>
      </c>
      <c r="M23" s="16" t="s">
        <v>237</v>
      </c>
      <c r="N23" s="12" t="s">
        <v>238</v>
      </c>
      <c r="O23" s="16" t="s">
        <v>121</v>
      </c>
      <c r="P23" s="16"/>
      <c r="Q23" s="16" t="s">
        <v>93</v>
      </c>
      <c r="R23" s="16">
        <v>2003</v>
      </c>
      <c r="S23" s="16">
        <v>2</v>
      </c>
      <c r="T23" s="16">
        <f>S23*12</f>
        <v>24</v>
      </c>
      <c r="U23" s="12" t="s">
        <v>251</v>
      </c>
      <c r="V23" s="16"/>
      <c r="W23" s="12">
        <v>6</v>
      </c>
      <c r="X23" s="16">
        <v>6</v>
      </c>
      <c r="Y23" s="12" t="s">
        <v>97</v>
      </c>
      <c r="Z23" s="16" t="s">
        <v>220</v>
      </c>
      <c r="AA23" s="16" t="s">
        <v>1</v>
      </c>
      <c r="AB23" s="16" t="s">
        <v>98</v>
      </c>
      <c r="AC23" s="16" t="s">
        <v>224</v>
      </c>
      <c r="AD23" s="16" t="s">
        <v>2</v>
      </c>
      <c r="AE23" s="16" t="s">
        <v>100</v>
      </c>
      <c r="AF23" s="16" t="s">
        <v>252</v>
      </c>
      <c r="AG23" s="16" t="s">
        <v>321</v>
      </c>
      <c r="AH23" s="14"/>
      <c r="AI23" s="14"/>
      <c r="AJ23" s="14"/>
      <c r="AK23" s="15"/>
      <c r="AL23" s="15"/>
      <c r="AM23" s="15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" t="s">
        <v>285</v>
      </c>
    </row>
    <row r="24" spans="1:63" ht="14.25" customHeight="1">
      <c r="A24" s="17">
        <v>183</v>
      </c>
      <c r="B24" s="17" t="s">
        <v>26</v>
      </c>
      <c r="C24" s="16" t="s">
        <v>89</v>
      </c>
      <c r="D24" s="16">
        <v>2006</v>
      </c>
      <c r="E24" s="16">
        <v>2003</v>
      </c>
      <c r="F24" s="16" t="s">
        <v>96</v>
      </c>
      <c r="G24" s="16" t="s">
        <v>109</v>
      </c>
      <c r="H24" s="16">
        <v>-26.25</v>
      </c>
      <c r="I24" s="16">
        <v>152.88333299999999</v>
      </c>
      <c r="J24" s="16" t="s">
        <v>135</v>
      </c>
      <c r="K24" s="16" t="s">
        <v>112</v>
      </c>
      <c r="L24" s="16" t="s">
        <v>188</v>
      </c>
      <c r="M24" s="16" t="s">
        <v>237</v>
      </c>
      <c r="N24" s="12" t="s">
        <v>238</v>
      </c>
      <c r="O24" s="16" t="s">
        <v>121</v>
      </c>
      <c r="P24" s="16"/>
      <c r="Q24" s="16" t="s">
        <v>93</v>
      </c>
      <c r="R24" s="16">
        <v>2003</v>
      </c>
      <c r="S24" s="16" t="s">
        <v>162</v>
      </c>
      <c r="T24" s="16">
        <v>3</v>
      </c>
      <c r="U24" s="12" t="s">
        <v>251</v>
      </c>
      <c r="V24" s="16"/>
      <c r="W24" s="16">
        <v>4</v>
      </c>
      <c r="X24" s="16">
        <v>4</v>
      </c>
      <c r="Y24" s="16" t="s">
        <v>223</v>
      </c>
      <c r="Z24" s="16" t="s">
        <v>133</v>
      </c>
      <c r="AA24" s="16" t="s">
        <v>0</v>
      </c>
      <c r="AB24" s="16" t="s">
        <v>98</v>
      </c>
      <c r="AC24" s="16" t="s">
        <v>224</v>
      </c>
      <c r="AD24" s="16" t="s">
        <v>2</v>
      </c>
      <c r="AE24" s="16" t="s">
        <v>100</v>
      </c>
      <c r="AF24" s="16" t="s">
        <v>252</v>
      </c>
      <c r="AG24" s="16" t="s">
        <v>322</v>
      </c>
      <c r="AH24" s="14"/>
      <c r="AI24" s="14"/>
      <c r="AJ24" s="14"/>
      <c r="AK24" s="15"/>
      <c r="AL24" s="15"/>
      <c r="AM24" s="15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" t="s">
        <v>285</v>
      </c>
    </row>
    <row r="25" spans="1:63" ht="14.25" customHeight="1">
      <c r="A25" s="17">
        <v>183</v>
      </c>
      <c r="B25" s="17" t="s">
        <v>26</v>
      </c>
      <c r="C25" s="16" t="s">
        <v>89</v>
      </c>
      <c r="D25" s="16">
        <v>2006</v>
      </c>
      <c r="E25" s="16">
        <v>2003</v>
      </c>
      <c r="F25" s="16" t="s">
        <v>96</v>
      </c>
      <c r="G25" s="16" t="s">
        <v>109</v>
      </c>
      <c r="H25" s="16">
        <v>-26.25</v>
      </c>
      <c r="I25" s="16">
        <v>152.88333299999999</v>
      </c>
      <c r="J25" s="16" t="s">
        <v>135</v>
      </c>
      <c r="K25" s="16" t="s">
        <v>112</v>
      </c>
      <c r="L25" s="16" t="s">
        <v>188</v>
      </c>
      <c r="M25" s="16" t="s">
        <v>237</v>
      </c>
      <c r="N25" s="12" t="s">
        <v>238</v>
      </c>
      <c r="O25" s="16" t="s">
        <v>121</v>
      </c>
      <c r="P25" s="16"/>
      <c r="Q25" s="16" t="s">
        <v>93</v>
      </c>
      <c r="R25" s="16">
        <v>2003</v>
      </c>
      <c r="S25" s="16" t="s">
        <v>162</v>
      </c>
      <c r="T25" s="16">
        <v>3</v>
      </c>
      <c r="U25" s="12" t="s">
        <v>251</v>
      </c>
      <c r="V25" s="16"/>
      <c r="W25" s="12">
        <v>4</v>
      </c>
      <c r="X25" s="12">
        <v>4</v>
      </c>
      <c r="Y25" s="16" t="s">
        <v>223</v>
      </c>
      <c r="Z25" s="16" t="s">
        <v>220</v>
      </c>
      <c r="AA25" s="16" t="s">
        <v>0</v>
      </c>
      <c r="AB25" s="16" t="s">
        <v>98</v>
      </c>
      <c r="AC25" s="16" t="s">
        <v>224</v>
      </c>
      <c r="AD25" s="16" t="s">
        <v>2</v>
      </c>
      <c r="AE25" s="16" t="s">
        <v>100</v>
      </c>
      <c r="AF25" s="16" t="s">
        <v>252</v>
      </c>
      <c r="AG25" s="16" t="s">
        <v>323</v>
      </c>
      <c r="AH25" s="14"/>
      <c r="AI25" s="14"/>
      <c r="AJ25" s="14"/>
      <c r="AK25" s="15"/>
      <c r="AL25" s="15"/>
      <c r="AM25" s="15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" t="s">
        <v>285</v>
      </c>
    </row>
    <row r="26" spans="1:63" ht="14.25" customHeight="1">
      <c r="A26" s="17">
        <v>183</v>
      </c>
      <c r="B26" s="17" t="s">
        <v>26</v>
      </c>
      <c r="C26" s="16" t="s">
        <v>89</v>
      </c>
      <c r="D26" s="16">
        <v>2006</v>
      </c>
      <c r="E26" s="16">
        <v>2003</v>
      </c>
      <c r="F26" s="16" t="s">
        <v>96</v>
      </c>
      <c r="G26" s="16" t="s">
        <v>109</v>
      </c>
      <c r="H26" s="16">
        <v>-26.25</v>
      </c>
      <c r="I26" s="16">
        <v>152.88333299999999</v>
      </c>
      <c r="J26" s="16" t="s">
        <v>135</v>
      </c>
      <c r="K26" s="16" t="s">
        <v>112</v>
      </c>
      <c r="L26" s="16" t="s">
        <v>188</v>
      </c>
      <c r="M26" s="16" t="s">
        <v>237</v>
      </c>
      <c r="N26" s="12" t="s">
        <v>238</v>
      </c>
      <c r="O26" s="16" t="s">
        <v>121</v>
      </c>
      <c r="P26" s="16"/>
      <c r="Q26" s="16" t="s">
        <v>93</v>
      </c>
      <c r="R26" s="16">
        <v>2003</v>
      </c>
      <c r="S26" s="16">
        <v>2</v>
      </c>
      <c r="T26" s="16">
        <f>S26*12</f>
        <v>24</v>
      </c>
      <c r="U26" s="12" t="s">
        <v>251</v>
      </c>
      <c r="V26" s="16"/>
      <c r="W26" s="16">
        <v>4</v>
      </c>
      <c r="X26" s="16">
        <v>2</v>
      </c>
      <c r="Y26" s="16" t="s">
        <v>223</v>
      </c>
      <c r="Z26" s="16" t="s">
        <v>133</v>
      </c>
      <c r="AA26" s="16" t="s">
        <v>0</v>
      </c>
      <c r="AB26" s="16" t="s">
        <v>98</v>
      </c>
      <c r="AC26" s="16" t="s">
        <v>224</v>
      </c>
      <c r="AD26" s="16" t="s">
        <v>2</v>
      </c>
      <c r="AE26" s="16" t="s">
        <v>100</v>
      </c>
      <c r="AF26" s="16" t="s">
        <v>252</v>
      </c>
      <c r="AG26" s="16" t="s">
        <v>322</v>
      </c>
      <c r="AH26" s="14"/>
      <c r="AI26" s="14"/>
      <c r="AJ26" s="14"/>
      <c r="AK26" s="15"/>
      <c r="AL26" s="15"/>
      <c r="AM26" s="15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" t="s">
        <v>285</v>
      </c>
    </row>
    <row r="27" spans="1:63" ht="14.25" customHeight="1">
      <c r="A27" s="17">
        <v>183</v>
      </c>
      <c r="B27" s="17" t="s">
        <v>26</v>
      </c>
      <c r="C27" s="16" t="s">
        <v>89</v>
      </c>
      <c r="D27" s="16">
        <v>2006</v>
      </c>
      <c r="E27" s="16">
        <v>2003</v>
      </c>
      <c r="F27" s="16" t="s">
        <v>96</v>
      </c>
      <c r="G27" s="16" t="s">
        <v>109</v>
      </c>
      <c r="H27" s="16">
        <v>-26.25</v>
      </c>
      <c r="I27" s="16">
        <v>152.88333299999999</v>
      </c>
      <c r="J27" s="16" t="s">
        <v>135</v>
      </c>
      <c r="K27" s="16" t="s">
        <v>112</v>
      </c>
      <c r="L27" s="16" t="s">
        <v>188</v>
      </c>
      <c r="M27" s="16" t="s">
        <v>237</v>
      </c>
      <c r="N27" s="12" t="s">
        <v>238</v>
      </c>
      <c r="O27" s="16" t="s">
        <v>121</v>
      </c>
      <c r="P27" s="16"/>
      <c r="Q27" s="16" t="s">
        <v>93</v>
      </c>
      <c r="R27" s="16">
        <v>2003</v>
      </c>
      <c r="S27" s="16">
        <v>2</v>
      </c>
      <c r="T27" s="16">
        <f>S27*12</f>
        <v>24</v>
      </c>
      <c r="U27" s="12" t="s">
        <v>251</v>
      </c>
      <c r="V27" s="16"/>
      <c r="W27" s="16">
        <v>4</v>
      </c>
      <c r="X27" s="16">
        <v>2</v>
      </c>
      <c r="Y27" s="16" t="s">
        <v>223</v>
      </c>
      <c r="Z27" s="16" t="s">
        <v>220</v>
      </c>
      <c r="AA27" s="16" t="s">
        <v>0</v>
      </c>
      <c r="AB27" s="16" t="s">
        <v>98</v>
      </c>
      <c r="AC27" s="16" t="s">
        <v>224</v>
      </c>
      <c r="AD27" s="16" t="s">
        <v>2</v>
      </c>
      <c r="AE27" s="16" t="s">
        <v>100</v>
      </c>
      <c r="AF27" s="16" t="s">
        <v>252</v>
      </c>
      <c r="AG27" s="16" t="s">
        <v>323</v>
      </c>
      <c r="AH27" s="14"/>
      <c r="AI27" s="14"/>
      <c r="AJ27" s="14"/>
      <c r="AK27" s="15"/>
      <c r="AL27" s="15"/>
      <c r="AM27" s="15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" t="s">
        <v>285</v>
      </c>
    </row>
    <row r="28" spans="1:63" ht="14.25" customHeight="1">
      <c r="A28" s="2">
        <v>238</v>
      </c>
      <c r="B28" s="2" t="s">
        <v>37</v>
      </c>
      <c r="C28" s="1" t="s">
        <v>85</v>
      </c>
      <c r="D28" s="1">
        <v>2021</v>
      </c>
      <c r="E28" s="1">
        <v>2017</v>
      </c>
      <c r="F28" s="1" t="s">
        <v>143</v>
      </c>
      <c r="G28" s="16" t="s">
        <v>159</v>
      </c>
      <c r="H28" s="1">
        <v>48.602961000000001</v>
      </c>
      <c r="I28" s="1">
        <v>-119.23058899999999</v>
      </c>
      <c r="J28" s="1" t="s">
        <v>128</v>
      </c>
      <c r="K28" s="1" t="s">
        <v>176</v>
      </c>
      <c r="L28" s="1" t="s">
        <v>192</v>
      </c>
      <c r="M28" s="1" t="s">
        <v>236</v>
      </c>
      <c r="N28" s="1" t="s">
        <v>238</v>
      </c>
      <c r="O28" s="1" t="s">
        <v>86</v>
      </c>
      <c r="P28" s="1" t="s">
        <v>129</v>
      </c>
      <c r="Q28" s="1" t="s">
        <v>93</v>
      </c>
      <c r="R28" s="1">
        <v>2012</v>
      </c>
      <c r="S28" s="1">
        <v>5</v>
      </c>
      <c r="T28" s="1">
        <f>S28*12</f>
        <v>60</v>
      </c>
      <c r="V28" s="1">
        <v>17000</v>
      </c>
      <c r="W28" s="1">
        <v>3</v>
      </c>
      <c r="X28" s="1">
        <v>3</v>
      </c>
      <c r="Y28" s="1" t="s">
        <v>97</v>
      </c>
      <c r="Z28" s="1" t="s">
        <v>364</v>
      </c>
      <c r="AA28" s="1" t="s">
        <v>1</v>
      </c>
      <c r="AB28" s="1" t="s">
        <v>98</v>
      </c>
      <c r="AC28" s="1" t="s">
        <v>202</v>
      </c>
      <c r="AD28" s="1" t="s">
        <v>99</v>
      </c>
      <c r="AE28" s="1" t="s">
        <v>111</v>
      </c>
      <c r="AF28" s="1" t="s">
        <v>222</v>
      </c>
      <c r="AG28" s="1" t="s">
        <v>365</v>
      </c>
      <c r="AH28" s="10">
        <v>200</v>
      </c>
      <c r="AI28" s="10">
        <v>1.39</v>
      </c>
      <c r="AJ28" s="10"/>
      <c r="AK28" s="1">
        <v>233</v>
      </c>
      <c r="AL28" s="1">
        <v>1.1399999999999999</v>
      </c>
      <c r="AN28" s="12">
        <f>AH28-AK28</f>
        <v>-33</v>
      </c>
      <c r="AO28" s="1">
        <f>SQRT((((X28-1)*AI28^2)+((W28-1)*AL28^2))/(X28+W28-2))</f>
        <v>1.2711608867488016</v>
      </c>
      <c r="AP28" s="1">
        <f>AN28/AO28</f>
        <v>-25.960521869425047</v>
      </c>
      <c r="AQ28" s="1">
        <f>1/X28+1/W28+(AP28^2)/(2*(X28+W28))</f>
        <v>56.829057977741343</v>
      </c>
      <c r="AR28" s="1">
        <f>1-(3/(4*(X28+W28-2)-1))</f>
        <v>0.8</v>
      </c>
      <c r="AS28" s="21">
        <f>AP28*AR28</f>
        <v>-20.768417495540039</v>
      </c>
      <c r="AT28" s="21">
        <f>AQ28*(AR28^2)</f>
        <v>36.370597105754463</v>
      </c>
      <c r="AU28" s="21">
        <f>SQRT(AQ28*AR28^2)</f>
        <v>6.0308040181848446</v>
      </c>
      <c r="AV28" s="20">
        <f>1/AT28</f>
        <v>2.749473694622909E-2</v>
      </c>
      <c r="AW28" s="20">
        <f>AS28/AT28</f>
        <v>-0.57102217582933534</v>
      </c>
      <c r="AX28" s="20">
        <f>((AS28)^2)/AT28</f>
        <v>11.859226946835308</v>
      </c>
      <c r="AY28" s="14"/>
      <c r="AZ28" s="14"/>
      <c r="BA28" s="1" t="s">
        <v>270</v>
      </c>
      <c r="BB28" s="2"/>
    </row>
    <row r="29" spans="1:63" ht="14.25" customHeight="1">
      <c r="A29" s="2">
        <v>41</v>
      </c>
      <c r="B29" s="2" t="s">
        <v>8</v>
      </c>
      <c r="C29" s="1" t="s">
        <v>85</v>
      </c>
      <c r="D29" s="1">
        <v>2022</v>
      </c>
      <c r="E29" s="1">
        <v>2019</v>
      </c>
      <c r="F29" s="1" t="s">
        <v>143</v>
      </c>
      <c r="G29" s="1" t="s">
        <v>142</v>
      </c>
      <c r="H29" s="1">
        <v>35.584622000000003</v>
      </c>
      <c r="I29" s="1">
        <v>-83.530636999999999</v>
      </c>
      <c r="J29" s="1" t="s">
        <v>128</v>
      </c>
      <c r="K29" s="1" t="s">
        <v>178</v>
      </c>
      <c r="L29" s="1" t="s">
        <v>225</v>
      </c>
      <c r="M29" s="1" t="s">
        <v>237</v>
      </c>
      <c r="N29" s="1" t="s">
        <v>238</v>
      </c>
      <c r="O29" s="1" t="s">
        <v>86</v>
      </c>
      <c r="P29" s="1" t="s">
        <v>129</v>
      </c>
      <c r="Q29" s="1" t="s">
        <v>93</v>
      </c>
      <c r="R29" s="1">
        <v>2016</v>
      </c>
      <c r="S29" s="1">
        <v>2.5</v>
      </c>
      <c r="T29" s="12">
        <f>S29*12</f>
        <v>30</v>
      </c>
      <c r="V29" s="1">
        <v>7200</v>
      </c>
      <c r="W29" s="1">
        <v>30</v>
      </c>
      <c r="X29" s="1">
        <v>40</v>
      </c>
      <c r="Y29" s="1" t="s">
        <v>97</v>
      </c>
      <c r="Z29" s="1" t="s">
        <v>154</v>
      </c>
      <c r="AA29" s="1" t="s">
        <v>1</v>
      </c>
      <c r="AB29" s="1" t="s">
        <v>98</v>
      </c>
      <c r="AC29" s="1" t="s">
        <v>202</v>
      </c>
      <c r="AD29" s="1" t="s">
        <v>99</v>
      </c>
      <c r="AE29" s="1" t="s">
        <v>102</v>
      </c>
      <c r="AF29" s="1" t="s">
        <v>149</v>
      </c>
      <c r="AG29" s="1" t="s">
        <v>335</v>
      </c>
      <c r="AH29" s="12">
        <v>28.38</v>
      </c>
      <c r="AI29" s="12">
        <f>41.89-14.86</f>
        <v>27.03</v>
      </c>
      <c r="AJ29" s="12"/>
      <c r="AK29" s="12">
        <v>128.38</v>
      </c>
      <c r="AL29" s="12">
        <f>159.46-97.3</f>
        <v>62.160000000000011</v>
      </c>
      <c r="AM29" s="12"/>
      <c r="AN29" s="12">
        <f>AH29-AK29</f>
        <v>-100</v>
      </c>
      <c r="AO29" s="1">
        <f>SQRT((((X29-1)*AI29^2)+((W29-1)*AL29^2))/(X29+W29-2))</f>
        <v>45.462705708020927</v>
      </c>
      <c r="AP29" s="1">
        <f>AN29/AO29</f>
        <v>-2.1996051146238118</v>
      </c>
      <c r="AQ29" s="1">
        <f>1/X29+1/W29+(AP29^2)/(2*(X29+W29))</f>
        <v>9.289235233532786E-2</v>
      </c>
      <c r="AR29" s="1">
        <f>1-(3/(4*(X29+W29-2)-1))</f>
        <v>0.98892988929889303</v>
      </c>
      <c r="AS29" s="21">
        <f>AP29*AR29</f>
        <v>-2.1752552425062053</v>
      </c>
      <c r="AT29" s="21">
        <f>AQ29*(AR29^2)</f>
        <v>9.0847078799752026E-2</v>
      </c>
      <c r="AU29" s="21">
        <f>SQRT(AQ29*AR29^2)</f>
        <v>0.30140849158534339</v>
      </c>
      <c r="AV29" s="20">
        <f>1/AT29</f>
        <v>11.007508587086562</v>
      </c>
      <c r="AW29" s="20">
        <f>AS29/AT29</f>
        <v>-23.944140760992116</v>
      </c>
      <c r="AX29" s="20">
        <f>((AS29)^2)/AT29</f>
        <v>52.084617717654623</v>
      </c>
      <c r="AY29" s="14"/>
      <c r="AZ29" s="14"/>
      <c r="BA29" s="1" t="s">
        <v>270</v>
      </c>
      <c r="BB29" s="2"/>
    </row>
    <row r="30" spans="1:63" ht="14.25" customHeight="1">
      <c r="A30" s="2">
        <v>41</v>
      </c>
      <c r="B30" s="2" t="s">
        <v>8</v>
      </c>
      <c r="C30" s="1" t="s">
        <v>85</v>
      </c>
      <c r="D30" s="1">
        <v>2022</v>
      </c>
      <c r="E30" s="1">
        <v>2019</v>
      </c>
      <c r="F30" s="1" t="s">
        <v>143</v>
      </c>
      <c r="G30" s="1" t="s">
        <v>142</v>
      </c>
      <c r="H30" s="1">
        <v>35.584622000000003</v>
      </c>
      <c r="I30" s="1">
        <v>-83.530636999999999</v>
      </c>
      <c r="J30" s="1" t="s">
        <v>128</v>
      </c>
      <c r="K30" s="1" t="s">
        <v>178</v>
      </c>
      <c r="L30" s="1" t="s">
        <v>225</v>
      </c>
      <c r="M30" s="1" t="s">
        <v>237</v>
      </c>
      <c r="N30" s="1" t="s">
        <v>238</v>
      </c>
      <c r="O30" s="1" t="s">
        <v>86</v>
      </c>
      <c r="P30" s="1" t="s">
        <v>129</v>
      </c>
      <c r="Q30" s="1" t="s">
        <v>93</v>
      </c>
      <c r="R30" s="1">
        <v>2016</v>
      </c>
      <c r="S30" s="1">
        <v>2.5</v>
      </c>
      <c r="T30" s="12">
        <f>S30*12</f>
        <v>30</v>
      </c>
      <c r="V30" s="1">
        <v>7200</v>
      </c>
      <c r="W30" s="1">
        <v>30</v>
      </c>
      <c r="X30" s="1">
        <v>40</v>
      </c>
      <c r="Y30" s="1" t="s">
        <v>97</v>
      </c>
      <c r="Z30" s="1" t="s">
        <v>154</v>
      </c>
      <c r="AA30" s="1" t="s">
        <v>1</v>
      </c>
      <c r="AB30" s="1" t="s">
        <v>98</v>
      </c>
      <c r="AC30" s="1" t="s">
        <v>202</v>
      </c>
      <c r="AD30" s="1" t="s">
        <v>99</v>
      </c>
      <c r="AE30" s="1" t="s">
        <v>102</v>
      </c>
      <c r="AF30" s="1" t="s">
        <v>253</v>
      </c>
      <c r="AG30" s="1" t="s">
        <v>335</v>
      </c>
      <c r="AH30" s="12">
        <v>9.4600000000000009</v>
      </c>
      <c r="AI30" s="12">
        <f>27.03-5</f>
        <v>22.03</v>
      </c>
      <c r="AJ30" s="12"/>
      <c r="AK30" s="12">
        <v>40.54</v>
      </c>
      <c r="AL30" s="12">
        <f>55.4-24.32</f>
        <v>31.08</v>
      </c>
      <c r="AM30" s="12"/>
      <c r="AN30" s="12">
        <f>AH30-AK30</f>
        <v>-31.08</v>
      </c>
      <c r="AO30" s="1">
        <f>SQRT((((X30-1)*AI30^2)+((W30-1)*AL30^2))/(X30+W30-2))</f>
        <v>26.27360023136622</v>
      </c>
      <c r="AP30" s="1">
        <f>AN30/AO30</f>
        <v>-1.1829364733538021</v>
      </c>
      <c r="AQ30" s="1">
        <f>1/X30+1/W30+(AP30^2)/(2*(X30+W30))</f>
        <v>6.8328609761838549E-2</v>
      </c>
      <c r="AR30" s="1">
        <f>1-(3/(4*(X30+W30-2)-1))</f>
        <v>0.98892988929889303</v>
      </c>
      <c r="AS30" s="21">
        <f>AP30*AR30</f>
        <v>-1.1698412356413985</v>
      </c>
      <c r="AT30" s="21">
        <f>AQ30*(AR30^2)</f>
        <v>6.6824172703725329E-2</v>
      </c>
      <c r="AU30" s="21">
        <f>SQRT(AQ30*AR30^2)</f>
        <v>0.2585037189359668</v>
      </c>
      <c r="AV30" s="20">
        <f>1/AT30</f>
        <v>14.964644671826244</v>
      </c>
      <c r="AW30" s="20">
        <f>AS30/AT30</f>
        <v>-17.506258413823684</v>
      </c>
      <c r="AX30" s="20">
        <f>((AS30)^2)/AT30</f>
        <v>20.479542974285128</v>
      </c>
      <c r="AY30" s="14"/>
      <c r="AZ30" s="14"/>
      <c r="BA30" s="1" t="s">
        <v>270</v>
      </c>
      <c r="BB30" s="2"/>
    </row>
    <row r="31" spans="1:63" ht="14.25" customHeight="1">
      <c r="A31" s="2">
        <v>41</v>
      </c>
      <c r="B31" s="2" t="s">
        <v>8</v>
      </c>
      <c r="C31" s="1" t="s">
        <v>85</v>
      </c>
      <c r="D31" s="1">
        <v>2022</v>
      </c>
      <c r="E31" s="1">
        <v>2019</v>
      </c>
      <c r="F31" s="1" t="s">
        <v>143</v>
      </c>
      <c r="G31" s="1" t="s">
        <v>142</v>
      </c>
      <c r="H31" s="1">
        <v>35.584622000000003</v>
      </c>
      <c r="I31" s="1">
        <v>-83.530636999999999</v>
      </c>
      <c r="J31" s="1" t="s">
        <v>128</v>
      </c>
      <c r="K31" s="1" t="s">
        <v>178</v>
      </c>
      <c r="L31" s="1" t="s">
        <v>225</v>
      </c>
      <c r="M31" s="1" t="s">
        <v>237</v>
      </c>
      <c r="N31" s="1" t="s">
        <v>238</v>
      </c>
      <c r="O31" s="1" t="s">
        <v>86</v>
      </c>
      <c r="P31" s="1" t="s">
        <v>129</v>
      </c>
      <c r="Q31" s="1" t="s">
        <v>93</v>
      </c>
      <c r="R31" s="1">
        <v>2016</v>
      </c>
      <c r="S31" s="1">
        <v>2.5</v>
      </c>
      <c r="T31" s="12">
        <f>S31*12</f>
        <v>30</v>
      </c>
      <c r="V31" s="1">
        <v>7200</v>
      </c>
      <c r="W31" s="1">
        <v>30</v>
      </c>
      <c r="X31" s="1">
        <v>40</v>
      </c>
      <c r="Y31" s="1" t="s">
        <v>97</v>
      </c>
      <c r="Z31" s="1" t="s">
        <v>154</v>
      </c>
      <c r="AA31" s="1" t="s">
        <v>1</v>
      </c>
      <c r="AB31" s="1" t="s">
        <v>98</v>
      </c>
      <c r="AC31" s="1" t="s">
        <v>202</v>
      </c>
      <c r="AD31" s="1" t="s">
        <v>99</v>
      </c>
      <c r="AE31" s="1" t="s">
        <v>102</v>
      </c>
      <c r="AF31" s="1" t="s">
        <v>312</v>
      </c>
      <c r="AG31" s="1" t="s">
        <v>335</v>
      </c>
      <c r="AH31" s="12">
        <v>5.25</v>
      </c>
      <c r="AI31" s="12">
        <f>6.36-4.04</f>
        <v>2.3200000000000003</v>
      </c>
      <c r="AJ31" s="12"/>
      <c r="AK31" s="12">
        <v>12.62</v>
      </c>
      <c r="AL31" s="12">
        <f>13.52-11.79</f>
        <v>1.7300000000000004</v>
      </c>
      <c r="AM31" s="12"/>
      <c r="AN31" s="12">
        <f>AH31-AK31</f>
        <v>-7.3699999999999992</v>
      </c>
      <c r="AO31" s="1">
        <f>SQRT((((X31-1)*AI31^2)+((W31-1)*AL31^2))/(X31+W31-2))</f>
        <v>2.0888629752599299</v>
      </c>
      <c r="AP31" s="1">
        <f>AN31/AO31</f>
        <v>-3.5282352587454451</v>
      </c>
      <c r="AQ31" s="1">
        <f>1/X31+1/W31+(AP31^2)/(2*(X31+W31))</f>
        <v>0.14725079076943717</v>
      </c>
      <c r="AR31" s="1">
        <f>1-(3/(4*(X31+W31-2)-1))</f>
        <v>0.98892988929889303</v>
      </c>
      <c r="AS31" s="21">
        <f>AP31*AR31</f>
        <v>-3.4891773038515841</v>
      </c>
      <c r="AT31" s="21">
        <f>AQ31*(AR31^2)</f>
        <v>0.1440086708544826</v>
      </c>
      <c r="AU31" s="21">
        <f>SQRT(AQ31*AR31^2)</f>
        <v>0.37948474390215292</v>
      </c>
      <c r="AV31" s="20">
        <f>1/AT31</f>
        <v>6.9440263149881902</v>
      </c>
      <c r="AW31" s="20">
        <f>AS31/AT31</f>
        <v>-24.228939015604944</v>
      </c>
      <c r="AX31" s="20">
        <f>((AS31)^2)/AT31</f>
        <v>84.539064109652912</v>
      </c>
      <c r="AY31" s="14"/>
      <c r="AZ31" s="14"/>
      <c r="BA31" s="1" t="s">
        <v>270</v>
      </c>
      <c r="BB31" s="2" t="s">
        <v>380</v>
      </c>
    </row>
    <row r="32" spans="1:63" ht="14.25" customHeight="1">
      <c r="A32" s="2">
        <v>121</v>
      </c>
      <c r="B32" s="2" t="s">
        <v>17</v>
      </c>
      <c r="C32" s="12" t="s">
        <v>85</v>
      </c>
      <c r="D32" s="12">
        <v>2014</v>
      </c>
      <c r="E32" s="12">
        <v>2007</v>
      </c>
      <c r="F32" s="12" t="s">
        <v>136</v>
      </c>
      <c r="G32" s="12" t="s">
        <v>161</v>
      </c>
      <c r="H32" s="12">
        <v>55.345132999999997</v>
      </c>
      <c r="I32" s="12">
        <v>21.021471999999999</v>
      </c>
      <c r="J32" s="12" t="s">
        <v>126</v>
      </c>
      <c r="K32" s="12" t="s">
        <v>176</v>
      </c>
      <c r="L32" s="12" t="s">
        <v>193</v>
      </c>
      <c r="M32" s="12" t="s">
        <v>236</v>
      </c>
      <c r="N32" s="12" t="s">
        <v>311</v>
      </c>
      <c r="O32" s="12" t="s">
        <v>86</v>
      </c>
      <c r="P32" s="12" t="s">
        <v>129</v>
      </c>
      <c r="Q32" s="12" t="s">
        <v>93</v>
      </c>
      <c r="R32" s="12">
        <v>2006</v>
      </c>
      <c r="S32" s="12">
        <v>1</v>
      </c>
      <c r="T32" s="12">
        <f>S32*12</f>
        <v>12</v>
      </c>
      <c r="U32" s="12"/>
      <c r="V32" s="12">
        <v>230</v>
      </c>
      <c r="W32" s="12">
        <v>3</v>
      </c>
      <c r="X32" s="12">
        <v>3</v>
      </c>
      <c r="Y32" s="12" t="s">
        <v>114</v>
      </c>
      <c r="Z32" s="12" t="s">
        <v>2</v>
      </c>
      <c r="AA32" s="12" t="s">
        <v>0</v>
      </c>
      <c r="AB32" s="12" t="s">
        <v>2</v>
      </c>
      <c r="AC32" s="12" t="s">
        <v>2</v>
      </c>
      <c r="AD32" s="12" t="s">
        <v>2</v>
      </c>
      <c r="AE32" s="12" t="s">
        <v>2</v>
      </c>
      <c r="AF32" s="12" t="s">
        <v>222</v>
      </c>
      <c r="AG32" s="12" t="s">
        <v>315</v>
      </c>
      <c r="AH32" s="12">
        <v>23.12</v>
      </c>
      <c r="AI32" s="12">
        <f>25.7-AH32</f>
        <v>2.5799999999999983</v>
      </c>
      <c r="AJ32" s="12"/>
      <c r="AK32" s="12">
        <v>70.73</v>
      </c>
      <c r="AL32" s="12">
        <f>72.66-AK32</f>
        <v>1.9299999999999926</v>
      </c>
      <c r="AM32" s="12"/>
      <c r="AN32" s="12">
        <f>AH32-AK32</f>
        <v>-47.61</v>
      </c>
      <c r="AO32" s="12">
        <f>SQRT((((X32-1)*AI32^2)+((W32-1)*AL32^2))/(X32+W32-2))</f>
        <v>2.2782998046789147</v>
      </c>
      <c r="AP32" s="12">
        <f>AN32/AO32</f>
        <v>-20.897161954815587</v>
      </c>
      <c r="AQ32" s="12">
        <f>1/X32+1/W32+(AP32^2)/(2*(X32+W32))</f>
        <v>37.057614813816002</v>
      </c>
      <c r="AR32" s="12">
        <f>1-(3/(4*(X32+W32-2)-1))</f>
        <v>0.8</v>
      </c>
      <c r="AS32" s="21">
        <f>AP32*AR32</f>
        <v>-16.717729563852469</v>
      </c>
      <c r="AT32" s="21">
        <f>AQ32*(AR32^2)</f>
        <v>23.716873480842246</v>
      </c>
      <c r="AU32" s="21">
        <f>SQRT(AQ32*AR32^2)</f>
        <v>4.8699972772931037</v>
      </c>
      <c r="AV32" s="20">
        <f>1/AT32</f>
        <v>4.2164073641821675E-2</v>
      </c>
      <c r="AW32" s="20">
        <f>AS32/AT32</f>
        <v>-0.70488758045433486</v>
      </c>
      <c r="AX32" s="20">
        <f>((AS32)^2)/AT32</f>
        <v>11.78411994295387</v>
      </c>
      <c r="AY32" s="14"/>
      <c r="AZ32" s="14"/>
      <c r="BA32" s="12" t="s">
        <v>270</v>
      </c>
      <c r="BB32" s="2"/>
      <c r="BC32" s="12"/>
      <c r="BD32" s="12"/>
      <c r="BE32" s="12"/>
      <c r="BF32" s="12"/>
      <c r="BG32" s="12"/>
      <c r="BH32" s="12"/>
      <c r="BI32" s="12"/>
      <c r="BJ32" s="12"/>
      <c r="BK32" s="12"/>
    </row>
    <row r="33" spans="1:63" ht="14.25" customHeight="1">
      <c r="A33" s="2">
        <v>186</v>
      </c>
      <c r="B33" s="2" t="s">
        <v>27</v>
      </c>
      <c r="C33" s="1" t="s">
        <v>91</v>
      </c>
      <c r="D33" s="1">
        <v>2020</v>
      </c>
      <c r="E33" s="1">
        <v>2016</v>
      </c>
      <c r="F33" s="1" t="s">
        <v>152</v>
      </c>
      <c r="G33" s="1" t="s">
        <v>117</v>
      </c>
      <c r="H33" s="1">
        <v>54.283183999999999</v>
      </c>
      <c r="I33" s="1">
        <v>-118.216606</v>
      </c>
      <c r="J33" s="1" t="s">
        <v>128</v>
      </c>
      <c r="K33" s="1" t="s">
        <v>176</v>
      </c>
      <c r="L33" s="1" t="s">
        <v>186</v>
      </c>
      <c r="M33" s="1" t="s">
        <v>236</v>
      </c>
      <c r="N33" s="1" t="s">
        <v>238</v>
      </c>
      <c r="O33" s="1" t="s">
        <v>86</v>
      </c>
      <c r="P33" s="1" t="s">
        <v>2</v>
      </c>
      <c r="Q33" s="1" t="s">
        <v>93</v>
      </c>
      <c r="R33" s="1" t="s">
        <v>2</v>
      </c>
      <c r="S33" s="7" t="s">
        <v>48</v>
      </c>
      <c r="T33" s="7"/>
      <c r="W33" s="1">
        <v>16</v>
      </c>
      <c r="X33" s="1">
        <v>16</v>
      </c>
      <c r="Y33" s="1" t="s">
        <v>204</v>
      </c>
      <c r="AA33" s="1" t="s">
        <v>0</v>
      </c>
      <c r="AB33" s="1" t="s">
        <v>98</v>
      </c>
      <c r="AC33" s="1" t="s">
        <v>202</v>
      </c>
      <c r="AD33" s="1" t="s">
        <v>99</v>
      </c>
      <c r="AE33" s="1" t="s">
        <v>111</v>
      </c>
      <c r="AF33" s="1" t="s">
        <v>149</v>
      </c>
      <c r="AG33" s="1" t="s">
        <v>370</v>
      </c>
      <c r="AH33" s="12">
        <v>0.14000000000000001</v>
      </c>
      <c r="AI33" s="12">
        <f>AJ33*SQRT(X33)</f>
        <v>0.44</v>
      </c>
      <c r="AJ33" s="12">
        <v>0.11</v>
      </c>
      <c r="AK33" s="12">
        <v>0.03</v>
      </c>
      <c r="AL33" s="12">
        <f>AM33*SQRT(W33)</f>
        <v>0.08</v>
      </c>
      <c r="AM33" s="12">
        <v>0.02</v>
      </c>
      <c r="AN33" s="12">
        <f>AH33-AK33</f>
        <v>0.11000000000000001</v>
      </c>
      <c r="AO33" s="1">
        <f>SQRT((((X33-1)*AI33^2)+((W33-1)*AL33^2))/(X33+W33-2))</f>
        <v>0.31622776601683794</v>
      </c>
      <c r="AP33" s="1">
        <f>AN33/AO33</f>
        <v>0.34785054261852177</v>
      </c>
      <c r="AQ33" s="1">
        <f>1/X33+1/W33+(AP33^2)/(2*(X33+W33))</f>
        <v>0.12689062500000001</v>
      </c>
      <c r="AR33" s="1">
        <f>1-(3/(4*(X33+W33-2)-1))</f>
        <v>0.97478991596638653</v>
      </c>
      <c r="AS33" s="21">
        <f>AP33*AR33</f>
        <v>0.33908120120797081</v>
      </c>
      <c r="AT33" s="21">
        <f>AQ33*(AR33^2)</f>
        <v>0.12057342348704188</v>
      </c>
      <c r="AU33" s="21">
        <f>SQRT(AQ33*AR33^2)</f>
        <v>0.34723684062472676</v>
      </c>
      <c r="AV33" s="20">
        <f>1/AT33</f>
        <v>8.2937016390471054</v>
      </c>
      <c r="AW33" s="20">
        <f>AS33/AT33</f>
        <v>2.8122383142286087</v>
      </c>
      <c r="AX33" s="20">
        <f>((AS33)^2)/AT33</f>
        <v>0.95357714567171548</v>
      </c>
      <c r="AY33" s="14"/>
      <c r="AZ33" s="14"/>
      <c r="BA33" s="1" t="s">
        <v>270</v>
      </c>
      <c r="BB33" s="2"/>
    </row>
    <row r="34" spans="1:63" ht="14.25" customHeight="1">
      <c r="A34" s="2">
        <v>186</v>
      </c>
      <c r="B34" s="2" t="s">
        <v>27</v>
      </c>
      <c r="C34" s="1" t="s">
        <v>91</v>
      </c>
      <c r="D34" s="1">
        <v>2020</v>
      </c>
      <c r="E34" s="1">
        <v>2016</v>
      </c>
      <c r="F34" s="1" t="s">
        <v>152</v>
      </c>
      <c r="G34" s="1" t="s">
        <v>117</v>
      </c>
      <c r="H34" s="1">
        <v>54.283183999999999</v>
      </c>
      <c r="I34" s="1">
        <v>-118.216606</v>
      </c>
      <c r="J34" s="1" t="s">
        <v>128</v>
      </c>
      <c r="K34" s="1" t="s">
        <v>176</v>
      </c>
      <c r="L34" s="1" t="s">
        <v>186</v>
      </c>
      <c r="M34" s="1" t="s">
        <v>236</v>
      </c>
      <c r="N34" s="1" t="s">
        <v>238</v>
      </c>
      <c r="O34" s="1" t="s">
        <v>86</v>
      </c>
      <c r="P34" s="1" t="s">
        <v>2</v>
      </c>
      <c r="Q34" s="1" t="s">
        <v>93</v>
      </c>
      <c r="R34" s="1" t="s">
        <v>2</v>
      </c>
      <c r="S34" s="7" t="s">
        <v>48</v>
      </c>
      <c r="T34" s="7"/>
      <c r="W34" s="1">
        <v>16</v>
      </c>
      <c r="X34" s="1">
        <v>16</v>
      </c>
      <c r="Y34" s="1" t="s">
        <v>204</v>
      </c>
      <c r="AA34" s="1" t="s">
        <v>0</v>
      </c>
      <c r="AB34" s="1" t="s">
        <v>98</v>
      </c>
      <c r="AC34" s="1" t="s">
        <v>202</v>
      </c>
      <c r="AD34" s="1" t="s">
        <v>99</v>
      </c>
      <c r="AE34" s="1" t="s">
        <v>111</v>
      </c>
      <c r="AF34" s="1" t="s">
        <v>253</v>
      </c>
      <c r="AG34" s="1" t="s">
        <v>370</v>
      </c>
      <c r="AH34" s="12">
        <v>0.06</v>
      </c>
      <c r="AI34" s="12">
        <f>AJ34*SQRT(X34)</f>
        <v>0.2</v>
      </c>
      <c r="AJ34" s="12">
        <v>0.05</v>
      </c>
      <c r="AK34" s="12">
        <v>0.01</v>
      </c>
      <c r="AL34" s="12">
        <f>AM34*SQRT(W34)</f>
        <v>0.04</v>
      </c>
      <c r="AM34" s="12">
        <v>0.01</v>
      </c>
      <c r="AN34" s="12">
        <f>AH34-AK34</f>
        <v>4.9999999999999996E-2</v>
      </c>
      <c r="AO34" s="1">
        <f>SQRT((((X34-1)*AI34^2)+((W34-1)*AL34^2))/(X34+W34-2))</f>
        <v>0.14422205101855959</v>
      </c>
      <c r="AP34" s="1">
        <f>AN34/AO34</f>
        <v>0.34668762264076813</v>
      </c>
      <c r="AQ34" s="1">
        <f>1/X34+1/W34+(AP34^2)/(2*(X34+W34))</f>
        <v>0.12687800480769232</v>
      </c>
      <c r="AR34" s="1">
        <f>1-(3/(4*(X34+W34-2)-1))</f>
        <v>0.97478991596638653</v>
      </c>
      <c r="AS34" s="21">
        <f>AP34*AR34</f>
        <v>0.33794759854058071</v>
      </c>
      <c r="AT34" s="21">
        <f>AQ34*(AR34^2)</f>
        <v>0.12056143158620915</v>
      </c>
      <c r="AU34" s="21">
        <f>SQRT(AQ34*AR34^2)</f>
        <v>0.34721957258514263</v>
      </c>
      <c r="AV34" s="20">
        <f>1/AT34</f>
        <v>8.2945265898318059</v>
      </c>
      <c r="AW34" s="20">
        <f>AS34/AT34</f>
        <v>2.8031153420646513</v>
      </c>
      <c r="AX34" s="20">
        <f>((AS34)^2)/AT34</f>
        <v>0.94730609828300727</v>
      </c>
      <c r="AY34" s="14"/>
      <c r="AZ34" s="14"/>
      <c r="BA34" s="1" t="s">
        <v>270</v>
      </c>
      <c r="BB34" s="2"/>
    </row>
    <row r="35" spans="1:63" ht="14.25" customHeight="1">
      <c r="A35" s="2">
        <v>186</v>
      </c>
      <c r="B35" s="2" t="s">
        <v>27</v>
      </c>
      <c r="C35" s="1" t="s">
        <v>91</v>
      </c>
      <c r="D35" s="1">
        <v>2020</v>
      </c>
      <c r="E35" s="1">
        <v>2016</v>
      </c>
      <c r="F35" s="1" t="s">
        <v>152</v>
      </c>
      <c r="G35" s="1" t="s">
        <v>117</v>
      </c>
      <c r="H35" s="1">
        <v>54.283183999999999</v>
      </c>
      <c r="I35" s="1">
        <v>-118.216606</v>
      </c>
      <c r="J35" s="1" t="s">
        <v>128</v>
      </c>
      <c r="K35" s="1" t="s">
        <v>176</v>
      </c>
      <c r="L35" s="1" t="s">
        <v>186</v>
      </c>
      <c r="M35" s="1" t="s">
        <v>236</v>
      </c>
      <c r="N35" s="1" t="s">
        <v>238</v>
      </c>
      <c r="O35" s="1" t="s">
        <v>86</v>
      </c>
      <c r="P35" s="1" t="s">
        <v>2</v>
      </c>
      <c r="Q35" s="1" t="s">
        <v>93</v>
      </c>
      <c r="R35" s="1" t="s">
        <v>2</v>
      </c>
      <c r="S35" s="7" t="s">
        <v>48</v>
      </c>
      <c r="T35" s="7"/>
      <c r="W35" s="1">
        <v>16</v>
      </c>
      <c r="X35" s="1">
        <v>16</v>
      </c>
      <c r="Y35" s="1" t="s">
        <v>204</v>
      </c>
      <c r="AA35" s="1" t="s">
        <v>0</v>
      </c>
      <c r="AB35" s="1" t="s">
        <v>98</v>
      </c>
      <c r="AC35" s="1" t="s">
        <v>202</v>
      </c>
      <c r="AD35" s="1" t="s">
        <v>99</v>
      </c>
      <c r="AE35" s="1" t="s">
        <v>111</v>
      </c>
      <c r="AF35" s="1" t="s">
        <v>254</v>
      </c>
      <c r="AG35" s="1" t="s">
        <v>319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" t="s">
        <v>285</v>
      </c>
    </row>
    <row r="36" spans="1:63" ht="14.25" customHeight="1">
      <c r="A36" s="2">
        <v>497</v>
      </c>
      <c r="B36" s="2" t="s">
        <v>66</v>
      </c>
      <c r="C36" s="1" t="s">
        <v>85</v>
      </c>
      <c r="D36" s="1">
        <v>2023</v>
      </c>
      <c r="E36" s="1">
        <v>2020</v>
      </c>
      <c r="F36" s="1" t="s">
        <v>96</v>
      </c>
      <c r="G36" s="1" t="s">
        <v>109</v>
      </c>
      <c r="H36" s="1">
        <v>-35.136108</v>
      </c>
      <c r="I36" s="1">
        <v>150.68715700000001</v>
      </c>
      <c r="J36" s="1" t="s">
        <v>128</v>
      </c>
      <c r="K36" s="1" t="s">
        <v>112</v>
      </c>
      <c r="L36" s="1" t="s">
        <v>257</v>
      </c>
      <c r="M36" s="1" t="s">
        <v>237</v>
      </c>
      <c r="N36" s="1" t="s">
        <v>238</v>
      </c>
      <c r="O36" s="1" t="s">
        <v>86</v>
      </c>
      <c r="P36" s="1" t="s">
        <v>2</v>
      </c>
      <c r="Q36" s="1" t="s">
        <v>255</v>
      </c>
      <c r="R36" s="1">
        <v>2017</v>
      </c>
      <c r="S36" s="1">
        <v>3</v>
      </c>
      <c r="T36" s="1">
        <f>S36*12</f>
        <v>36</v>
      </c>
      <c r="V36" s="1" t="s">
        <v>2</v>
      </c>
      <c r="W36" s="1">
        <v>6</v>
      </c>
      <c r="X36" s="1">
        <v>18</v>
      </c>
      <c r="Y36" s="1" t="s">
        <v>97</v>
      </c>
      <c r="Z36" s="1" t="s">
        <v>133</v>
      </c>
      <c r="AA36" s="1" t="s">
        <v>1</v>
      </c>
      <c r="AB36" s="1" t="s">
        <v>98</v>
      </c>
      <c r="AC36" s="1" t="s">
        <v>202</v>
      </c>
      <c r="AD36" s="1" t="s">
        <v>99</v>
      </c>
      <c r="AE36" s="1" t="s">
        <v>102</v>
      </c>
      <c r="AF36" s="1" t="s">
        <v>256</v>
      </c>
      <c r="AG36" s="1" t="s">
        <v>319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" t="s">
        <v>285</v>
      </c>
    </row>
    <row r="37" spans="1:63" ht="14.25" customHeight="1">
      <c r="A37" s="2">
        <v>121</v>
      </c>
      <c r="B37" s="2" t="s">
        <v>17</v>
      </c>
      <c r="C37" s="12" t="s">
        <v>85</v>
      </c>
      <c r="D37" s="12">
        <v>2014</v>
      </c>
      <c r="E37" s="12">
        <v>2009</v>
      </c>
      <c r="F37" s="12" t="s">
        <v>136</v>
      </c>
      <c r="G37" s="12" t="s">
        <v>161</v>
      </c>
      <c r="H37" s="12">
        <v>55.345132999999997</v>
      </c>
      <c r="I37" s="12">
        <v>21.021471999999999</v>
      </c>
      <c r="J37" s="12" t="s">
        <v>126</v>
      </c>
      <c r="K37" s="12" t="s">
        <v>176</v>
      </c>
      <c r="L37" s="12" t="s">
        <v>193</v>
      </c>
      <c r="M37" s="12" t="s">
        <v>236</v>
      </c>
      <c r="N37" s="12" t="s">
        <v>311</v>
      </c>
      <c r="O37" s="12" t="s">
        <v>86</v>
      </c>
      <c r="P37" s="12" t="s">
        <v>129</v>
      </c>
      <c r="Q37" s="12" t="s">
        <v>93</v>
      </c>
      <c r="R37" s="12">
        <v>2006</v>
      </c>
      <c r="S37" s="12">
        <v>3</v>
      </c>
      <c r="T37" s="12">
        <f>S37*12</f>
        <v>36</v>
      </c>
      <c r="U37" s="12"/>
      <c r="V37" s="12">
        <v>230</v>
      </c>
      <c r="W37" s="12">
        <v>3</v>
      </c>
      <c r="X37" s="12">
        <v>3</v>
      </c>
      <c r="Y37" s="12" t="s">
        <v>114</v>
      </c>
      <c r="Z37" s="12" t="s">
        <v>2</v>
      </c>
      <c r="AA37" s="12" t="s">
        <v>0</v>
      </c>
      <c r="AB37" s="12" t="s">
        <v>2</v>
      </c>
      <c r="AC37" s="12" t="s">
        <v>2</v>
      </c>
      <c r="AD37" s="12" t="s">
        <v>2</v>
      </c>
      <c r="AE37" s="12" t="s">
        <v>2</v>
      </c>
      <c r="AF37" s="12" t="s">
        <v>222</v>
      </c>
      <c r="AG37" s="12" t="s">
        <v>315</v>
      </c>
      <c r="AH37" s="12">
        <v>44.44</v>
      </c>
      <c r="AI37" s="12">
        <f>46.38-AH37</f>
        <v>1.9400000000000048</v>
      </c>
      <c r="AJ37" s="12"/>
      <c r="AK37" s="12">
        <v>84.36</v>
      </c>
      <c r="AL37" s="12">
        <f>88.76-AK37</f>
        <v>4.4000000000000057</v>
      </c>
      <c r="AM37" s="12"/>
      <c r="AN37" s="12">
        <f>AH37-AK37</f>
        <v>-39.92</v>
      </c>
      <c r="AO37" s="12">
        <f>SQRT((((X37-1)*AI37^2)+((W37-1)*AL37^2))/(X37+W37-2))</f>
        <v>3.4002646955788651</v>
      </c>
      <c r="AP37" s="12">
        <f>AN37/AO37</f>
        <v>-11.740262471890876</v>
      </c>
      <c r="AQ37" s="12">
        <f>1/X37+1/W37+(AP37^2)/(2*(X37+W37))</f>
        <v>12.152813575740772</v>
      </c>
      <c r="AR37" s="12">
        <f>1-(3/(4*(X37+W37-2)-1))</f>
        <v>0.8</v>
      </c>
      <c r="AS37" s="21">
        <f>AP37*AR37</f>
        <v>-9.3922099775127013</v>
      </c>
      <c r="AT37" s="21">
        <f>AQ37*(AR37^2)</f>
        <v>7.7778006884740956</v>
      </c>
      <c r="AU37" s="21">
        <f>SQRT(AQ37*AR37^2)</f>
        <v>2.788870862638515</v>
      </c>
      <c r="AV37" s="20">
        <f>1/AT37</f>
        <v>0.12857104984470707</v>
      </c>
      <c r="AW37" s="20">
        <f>AS37/AT37</f>
        <v>-1.2075662971707406</v>
      </c>
      <c r="AX37" s="20">
        <f>((AS37)^2)/AT37</f>
        <v>11.341716224795098</v>
      </c>
      <c r="AY37" s="14"/>
      <c r="AZ37" s="14"/>
      <c r="BA37" s="12" t="s">
        <v>270</v>
      </c>
      <c r="BB37" s="2"/>
      <c r="BC37" s="12"/>
      <c r="BD37" s="12"/>
      <c r="BE37" s="12"/>
      <c r="BF37" s="12"/>
      <c r="BG37" s="12"/>
      <c r="BH37" s="12"/>
      <c r="BI37" s="12"/>
      <c r="BJ37" s="12"/>
      <c r="BK37" s="12"/>
    </row>
    <row r="38" spans="1:63" ht="14.25" customHeight="1">
      <c r="A38" s="2">
        <v>497</v>
      </c>
      <c r="B38" s="2" t="s">
        <v>66</v>
      </c>
      <c r="C38" s="1" t="s">
        <v>85</v>
      </c>
      <c r="D38" s="1">
        <v>2023</v>
      </c>
      <c r="E38" s="1">
        <v>2020</v>
      </c>
      <c r="F38" s="1" t="s">
        <v>96</v>
      </c>
      <c r="G38" s="1" t="s">
        <v>109</v>
      </c>
      <c r="H38" s="1">
        <v>-35.136108</v>
      </c>
      <c r="I38" s="1">
        <v>150.68715700000001</v>
      </c>
      <c r="J38" s="1" t="s">
        <v>128</v>
      </c>
      <c r="K38" s="1" t="s">
        <v>112</v>
      </c>
      <c r="L38" s="1" t="s">
        <v>257</v>
      </c>
      <c r="M38" s="1" t="s">
        <v>237</v>
      </c>
      <c r="N38" s="1" t="s">
        <v>238</v>
      </c>
      <c r="O38" s="1" t="s">
        <v>86</v>
      </c>
      <c r="P38" s="1" t="s">
        <v>2</v>
      </c>
      <c r="Q38" s="1" t="s">
        <v>255</v>
      </c>
      <c r="R38" s="1">
        <v>2017</v>
      </c>
      <c r="S38" s="1">
        <v>3</v>
      </c>
      <c r="T38" s="1">
        <f t="shared" ref="T38:T41" si="25">S38*12</f>
        <v>36</v>
      </c>
      <c r="V38" s="1" t="s">
        <v>2</v>
      </c>
      <c r="W38" s="1">
        <v>6</v>
      </c>
      <c r="X38" s="1">
        <v>18</v>
      </c>
      <c r="Y38" s="1" t="s">
        <v>97</v>
      </c>
      <c r="Z38" s="1" t="s">
        <v>133</v>
      </c>
      <c r="AA38" s="1" t="s">
        <v>1</v>
      </c>
      <c r="AB38" s="1" t="s">
        <v>98</v>
      </c>
      <c r="AC38" s="1" t="s">
        <v>202</v>
      </c>
      <c r="AD38" s="1" t="s">
        <v>99</v>
      </c>
      <c r="AE38" s="1" t="s">
        <v>102</v>
      </c>
      <c r="AF38" s="1" t="s">
        <v>247</v>
      </c>
      <c r="AG38" s="1" t="s">
        <v>328</v>
      </c>
      <c r="AH38" s="1">
        <f>49.04/100</f>
        <v>0.4904</v>
      </c>
      <c r="AI38" s="14"/>
      <c r="AJ38" s="14"/>
      <c r="AK38" s="1">
        <f>65.1/100</f>
        <v>0.65099999999999991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">
        <f>LOG(AH38/AK38)</f>
        <v>-0.12303052705783325</v>
      </c>
      <c r="AZ38" s="12">
        <f>((1-AH38)/(AH38*X38))+((1-AK38)/(W38*AK38))</f>
        <v>0.14708036909794531</v>
      </c>
      <c r="BA38" s="1" t="s">
        <v>283</v>
      </c>
    </row>
    <row r="39" spans="1:63" ht="14.25" customHeight="1">
      <c r="A39" s="2">
        <v>497</v>
      </c>
      <c r="B39" s="2" t="s">
        <v>66</v>
      </c>
      <c r="C39" s="1" t="s">
        <v>85</v>
      </c>
      <c r="D39" s="1">
        <v>2023</v>
      </c>
      <c r="E39" s="1">
        <v>2020</v>
      </c>
      <c r="F39" s="1" t="s">
        <v>96</v>
      </c>
      <c r="G39" s="1" t="s">
        <v>109</v>
      </c>
      <c r="H39" s="1">
        <v>-35.136108</v>
      </c>
      <c r="I39" s="1">
        <v>150.68715700000001</v>
      </c>
      <c r="J39" s="1" t="s">
        <v>128</v>
      </c>
      <c r="K39" s="1" t="s">
        <v>112</v>
      </c>
      <c r="L39" s="1" t="s">
        <v>257</v>
      </c>
      <c r="M39" s="1" t="s">
        <v>237</v>
      </c>
      <c r="N39" s="1" t="s">
        <v>238</v>
      </c>
      <c r="O39" s="1" t="s">
        <v>86</v>
      </c>
      <c r="P39" s="1" t="s">
        <v>2</v>
      </c>
      <c r="Q39" s="1" t="s">
        <v>255</v>
      </c>
      <c r="R39" s="1">
        <v>2017</v>
      </c>
      <c r="S39" s="1">
        <v>3</v>
      </c>
      <c r="T39" s="1">
        <f t="shared" si="25"/>
        <v>36</v>
      </c>
      <c r="V39" s="1" t="s">
        <v>2</v>
      </c>
      <c r="W39" s="1">
        <v>6</v>
      </c>
      <c r="X39" s="1">
        <v>18</v>
      </c>
      <c r="Y39" s="1" t="s">
        <v>97</v>
      </c>
      <c r="Z39" s="1" t="s">
        <v>133</v>
      </c>
      <c r="AA39" s="1" t="s">
        <v>1</v>
      </c>
      <c r="AB39" s="1" t="s">
        <v>98</v>
      </c>
      <c r="AC39" s="1" t="s">
        <v>202</v>
      </c>
      <c r="AD39" s="1" t="s">
        <v>99</v>
      </c>
      <c r="AE39" s="1" t="s">
        <v>102</v>
      </c>
      <c r="AF39" s="1" t="s">
        <v>248</v>
      </c>
      <c r="AG39" s="1" t="s">
        <v>328</v>
      </c>
      <c r="AH39" s="1">
        <f>49.63/100</f>
        <v>0.49630000000000002</v>
      </c>
      <c r="AI39" s="14"/>
      <c r="AJ39" s="14"/>
      <c r="AK39" s="1">
        <f>34.54/100</f>
        <v>0.34539999999999998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">
        <f>LOG(AH39/AK39)</f>
        <v>0.15742194196588347</v>
      </c>
      <c r="AZ39" s="12">
        <f>((1-AH39)/(AH39*X39))+((1-AK39)/(W39*AK39))</f>
        <v>0.37224957058220021</v>
      </c>
      <c r="BA39" s="1" t="s">
        <v>283</v>
      </c>
    </row>
    <row r="40" spans="1:63" ht="14.25" customHeight="1">
      <c r="A40" s="2">
        <v>497</v>
      </c>
      <c r="B40" s="2" t="s">
        <v>66</v>
      </c>
      <c r="C40" s="1" t="s">
        <v>85</v>
      </c>
      <c r="D40" s="1">
        <v>2023</v>
      </c>
      <c r="E40" s="1">
        <v>2020</v>
      </c>
      <c r="F40" s="1" t="s">
        <v>96</v>
      </c>
      <c r="G40" s="1" t="s">
        <v>109</v>
      </c>
      <c r="H40" s="1">
        <v>-35.136108</v>
      </c>
      <c r="I40" s="1">
        <v>150.68715700000001</v>
      </c>
      <c r="J40" s="1" t="s">
        <v>128</v>
      </c>
      <c r="K40" s="1" t="s">
        <v>112</v>
      </c>
      <c r="L40" s="1" t="s">
        <v>257</v>
      </c>
      <c r="M40" s="1" t="s">
        <v>237</v>
      </c>
      <c r="N40" s="1" t="s">
        <v>238</v>
      </c>
      <c r="O40" s="1" t="s">
        <v>86</v>
      </c>
      <c r="P40" s="1" t="s">
        <v>2</v>
      </c>
      <c r="Q40" s="1" t="s">
        <v>255</v>
      </c>
      <c r="R40" s="1">
        <v>2017</v>
      </c>
      <c r="S40" s="1">
        <v>3</v>
      </c>
      <c r="T40" s="1">
        <f t="shared" si="25"/>
        <v>36</v>
      </c>
      <c r="V40" s="1" t="s">
        <v>2</v>
      </c>
      <c r="W40" s="1">
        <v>6</v>
      </c>
      <c r="X40" s="1">
        <v>18</v>
      </c>
      <c r="Y40" s="1" t="s">
        <v>97</v>
      </c>
      <c r="Z40" s="1" t="s">
        <v>133</v>
      </c>
      <c r="AA40" s="1" t="s">
        <v>1</v>
      </c>
      <c r="AB40" s="1" t="s">
        <v>98</v>
      </c>
      <c r="AC40" s="1" t="s">
        <v>202</v>
      </c>
      <c r="AD40" s="1" t="s">
        <v>99</v>
      </c>
      <c r="AE40" s="1" t="s">
        <v>102</v>
      </c>
      <c r="AF40" s="1" t="s">
        <v>287</v>
      </c>
      <c r="AG40" s="1" t="s">
        <v>328</v>
      </c>
      <c r="AH40" s="1">
        <f>28.9/100</f>
        <v>0.28899999999999998</v>
      </c>
      <c r="AI40" s="14"/>
      <c r="AJ40" s="14"/>
      <c r="AK40" s="1">
        <f>43.9/100</f>
        <v>0.439</v>
      </c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">
        <f>LOG(AH40/AK40)</f>
        <v>-0.18156667748557359</v>
      </c>
      <c r="AZ40" s="12">
        <f>((1-AH40)/(AH40*X40))+((1-AK40)/(W40*AK40))</f>
        <v>0.34966225536174539</v>
      </c>
      <c r="BA40" s="1" t="s">
        <v>283</v>
      </c>
    </row>
    <row r="41" spans="1:63" ht="14.25" customHeight="1">
      <c r="A41" s="2">
        <v>497</v>
      </c>
      <c r="B41" s="2" t="s">
        <v>66</v>
      </c>
      <c r="C41" s="1" t="s">
        <v>85</v>
      </c>
      <c r="D41" s="1">
        <v>2023</v>
      </c>
      <c r="E41" s="1">
        <v>2020</v>
      </c>
      <c r="F41" s="1" t="s">
        <v>96</v>
      </c>
      <c r="G41" s="1" t="s">
        <v>109</v>
      </c>
      <c r="H41" s="1">
        <v>-35.136108</v>
      </c>
      <c r="I41" s="1">
        <v>150.68715700000001</v>
      </c>
      <c r="J41" s="1" t="s">
        <v>128</v>
      </c>
      <c r="K41" s="1" t="s">
        <v>112</v>
      </c>
      <c r="L41" s="1" t="s">
        <v>257</v>
      </c>
      <c r="M41" s="1" t="s">
        <v>237</v>
      </c>
      <c r="N41" s="1" t="s">
        <v>238</v>
      </c>
      <c r="O41" s="1" t="s">
        <v>86</v>
      </c>
      <c r="P41" s="1" t="s">
        <v>2</v>
      </c>
      <c r="Q41" s="1" t="s">
        <v>255</v>
      </c>
      <c r="R41" s="1">
        <v>2017</v>
      </c>
      <c r="S41" s="1">
        <v>3</v>
      </c>
      <c r="T41" s="1">
        <f t="shared" si="25"/>
        <v>36</v>
      </c>
      <c r="V41" s="1" t="s">
        <v>2</v>
      </c>
      <c r="W41" s="1">
        <v>6</v>
      </c>
      <c r="X41" s="1">
        <v>18</v>
      </c>
      <c r="Y41" s="1" t="s">
        <v>97</v>
      </c>
      <c r="Z41" s="1" t="s">
        <v>133</v>
      </c>
      <c r="AA41" s="1" t="s">
        <v>1</v>
      </c>
      <c r="AB41" s="1" t="s">
        <v>98</v>
      </c>
      <c r="AC41" s="1" t="s">
        <v>202</v>
      </c>
      <c r="AD41" s="1" t="s">
        <v>99</v>
      </c>
      <c r="AE41" s="1" t="s">
        <v>102</v>
      </c>
      <c r="AF41" s="1" t="s">
        <v>388</v>
      </c>
      <c r="AG41" s="1" t="s">
        <v>327</v>
      </c>
      <c r="AH41" s="1">
        <f>20.4/100</f>
        <v>0.20399999999999999</v>
      </c>
      <c r="AI41" s="14"/>
      <c r="AJ41" s="14"/>
      <c r="AK41" s="1">
        <f>28.4/100</f>
        <v>0.28399999999999997</v>
      </c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">
        <f>LOG(AH41/AK41)</f>
        <v>-0.14368817262113889</v>
      </c>
      <c r="AZ41" s="12">
        <f>((1-AH41)/(AH41*X41))+((1-AK41)/(W41*AK41))</f>
        <v>0.6369633925557705</v>
      </c>
      <c r="BA41" s="1" t="s">
        <v>283</v>
      </c>
    </row>
    <row r="42" spans="1:63" ht="14.25" customHeight="1">
      <c r="A42" s="2">
        <v>497</v>
      </c>
      <c r="B42" s="2" t="s">
        <v>66</v>
      </c>
      <c r="C42" s="1" t="s">
        <v>85</v>
      </c>
      <c r="D42" s="1">
        <v>2023</v>
      </c>
      <c r="E42" s="1">
        <v>2020</v>
      </c>
      <c r="F42" s="1" t="s">
        <v>96</v>
      </c>
      <c r="G42" s="1" t="s">
        <v>109</v>
      </c>
      <c r="H42" s="1">
        <v>-35.136108</v>
      </c>
      <c r="I42" s="1">
        <v>150.68715700000001</v>
      </c>
      <c r="J42" s="1" t="s">
        <v>128</v>
      </c>
      <c r="K42" s="1" t="s">
        <v>112</v>
      </c>
      <c r="L42" s="1" t="s">
        <v>257</v>
      </c>
      <c r="M42" s="1" t="s">
        <v>237</v>
      </c>
      <c r="N42" s="1" t="s">
        <v>238</v>
      </c>
      <c r="O42" s="1" t="s">
        <v>86</v>
      </c>
      <c r="P42" s="1" t="s">
        <v>2</v>
      </c>
      <c r="Q42" s="1" t="s">
        <v>255</v>
      </c>
      <c r="R42" s="1">
        <v>2001</v>
      </c>
      <c r="S42" s="1">
        <v>19</v>
      </c>
      <c r="T42" s="1">
        <f>S42*12</f>
        <v>228</v>
      </c>
      <c r="V42" s="1" t="s">
        <v>2</v>
      </c>
      <c r="W42" s="1">
        <v>6</v>
      </c>
      <c r="X42" s="1">
        <v>18</v>
      </c>
      <c r="Y42" s="1" t="s">
        <v>97</v>
      </c>
      <c r="Z42" s="1" t="s">
        <v>133</v>
      </c>
      <c r="AA42" s="1" t="s">
        <v>1</v>
      </c>
      <c r="AB42" s="1" t="s">
        <v>98</v>
      </c>
      <c r="AC42" s="1" t="s">
        <v>202</v>
      </c>
      <c r="AD42" s="1" t="s">
        <v>99</v>
      </c>
      <c r="AE42" s="1" t="s">
        <v>102</v>
      </c>
      <c r="AF42" s="1" t="s">
        <v>256</v>
      </c>
      <c r="AG42" s="1" t="s">
        <v>319</v>
      </c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" t="s">
        <v>285</v>
      </c>
    </row>
    <row r="43" spans="1:63" ht="14.25" customHeight="1">
      <c r="A43" s="2">
        <v>41</v>
      </c>
      <c r="B43" s="2" t="s">
        <v>8</v>
      </c>
      <c r="C43" s="1" t="s">
        <v>85</v>
      </c>
      <c r="D43" s="1">
        <v>2022</v>
      </c>
      <c r="E43" s="1">
        <v>2019</v>
      </c>
      <c r="F43" s="1" t="s">
        <v>143</v>
      </c>
      <c r="G43" s="1" t="s">
        <v>142</v>
      </c>
      <c r="H43" s="1">
        <v>35.584622000000003</v>
      </c>
      <c r="I43" s="1">
        <v>-83.530636999999999</v>
      </c>
      <c r="J43" s="1" t="s">
        <v>128</v>
      </c>
      <c r="K43" s="1" t="s">
        <v>178</v>
      </c>
      <c r="L43" s="1" t="s">
        <v>225</v>
      </c>
      <c r="M43" s="1" t="s">
        <v>237</v>
      </c>
      <c r="N43" s="1" t="s">
        <v>238</v>
      </c>
      <c r="O43" s="1" t="s">
        <v>86</v>
      </c>
      <c r="P43" s="1" t="s">
        <v>129</v>
      </c>
      <c r="Q43" s="1" t="s">
        <v>93</v>
      </c>
      <c r="R43" s="1">
        <v>2016</v>
      </c>
      <c r="S43" s="1">
        <v>2.5</v>
      </c>
      <c r="T43" s="12">
        <f>S43*12</f>
        <v>30</v>
      </c>
      <c r="V43" s="1">
        <v>7200</v>
      </c>
      <c r="W43" s="1">
        <v>30</v>
      </c>
      <c r="X43" s="1">
        <v>40</v>
      </c>
      <c r="Y43" s="1" t="s">
        <v>97</v>
      </c>
      <c r="Z43" s="1" t="s">
        <v>154</v>
      </c>
      <c r="AA43" s="1" t="s">
        <v>1</v>
      </c>
      <c r="AB43" s="1" t="s">
        <v>98</v>
      </c>
      <c r="AC43" s="1" t="s">
        <v>202</v>
      </c>
      <c r="AD43" s="1" t="s">
        <v>99</v>
      </c>
      <c r="AE43" s="1" t="s">
        <v>102</v>
      </c>
      <c r="AF43" s="1" t="s">
        <v>222</v>
      </c>
      <c r="AG43" s="1" t="s">
        <v>335</v>
      </c>
      <c r="AH43" s="12">
        <v>172.97</v>
      </c>
      <c r="AI43" s="12">
        <f>198.65-147.3</f>
        <v>51.349999999999994</v>
      </c>
      <c r="AJ43" s="12"/>
      <c r="AK43" s="12">
        <v>471.62</v>
      </c>
      <c r="AL43" s="12">
        <f>520.27-425.68</f>
        <v>94.589999999999975</v>
      </c>
      <c r="AM43" s="12"/>
      <c r="AN43" s="12">
        <f>AH43-AK43</f>
        <v>-298.64999999999998</v>
      </c>
      <c r="AO43" s="1">
        <f>SQRT((((X43-1)*AI43^2)+((W43-1)*AL43^2))/(X43+W43-2))</f>
        <v>72.99343769859604</v>
      </c>
      <c r="AP43" s="1">
        <f>AN43/AO43</f>
        <v>-4.0914636906564574</v>
      </c>
      <c r="AQ43" s="1">
        <f>1/X43+1/W43+(AP43^2)/(2*(X43+W43))</f>
        <v>0.17790529856162018</v>
      </c>
      <c r="AR43" s="1">
        <f>1-(3/(4*(X43+W43-2)-1))</f>
        <v>0.98892988929889303</v>
      </c>
      <c r="AS43" s="21">
        <f>AP43*AR43</f>
        <v>-4.0461707346713309</v>
      </c>
      <c r="AT43" s="21">
        <f>AQ43*(AR43^2)</f>
        <v>0.17398823768589491</v>
      </c>
      <c r="AU43" s="21">
        <f>SQRT(AQ43*AR43^2)</f>
        <v>0.41711897305912005</v>
      </c>
      <c r="AV43" s="20">
        <f>1/AT43</f>
        <v>5.7475149659560536</v>
      </c>
      <c r="AW43" s="20">
        <f>AS43/AT43</f>
        <v>-23.255426852336875</v>
      </c>
      <c r="AX43" s="20">
        <f>((AS43)^2)/AT43</f>
        <v>94.095427552215284</v>
      </c>
      <c r="AY43" s="14"/>
      <c r="AZ43" s="14"/>
      <c r="BA43" s="1" t="s">
        <v>270</v>
      </c>
      <c r="BB43" s="2" t="s">
        <v>380</v>
      </c>
    </row>
    <row r="44" spans="1:63" ht="14.25" customHeight="1">
      <c r="A44" s="2">
        <v>497</v>
      </c>
      <c r="B44" s="2" t="s">
        <v>66</v>
      </c>
      <c r="C44" s="1" t="s">
        <v>85</v>
      </c>
      <c r="D44" s="1">
        <v>2023</v>
      </c>
      <c r="E44" s="1">
        <v>2020</v>
      </c>
      <c r="F44" s="1" t="s">
        <v>96</v>
      </c>
      <c r="G44" s="1" t="s">
        <v>109</v>
      </c>
      <c r="H44" s="1">
        <v>-35.136108</v>
      </c>
      <c r="I44" s="1">
        <v>150.68715700000001</v>
      </c>
      <c r="J44" s="1" t="s">
        <v>128</v>
      </c>
      <c r="K44" s="1" t="s">
        <v>112</v>
      </c>
      <c r="L44" s="1" t="s">
        <v>257</v>
      </c>
      <c r="M44" s="1" t="s">
        <v>237</v>
      </c>
      <c r="N44" s="1" t="s">
        <v>238</v>
      </c>
      <c r="O44" s="1" t="s">
        <v>86</v>
      </c>
      <c r="P44" s="1" t="s">
        <v>2</v>
      </c>
      <c r="Q44" s="1" t="s">
        <v>255</v>
      </c>
      <c r="R44" s="1">
        <v>2001</v>
      </c>
      <c r="S44" s="1">
        <v>19</v>
      </c>
      <c r="T44" s="1">
        <f t="shared" ref="T44:T45" si="26">S44*12</f>
        <v>228</v>
      </c>
      <c r="V44" s="1" t="s">
        <v>2</v>
      </c>
      <c r="W44" s="1">
        <v>6</v>
      </c>
      <c r="X44" s="1">
        <v>18</v>
      </c>
      <c r="Y44" s="1" t="s">
        <v>97</v>
      </c>
      <c r="Z44" s="1" t="s">
        <v>133</v>
      </c>
      <c r="AA44" s="1" t="s">
        <v>1</v>
      </c>
      <c r="AB44" s="1" t="s">
        <v>98</v>
      </c>
      <c r="AC44" s="1" t="s">
        <v>202</v>
      </c>
      <c r="AD44" s="1" t="s">
        <v>99</v>
      </c>
      <c r="AE44" s="1" t="s">
        <v>102</v>
      </c>
      <c r="AF44" s="1" t="s">
        <v>247</v>
      </c>
      <c r="AG44" s="1" t="s">
        <v>328</v>
      </c>
      <c r="AH44" s="1">
        <f>60.7/100</f>
        <v>0.60699999999999998</v>
      </c>
      <c r="AI44" s="14"/>
      <c r="AJ44" s="14"/>
      <c r="AK44" s="1">
        <f>65.1/100</f>
        <v>0.65099999999999991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">
        <f>LOG(AH44/AK44)</f>
        <v>-3.0392297492934317E-2</v>
      </c>
      <c r="AZ44" s="12">
        <f>((1-AH44)/(AH44*X44))+((1-AK44)/(W44*AK44))</f>
        <v>0.125318966048094</v>
      </c>
      <c r="BA44" s="1" t="s">
        <v>283</v>
      </c>
    </row>
    <row r="45" spans="1:63" ht="14.25" customHeight="1">
      <c r="A45" s="2">
        <v>497</v>
      </c>
      <c r="B45" s="2" t="s">
        <v>66</v>
      </c>
      <c r="C45" s="1" t="s">
        <v>85</v>
      </c>
      <c r="D45" s="1">
        <v>2023</v>
      </c>
      <c r="E45" s="1">
        <v>2020</v>
      </c>
      <c r="F45" s="1" t="s">
        <v>96</v>
      </c>
      <c r="G45" s="1" t="s">
        <v>109</v>
      </c>
      <c r="H45" s="1">
        <v>-35.136108</v>
      </c>
      <c r="I45" s="1">
        <v>150.68715700000001</v>
      </c>
      <c r="J45" s="1" t="s">
        <v>128</v>
      </c>
      <c r="K45" s="1" t="s">
        <v>112</v>
      </c>
      <c r="L45" s="1" t="s">
        <v>257</v>
      </c>
      <c r="M45" s="1" t="s">
        <v>237</v>
      </c>
      <c r="N45" s="1" t="s">
        <v>238</v>
      </c>
      <c r="O45" s="1" t="s">
        <v>86</v>
      </c>
      <c r="P45" s="1" t="s">
        <v>2</v>
      </c>
      <c r="Q45" s="1" t="s">
        <v>255</v>
      </c>
      <c r="R45" s="1">
        <v>2001</v>
      </c>
      <c r="S45" s="1">
        <v>19</v>
      </c>
      <c r="T45" s="1">
        <f t="shared" si="26"/>
        <v>228</v>
      </c>
      <c r="V45" s="1" t="s">
        <v>2</v>
      </c>
      <c r="W45" s="1">
        <v>6</v>
      </c>
      <c r="X45" s="1">
        <v>18</v>
      </c>
      <c r="Y45" s="1" t="s">
        <v>97</v>
      </c>
      <c r="Z45" s="1" t="s">
        <v>133</v>
      </c>
      <c r="AA45" s="1" t="s">
        <v>1</v>
      </c>
      <c r="AB45" s="1" t="s">
        <v>98</v>
      </c>
      <c r="AC45" s="1" t="s">
        <v>202</v>
      </c>
      <c r="AD45" s="1" t="s">
        <v>99</v>
      </c>
      <c r="AE45" s="1" t="s">
        <v>102</v>
      </c>
      <c r="AF45" s="1" t="s">
        <v>248</v>
      </c>
      <c r="AG45" s="1" t="s">
        <v>328</v>
      </c>
      <c r="AH45" s="1">
        <f>38.3/100</f>
        <v>0.38299999999999995</v>
      </c>
      <c r="AI45" s="14"/>
      <c r="AJ45" s="14"/>
      <c r="AK45" s="1">
        <f>34.54/100</f>
        <v>0.34539999999999998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">
        <f>LOG(AH45/AK45)</f>
        <v>4.4876440737182749E-2</v>
      </c>
      <c r="AZ45" s="12">
        <f>((1-AH45)/(AH45*X45))+((1-AK45)/(W45*AK45))</f>
        <v>0.40536377730171286</v>
      </c>
      <c r="BA45" s="1" t="s">
        <v>283</v>
      </c>
    </row>
    <row r="46" spans="1:63" ht="14.25" customHeight="1">
      <c r="A46" s="2">
        <v>497</v>
      </c>
      <c r="B46" s="2" t="s">
        <v>66</v>
      </c>
      <c r="C46" s="1" t="s">
        <v>85</v>
      </c>
      <c r="D46" s="1">
        <v>2023</v>
      </c>
      <c r="E46" s="1">
        <v>2020</v>
      </c>
      <c r="F46" s="1" t="s">
        <v>96</v>
      </c>
      <c r="G46" s="1" t="s">
        <v>109</v>
      </c>
      <c r="H46" s="1">
        <v>-35.136108</v>
      </c>
      <c r="I46" s="1">
        <v>150.68715700000001</v>
      </c>
      <c r="J46" s="1" t="s">
        <v>128</v>
      </c>
      <c r="K46" s="1" t="s">
        <v>112</v>
      </c>
      <c r="L46" s="1" t="s">
        <v>257</v>
      </c>
      <c r="M46" s="1" t="s">
        <v>237</v>
      </c>
      <c r="N46" s="1" t="s">
        <v>238</v>
      </c>
      <c r="O46" s="1" t="s">
        <v>86</v>
      </c>
      <c r="P46" s="1" t="s">
        <v>2</v>
      </c>
      <c r="Q46" s="1" t="s">
        <v>255</v>
      </c>
      <c r="R46" s="1">
        <v>2001</v>
      </c>
      <c r="S46" s="1">
        <v>19</v>
      </c>
      <c r="T46" s="12">
        <f>S46*12</f>
        <v>228</v>
      </c>
      <c r="V46" s="1" t="s">
        <v>2</v>
      </c>
      <c r="W46" s="1">
        <v>6</v>
      </c>
      <c r="X46" s="1">
        <v>18</v>
      </c>
      <c r="Y46" s="1" t="s">
        <v>97</v>
      </c>
      <c r="Z46" s="1" t="s">
        <v>133</v>
      </c>
      <c r="AA46" s="1" t="s">
        <v>1</v>
      </c>
      <c r="AB46" s="1" t="s">
        <v>98</v>
      </c>
      <c r="AC46" s="1" t="s">
        <v>202</v>
      </c>
      <c r="AD46" s="1" t="s">
        <v>99</v>
      </c>
      <c r="AE46" s="1" t="s">
        <v>102</v>
      </c>
      <c r="AF46" s="1" t="s">
        <v>287</v>
      </c>
      <c r="AG46" s="1" t="s">
        <v>328</v>
      </c>
      <c r="AH46" s="1">
        <f>38.6/100</f>
        <v>0.38600000000000001</v>
      </c>
      <c r="AI46" s="14"/>
      <c r="AJ46" s="14"/>
      <c r="AK46" s="1">
        <f>43.9/100</f>
        <v>0.439</v>
      </c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" t="s">
        <v>270</v>
      </c>
      <c r="BB46" s="2"/>
    </row>
    <row r="47" spans="1:63" ht="14.25" customHeight="1">
      <c r="A47" s="2">
        <v>497</v>
      </c>
      <c r="B47" s="2" t="s">
        <v>66</v>
      </c>
      <c r="C47" s="1" t="s">
        <v>85</v>
      </c>
      <c r="D47" s="1">
        <v>2023</v>
      </c>
      <c r="E47" s="1">
        <v>2020</v>
      </c>
      <c r="F47" s="1" t="s">
        <v>96</v>
      </c>
      <c r="G47" s="1" t="s">
        <v>109</v>
      </c>
      <c r="H47" s="1">
        <v>-35.136108</v>
      </c>
      <c r="I47" s="1">
        <v>150.68715700000001</v>
      </c>
      <c r="J47" s="1" t="s">
        <v>128</v>
      </c>
      <c r="K47" s="1" t="s">
        <v>112</v>
      </c>
      <c r="L47" s="1" t="s">
        <v>257</v>
      </c>
      <c r="M47" s="1" t="s">
        <v>237</v>
      </c>
      <c r="N47" s="1" t="s">
        <v>238</v>
      </c>
      <c r="O47" s="1" t="s">
        <v>86</v>
      </c>
      <c r="P47" s="1" t="s">
        <v>2</v>
      </c>
      <c r="Q47" s="1" t="s">
        <v>255</v>
      </c>
      <c r="R47" s="1">
        <v>2001</v>
      </c>
      <c r="S47" s="1">
        <v>19</v>
      </c>
      <c r="T47" s="12">
        <f>S47*12</f>
        <v>228</v>
      </c>
      <c r="V47" s="1" t="s">
        <v>2</v>
      </c>
      <c r="W47" s="1">
        <v>6</v>
      </c>
      <c r="X47" s="1">
        <v>18</v>
      </c>
      <c r="Y47" s="1" t="s">
        <v>97</v>
      </c>
      <c r="Z47" s="1" t="s">
        <v>133</v>
      </c>
      <c r="AA47" s="1" t="s">
        <v>1</v>
      </c>
      <c r="AB47" s="1" t="s">
        <v>98</v>
      </c>
      <c r="AC47" s="1" t="s">
        <v>202</v>
      </c>
      <c r="AD47" s="1" t="s">
        <v>99</v>
      </c>
      <c r="AE47" s="1" t="s">
        <v>102</v>
      </c>
      <c r="AF47" s="1" t="s">
        <v>388</v>
      </c>
      <c r="AG47" s="1" t="s">
        <v>327</v>
      </c>
      <c r="AH47" s="1">
        <f>27.9/100</f>
        <v>0.27899999999999997</v>
      </c>
      <c r="AI47" s="14"/>
      <c r="AJ47" s="14"/>
      <c r="AK47" s="1">
        <f>28.4/100</f>
        <v>0.28399999999999997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" t="s">
        <v>270</v>
      </c>
      <c r="BB47" s="2"/>
    </row>
    <row r="48" spans="1:63" ht="14.25" customHeight="1">
      <c r="A48" s="2">
        <v>481</v>
      </c>
      <c r="B48" s="2" t="s">
        <v>64</v>
      </c>
      <c r="C48" s="1" t="s">
        <v>85</v>
      </c>
      <c r="D48" s="1">
        <v>2022</v>
      </c>
      <c r="E48" s="1" t="s">
        <v>141</v>
      </c>
      <c r="F48" s="1" t="s">
        <v>96</v>
      </c>
      <c r="G48" s="1" t="s">
        <v>161</v>
      </c>
      <c r="H48" s="1">
        <v>-37.911065999999998</v>
      </c>
      <c r="I48" s="1">
        <v>143.81197700000001</v>
      </c>
      <c r="J48" s="1" t="s">
        <v>128</v>
      </c>
      <c r="K48" s="1" t="s">
        <v>112</v>
      </c>
      <c r="L48" s="1" t="s">
        <v>180</v>
      </c>
      <c r="M48" s="1" t="s">
        <v>237</v>
      </c>
      <c r="N48" s="1" t="s">
        <v>238</v>
      </c>
      <c r="O48" s="1" t="s">
        <v>86</v>
      </c>
      <c r="P48" s="1" t="s">
        <v>129</v>
      </c>
      <c r="Q48" s="1" t="s">
        <v>93</v>
      </c>
      <c r="R48" s="1">
        <v>2009</v>
      </c>
      <c r="S48" s="1">
        <v>8</v>
      </c>
      <c r="T48" s="12">
        <f>S48*12</f>
        <v>96</v>
      </c>
      <c r="V48" s="1" t="s">
        <v>2</v>
      </c>
      <c r="W48" s="1">
        <v>4</v>
      </c>
      <c r="X48" s="1">
        <v>6</v>
      </c>
      <c r="Y48" s="1" t="s">
        <v>97</v>
      </c>
      <c r="Z48" s="1" t="s">
        <v>133</v>
      </c>
      <c r="AA48" s="1" t="s">
        <v>1</v>
      </c>
      <c r="AB48" s="1" t="s">
        <v>98</v>
      </c>
      <c r="AC48" s="1" t="s">
        <v>202</v>
      </c>
      <c r="AD48" s="1" t="s">
        <v>99</v>
      </c>
      <c r="AE48" s="1" t="s">
        <v>100</v>
      </c>
      <c r="AF48" s="12" t="s">
        <v>149</v>
      </c>
      <c r="AG48" s="12" t="s">
        <v>318</v>
      </c>
      <c r="AH48" s="12">
        <v>4.09</v>
      </c>
      <c r="AI48" s="12">
        <f>4.49-3.92</f>
        <v>0.57000000000000028</v>
      </c>
      <c r="AJ48" s="12"/>
      <c r="AK48" s="12">
        <v>4.45</v>
      </c>
      <c r="AL48" s="12">
        <f>4.53-4.37</f>
        <v>0.16000000000000014</v>
      </c>
      <c r="AM48" s="12"/>
      <c r="AN48" s="12">
        <f>AH48-AK48</f>
        <v>-0.36000000000000032</v>
      </c>
      <c r="AO48" s="1">
        <f>SQRT((((X48-1)*AI48^2)+((W48-1)*AL48^2))/(X48+W48-2))</f>
        <v>0.46115344517850043</v>
      </c>
      <c r="AP48" s="1">
        <f>AN48/AO48</f>
        <v>-0.78065122089818439</v>
      </c>
      <c r="AQ48" s="1">
        <f>1/X48+1/W48+(AP48^2)/(2*(X48+W48))</f>
        <v>0.44713748310115792</v>
      </c>
      <c r="AR48" s="1">
        <f>1-(3/(4*(X48+W48-2)-1))</f>
        <v>0.90322580645161288</v>
      </c>
      <c r="AS48" s="21">
        <f>AP48*AR48</f>
        <v>-0.70510432855319882</v>
      </c>
      <c r="AT48" s="21">
        <f>AQ48*(AR48^2)</f>
        <v>0.36478229630729214</v>
      </c>
      <c r="AU48" s="21">
        <f>SQRT(AQ48*AR48^2)</f>
        <v>0.60397209894770154</v>
      </c>
      <c r="AV48" s="20">
        <f>1/AT48</f>
        <v>2.741361108044567</v>
      </c>
      <c r="AW48" s="20">
        <f>AS48/AT48</f>
        <v>-1.9329455834096176</v>
      </c>
      <c r="AX48" s="20">
        <f>((AS48)^2)/AT48</f>
        <v>1.3629282977199095</v>
      </c>
      <c r="AY48" s="14"/>
      <c r="AZ48" s="14"/>
      <c r="BA48" s="1" t="s">
        <v>270</v>
      </c>
      <c r="BB48" s="2"/>
    </row>
    <row r="49" spans="1:54" ht="14.25" customHeight="1">
      <c r="A49" s="2">
        <v>481</v>
      </c>
      <c r="B49" s="2" t="s">
        <v>64</v>
      </c>
      <c r="C49" s="1" t="s">
        <v>85</v>
      </c>
      <c r="D49" s="1">
        <v>2022</v>
      </c>
      <c r="E49" s="1" t="s">
        <v>141</v>
      </c>
      <c r="F49" s="1" t="s">
        <v>96</v>
      </c>
      <c r="G49" s="1" t="s">
        <v>161</v>
      </c>
      <c r="H49" s="1">
        <v>-37.911065999999998</v>
      </c>
      <c r="I49" s="1">
        <v>143.81197700000001</v>
      </c>
      <c r="J49" s="1" t="s">
        <v>128</v>
      </c>
      <c r="K49" s="1" t="s">
        <v>112</v>
      </c>
      <c r="L49" s="1" t="s">
        <v>180</v>
      </c>
      <c r="M49" s="1" t="s">
        <v>237</v>
      </c>
      <c r="N49" s="1" t="s">
        <v>238</v>
      </c>
      <c r="O49" s="1" t="s">
        <v>86</v>
      </c>
      <c r="P49" s="1" t="s">
        <v>129</v>
      </c>
      <c r="Q49" s="1" t="s">
        <v>93</v>
      </c>
      <c r="R49" s="1">
        <v>2009</v>
      </c>
      <c r="S49" s="1">
        <v>8</v>
      </c>
      <c r="T49" s="1">
        <f t="shared" ref="T49:T50" si="27">S49*12</f>
        <v>96</v>
      </c>
      <c r="V49" s="1" t="s">
        <v>2</v>
      </c>
      <c r="W49" s="1">
        <v>4</v>
      </c>
      <c r="X49" s="1">
        <v>6</v>
      </c>
      <c r="Y49" s="1" t="s">
        <v>97</v>
      </c>
      <c r="Z49" s="1" t="s">
        <v>133</v>
      </c>
      <c r="AA49" s="1" t="s">
        <v>1</v>
      </c>
      <c r="AB49" s="1" t="s">
        <v>98</v>
      </c>
      <c r="AC49" s="1" t="s">
        <v>202</v>
      </c>
      <c r="AD49" s="1" t="s">
        <v>99</v>
      </c>
      <c r="AE49" s="1" t="s">
        <v>100</v>
      </c>
      <c r="AF49" s="1" t="s">
        <v>258</v>
      </c>
      <c r="AG49" s="1" t="s">
        <v>316</v>
      </c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" t="s">
        <v>285</v>
      </c>
    </row>
    <row r="50" spans="1:54" ht="14.25" customHeight="1">
      <c r="A50" s="2">
        <v>481</v>
      </c>
      <c r="B50" s="2" t="s">
        <v>64</v>
      </c>
      <c r="C50" s="1" t="s">
        <v>85</v>
      </c>
      <c r="D50" s="1">
        <v>2022</v>
      </c>
      <c r="E50" s="1" t="s">
        <v>141</v>
      </c>
      <c r="F50" s="1" t="s">
        <v>96</v>
      </c>
      <c r="G50" s="1" t="s">
        <v>161</v>
      </c>
      <c r="H50" s="1">
        <v>-37.911065999999998</v>
      </c>
      <c r="I50" s="1">
        <v>143.81197700000001</v>
      </c>
      <c r="J50" s="1" t="s">
        <v>128</v>
      </c>
      <c r="K50" s="1" t="s">
        <v>112</v>
      </c>
      <c r="L50" s="1" t="s">
        <v>180</v>
      </c>
      <c r="M50" s="1" t="s">
        <v>237</v>
      </c>
      <c r="N50" s="1" t="s">
        <v>238</v>
      </c>
      <c r="O50" s="1" t="s">
        <v>86</v>
      </c>
      <c r="P50" s="1" t="s">
        <v>129</v>
      </c>
      <c r="Q50" s="1" t="s">
        <v>93</v>
      </c>
      <c r="R50" s="1">
        <v>2009</v>
      </c>
      <c r="S50" s="1">
        <v>8</v>
      </c>
      <c r="T50" s="1">
        <f t="shared" si="27"/>
        <v>96</v>
      </c>
      <c r="V50" s="1" t="s">
        <v>2</v>
      </c>
      <c r="W50" s="1">
        <v>4</v>
      </c>
      <c r="X50" s="1">
        <v>6</v>
      </c>
      <c r="Y50" s="1" t="s">
        <v>97</v>
      </c>
      <c r="Z50" s="1" t="s">
        <v>133</v>
      </c>
      <c r="AA50" s="1" t="s">
        <v>1</v>
      </c>
      <c r="AB50" s="1" t="s">
        <v>98</v>
      </c>
      <c r="AC50" s="1" t="s">
        <v>202</v>
      </c>
      <c r="AD50" s="1" t="s">
        <v>99</v>
      </c>
      <c r="AE50" s="1" t="s">
        <v>100</v>
      </c>
      <c r="AF50" s="1" t="s">
        <v>254</v>
      </c>
      <c r="AG50" s="1" t="s">
        <v>329</v>
      </c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" t="s">
        <v>285</v>
      </c>
    </row>
    <row r="51" spans="1:54" ht="14.25" customHeight="1">
      <c r="A51" s="2">
        <v>481</v>
      </c>
      <c r="B51" s="2" t="s">
        <v>64</v>
      </c>
      <c r="C51" s="1" t="s">
        <v>85</v>
      </c>
      <c r="D51" s="1">
        <v>2022</v>
      </c>
      <c r="E51" s="1" t="s">
        <v>141</v>
      </c>
      <c r="F51" s="1" t="s">
        <v>96</v>
      </c>
      <c r="G51" s="1" t="s">
        <v>161</v>
      </c>
      <c r="H51" s="1">
        <v>-37.911065999999998</v>
      </c>
      <c r="I51" s="1">
        <v>143.81197700000001</v>
      </c>
      <c r="J51" s="1" t="s">
        <v>128</v>
      </c>
      <c r="K51" s="1" t="s">
        <v>112</v>
      </c>
      <c r="L51" s="1" t="s">
        <v>180</v>
      </c>
      <c r="M51" s="1" t="s">
        <v>237</v>
      </c>
      <c r="N51" s="1" t="s">
        <v>238</v>
      </c>
      <c r="O51" s="1" t="s">
        <v>86</v>
      </c>
      <c r="P51" s="1" t="s">
        <v>129</v>
      </c>
      <c r="Q51" s="1" t="s">
        <v>93</v>
      </c>
      <c r="R51" s="1">
        <v>2009</v>
      </c>
      <c r="S51" s="1">
        <v>8</v>
      </c>
      <c r="T51" s="12">
        <f>S51*12</f>
        <v>96</v>
      </c>
      <c r="V51" s="1" t="s">
        <v>2</v>
      </c>
      <c r="W51" s="1">
        <v>4</v>
      </c>
      <c r="X51" s="1">
        <v>6</v>
      </c>
      <c r="Y51" s="1" t="s">
        <v>97</v>
      </c>
      <c r="Z51" s="1" t="s">
        <v>288</v>
      </c>
      <c r="AA51" s="1" t="s">
        <v>1</v>
      </c>
      <c r="AB51" s="1" t="s">
        <v>98</v>
      </c>
      <c r="AC51" s="1" t="s">
        <v>202</v>
      </c>
      <c r="AD51" s="1" t="s">
        <v>99</v>
      </c>
      <c r="AE51" s="1" t="s">
        <v>100</v>
      </c>
      <c r="AF51" s="12" t="s">
        <v>149</v>
      </c>
      <c r="AG51" s="12" t="s">
        <v>318</v>
      </c>
      <c r="AH51" s="12">
        <v>3.8</v>
      </c>
      <c r="AI51" s="12">
        <f>3.91-3.72</f>
        <v>0.18999999999999995</v>
      </c>
      <c r="AJ51" s="12"/>
      <c r="AK51" s="12">
        <v>3.81</v>
      </c>
      <c r="AL51" s="12">
        <f>4.02-3.61</f>
        <v>0.4099999999999997</v>
      </c>
      <c r="AM51" s="12"/>
      <c r="AN51" s="12">
        <f>AH51-AK51</f>
        <v>-1.0000000000000231E-2</v>
      </c>
      <c r="AO51" s="1">
        <f>SQRT((((X51-1)*AI51^2)+((W51-1)*AL51^2))/(X51+W51-2))</f>
        <v>0.29257477676655569</v>
      </c>
      <c r="AP51" s="1">
        <f>AN51/AO51</f>
        <v>-3.417929635123397E-2</v>
      </c>
      <c r="AQ51" s="1">
        <f>1/X51+1/W51+(AP51^2)/(2*(X51+W51))</f>
        <v>0.41672507788161989</v>
      </c>
      <c r="AR51" s="1">
        <f>1-(3/(4*(X51+W51-2)-1))</f>
        <v>0.90322580645161288</v>
      </c>
      <c r="AS51" s="21">
        <f>AP51*AR51</f>
        <v>-3.0871622510791973E-2</v>
      </c>
      <c r="AT51" s="21">
        <f>AQ51*(AR51^2)</f>
        <v>0.33997134345389174</v>
      </c>
      <c r="AU51" s="21">
        <f>SQRT(AQ51*AR51^2)</f>
        <v>0.58307061618117217</v>
      </c>
      <c r="AV51" s="20">
        <f>1/AT51</f>
        <v>2.9414243854809601</v>
      </c>
      <c r="AW51" s="20">
        <f>AS51/AT51</f>
        <v>-9.0806543272606455E-2</v>
      </c>
      <c r="AX51" s="20">
        <f>((AS51)^2)/AT51</f>
        <v>2.8033453254218028E-3</v>
      </c>
      <c r="AY51" s="14"/>
      <c r="AZ51" s="14"/>
      <c r="BA51" s="1" t="s">
        <v>270</v>
      </c>
      <c r="BB51" s="2"/>
    </row>
    <row r="52" spans="1:54" ht="14.25" customHeight="1">
      <c r="A52" s="2">
        <v>481</v>
      </c>
      <c r="B52" s="2" t="s">
        <v>64</v>
      </c>
      <c r="C52" s="1" t="s">
        <v>85</v>
      </c>
      <c r="D52" s="1">
        <v>2022</v>
      </c>
      <c r="E52" s="1" t="s">
        <v>141</v>
      </c>
      <c r="F52" s="1" t="s">
        <v>96</v>
      </c>
      <c r="G52" s="1" t="s">
        <v>161</v>
      </c>
      <c r="H52" s="1">
        <v>-37.911065999999998</v>
      </c>
      <c r="I52" s="1">
        <v>143.81197700000001</v>
      </c>
      <c r="J52" s="1" t="s">
        <v>128</v>
      </c>
      <c r="K52" s="1" t="s">
        <v>112</v>
      </c>
      <c r="L52" s="1" t="s">
        <v>180</v>
      </c>
      <c r="M52" s="1" t="s">
        <v>237</v>
      </c>
      <c r="N52" s="1" t="s">
        <v>238</v>
      </c>
      <c r="O52" s="1" t="s">
        <v>86</v>
      </c>
      <c r="P52" s="1" t="s">
        <v>129</v>
      </c>
      <c r="Q52" s="1" t="s">
        <v>93</v>
      </c>
      <c r="R52" s="1">
        <v>2009</v>
      </c>
      <c r="S52" s="1">
        <v>8</v>
      </c>
      <c r="T52" s="1">
        <f t="shared" ref="T52:T53" si="28">S52*12</f>
        <v>96</v>
      </c>
      <c r="V52" s="1" t="s">
        <v>2</v>
      </c>
      <c r="W52" s="1">
        <v>4</v>
      </c>
      <c r="X52" s="1">
        <v>6</v>
      </c>
      <c r="Y52" s="1" t="s">
        <v>97</v>
      </c>
      <c r="Z52" s="1" t="s">
        <v>288</v>
      </c>
      <c r="AA52" s="1" t="s">
        <v>1</v>
      </c>
      <c r="AB52" s="1" t="s">
        <v>98</v>
      </c>
      <c r="AC52" s="1" t="s">
        <v>202</v>
      </c>
      <c r="AD52" s="1" t="s">
        <v>99</v>
      </c>
      <c r="AE52" s="1" t="s">
        <v>100</v>
      </c>
      <c r="AF52" s="1" t="s">
        <v>258</v>
      </c>
      <c r="AG52" s="1" t="s">
        <v>316</v>
      </c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" t="s">
        <v>285</v>
      </c>
    </row>
    <row r="53" spans="1:54" ht="14.25" customHeight="1">
      <c r="A53" s="2">
        <v>481</v>
      </c>
      <c r="B53" s="2" t="s">
        <v>64</v>
      </c>
      <c r="C53" s="1" t="s">
        <v>85</v>
      </c>
      <c r="D53" s="1">
        <v>2022</v>
      </c>
      <c r="E53" s="1" t="s">
        <v>141</v>
      </c>
      <c r="F53" s="1" t="s">
        <v>96</v>
      </c>
      <c r="G53" s="1" t="s">
        <v>161</v>
      </c>
      <c r="H53" s="1">
        <v>-37.911065999999998</v>
      </c>
      <c r="I53" s="1">
        <v>143.81197700000001</v>
      </c>
      <c r="J53" s="1" t="s">
        <v>128</v>
      </c>
      <c r="K53" s="1" t="s">
        <v>112</v>
      </c>
      <c r="L53" s="1" t="s">
        <v>180</v>
      </c>
      <c r="M53" s="1" t="s">
        <v>237</v>
      </c>
      <c r="N53" s="1" t="s">
        <v>238</v>
      </c>
      <c r="O53" s="1" t="s">
        <v>86</v>
      </c>
      <c r="P53" s="1" t="s">
        <v>129</v>
      </c>
      <c r="Q53" s="1" t="s">
        <v>93</v>
      </c>
      <c r="R53" s="1">
        <v>2009</v>
      </c>
      <c r="S53" s="1">
        <v>8</v>
      </c>
      <c r="T53" s="1">
        <f t="shared" si="28"/>
        <v>96</v>
      </c>
      <c r="V53" s="1" t="s">
        <v>2</v>
      </c>
      <c r="W53" s="1">
        <v>4</v>
      </c>
      <c r="X53" s="1">
        <v>6</v>
      </c>
      <c r="Y53" s="1" t="s">
        <v>97</v>
      </c>
      <c r="Z53" s="1" t="s">
        <v>288</v>
      </c>
      <c r="AA53" s="1" t="s">
        <v>1</v>
      </c>
      <c r="AB53" s="1" t="s">
        <v>98</v>
      </c>
      <c r="AC53" s="1" t="s">
        <v>202</v>
      </c>
      <c r="AD53" s="1" t="s">
        <v>99</v>
      </c>
      <c r="AE53" s="1" t="s">
        <v>100</v>
      </c>
      <c r="AF53" s="1" t="s">
        <v>254</v>
      </c>
      <c r="AG53" s="1" t="s">
        <v>329</v>
      </c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" t="s">
        <v>285</v>
      </c>
    </row>
    <row r="54" spans="1:54" ht="14.25" customHeight="1">
      <c r="A54" s="2">
        <v>260</v>
      </c>
      <c r="B54" s="2" t="s">
        <v>41</v>
      </c>
      <c r="C54" s="1" t="s">
        <v>85</v>
      </c>
      <c r="D54" s="1">
        <v>2021</v>
      </c>
      <c r="E54" s="1">
        <v>2014</v>
      </c>
      <c r="F54" s="1" t="s">
        <v>143</v>
      </c>
      <c r="G54" s="1" t="s">
        <v>226</v>
      </c>
      <c r="H54" s="1">
        <v>32.396189999999997</v>
      </c>
      <c r="I54" s="1">
        <v>-110.6938</v>
      </c>
      <c r="J54" s="1" t="s">
        <v>382</v>
      </c>
      <c r="K54" s="1" t="s">
        <v>176</v>
      </c>
      <c r="L54" s="1" t="s">
        <v>192</v>
      </c>
      <c r="M54" s="1" t="s">
        <v>236</v>
      </c>
      <c r="N54" s="1" t="s">
        <v>238</v>
      </c>
      <c r="O54" s="1" t="s">
        <v>86</v>
      </c>
      <c r="P54" s="1" t="s">
        <v>210</v>
      </c>
      <c r="Q54" s="1" t="s">
        <v>93</v>
      </c>
      <c r="R54" s="1">
        <v>2003</v>
      </c>
      <c r="S54" s="1">
        <v>11</v>
      </c>
      <c r="T54" s="12">
        <f>S54*12</f>
        <v>132</v>
      </c>
      <c r="V54" s="1">
        <v>32250</v>
      </c>
      <c r="W54" s="1">
        <v>33</v>
      </c>
      <c r="X54" s="1">
        <v>33</v>
      </c>
      <c r="Y54" s="1" t="s">
        <v>134</v>
      </c>
      <c r="Z54" s="1" t="s">
        <v>2</v>
      </c>
      <c r="AA54" s="1" t="s">
        <v>1</v>
      </c>
      <c r="AB54" s="1" t="s">
        <v>98</v>
      </c>
      <c r="AC54" s="1" t="s">
        <v>158</v>
      </c>
      <c r="AD54" s="1" t="s">
        <v>2</v>
      </c>
      <c r="AE54" s="1" t="s">
        <v>100</v>
      </c>
      <c r="AF54" s="12" t="str">
        <f xml:space="preserve"> J54&amp;"_"&amp;"Shannon_diversity"</f>
        <v>ECM_Shannon_diversity</v>
      </c>
      <c r="AG54" s="12" t="s">
        <v>315</v>
      </c>
      <c r="AH54" s="12">
        <v>1.6</v>
      </c>
      <c r="AI54" s="12">
        <f>1.78-1.52</f>
        <v>0.26</v>
      </c>
      <c r="AJ54" s="12"/>
      <c r="AK54" s="12">
        <v>1.29</v>
      </c>
      <c r="AL54" s="12">
        <f>1.67-1.02</f>
        <v>0.64999999999999991</v>
      </c>
      <c r="AM54" s="12"/>
      <c r="AN54" s="12">
        <f>AH54-AK54</f>
        <v>0.31000000000000005</v>
      </c>
      <c r="AO54" s="1">
        <f>SQRT((((X54-1)*AI54^2)+((W54-1)*AL54^2))/(X54+W54-2))</f>
        <v>0.49502525188115398</v>
      </c>
      <c r="AP54" s="1">
        <f>AN54/AO54</f>
        <v>0.62623067979252311</v>
      </c>
      <c r="AQ54" s="1">
        <f>1/X54+1/W54+(AP54^2)/(2*(X54+W54))</f>
        <v>6.3577006547828829E-2</v>
      </c>
      <c r="AR54" s="1">
        <f>1-(3/(4*(X54+W54-2)-1))</f>
        <v>0.9882352941176471</v>
      </c>
      <c r="AS54" s="21">
        <f>AP54*AR54</f>
        <v>0.61886326003025816</v>
      </c>
      <c r="AT54" s="21">
        <f>AQ54*(AR54^2)</f>
        <v>6.2089876567678927E-2</v>
      </c>
      <c r="AU54" s="21">
        <f>SQRT(AQ54*AR54^2)</f>
        <v>0.24917840309240069</v>
      </c>
      <c r="AV54" s="20">
        <f>1/AT54</f>
        <v>16.105685101660406</v>
      </c>
      <c r="AW54" s="20">
        <f>AS54/AT54</f>
        <v>9.9672167870343173</v>
      </c>
      <c r="AX54" s="20">
        <f>((AS54)^2)/AT54</f>
        <v>6.1683442742523731</v>
      </c>
      <c r="AY54" s="14"/>
      <c r="AZ54" s="14"/>
      <c r="BA54" s="1" t="s">
        <v>270</v>
      </c>
      <c r="BB54" s="2"/>
    </row>
    <row r="55" spans="1:54" ht="14.25" customHeight="1">
      <c r="A55" s="2">
        <v>260</v>
      </c>
      <c r="B55" s="2" t="s">
        <v>41</v>
      </c>
      <c r="C55" s="1" t="s">
        <v>85</v>
      </c>
      <c r="D55" s="1">
        <v>2021</v>
      </c>
      <c r="E55" s="1">
        <v>2014</v>
      </c>
      <c r="F55" s="1" t="s">
        <v>143</v>
      </c>
      <c r="G55" s="1" t="s">
        <v>226</v>
      </c>
      <c r="H55" s="1">
        <v>32.396189999999997</v>
      </c>
      <c r="I55" s="1">
        <v>-110.6938</v>
      </c>
      <c r="J55" s="1" t="s">
        <v>382</v>
      </c>
      <c r="K55" s="1" t="s">
        <v>176</v>
      </c>
      <c r="L55" s="1" t="s">
        <v>192</v>
      </c>
      <c r="M55" s="1" t="s">
        <v>236</v>
      </c>
      <c r="N55" s="1" t="s">
        <v>238</v>
      </c>
      <c r="O55" s="1" t="s">
        <v>86</v>
      </c>
      <c r="P55" s="1" t="s">
        <v>210</v>
      </c>
      <c r="Q55" s="1" t="s">
        <v>93</v>
      </c>
      <c r="R55" s="1">
        <v>2003</v>
      </c>
      <c r="S55" s="1">
        <v>11</v>
      </c>
      <c r="T55" s="12">
        <f>S55*12</f>
        <v>132</v>
      </c>
      <c r="V55" s="1">
        <v>32250</v>
      </c>
      <c r="W55" s="1">
        <v>33</v>
      </c>
      <c r="X55" s="1">
        <v>33</v>
      </c>
      <c r="Y55" s="1" t="s">
        <v>134</v>
      </c>
      <c r="Z55" s="1" t="s">
        <v>2</v>
      </c>
      <c r="AA55" s="1" t="s">
        <v>1</v>
      </c>
      <c r="AB55" s="1" t="s">
        <v>98</v>
      </c>
      <c r="AC55" s="1" t="s">
        <v>158</v>
      </c>
      <c r="AD55" s="1" t="s">
        <v>2</v>
      </c>
      <c r="AE55" s="1" t="s">
        <v>100</v>
      </c>
      <c r="AF55" s="12" t="str">
        <f>J55&amp;"_"&amp;"Richness"</f>
        <v>ECM_Richness</v>
      </c>
      <c r="AG55" s="12" t="s">
        <v>314</v>
      </c>
      <c r="AH55" s="12">
        <v>7.5</v>
      </c>
      <c r="AI55" s="12">
        <f>8.9-6.1</f>
        <v>2.8000000000000007</v>
      </c>
      <c r="AJ55" s="12"/>
      <c r="AK55" s="12">
        <v>6</v>
      </c>
      <c r="AL55" s="12">
        <f>7.3-4.7</f>
        <v>2.5999999999999996</v>
      </c>
      <c r="AM55" s="12"/>
      <c r="AN55" s="12">
        <f>AH55-AK55</f>
        <v>1.5</v>
      </c>
      <c r="AO55" s="1">
        <f>SQRT((((X55-1)*AI55^2)+((W55-1)*AL55^2))/(X55+W55-2))</f>
        <v>2.7018512172212592</v>
      </c>
      <c r="AP55" s="1">
        <f>AN55/AO55</f>
        <v>0.55517490764820399</v>
      </c>
      <c r="AQ55" s="1">
        <f>1/X55+1/W55+(AP55^2)/(2*(X55+W55))</f>
        <v>6.2941054379410541E-2</v>
      </c>
      <c r="AR55" s="1">
        <f>1-(3/(4*(X55+W55-2)-1))</f>
        <v>0.9882352941176471</v>
      </c>
      <c r="AS55" s="21">
        <f>AP55*AR55</f>
        <v>0.54864343814646044</v>
      </c>
      <c r="AT55" s="21">
        <f>AQ55*(AR55^2)</f>
        <v>6.1468799958632643E-2</v>
      </c>
      <c r="AU55" s="21">
        <f>SQRT(AQ55*AR55^2)</f>
        <v>0.2479290220176586</v>
      </c>
      <c r="AV55" s="20">
        <f>1/AT55</f>
        <v>16.268415857686847</v>
      </c>
      <c r="AW55" s="20">
        <f>AS55/AT55</f>
        <v>8.9255596093577108</v>
      </c>
      <c r="AX55" s="20">
        <f>((AS55)^2)/AT55</f>
        <v>4.8969497114591922</v>
      </c>
      <c r="AY55" s="14"/>
      <c r="AZ55" s="14"/>
      <c r="BA55" s="1" t="s">
        <v>270</v>
      </c>
      <c r="BB55" s="2"/>
    </row>
    <row r="56" spans="1:54" ht="14.25" customHeight="1">
      <c r="A56" s="2">
        <v>260</v>
      </c>
      <c r="B56" s="2" t="s">
        <v>41</v>
      </c>
      <c r="C56" s="1" t="s">
        <v>85</v>
      </c>
      <c r="D56" s="1">
        <v>2021</v>
      </c>
      <c r="E56" s="1">
        <v>2014</v>
      </c>
      <c r="F56" s="1" t="s">
        <v>143</v>
      </c>
      <c r="G56" s="1" t="s">
        <v>226</v>
      </c>
      <c r="H56" s="1">
        <v>32.396189999999997</v>
      </c>
      <c r="I56" s="1">
        <v>-110.6938</v>
      </c>
      <c r="J56" s="1" t="s">
        <v>382</v>
      </c>
      <c r="K56" s="1" t="s">
        <v>176</v>
      </c>
      <c r="L56" s="1" t="s">
        <v>192</v>
      </c>
      <c r="M56" s="1" t="s">
        <v>236</v>
      </c>
      <c r="N56" s="1" t="s">
        <v>238</v>
      </c>
      <c r="O56" s="1" t="s">
        <v>86</v>
      </c>
      <c r="P56" s="1" t="s">
        <v>210</v>
      </c>
      <c r="Q56" s="1" t="s">
        <v>93</v>
      </c>
      <c r="R56" s="1">
        <v>2003</v>
      </c>
      <c r="S56" s="1">
        <v>11</v>
      </c>
      <c r="T56" s="1">
        <f>S56*12</f>
        <v>132</v>
      </c>
      <c r="V56" s="1">
        <v>32250</v>
      </c>
      <c r="W56" s="1">
        <v>33</v>
      </c>
      <c r="X56" s="1">
        <v>33</v>
      </c>
      <c r="Y56" s="1" t="s">
        <v>134</v>
      </c>
      <c r="Z56" s="1" t="s">
        <v>2</v>
      </c>
      <c r="AA56" s="1" t="s">
        <v>1</v>
      </c>
      <c r="AB56" s="1" t="s">
        <v>98</v>
      </c>
      <c r="AC56" s="1" t="s">
        <v>158</v>
      </c>
      <c r="AD56" s="1" t="s">
        <v>2</v>
      </c>
      <c r="AE56" s="1" t="s">
        <v>100</v>
      </c>
      <c r="AF56" s="12" t="str">
        <f>J56&amp;"_"&amp;"NMDS_ordination"</f>
        <v>ECM_NMDS_ordination</v>
      </c>
      <c r="AG56" s="12" t="s">
        <v>316</v>
      </c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" t="s">
        <v>285</v>
      </c>
    </row>
    <row r="57" spans="1:54" ht="14.25" customHeight="1">
      <c r="A57" s="2">
        <v>260</v>
      </c>
      <c r="B57" s="2" t="s">
        <v>41</v>
      </c>
      <c r="C57" s="1" t="s">
        <v>85</v>
      </c>
      <c r="D57" s="1">
        <v>2021</v>
      </c>
      <c r="E57" s="1">
        <v>2014</v>
      </c>
      <c r="F57" s="1" t="s">
        <v>143</v>
      </c>
      <c r="G57" s="1" t="s">
        <v>226</v>
      </c>
      <c r="H57" s="1">
        <v>32.650438000000001</v>
      </c>
      <c r="I57" s="1">
        <v>-109.84411299999999</v>
      </c>
      <c r="J57" s="1" t="s">
        <v>382</v>
      </c>
      <c r="K57" s="1" t="s">
        <v>176</v>
      </c>
      <c r="L57" s="1" t="s">
        <v>192</v>
      </c>
      <c r="M57" s="1" t="s">
        <v>236</v>
      </c>
      <c r="N57" s="1" t="s">
        <v>238</v>
      </c>
      <c r="O57" s="1" t="s">
        <v>86</v>
      </c>
      <c r="P57" s="1" t="s">
        <v>210</v>
      </c>
      <c r="Q57" s="1" t="s">
        <v>93</v>
      </c>
      <c r="R57" s="1">
        <v>2004</v>
      </c>
      <c r="S57" s="1">
        <v>10</v>
      </c>
      <c r="T57" s="12">
        <f>S57*12</f>
        <v>120</v>
      </c>
      <c r="V57" s="1">
        <v>19892</v>
      </c>
      <c r="W57" s="1">
        <v>30</v>
      </c>
      <c r="X57" s="1">
        <v>30</v>
      </c>
      <c r="Y57" s="1" t="s">
        <v>134</v>
      </c>
      <c r="Z57" s="1" t="s">
        <v>2</v>
      </c>
      <c r="AA57" s="1" t="s">
        <v>1</v>
      </c>
      <c r="AB57" s="1" t="s">
        <v>98</v>
      </c>
      <c r="AC57" s="1" t="s">
        <v>158</v>
      </c>
      <c r="AD57" s="1" t="s">
        <v>2</v>
      </c>
      <c r="AE57" s="1" t="s">
        <v>100</v>
      </c>
      <c r="AF57" s="12" t="str">
        <f xml:space="preserve"> J57&amp;"_"&amp;"Shannon_diversity"</f>
        <v>ECM_Shannon_diversity</v>
      </c>
      <c r="AG57" s="12" t="s">
        <v>315</v>
      </c>
      <c r="AH57" s="12">
        <v>1.6</v>
      </c>
      <c r="AI57" s="12">
        <f>1.78-1.52</f>
        <v>0.26</v>
      </c>
      <c r="AJ57" s="12"/>
      <c r="AK57" s="12">
        <v>1.29</v>
      </c>
      <c r="AL57" s="12">
        <f>1.67-1.02</f>
        <v>0.64999999999999991</v>
      </c>
      <c r="AM57" s="12"/>
      <c r="AN57" s="12">
        <f>AH57-AK57</f>
        <v>0.31000000000000005</v>
      </c>
      <c r="AO57" s="1">
        <f>SQRT((((X57-1)*AI57^2)+((W57-1)*AL57^2))/(X57+W57-2))</f>
        <v>0.49502525188115398</v>
      </c>
      <c r="AP57" s="1">
        <f>AN57/AO57</f>
        <v>0.62623067979252311</v>
      </c>
      <c r="AQ57" s="1">
        <f>1/X57+1/W57+(AP57^2)/(2*(X57+W57))</f>
        <v>6.9934707202611718E-2</v>
      </c>
      <c r="AR57" s="1">
        <f>1-(3/(4*(X57+W57-2)-1))</f>
        <v>0.98701298701298701</v>
      </c>
      <c r="AS57" s="21">
        <f>AP57*AR57</f>
        <v>0.61809781382119167</v>
      </c>
      <c r="AT57" s="21">
        <f>AQ57*(AR57^2)</f>
        <v>6.8130016664241067E-2</v>
      </c>
      <c r="AU57" s="21">
        <f>SQRT(AQ57*AR57^2)</f>
        <v>0.26101727273159736</v>
      </c>
      <c r="AV57" s="20">
        <f>1/AT57</f>
        <v>14.677818221125772</v>
      </c>
      <c r="AW57" s="20">
        <f>AS57/AT57</f>
        <v>9.0723273541426916</v>
      </c>
      <c r="AX57" s="20">
        <f>((AS57)^2)/AT57</f>
        <v>5.6075857038657944</v>
      </c>
      <c r="AY57" s="14"/>
      <c r="AZ57" s="14"/>
      <c r="BA57" s="1" t="s">
        <v>270</v>
      </c>
      <c r="BB57" s="2"/>
    </row>
    <row r="58" spans="1:54" ht="14.25" customHeight="1">
      <c r="A58" s="2">
        <v>260</v>
      </c>
      <c r="B58" s="2" t="s">
        <v>41</v>
      </c>
      <c r="C58" s="1" t="s">
        <v>85</v>
      </c>
      <c r="D58" s="1">
        <v>2021</v>
      </c>
      <c r="E58" s="1">
        <v>2014</v>
      </c>
      <c r="F58" s="1" t="s">
        <v>143</v>
      </c>
      <c r="G58" s="1" t="s">
        <v>226</v>
      </c>
      <c r="H58" s="1">
        <v>32.650438000000001</v>
      </c>
      <c r="I58" s="1">
        <v>-109.84411299999999</v>
      </c>
      <c r="J58" s="1" t="s">
        <v>382</v>
      </c>
      <c r="K58" s="1" t="s">
        <v>176</v>
      </c>
      <c r="L58" s="1" t="s">
        <v>192</v>
      </c>
      <c r="M58" s="1" t="s">
        <v>236</v>
      </c>
      <c r="N58" s="1" t="s">
        <v>238</v>
      </c>
      <c r="O58" s="1" t="s">
        <v>86</v>
      </c>
      <c r="P58" s="1" t="s">
        <v>210</v>
      </c>
      <c r="Q58" s="1" t="s">
        <v>93</v>
      </c>
      <c r="R58" s="1">
        <v>2004</v>
      </c>
      <c r="S58" s="1">
        <v>10</v>
      </c>
      <c r="T58" s="12">
        <f>S58*12</f>
        <v>120</v>
      </c>
      <c r="V58" s="1">
        <v>19892</v>
      </c>
      <c r="W58" s="1">
        <v>30</v>
      </c>
      <c r="X58" s="1">
        <v>30</v>
      </c>
      <c r="Y58" s="1" t="s">
        <v>134</v>
      </c>
      <c r="Z58" s="1" t="s">
        <v>2</v>
      </c>
      <c r="AA58" s="1" t="s">
        <v>1</v>
      </c>
      <c r="AB58" s="1" t="s">
        <v>98</v>
      </c>
      <c r="AC58" s="1" t="s">
        <v>158</v>
      </c>
      <c r="AD58" s="1" t="s">
        <v>2</v>
      </c>
      <c r="AE58" s="1" t="s">
        <v>100</v>
      </c>
      <c r="AF58" s="12" t="str">
        <f>J58&amp;"_"&amp;"Richness"</f>
        <v>ECM_Richness</v>
      </c>
      <c r="AG58" s="12" t="s">
        <v>314</v>
      </c>
      <c r="AH58" s="12">
        <v>7.5</v>
      </c>
      <c r="AI58" s="12">
        <v>2.8</v>
      </c>
      <c r="AJ58" s="12"/>
      <c r="AK58" s="12">
        <v>5.4</v>
      </c>
      <c r="AL58" s="12">
        <f>6.8-4</f>
        <v>2.8</v>
      </c>
      <c r="AM58" s="12"/>
      <c r="AN58" s="12">
        <f>AH58-AK58</f>
        <v>2.0999999999999996</v>
      </c>
      <c r="AO58" s="1">
        <f>SQRT((((X58-1)*AI58^2)+((W58-1)*AL58^2))/(X58+W58-2))</f>
        <v>2.8</v>
      </c>
      <c r="AP58" s="1">
        <f>AN58/AO58</f>
        <v>0.74999999999999989</v>
      </c>
      <c r="AQ58" s="1">
        <f>1/X58+1/W58+(AP58^2)/(2*(X58+W58))</f>
        <v>7.1354166666666663E-2</v>
      </c>
      <c r="AR58" s="1">
        <f>1-(3/(4*(X58+W58-2)-1))</f>
        <v>0.98701298701298701</v>
      </c>
      <c r="AS58" s="21">
        <f>AP58*AR58</f>
        <v>0.74025974025974017</v>
      </c>
      <c r="AT58" s="21">
        <f>AQ58*(AR58^2)</f>
        <v>6.9512846460898406E-2</v>
      </c>
      <c r="AU58" s="21">
        <f>SQRT(AQ58*AR58^2)</f>
        <v>0.26365289010533982</v>
      </c>
      <c r="AV58" s="20">
        <f>1/AT58</f>
        <v>14.385830115049437</v>
      </c>
      <c r="AW58" s="20">
        <f>AS58/AT58</f>
        <v>10.649250864387245</v>
      </c>
      <c r="AX58" s="20">
        <f>((AS58)^2)/AT58</f>
        <v>7.8832116788321143</v>
      </c>
      <c r="AY58" s="14"/>
      <c r="AZ58" s="14"/>
      <c r="BA58" s="1" t="s">
        <v>270</v>
      </c>
      <c r="BB58" s="2"/>
    </row>
    <row r="59" spans="1:54" ht="14.25" customHeight="1">
      <c r="A59" s="2">
        <v>260</v>
      </c>
      <c r="B59" s="2" t="s">
        <v>41</v>
      </c>
      <c r="C59" s="1" t="s">
        <v>85</v>
      </c>
      <c r="D59" s="1">
        <v>2021</v>
      </c>
      <c r="E59" s="1">
        <v>2014</v>
      </c>
      <c r="F59" s="1" t="s">
        <v>143</v>
      </c>
      <c r="G59" s="1" t="s">
        <v>226</v>
      </c>
      <c r="H59" s="1">
        <v>32.650438000000001</v>
      </c>
      <c r="I59" s="1">
        <v>-109.84411299999999</v>
      </c>
      <c r="J59" s="1" t="s">
        <v>382</v>
      </c>
      <c r="K59" s="1" t="s">
        <v>176</v>
      </c>
      <c r="L59" s="1" t="s">
        <v>192</v>
      </c>
      <c r="M59" s="1" t="s">
        <v>236</v>
      </c>
      <c r="N59" s="1" t="s">
        <v>238</v>
      </c>
      <c r="O59" s="1" t="s">
        <v>86</v>
      </c>
      <c r="P59" s="1" t="s">
        <v>210</v>
      </c>
      <c r="Q59" s="1" t="s">
        <v>93</v>
      </c>
      <c r="R59" s="1">
        <v>2004</v>
      </c>
      <c r="S59" s="1">
        <v>10</v>
      </c>
      <c r="T59" s="1">
        <f>S59*12</f>
        <v>120</v>
      </c>
      <c r="V59" s="1">
        <v>19892</v>
      </c>
      <c r="W59" s="1">
        <v>30</v>
      </c>
      <c r="X59" s="1">
        <v>30</v>
      </c>
      <c r="Y59" s="1" t="s">
        <v>134</v>
      </c>
      <c r="Z59" s="1" t="s">
        <v>2</v>
      </c>
      <c r="AA59" s="1" t="s">
        <v>1</v>
      </c>
      <c r="AB59" s="1" t="s">
        <v>98</v>
      </c>
      <c r="AC59" s="1" t="s">
        <v>158</v>
      </c>
      <c r="AD59" s="1" t="s">
        <v>2</v>
      </c>
      <c r="AE59" s="1" t="s">
        <v>100</v>
      </c>
      <c r="AF59" s="12" t="str">
        <f>J59&amp;"_"&amp;"NMDS_ordination"</f>
        <v>ECM_NMDS_ordination</v>
      </c>
      <c r="AG59" s="12" t="s">
        <v>316</v>
      </c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" t="s">
        <v>285</v>
      </c>
    </row>
    <row r="60" spans="1:54" ht="14.25" customHeight="1">
      <c r="A60" s="2">
        <v>238</v>
      </c>
      <c r="B60" s="2" t="s">
        <v>37</v>
      </c>
      <c r="C60" s="1" t="s">
        <v>85</v>
      </c>
      <c r="D60" s="1">
        <v>2021</v>
      </c>
      <c r="E60" s="1">
        <v>2017</v>
      </c>
      <c r="F60" s="1" t="s">
        <v>143</v>
      </c>
      <c r="G60" s="16" t="s">
        <v>159</v>
      </c>
      <c r="H60" s="1">
        <v>48.602961000000001</v>
      </c>
      <c r="I60" s="1">
        <v>-119.23058899999999</v>
      </c>
      <c r="J60" s="1" t="s">
        <v>128</v>
      </c>
      <c r="K60" s="1" t="s">
        <v>176</v>
      </c>
      <c r="L60" s="1" t="s">
        <v>192</v>
      </c>
      <c r="M60" s="1" t="s">
        <v>236</v>
      </c>
      <c r="N60" s="1" t="s">
        <v>238</v>
      </c>
      <c r="O60" s="1" t="s">
        <v>86</v>
      </c>
      <c r="P60" s="1" t="s">
        <v>129</v>
      </c>
      <c r="Q60" s="1" t="s">
        <v>93</v>
      </c>
      <c r="R60" s="1">
        <v>2014</v>
      </c>
      <c r="S60" s="1">
        <v>3</v>
      </c>
      <c r="T60" s="1">
        <f>S60*12</f>
        <v>36</v>
      </c>
      <c r="V60" s="1">
        <v>17000</v>
      </c>
      <c r="W60" s="1">
        <v>3</v>
      </c>
      <c r="X60" s="1">
        <v>3</v>
      </c>
      <c r="Y60" s="1" t="s">
        <v>97</v>
      </c>
      <c r="Z60" s="1" t="s">
        <v>364</v>
      </c>
      <c r="AA60" s="1" t="s">
        <v>1</v>
      </c>
      <c r="AB60" s="1" t="s">
        <v>98</v>
      </c>
      <c r="AC60" s="1" t="s">
        <v>202</v>
      </c>
      <c r="AD60" s="1" t="s">
        <v>99</v>
      </c>
      <c r="AE60" s="1" t="s">
        <v>111</v>
      </c>
      <c r="AF60" s="1" t="s">
        <v>222</v>
      </c>
      <c r="AG60" s="1" t="s">
        <v>365</v>
      </c>
      <c r="AH60" s="1">
        <v>229</v>
      </c>
      <c r="AI60" s="1">
        <v>0.77</v>
      </c>
      <c r="AK60" s="1">
        <v>233</v>
      </c>
      <c r="AL60" s="1">
        <v>1.1399999999999999</v>
      </c>
      <c r="AN60" s="12">
        <f>AH60-AK60</f>
        <v>-4</v>
      </c>
      <c r="AO60" s="1">
        <f>SQRT((((X60-1)*AI60^2)+((W60-1)*AL60^2))/(X60+W60-2))</f>
        <v>0.97275382291718593</v>
      </c>
      <c r="AP60" s="1">
        <f>AN60/AO60</f>
        <v>-4.1120372963474177</v>
      </c>
      <c r="AQ60" s="1">
        <f>1/X60+1/W60+(AP60^2)/(2*(X60+W60))</f>
        <v>2.0757375605460151</v>
      </c>
      <c r="AR60" s="1">
        <f>1-(3/(4*(X60+W60-2)-1))</f>
        <v>0.8</v>
      </c>
      <c r="AS60" s="21">
        <f>AP60*AR60</f>
        <v>-3.2896298370779342</v>
      </c>
      <c r="AT60" s="21">
        <f>AQ60*(AR60^2)</f>
        <v>1.32847203874945</v>
      </c>
      <c r="AU60" s="21">
        <f>SQRT(AQ60*AR60^2)</f>
        <v>1.1525936138767428</v>
      </c>
      <c r="AV60" s="20">
        <f>1/AT60</f>
        <v>0.75274448451421272</v>
      </c>
      <c r="AW60" s="20">
        <f>AS60/AT60</f>
        <v>-2.4762507159538032</v>
      </c>
      <c r="AX60" s="20">
        <f>((AS60)^2)/AT60</f>
        <v>8.1459482392872289</v>
      </c>
      <c r="AY60" s="14"/>
      <c r="AZ60" s="14"/>
      <c r="BA60" s="1" t="s">
        <v>270</v>
      </c>
      <c r="BB60" s="2"/>
    </row>
    <row r="61" spans="1:54" ht="14.25" customHeight="1">
      <c r="A61" s="2">
        <v>410</v>
      </c>
      <c r="B61" s="2" t="s">
        <v>51</v>
      </c>
      <c r="C61" s="1" t="s">
        <v>85</v>
      </c>
      <c r="D61" s="1">
        <v>2013</v>
      </c>
      <c r="E61" s="1">
        <v>2011</v>
      </c>
      <c r="F61" s="1" t="s">
        <v>143</v>
      </c>
      <c r="G61" s="1" t="s">
        <v>142</v>
      </c>
      <c r="H61" s="1">
        <v>33.053629000000001</v>
      </c>
      <c r="I61" s="1">
        <v>-83.677790000000002</v>
      </c>
      <c r="J61" s="1" t="s">
        <v>128</v>
      </c>
      <c r="K61" s="1" t="s">
        <v>176</v>
      </c>
      <c r="L61" s="1" t="s">
        <v>208</v>
      </c>
      <c r="M61" s="1" t="s">
        <v>236</v>
      </c>
      <c r="N61" s="1" t="s">
        <v>238</v>
      </c>
      <c r="O61" s="1" t="s">
        <v>121</v>
      </c>
      <c r="Q61" s="1" t="s">
        <v>93</v>
      </c>
      <c r="S61" s="1">
        <v>3</v>
      </c>
      <c r="T61" s="12">
        <f>S61*12</f>
        <v>36</v>
      </c>
      <c r="V61" s="1">
        <v>0.8</v>
      </c>
      <c r="W61" s="1">
        <v>4</v>
      </c>
      <c r="X61" s="1">
        <v>4</v>
      </c>
      <c r="Y61" s="1" t="s">
        <v>97</v>
      </c>
      <c r="Z61" s="1" t="s">
        <v>133</v>
      </c>
      <c r="AA61" s="1" t="s">
        <v>0</v>
      </c>
      <c r="AB61" s="1" t="s">
        <v>98</v>
      </c>
      <c r="AC61" s="1" t="s">
        <v>202</v>
      </c>
      <c r="AD61" s="1" t="s">
        <v>227</v>
      </c>
      <c r="AE61" s="1" t="s">
        <v>100</v>
      </c>
      <c r="AF61" s="1" t="s">
        <v>253</v>
      </c>
      <c r="AG61" s="1" t="s">
        <v>319</v>
      </c>
      <c r="AH61" s="1">
        <v>0.94</v>
      </c>
      <c r="AI61" s="1">
        <f>0.96-AH61</f>
        <v>2.0000000000000018E-2</v>
      </c>
      <c r="AK61" s="1">
        <v>0.96</v>
      </c>
      <c r="AL61" s="1">
        <f>0.97-AK61</f>
        <v>1.0000000000000009E-2</v>
      </c>
      <c r="AN61" s="12">
        <f>AH61-AK61</f>
        <v>-2.0000000000000018E-2</v>
      </c>
      <c r="AO61" s="1">
        <f>SQRT((((X61-1)*AI61^2)+((W61-1)*AL61^2))/(X61+W61-2))</f>
        <v>1.5811388300841913E-2</v>
      </c>
      <c r="AP61" s="1">
        <f>AN61/AO61</f>
        <v>-1.2649110640673515</v>
      </c>
      <c r="AQ61" s="1">
        <f>1/X61+1/W61+(AP61^2)/(2*(X61+W61))</f>
        <v>0.6</v>
      </c>
      <c r="AR61" s="1">
        <f>1-(3/(4*(X61+W61-2)-1))</f>
        <v>0.86956521739130432</v>
      </c>
      <c r="AS61" s="21">
        <f>AP61*AR61</f>
        <v>-1.0999226644063926</v>
      </c>
      <c r="AT61" s="21">
        <f>AQ61*(AR61^2)</f>
        <v>0.45368620037807184</v>
      </c>
      <c r="AU61" s="21">
        <f>SQRT(AQ61*AR61^2)</f>
        <v>0.67356232107955072</v>
      </c>
      <c r="AV61" s="20">
        <f>1/AT61</f>
        <v>2.2041666666666666</v>
      </c>
      <c r="AW61" s="20">
        <f>AS61/AT61</f>
        <v>-2.4244128727957572</v>
      </c>
      <c r="AX61" s="20">
        <f>((AS61)^2)/AT61</f>
        <v>2.6666666666666656</v>
      </c>
      <c r="AY61" s="14"/>
      <c r="AZ61" s="14"/>
      <c r="BA61" s="1" t="s">
        <v>270</v>
      </c>
      <c r="BB61" s="2"/>
    </row>
    <row r="62" spans="1:54" ht="14.25" customHeight="1">
      <c r="A62" s="2">
        <v>410</v>
      </c>
      <c r="B62" s="2" t="s">
        <v>51</v>
      </c>
      <c r="C62" s="1" t="s">
        <v>85</v>
      </c>
      <c r="D62" s="1">
        <v>2013</v>
      </c>
      <c r="E62" s="1">
        <v>2011</v>
      </c>
      <c r="F62" s="1" t="s">
        <v>143</v>
      </c>
      <c r="G62" s="1" t="s">
        <v>142</v>
      </c>
      <c r="H62" s="1">
        <v>33.053629000000001</v>
      </c>
      <c r="I62" s="1">
        <v>-83.677790000000002</v>
      </c>
      <c r="J62" s="1" t="s">
        <v>128</v>
      </c>
      <c r="K62" s="1" t="s">
        <v>176</v>
      </c>
      <c r="L62" s="1" t="s">
        <v>208</v>
      </c>
      <c r="M62" s="1" t="s">
        <v>236</v>
      </c>
      <c r="N62" s="1" t="s">
        <v>238</v>
      </c>
      <c r="O62" s="1" t="s">
        <v>121</v>
      </c>
      <c r="Q62" s="1" t="s">
        <v>93</v>
      </c>
      <c r="S62" s="1">
        <v>3</v>
      </c>
      <c r="T62" s="12">
        <f>S62*12</f>
        <v>36</v>
      </c>
      <c r="V62" s="1">
        <v>0.8</v>
      </c>
      <c r="W62" s="1">
        <v>4</v>
      </c>
      <c r="X62" s="1">
        <v>4</v>
      </c>
      <c r="Y62" s="1" t="s">
        <v>97</v>
      </c>
      <c r="Z62" s="1" t="s">
        <v>133</v>
      </c>
      <c r="AA62" s="1" t="s">
        <v>0</v>
      </c>
      <c r="AB62" s="1" t="s">
        <v>98</v>
      </c>
      <c r="AC62" s="1" t="s">
        <v>202</v>
      </c>
      <c r="AD62" s="1" t="s">
        <v>227</v>
      </c>
      <c r="AE62" s="1" t="s">
        <v>100</v>
      </c>
      <c r="AF62" s="1" t="s">
        <v>348</v>
      </c>
      <c r="AG62" s="1" t="s">
        <v>319</v>
      </c>
      <c r="AH62" s="1">
        <v>2.9000000000000001E-2</v>
      </c>
      <c r="AI62" s="1">
        <f>0.037-AH62</f>
        <v>7.9999999999999967E-3</v>
      </c>
      <c r="AK62" s="1">
        <v>4.5999999999999999E-2</v>
      </c>
      <c r="AL62" s="1">
        <f>0.051-AK62</f>
        <v>4.9999999999999975E-3</v>
      </c>
      <c r="AN62" s="12">
        <f>AH62-AK62</f>
        <v>-1.6999999999999998E-2</v>
      </c>
      <c r="AO62" s="1">
        <f>SQRT((((X62-1)*AI62^2)+((W62-1)*AL62^2))/(X62+W62-2))</f>
        <v>6.6708320320631644E-3</v>
      </c>
      <c r="AP62" s="1">
        <f>AN62/AO62</f>
        <v>-2.5484077425859293</v>
      </c>
      <c r="AQ62" s="1">
        <f>1/X62+1/W62+(AP62^2)/(2*(X62+W62))</f>
        <v>0.90589887640449451</v>
      </c>
      <c r="AR62" s="1">
        <f>1-(3/(4*(X62+W62-2)-1))</f>
        <v>0.86956521739130432</v>
      </c>
      <c r="AS62" s="21">
        <f>AP62*AR62</f>
        <v>-2.2160067326834167</v>
      </c>
      <c r="AT62" s="21">
        <f>AQ62*(AR62^2)</f>
        <v>0.68498969860453274</v>
      </c>
      <c r="AU62" s="21">
        <f>SQRT(AQ62*AR62^2)</f>
        <v>0.82764104453835097</v>
      </c>
      <c r="AV62" s="20">
        <f>1/AT62</f>
        <v>1.4598759689922478</v>
      </c>
      <c r="AW62" s="20">
        <f>AS62/AT62</f>
        <v>-3.235094976169548</v>
      </c>
      <c r="AX62" s="20">
        <f>((AS62)^2)/AT62</f>
        <v>7.1689922480620156</v>
      </c>
      <c r="AY62" s="14"/>
      <c r="AZ62" s="14"/>
      <c r="BA62" s="1" t="s">
        <v>270</v>
      </c>
      <c r="BB62" s="2"/>
    </row>
    <row r="63" spans="1:54" ht="14.25" customHeight="1">
      <c r="A63" s="2">
        <v>410</v>
      </c>
      <c r="B63" s="2" t="s">
        <v>51</v>
      </c>
      <c r="C63" s="1" t="s">
        <v>85</v>
      </c>
      <c r="D63" s="1">
        <v>2013</v>
      </c>
      <c r="E63" s="1">
        <v>2011</v>
      </c>
      <c r="F63" s="1" t="s">
        <v>143</v>
      </c>
      <c r="G63" s="1" t="s">
        <v>142</v>
      </c>
      <c r="H63" s="1">
        <v>33.053629000000001</v>
      </c>
      <c r="I63" s="1">
        <v>-83.677790000000002</v>
      </c>
      <c r="J63" s="1" t="s">
        <v>128</v>
      </c>
      <c r="K63" s="1" t="s">
        <v>176</v>
      </c>
      <c r="L63" s="1" t="s">
        <v>208</v>
      </c>
      <c r="M63" s="1" t="s">
        <v>236</v>
      </c>
      <c r="N63" s="1" t="s">
        <v>238</v>
      </c>
      <c r="O63" s="1" t="s">
        <v>121</v>
      </c>
      <c r="Q63" s="1" t="s">
        <v>93</v>
      </c>
      <c r="S63" s="1">
        <v>3</v>
      </c>
      <c r="T63" s="1">
        <f>S63*12</f>
        <v>36</v>
      </c>
      <c r="V63" s="1">
        <v>0.8</v>
      </c>
      <c r="W63" s="1">
        <v>4</v>
      </c>
      <c r="X63" s="1">
        <v>4</v>
      </c>
      <c r="Y63" s="1" t="s">
        <v>97</v>
      </c>
      <c r="Z63" s="1" t="s">
        <v>133</v>
      </c>
      <c r="AA63" s="1" t="s">
        <v>0</v>
      </c>
      <c r="AB63" s="1" t="s">
        <v>98</v>
      </c>
      <c r="AC63" s="1" t="s">
        <v>202</v>
      </c>
      <c r="AD63" s="1" t="s">
        <v>227</v>
      </c>
      <c r="AE63" s="1" t="s">
        <v>100</v>
      </c>
      <c r="AF63" s="1" t="s">
        <v>256</v>
      </c>
      <c r="AG63" s="1" t="s">
        <v>315</v>
      </c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" t="s">
        <v>285</v>
      </c>
    </row>
    <row r="64" spans="1:54" ht="14.25" customHeight="1">
      <c r="A64" s="2">
        <v>35</v>
      </c>
      <c r="B64" s="2" t="s">
        <v>6</v>
      </c>
      <c r="C64" s="1" t="s">
        <v>85</v>
      </c>
      <c r="D64" s="1">
        <v>2005</v>
      </c>
      <c r="E64" s="1">
        <v>2000</v>
      </c>
      <c r="F64" s="1" t="s">
        <v>152</v>
      </c>
      <c r="G64" s="1" t="s">
        <v>117</v>
      </c>
      <c r="H64" s="1">
        <v>56.733333000000002</v>
      </c>
      <c r="I64" s="1">
        <v>-118.333333</v>
      </c>
      <c r="J64" s="1" t="s">
        <v>135</v>
      </c>
      <c r="K64" s="1" t="s">
        <v>103</v>
      </c>
      <c r="L64" s="1" t="s">
        <v>195</v>
      </c>
      <c r="M64" s="1" t="s">
        <v>236</v>
      </c>
      <c r="N64" s="16" t="s">
        <v>238</v>
      </c>
      <c r="O64" s="1" t="s">
        <v>121</v>
      </c>
      <c r="P64" s="1" t="s">
        <v>146</v>
      </c>
      <c r="Q64" s="1" t="s">
        <v>93</v>
      </c>
      <c r="R64" s="1">
        <v>1999</v>
      </c>
      <c r="S64" s="1">
        <v>1</v>
      </c>
      <c r="T64" s="12">
        <f>S64*12</f>
        <v>12</v>
      </c>
      <c r="V64" s="1" t="s">
        <v>2</v>
      </c>
      <c r="W64" s="1">
        <v>15</v>
      </c>
      <c r="X64" s="1">
        <v>15</v>
      </c>
      <c r="Y64" s="1" t="s">
        <v>134</v>
      </c>
      <c r="Z64" s="1" t="s">
        <v>154</v>
      </c>
      <c r="AA64" s="1" t="s">
        <v>0</v>
      </c>
      <c r="AB64" s="1" t="s">
        <v>148</v>
      </c>
      <c r="AC64" s="1" t="s">
        <v>2</v>
      </c>
      <c r="AD64" s="12" t="s">
        <v>2</v>
      </c>
      <c r="AE64" s="12" t="s">
        <v>2</v>
      </c>
      <c r="AF64" s="12" t="s">
        <v>222</v>
      </c>
      <c r="AG64" s="12" t="s">
        <v>319</v>
      </c>
      <c r="AH64" s="12">
        <v>2.3199999999999998</v>
      </c>
      <c r="AI64" s="12">
        <f>AJ64*SQRT(X64)</f>
        <v>1.2006248373242996</v>
      </c>
      <c r="AJ64" s="12">
        <f>2.63-AH64</f>
        <v>0.31000000000000005</v>
      </c>
      <c r="AK64" s="12">
        <v>11.31</v>
      </c>
      <c r="AL64" s="12">
        <f>AM64*SQRT(W64)</f>
        <v>3.6018745119728965</v>
      </c>
      <c r="AM64" s="12">
        <f>12.24-AK64</f>
        <v>0.92999999999999972</v>
      </c>
      <c r="AN64" s="12">
        <f>AH64-AK64</f>
        <v>-8.99</v>
      </c>
      <c r="AO64" s="1">
        <f>SQRT((((X64-1)*AI64^2)+((W64-1)*AL64^2))/(X64+W64-2))</f>
        <v>2.6846787517317594</v>
      </c>
      <c r="AP64" s="1">
        <f>AN64/AO64</f>
        <v>-3.3486315612998299</v>
      </c>
      <c r="AQ64" s="1">
        <f>1/X64+1/W64+(AP64^2)/(2*(X64+W64))</f>
        <v>0.3202222222222223</v>
      </c>
      <c r="AR64" s="1">
        <f>1-(3/(4*(X64+W64-2)-1))</f>
        <v>0.97297297297297303</v>
      </c>
      <c r="AS64" s="21">
        <f>AP64*AR64</f>
        <v>-3.258128005589024</v>
      </c>
      <c r="AT64" s="21">
        <f>AQ64*(AR64^2)</f>
        <v>0.30314682249817393</v>
      </c>
      <c r="AU64" s="21">
        <f>SQRT(AQ64*AR64^2)</f>
        <v>0.5505877064539072</v>
      </c>
      <c r="AV64" s="20">
        <f>1/AT64</f>
        <v>3.2987315907163226</v>
      </c>
      <c r="AW64" s="20">
        <f>AS64/AT64</f>
        <v>-10.747689778634081</v>
      </c>
      <c r="AX64" s="20">
        <f>((AS64)^2)/AT64</f>
        <v>35.017349063150597</v>
      </c>
      <c r="AY64" s="14"/>
      <c r="AZ64" s="14"/>
      <c r="BA64" s="1" t="s">
        <v>270</v>
      </c>
      <c r="BB64" s="2" t="s">
        <v>380</v>
      </c>
    </row>
    <row r="65" spans="1:63" ht="14.25" customHeight="1">
      <c r="A65" s="2">
        <v>410</v>
      </c>
      <c r="B65" s="2" t="s">
        <v>51</v>
      </c>
      <c r="C65" s="1" t="s">
        <v>85</v>
      </c>
      <c r="D65" s="1">
        <v>2013</v>
      </c>
      <c r="E65" s="1">
        <v>2011</v>
      </c>
      <c r="F65" s="1" t="s">
        <v>143</v>
      </c>
      <c r="G65" s="1" t="s">
        <v>142</v>
      </c>
      <c r="H65" s="1">
        <v>33.053629000000001</v>
      </c>
      <c r="I65" s="1">
        <v>-83.677790000000002</v>
      </c>
      <c r="J65" s="1" t="s">
        <v>128</v>
      </c>
      <c r="K65" s="1" t="s">
        <v>176</v>
      </c>
      <c r="L65" s="1" t="s">
        <v>208</v>
      </c>
      <c r="M65" s="1" t="s">
        <v>236</v>
      </c>
      <c r="N65" s="1" t="s">
        <v>238</v>
      </c>
      <c r="O65" s="1" t="s">
        <v>121</v>
      </c>
      <c r="Q65" s="1" t="s">
        <v>93</v>
      </c>
      <c r="S65" s="1">
        <v>6</v>
      </c>
      <c r="T65" s="12">
        <f>S65*12</f>
        <v>72</v>
      </c>
      <c r="V65" s="1">
        <v>0.8</v>
      </c>
      <c r="W65" s="1">
        <v>4</v>
      </c>
      <c r="X65" s="1">
        <v>4</v>
      </c>
      <c r="Y65" s="1" t="s">
        <v>97</v>
      </c>
      <c r="Z65" s="1" t="s">
        <v>133</v>
      </c>
      <c r="AA65" s="1" t="s">
        <v>0</v>
      </c>
      <c r="AB65" s="1" t="s">
        <v>98</v>
      </c>
      <c r="AC65" s="1" t="s">
        <v>202</v>
      </c>
      <c r="AD65" s="1" t="s">
        <v>227</v>
      </c>
      <c r="AE65" s="1" t="s">
        <v>100</v>
      </c>
      <c r="AF65" s="1" t="s">
        <v>253</v>
      </c>
      <c r="AG65" s="1" t="s">
        <v>319</v>
      </c>
      <c r="AH65" s="1">
        <v>0.96</v>
      </c>
      <c r="AI65" s="1">
        <f>0.97-AH65</f>
        <v>1.0000000000000009E-2</v>
      </c>
      <c r="AK65" s="1">
        <v>0.96</v>
      </c>
      <c r="AL65" s="1">
        <f>0.97-AK65</f>
        <v>1.0000000000000009E-2</v>
      </c>
      <c r="AN65" s="12">
        <f>AH65-AK65</f>
        <v>0</v>
      </c>
      <c r="AO65" s="1">
        <f>SQRT((((X65-1)*AI65^2)+((W65-1)*AL65^2))/(X65+W65-2))</f>
        <v>1.0000000000000009E-2</v>
      </c>
      <c r="AP65" s="1">
        <f>AN65/AO65</f>
        <v>0</v>
      </c>
      <c r="AQ65" s="1">
        <f>1/X65+1/W65+(AP65^2)/(2*(X65+W65))</f>
        <v>0.5</v>
      </c>
      <c r="AR65" s="1">
        <f>1-(3/(4*(X65+W65-2)-1))</f>
        <v>0.86956521739130432</v>
      </c>
      <c r="AS65" s="21">
        <f>AP65*AR65</f>
        <v>0</v>
      </c>
      <c r="AT65" s="21">
        <f>AQ65*(AR65^2)</f>
        <v>0.3780718336483932</v>
      </c>
      <c r="AU65" s="21">
        <f>SQRT(AQ65*AR65^2)</f>
        <v>0.61487546190134568</v>
      </c>
      <c r="AV65" s="20">
        <f>1/AT65</f>
        <v>2.645</v>
      </c>
      <c r="AW65" s="20">
        <f>AS65/AT65</f>
        <v>0</v>
      </c>
      <c r="AX65" s="20">
        <f>((AS65)^2)/AT65</f>
        <v>0</v>
      </c>
      <c r="AY65" s="14"/>
      <c r="AZ65" s="14"/>
      <c r="BA65" s="1" t="s">
        <v>270</v>
      </c>
      <c r="BB65" s="2"/>
    </row>
    <row r="66" spans="1:63" ht="14.25" customHeight="1">
      <c r="A66" s="2">
        <v>410</v>
      </c>
      <c r="B66" s="2" t="s">
        <v>51</v>
      </c>
      <c r="C66" s="1" t="s">
        <v>85</v>
      </c>
      <c r="D66" s="1">
        <v>2013</v>
      </c>
      <c r="E66" s="1">
        <v>2011</v>
      </c>
      <c r="F66" s="1" t="s">
        <v>143</v>
      </c>
      <c r="G66" s="1" t="s">
        <v>142</v>
      </c>
      <c r="H66" s="1">
        <v>33.053629000000001</v>
      </c>
      <c r="I66" s="1">
        <v>-83.677790000000002</v>
      </c>
      <c r="J66" s="1" t="s">
        <v>128</v>
      </c>
      <c r="K66" s="1" t="s">
        <v>176</v>
      </c>
      <c r="L66" s="1" t="s">
        <v>208</v>
      </c>
      <c r="M66" s="1" t="s">
        <v>236</v>
      </c>
      <c r="N66" s="1" t="s">
        <v>238</v>
      </c>
      <c r="O66" s="1" t="s">
        <v>121</v>
      </c>
      <c r="Q66" s="1" t="s">
        <v>93</v>
      </c>
      <c r="S66" s="1">
        <v>6</v>
      </c>
      <c r="T66" s="12">
        <f>S66*12</f>
        <v>72</v>
      </c>
      <c r="V66" s="1">
        <v>0.8</v>
      </c>
      <c r="W66" s="1">
        <v>4</v>
      </c>
      <c r="X66" s="1">
        <v>4</v>
      </c>
      <c r="Y66" s="1" t="s">
        <v>97</v>
      </c>
      <c r="Z66" s="1" t="s">
        <v>133</v>
      </c>
      <c r="AA66" s="1" t="s">
        <v>0</v>
      </c>
      <c r="AB66" s="1" t="s">
        <v>98</v>
      </c>
      <c r="AC66" s="1" t="s">
        <v>202</v>
      </c>
      <c r="AD66" s="1" t="s">
        <v>227</v>
      </c>
      <c r="AE66" s="1" t="s">
        <v>100</v>
      </c>
      <c r="AF66" s="1" t="s">
        <v>348</v>
      </c>
      <c r="AG66" s="1" t="s">
        <v>319</v>
      </c>
      <c r="AH66" s="1">
        <v>4.4999999999999998E-2</v>
      </c>
      <c r="AI66" s="1">
        <f>0.049-AH66</f>
        <v>4.0000000000000036E-3</v>
      </c>
      <c r="AK66" s="1">
        <v>4.5999999999999999E-2</v>
      </c>
      <c r="AL66" s="1">
        <f>0.051-AK66</f>
        <v>4.9999999999999975E-3</v>
      </c>
      <c r="AN66" s="12">
        <f>AH66-AK66</f>
        <v>-1.0000000000000009E-3</v>
      </c>
      <c r="AO66" s="1">
        <f>SQRT((((X66-1)*AI66^2)+((W66-1)*AL66^2))/(X66+W66-2))</f>
        <v>4.5276925690687087E-3</v>
      </c>
      <c r="AP66" s="1">
        <f>AN66/AO66</f>
        <v>-0.22086305214969326</v>
      </c>
      <c r="AQ66" s="1">
        <f>1/X66+1/W66+(AP66^2)/(2*(X66+W66))</f>
        <v>0.50304878048780488</v>
      </c>
      <c r="AR66" s="1">
        <f>1-(3/(4*(X66+W66-2)-1))</f>
        <v>0.86956521739130432</v>
      </c>
      <c r="AS66" s="21">
        <f>AP66*AR66</f>
        <v>-0.192054827956255</v>
      </c>
      <c r="AT66" s="21">
        <f>AQ66*(AR66^2)</f>
        <v>0.38037714970722486</v>
      </c>
      <c r="AU66" s="21">
        <f>SQRT(AQ66*AR66^2)</f>
        <v>0.61674723323840286</v>
      </c>
      <c r="AV66" s="20">
        <f>1/AT66</f>
        <v>2.6289696969696972</v>
      </c>
      <c r="AW66" s="20">
        <f>AS66/AT66</f>
        <v>-0.50490632285372306</v>
      </c>
      <c r="AX66" s="20">
        <f>((AS66)^2)/AT66</f>
        <v>9.6969696969697108E-2</v>
      </c>
      <c r="AY66" s="14"/>
      <c r="AZ66" s="14"/>
      <c r="BA66" s="1" t="s">
        <v>270</v>
      </c>
      <c r="BB66" s="2"/>
    </row>
    <row r="67" spans="1:63" ht="14.25" customHeight="1">
      <c r="A67" s="2">
        <v>410</v>
      </c>
      <c r="B67" s="2" t="s">
        <v>51</v>
      </c>
      <c r="C67" s="1" t="s">
        <v>85</v>
      </c>
      <c r="D67" s="1">
        <v>2013</v>
      </c>
      <c r="E67" s="1">
        <v>2011</v>
      </c>
      <c r="F67" s="1" t="s">
        <v>143</v>
      </c>
      <c r="G67" s="1" t="s">
        <v>142</v>
      </c>
      <c r="H67" s="1">
        <v>33.053629000000001</v>
      </c>
      <c r="I67" s="1">
        <v>-83.677790000000002</v>
      </c>
      <c r="J67" s="1" t="s">
        <v>128</v>
      </c>
      <c r="K67" s="1" t="s">
        <v>176</v>
      </c>
      <c r="L67" s="1" t="s">
        <v>208</v>
      </c>
      <c r="M67" s="1" t="s">
        <v>236</v>
      </c>
      <c r="N67" s="1" t="s">
        <v>238</v>
      </c>
      <c r="O67" s="1" t="s">
        <v>121</v>
      </c>
      <c r="Q67" s="1" t="s">
        <v>93</v>
      </c>
      <c r="S67" s="1">
        <v>6</v>
      </c>
      <c r="T67" s="1">
        <f>S67*12</f>
        <v>72</v>
      </c>
      <c r="V67" s="1">
        <v>0.8</v>
      </c>
      <c r="W67" s="1">
        <v>4</v>
      </c>
      <c r="X67" s="1">
        <v>4</v>
      </c>
      <c r="Y67" s="1" t="s">
        <v>97</v>
      </c>
      <c r="Z67" s="1" t="s">
        <v>133</v>
      </c>
      <c r="AA67" s="1" t="s">
        <v>0</v>
      </c>
      <c r="AB67" s="1" t="s">
        <v>98</v>
      </c>
      <c r="AC67" s="1" t="s">
        <v>202</v>
      </c>
      <c r="AD67" s="1" t="s">
        <v>227</v>
      </c>
      <c r="AE67" s="1" t="s">
        <v>100</v>
      </c>
      <c r="AF67" s="1" t="s">
        <v>256</v>
      </c>
      <c r="AG67" s="1" t="s">
        <v>315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" t="s">
        <v>285</v>
      </c>
    </row>
    <row r="68" spans="1:63" s="10" customFormat="1" ht="14.25">
      <c r="A68" s="17">
        <v>500</v>
      </c>
      <c r="B68" s="17" t="s">
        <v>239</v>
      </c>
      <c r="C68" s="16" t="s">
        <v>89</v>
      </c>
      <c r="D68" s="16">
        <v>2025</v>
      </c>
      <c r="E68" s="16">
        <v>2023</v>
      </c>
      <c r="F68" s="16" t="s">
        <v>143</v>
      </c>
      <c r="G68" s="16" t="s">
        <v>293</v>
      </c>
      <c r="H68" s="16">
        <v>44.014380000000003</v>
      </c>
      <c r="I68" s="16">
        <v>-123.12545</v>
      </c>
      <c r="J68" s="16" t="s">
        <v>128</v>
      </c>
      <c r="K68" s="16" t="s">
        <v>294</v>
      </c>
      <c r="L68" s="16"/>
      <c r="M68" s="16"/>
      <c r="N68" s="16" t="s">
        <v>238</v>
      </c>
      <c r="O68" s="16" t="s">
        <v>121</v>
      </c>
      <c r="P68" s="16"/>
      <c r="Q68" s="16" t="s">
        <v>93</v>
      </c>
      <c r="R68" s="16">
        <v>2024</v>
      </c>
      <c r="S68" s="16" t="s">
        <v>156</v>
      </c>
      <c r="T68" s="12">
        <v>11</v>
      </c>
      <c r="U68" s="16"/>
      <c r="V68" s="16"/>
      <c r="W68" s="16">
        <v>3</v>
      </c>
      <c r="X68" s="16">
        <v>3</v>
      </c>
      <c r="Y68" s="16" t="s">
        <v>289</v>
      </c>
      <c r="Z68" s="16" t="s">
        <v>2</v>
      </c>
      <c r="AA68" s="16" t="s">
        <v>0</v>
      </c>
      <c r="AB68" s="16" t="s">
        <v>98</v>
      </c>
      <c r="AC68" s="16" t="s">
        <v>202</v>
      </c>
      <c r="AD68" s="16" t="s">
        <v>292</v>
      </c>
      <c r="AE68" s="16" t="s">
        <v>111</v>
      </c>
      <c r="AF68" s="16" t="s">
        <v>295</v>
      </c>
      <c r="AG68" s="16" t="s">
        <v>315</v>
      </c>
      <c r="AH68" s="16">
        <v>0.25</v>
      </c>
      <c r="AI68" s="12">
        <f>0.3-0.2</f>
        <v>9.9999999999999978E-2</v>
      </c>
      <c r="AJ68" s="16"/>
      <c r="AK68" s="16">
        <v>0.215</v>
      </c>
      <c r="AL68" s="16">
        <f>0.3-0.13</f>
        <v>0.16999999999999998</v>
      </c>
      <c r="AM68" s="16"/>
      <c r="AN68" s="12">
        <f>AH68-AK68</f>
        <v>3.5000000000000003E-2</v>
      </c>
      <c r="AO68" s="1">
        <f>SQRT((((X68-1)*AI68^2)+((W68-1)*AL68^2))/(X68+W68-2))</f>
        <v>0.1394632568098135</v>
      </c>
      <c r="AP68" s="1">
        <f>AN68/AO68</f>
        <v>0.25096215878372624</v>
      </c>
      <c r="AQ68" s="1">
        <f>1/X68+1/W68+(AP68^2)/(2*(X68+W68))</f>
        <v>0.67191516709511567</v>
      </c>
      <c r="AR68" s="1">
        <f>1-(3/(4*(X68+W68-2)-1))</f>
        <v>0.8</v>
      </c>
      <c r="AS68" s="21">
        <f>AP68*AR68</f>
        <v>0.20076972702698101</v>
      </c>
      <c r="AT68" s="21">
        <f>AQ68*(AR68^2)</f>
        <v>0.43002570694087411</v>
      </c>
      <c r="AU68" s="21">
        <f>SQRT(AQ68*AR68^2)</f>
        <v>0.65576345349590359</v>
      </c>
      <c r="AV68" s="20">
        <f>1/AT68</f>
        <v>2.3254423720707793</v>
      </c>
      <c r="AW68" s="20">
        <f>AS68/AT68</f>
        <v>0.46687843025762554</v>
      </c>
      <c r="AX68" s="20">
        <f>((AS68)^2)/AT68</f>
        <v>9.3735054997608869E-2</v>
      </c>
      <c r="AY68" s="14"/>
      <c r="AZ68" s="14"/>
      <c r="BA68" s="1" t="s">
        <v>270</v>
      </c>
      <c r="BB68" s="17"/>
    </row>
    <row r="69" spans="1:63" s="10" customFormat="1" ht="14.25">
      <c r="A69" s="17">
        <v>500</v>
      </c>
      <c r="B69" s="17" t="s">
        <v>239</v>
      </c>
      <c r="C69" s="16" t="s">
        <v>89</v>
      </c>
      <c r="D69" s="16">
        <v>2025</v>
      </c>
      <c r="E69" s="16">
        <v>2023</v>
      </c>
      <c r="F69" s="16" t="s">
        <v>143</v>
      </c>
      <c r="G69" s="16" t="s">
        <v>293</v>
      </c>
      <c r="H69" s="16">
        <v>44.014380000000003</v>
      </c>
      <c r="I69" s="16">
        <v>-123.12545</v>
      </c>
      <c r="J69" s="16" t="s">
        <v>128</v>
      </c>
      <c r="K69" s="16" t="s">
        <v>294</v>
      </c>
      <c r="L69" s="16"/>
      <c r="M69" s="16"/>
      <c r="N69" s="16" t="s">
        <v>238</v>
      </c>
      <c r="O69" s="16" t="s">
        <v>121</v>
      </c>
      <c r="P69" s="16"/>
      <c r="Q69" s="16" t="s">
        <v>93</v>
      </c>
      <c r="R69" s="16">
        <v>2024</v>
      </c>
      <c r="S69" s="16" t="s">
        <v>156</v>
      </c>
      <c r="T69" s="12">
        <v>11</v>
      </c>
      <c r="U69" s="16"/>
      <c r="V69" s="16"/>
      <c r="W69" s="16">
        <v>3</v>
      </c>
      <c r="X69" s="16">
        <v>3</v>
      </c>
      <c r="Y69" s="16" t="s">
        <v>289</v>
      </c>
      <c r="Z69" s="16" t="s">
        <v>2</v>
      </c>
      <c r="AA69" s="16" t="s">
        <v>0</v>
      </c>
      <c r="AB69" s="16" t="s">
        <v>98</v>
      </c>
      <c r="AC69" s="16" t="s">
        <v>202</v>
      </c>
      <c r="AD69" s="16" t="s">
        <v>292</v>
      </c>
      <c r="AE69" s="16" t="s">
        <v>111</v>
      </c>
      <c r="AF69" s="16" t="s">
        <v>296</v>
      </c>
      <c r="AG69" s="16" t="s">
        <v>315</v>
      </c>
      <c r="AH69" s="16">
        <v>0.02</v>
      </c>
      <c r="AI69" s="12">
        <f>0.044-0.001</f>
        <v>4.2999999999999997E-2</v>
      </c>
      <c r="AJ69" s="16"/>
      <c r="AK69" s="16">
        <v>0.1</v>
      </c>
      <c r="AL69" s="16">
        <f>0.14-0.05</f>
        <v>9.0000000000000011E-2</v>
      </c>
      <c r="AM69" s="16"/>
      <c r="AN69" s="12">
        <f>AH69-AK69</f>
        <v>-0.08</v>
      </c>
      <c r="AO69" s="1">
        <f>SQRT((((X69-1)*AI69^2)+((W69-1)*AL69^2))/(X69+W69-2))</f>
        <v>7.0530135403244487E-2</v>
      </c>
      <c r="AP69" s="1">
        <f>AN69/AO69</f>
        <v>-1.1342669277836079</v>
      </c>
      <c r="AQ69" s="1">
        <f>1/X69+1/W69+(AP69^2)/(2*(X69+W69))</f>
        <v>0.77388012195530531</v>
      </c>
      <c r="AR69" s="1">
        <f>1-(3/(4*(X69+W69-2)-1))</f>
        <v>0.8</v>
      </c>
      <c r="AS69" s="21">
        <f>AP69*AR69</f>
        <v>-0.90741354222688642</v>
      </c>
      <c r="AT69" s="21">
        <f>AQ69*(AR69^2)</f>
        <v>0.49528327805139549</v>
      </c>
      <c r="AU69" s="21">
        <f>SQRT(AQ69*AR69^2)</f>
        <v>0.70376365212434455</v>
      </c>
      <c r="AV69" s="20">
        <f>1/AT69</f>
        <v>2.019046562472941</v>
      </c>
      <c r="AW69" s="20">
        <f>AS69/AT69</f>
        <v>-1.83211019317459</v>
      </c>
      <c r="AX69" s="20">
        <f>((AS69)^2)/AT69</f>
        <v>1.6624816001385399</v>
      </c>
      <c r="AY69" s="14"/>
      <c r="AZ69" s="14"/>
      <c r="BA69" s="1" t="s">
        <v>270</v>
      </c>
      <c r="BB69" s="17"/>
    </row>
    <row r="70" spans="1:63" s="12" customFormat="1" ht="14.25" customHeight="1">
      <c r="A70" s="2">
        <v>534</v>
      </c>
      <c r="B70" s="2" t="s">
        <v>68</v>
      </c>
      <c r="C70" s="1" t="s">
        <v>85</v>
      </c>
      <c r="D70" s="1">
        <v>2022</v>
      </c>
      <c r="E70" s="1">
        <v>2018</v>
      </c>
      <c r="F70" s="1" t="s">
        <v>143</v>
      </c>
      <c r="G70" s="1" t="s">
        <v>109</v>
      </c>
      <c r="H70" s="1">
        <v>33.299100000000003</v>
      </c>
      <c r="I70" s="1">
        <v>-116.800786</v>
      </c>
      <c r="J70" s="1" t="s">
        <v>128</v>
      </c>
      <c r="K70" s="1" t="s">
        <v>218</v>
      </c>
      <c r="L70" s="1" t="s">
        <v>219</v>
      </c>
      <c r="M70" s="1" t="s">
        <v>237</v>
      </c>
      <c r="N70" s="1" t="s">
        <v>238</v>
      </c>
      <c r="O70" s="1" t="s">
        <v>86</v>
      </c>
      <c r="P70" s="1" t="s">
        <v>210</v>
      </c>
      <c r="Q70" s="1" t="s">
        <v>93</v>
      </c>
      <c r="R70" s="1">
        <v>2018</v>
      </c>
      <c r="S70" s="1" t="s">
        <v>369</v>
      </c>
      <c r="T70" s="23">
        <f>6/4.345</f>
        <v>1.380897583429229</v>
      </c>
      <c r="U70" s="1"/>
      <c r="V70" s="1">
        <v>9400</v>
      </c>
      <c r="W70" s="1">
        <v>3</v>
      </c>
      <c r="X70" s="1">
        <v>6</v>
      </c>
      <c r="Y70" s="1" t="s">
        <v>97</v>
      </c>
      <c r="Z70" s="1" t="s">
        <v>133</v>
      </c>
      <c r="AA70" s="1" t="s">
        <v>0</v>
      </c>
      <c r="AB70" s="1" t="s">
        <v>98</v>
      </c>
      <c r="AC70" s="1" t="s">
        <v>202</v>
      </c>
      <c r="AD70" s="1" t="s">
        <v>99</v>
      </c>
      <c r="AE70" s="1" t="s">
        <v>102</v>
      </c>
      <c r="AF70" s="1" t="s">
        <v>222</v>
      </c>
      <c r="AG70" s="1" t="s">
        <v>319</v>
      </c>
      <c r="AH70" s="1">
        <v>119.86</v>
      </c>
      <c r="AI70" s="1">
        <f>AJ70*SQRT(X70)</f>
        <v>60.110478287899198</v>
      </c>
      <c r="AJ70" s="1">
        <f>131.4-106.86</f>
        <v>24.540000000000006</v>
      </c>
      <c r="AK70" s="1">
        <v>344.4</v>
      </c>
      <c r="AL70" s="1">
        <f>AM70*SQRT(W70)</f>
        <v>70.026814150009614</v>
      </c>
      <c r="AM70" s="1">
        <f>365.34-324.91</f>
        <v>40.42999999999995</v>
      </c>
      <c r="AN70" s="12">
        <f>AH70-AK70</f>
        <v>-224.53999999999996</v>
      </c>
      <c r="AO70" s="1">
        <f>SQRT((((X70-1)*AI70^2)+((W70-1)*AL70^2))/(X70+W70-2))</f>
        <v>63.102928843053121</v>
      </c>
      <c r="AP70" s="1">
        <f>AN70/AO70</f>
        <v>-3.5583134430806873</v>
      </c>
      <c r="AQ70" s="1">
        <f>1/X70+1/W70+(AP70^2)/(2*(X70+W70))</f>
        <v>1.2034219199560408</v>
      </c>
      <c r="AR70" s="1">
        <f>1-(3/(4*(X70+W70-2)-1))</f>
        <v>0.88888888888888884</v>
      </c>
      <c r="AS70" s="21">
        <f>AP70*AR70</f>
        <v>-3.1629452827383884</v>
      </c>
      <c r="AT70" s="21">
        <f>AQ70*(AR70^2)</f>
        <v>0.95085188737267412</v>
      </c>
      <c r="AU70" s="21">
        <f>SQRT(AQ70*AR70^2)</f>
        <v>0.97511634555712079</v>
      </c>
      <c r="AV70" s="20">
        <f>1/AT70</f>
        <v>1.0516885050973905</v>
      </c>
      <c r="AW70" s="20">
        <f>AS70/AT70</f>
        <v>-3.3264331961079789</v>
      </c>
      <c r="AX70" s="20">
        <f>((AS70)^2)/AT70</f>
        <v>10.521326185974113</v>
      </c>
      <c r="AY70" s="14"/>
      <c r="AZ70" s="14"/>
      <c r="BA70" s="1" t="s">
        <v>270</v>
      </c>
      <c r="BB70" s="2"/>
      <c r="BC70" s="1"/>
      <c r="BD70" s="1"/>
      <c r="BE70" s="1"/>
      <c r="BF70" s="1"/>
      <c r="BG70" s="1"/>
      <c r="BH70" s="1"/>
      <c r="BI70" s="1"/>
      <c r="BJ70" s="1"/>
      <c r="BK70" s="1"/>
    </row>
    <row r="71" spans="1:63" s="12" customFormat="1" ht="14.25" customHeight="1">
      <c r="A71" s="2">
        <v>180</v>
      </c>
      <c r="B71" s="2" t="s">
        <v>25</v>
      </c>
      <c r="C71" s="12" t="s">
        <v>85</v>
      </c>
      <c r="D71" s="12">
        <v>2015</v>
      </c>
      <c r="E71" s="12">
        <v>2009</v>
      </c>
      <c r="F71" s="12" t="s">
        <v>92</v>
      </c>
      <c r="G71" s="12" t="s">
        <v>109</v>
      </c>
      <c r="H71" s="12">
        <v>39.831530000000001</v>
      </c>
      <c r="I71" s="12">
        <v>-7.8358790000000003</v>
      </c>
      <c r="J71" s="12" t="s">
        <v>128</v>
      </c>
      <c r="K71" s="12" t="s">
        <v>176</v>
      </c>
      <c r="L71" s="12" t="s">
        <v>177</v>
      </c>
      <c r="M71" s="12" t="s">
        <v>236</v>
      </c>
      <c r="N71" s="12" t="s">
        <v>238</v>
      </c>
      <c r="O71" s="12" t="s">
        <v>86</v>
      </c>
      <c r="Q71" s="12" t="s">
        <v>93</v>
      </c>
      <c r="R71" s="12">
        <v>2003</v>
      </c>
      <c r="S71" s="12">
        <v>6</v>
      </c>
      <c r="T71" s="12">
        <f>S71*12</f>
        <v>72</v>
      </c>
      <c r="W71" s="12">
        <v>3</v>
      </c>
      <c r="X71" s="12">
        <v>3</v>
      </c>
      <c r="Y71" s="12" t="s">
        <v>97</v>
      </c>
      <c r="Z71" s="12" t="s">
        <v>147</v>
      </c>
      <c r="AA71" s="12" t="s">
        <v>0</v>
      </c>
      <c r="AB71" s="12" t="s">
        <v>98</v>
      </c>
      <c r="AC71" s="12" t="s">
        <v>202</v>
      </c>
      <c r="AD71" s="12" t="s">
        <v>228</v>
      </c>
      <c r="AE71" s="12" t="s">
        <v>111</v>
      </c>
      <c r="AF71" s="12" t="s">
        <v>261</v>
      </c>
      <c r="AG71" s="12" t="s">
        <v>317</v>
      </c>
      <c r="AH71" s="12">
        <v>320</v>
      </c>
      <c r="AI71" s="12">
        <v>61</v>
      </c>
      <c r="AK71" s="12">
        <v>372</v>
      </c>
      <c r="AL71" s="12">
        <v>91</v>
      </c>
      <c r="AN71" s="12">
        <f>AH71-AK71</f>
        <v>-52</v>
      </c>
      <c r="AO71" s="12">
        <f>SQRT((((X71-1)*AI71^2)+((W71-1)*AL71^2))/(X71+W71-2))</f>
        <v>77.466121627457255</v>
      </c>
      <c r="AP71" s="12">
        <f>AN71/AO71</f>
        <v>-0.67126117724175582</v>
      </c>
      <c r="AQ71" s="12">
        <f>1/X71+1/W71+(AP71^2)/(2*(X71+W71))</f>
        <v>0.70421596400599895</v>
      </c>
      <c r="AR71" s="12">
        <f>1-(3/(4*(X71+W71-2)-1))</f>
        <v>0.8</v>
      </c>
      <c r="AS71" s="21">
        <f>AP71*AR71</f>
        <v>-0.53700894179340464</v>
      </c>
      <c r="AT71" s="21">
        <f>AQ71*(AR71^2)</f>
        <v>0.45069821696383944</v>
      </c>
      <c r="AU71" s="21">
        <f>SQRT(AQ71*AR71^2)</f>
        <v>0.67134061173434123</v>
      </c>
      <c r="AV71" s="20">
        <f>1/AT71</f>
        <v>2.2187795787979172</v>
      </c>
      <c r="AW71" s="20">
        <f>AS71/AT71</f>
        <v>-1.1915044736830855</v>
      </c>
      <c r="AX71" s="20">
        <f>((AS71)^2)/AT71</f>
        <v>0.63984855655466133</v>
      </c>
      <c r="AY71" s="14"/>
      <c r="AZ71" s="14"/>
      <c r="BA71" s="12" t="s">
        <v>270</v>
      </c>
      <c r="BB71" s="2"/>
    </row>
    <row r="72" spans="1:63" s="12" customFormat="1" ht="14.25" customHeight="1">
      <c r="A72" s="2">
        <v>180</v>
      </c>
      <c r="B72" s="2" t="s">
        <v>25</v>
      </c>
      <c r="C72" s="12" t="s">
        <v>85</v>
      </c>
      <c r="D72" s="12">
        <v>2015</v>
      </c>
      <c r="E72" s="12">
        <v>2009</v>
      </c>
      <c r="F72" s="12" t="s">
        <v>92</v>
      </c>
      <c r="G72" s="12" t="s">
        <v>109</v>
      </c>
      <c r="H72" s="12">
        <v>39.831530000000001</v>
      </c>
      <c r="I72" s="12">
        <v>-7.8358790000000003</v>
      </c>
      <c r="J72" s="12" t="s">
        <v>128</v>
      </c>
      <c r="K72" s="12" t="s">
        <v>176</v>
      </c>
      <c r="L72" s="12" t="s">
        <v>177</v>
      </c>
      <c r="M72" s="12" t="s">
        <v>236</v>
      </c>
      <c r="N72" s="12" t="s">
        <v>238</v>
      </c>
      <c r="O72" s="12" t="s">
        <v>86</v>
      </c>
      <c r="Q72" s="12" t="s">
        <v>93</v>
      </c>
      <c r="R72" s="12">
        <v>2003</v>
      </c>
      <c r="S72" s="12">
        <v>6</v>
      </c>
      <c r="T72" s="12">
        <f>S72*12</f>
        <v>72</v>
      </c>
      <c r="W72" s="12">
        <v>3</v>
      </c>
      <c r="X72" s="12">
        <v>3</v>
      </c>
      <c r="Y72" s="12" t="s">
        <v>97</v>
      </c>
      <c r="Z72" s="12" t="s">
        <v>147</v>
      </c>
      <c r="AA72" s="12" t="s">
        <v>0</v>
      </c>
      <c r="AB72" s="12" t="s">
        <v>98</v>
      </c>
      <c r="AC72" s="12" t="s">
        <v>202</v>
      </c>
      <c r="AD72" s="12" t="s">
        <v>228</v>
      </c>
      <c r="AE72" s="12" t="s">
        <v>111</v>
      </c>
      <c r="AF72" s="12" t="s">
        <v>149</v>
      </c>
      <c r="AG72" s="12" t="s">
        <v>317</v>
      </c>
      <c r="AH72" s="12">
        <v>3.17</v>
      </c>
      <c r="AI72" s="12">
        <v>0.44</v>
      </c>
      <c r="AK72" s="12">
        <v>4.16</v>
      </c>
      <c r="AL72" s="12">
        <v>0.25</v>
      </c>
      <c r="AN72" s="12">
        <f>AH72-AK72</f>
        <v>-0.99000000000000021</v>
      </c>
      <c r="AO72" s="12">
        <f>SQRT((((X72-1)*AI72^2)+((W72-1)*AL72^2))/(X72+W72-2))</f>
        <v>0.35784074670165777</v>
      </c>
      <c r="AP72" s="12">
        <f>AN72/AO72</f>
        <v>-2.7665938245579169</v>
      </c>
      <c r="AQ72" s="12">
        <f>1/X72+1/W72+(AP72^2)/(2*(X72+W72))</f>
        <v>1.3045034491735001</v>
      </c>
      <c r="AR72" s="12">
        <f>1-(3/(4*(X72+W72-2)-1))</f>
        <v>0.8</v>
      </c>
      <c r="AS72" s="21">
        <f>AP72*AR72</f>
        <v>-2.2132750596463335</v>
      </c>
      <c r="AT72" s="21">
        <f>AQ72*(AR72^2)</f>
        <v>0.83488220747104025</v>
      </c>
      <c r="AU72" s="21">
        <f>SQRT(AQ72*AR72^2)</f>
        <v>0.91371888864740025</v>
      </c>
      <c r="AV72" s="20">
        <f>1/AT72</f>
        <v>1.1977737590421547</v>
      </c>
      <c r="AW72" s="20">
        <f>AS72/AT72</f>
        <v>-2.6510027879868381</v>
      </c>
      <c r="AX72" s="20">
        <f>((AS72)^2)/AT72</f>
        <v>5.8673983537041652</v>
      </c>
      <c r="AY72" s="14"/>
      <c r="AZ72" s="14"/>
      <c r="BA72" s="12" t="s">
        <v>270</v>
      </c>
      <c r="BB72" s="2"/>
    </row>
    <row r="73" spans="1:63" s="12" customFormat="1" ht="14.25" customHeight="1">
      <c r="A73" s="2">
        <v>180</v>
      </c>
      <c r="B73" s="2" t="s">
        <v>25</v>
      </c>
      <c r="C73" s="12" t="s">
        <v>85</v>
      </c>
      <c r="D73" s="12">
        <v>2015</v>
      </c>
      <c r="E73" s="12">
        <v>2009</v>
      </c>
      <c r="F73" s="12" t="s">
        <v>92</v>
      </c>
      <c r="G73" s="12" t="s">
        <v>109</v>
      </c>
      <c r="H73" s="12">
        <v>39.831530000000001</v>
      </c>
      <c r="I73" s="12">
        <v>-7.8358790000000003</v>
      </c>
      <c r="J73" s="12" t="s">
        <v>128</v>
      </c>
      <c r="K73" s="12" t="s">
        <v>176</v>
      </c>
      <c r="L73" s="12" t="s">
        <v>177</v>
      </c>
      <c r="M73" s="12" t="s">
        <v>236</v>
      </c>
      <c r="N73" s="12" t="s">
        <v>238</v>
      </c>
      <c r="O73" s="12" t="s">
        <v>86</v>
      </c>
      <c r="Q73" s="12" t="s">
        <v>93</v>
      </c>
      <c r="R73" s="12">
        <v>2003</v>
      </c>
      <c r="S73" s="12">
        <v>6</v>
      </c>
      <c r="T73" s="1">
        <f>S73*12</f>
        <v>72</v>
      </c>
      <c r="W73" s="12">
        <v>3</v>
      </c>
      <c r="X73" s="12">
        <v>3</v>
      </c>
      <c r="Y73" s="12" t="s">
        <v>97</v>
      </c>
      <c r="Z73" s="12" t="s">
        <v>147</v>
      </c>
      <c r="AA73" s="12" t="s">
        <v>0</v>
      </c>
      <c r="AB73" s="12" t="s">
        <v>98</v>
      </c>
      <c r="AC73" s="12" t="s">
        <v>202</v>
      </c>
      <c r="AD73" s="12" t="s">
        <v>228</v>
      </c>
      <c r="AE73" s="12" t="s">
        <v>111</v>
      </c>
      <c r="AF73" s="12" t="s">
        <v>290</v>
      </c>
      <c r="AG73" s="12" t="s">
        <v>330</v>
      </c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2" t="s">
        <v>285</v>
      </c>
    </row>
    <row r="74" spans="1:63" ht="14.25" customHeight="1">
      <c r="A74" s="2">
        <v>11</v>
      </c>
      <c r="B74" s="2" t="s">
        <v>3</v>
      </c>
      <c r="C74" s="1" t="s">
        <v>91</v>
      </c>
      <c r="D74" s="1">
        <v>2010</v>
      </c>
      <c r="E74" s="1">
        <v>2007</v>
      </c>
      <c r="F74" s="1" t="s">
        <v>92</v>
      </c>
      <c r="G74" s="1" t="s">
        <v>109</v>
      </c>
      <c r="H74" s="1">
        <v>39.831530000000001</v>
      </c>
      <c r="I74" s="1">
        <v>-7.8358790000000003</v>
      </c>
      <c r="J74" s="1" t="s">
        <v>135</v>
      </c>
      <c r="K74" s="1" t="s">
        <v>176</v>
      </c>
      <c r="L74" s="1" t="s">
        <v>177</v>
      </c>
      <c r="M74" s="1" t="s">
        <v>236</v>
      </c>
      <c r="N74" s="12" t="s">
        <v>238</v>
      </c>
      <c r="O74" s="1" t="s">
        <v>86</v>
      </c>
      <c r="P74" s="1" t="s">
        <v>2</v>
      </c>
      <c r="Q74" s="1" t="s">
        <v>93</v>
      </c>
      <c r="R74" s="1">
        <v>2003</v>
      </c>
      <c r="S74" s="1">
        <v>4</v>
      </c>
      <c r="T74" s="12">
        <f>S74*12</f>
        <v>48</v>
      </c>
      <c r="V74" s="1" t="s">
        <v>2</v>
      </c>
      <c r="W74" s="1">
        <v>12</v>
      </c>
      <c r="X74" s="1">
        <v>12</v>
      </c>
      <c r="Y74" s="1" t="s">
        <v>134</v>
      </c>
      <c r="Z74" s="1" t="s">
        <v>147</v>
      </c>
      <c r="AA74" s="1" t="s">
        <v>0</v>
      </c>
      <c r="AB74" s="1" t="s">
        <v>98</v>
      </c>
      <c r="AC74" s="1" t="s">
        <v>158</v>
      </c>
      <c r="AD74" s="1" t="s">
        <v>144</v>
      </c>
      <c r="AE74" s="1" t="s">
        <v>100</v>
      </c>
      <c r="AF74" s="1" t="s">
        <v>107</v>
      </c>
      <c r="AG74" s="1" t="s">
        <v>331</v>
      </c>
      <c r="AH74" s="1">
        <v>60</v>
      </c>
      <c r="AI74" s="1">
        <f>AJ74*SQRT(X74)</f>
        <v>32.943606359960043</v>
      </c>
      <c r="AJ74" s="1">
        <v>9.51</v>
      </c>
      <c r="AK74" s="1">
        <v>55</v>
      </c>
      <c r="AL74" s="1">
        <f>AM74*SQRT(W74)</f>
        <v>25.426505855111117</v>
      </c>
      <c r="AM74" s="1">
        <v>7.34</v>
      </c>
      <c r="AN74" s="12">
        <f>AH74-AK74</f>
        <v>5</v>
      </c>
      <c r="AO74" s="1">
        <f>SQRT((((X74-1)*AI74^2)+((W74-1)*AL74^2))/(X74+W74-2))</f>
        <v>29.426080269040252</v>
      </c>
      <c r="AP74" s="1">
        <f>AN74/AO74</f>
        <v>0.16991729629924909</v>
      </c>
      <c r="AQ74" s="1">
        <f>1/X74+1/W74+(AP74^2)/(2*(X74+W74))</f>
        <v>0.16726816432461764</v>
      </c>
      <c r="AR74" s="1">
        <f>1-(3/(4*(X74+W74-2)-1))</f>
        <v>0.96551724137931039</v>
      </c>
      <c r="AS74" s="21">
        <f>AP74*AR74</f>
        <v>0.1640580791854819</v>
      </c>
      <c r="AT74" s="21">
        <f>AQ74*(AR74^2)</f>
        <v>0.15593132084482789</v>
      </c>
      <c r="AU74" s="21">
        <f>SQRT(AQ74*AR74^2)</f>
        <v>0.39488140098620483</v>
      </c>
      <c r="AV74" s="20">
        <f>1/AT74</f>
        <v>6.4130797750064028</v>
      </c>
      <c r="AW74" s="20">
        <f>AS74/AT74</f>
        <v>1.0521175495508128</v>
      </c>
      <c r="AX74" s="20">
        <f>((AS74)^2)/AT74</f>
        <v>0.17260838425664243</v>
      </c>
      <c r="AY74" s="14"/>
      <c r="AZ74" s="14"/>
      <c r="BA74" s="1" t="s">
        <v>270</v>
      </c>
      <c r="BB74" s="2"/>
    </row>
    <row r="75" spans="1:63" ht="14.25" customHeight="1">
      <c r="A75" s="2">
        <v>11</v>
      </c>
      <c r="B75" s="2" t="s">
        <v>3</v>
      </c>
      <c r="C75" s="1" t="s">
        <v>91</v>
      </c>
      <c r="D75" s="1">
        <v>2010</v>
      </c>
      <c r="E75" s="1">
        <v>2007</v>
      </c>
      <c r="F75" s="1" t="s">
        <v>92</v>
      </c>
      <c r="G75" s="1" t="s">
        <v>109</v>
      </c>
      <c r="H75" s="1">
        <v>39.831530000000001</v>
      </c>
      <c r="I75" s="1">
        <v>-7.8358790000000003</v>
      </c>
      <c r="J75" s="1" t="s">
        <v>135</v>
      </c>
      <c r="K75" s="1" t="s">
        <v>176</v>
      </c>
      <c r="L75" s="1" t="s">
        <v>177</v>
      </c>
      <c r="M75" s="1" t="s">
        <v>236</v>
      </c>
      <c r="N75" s="12" t="s">
        <v>238</v>
      </c>
      <c r="O75" s="1" t="s">
        <v>86</v>
      </c>
      <c r="P75" s="1" t="s">
        <v>2</v>
      </c>
      <c r="Q75" s="1" t="s">
        <v>93</v>
      </c>
      <c r="R75" s="1">
        <v>2003</v>
      </c>
      <c r="S75" s="1">
        <v>4</v>
      </c>
      <c r="T75" s="12">
        <f>S75*12</f>
        <v>48</v>
      </c>
      <c r="V75" s="1" t="s">
        <v>2</v>
      </c>
      <c r="W75" s="1">
        <v>12</v>
      </c>
      <c r="X75" s="1">
        <v>12</v>
      </c>
      <c r="Y75" s="1" t="s">
        <v>134</v>
      </c>
      <c r="Z75" s="1" t="s">
        <v>147</v>
      </c>
      <c r="AA75" s="1" t="s">
        <v>0</v>
      </c>
      <c r="AB75" s="1" t="s">
        <v>98</v>
      </c>
      <c r="AC75" s="1" t="s">
        <v>158</v>
      </c>
      <c r="AD75" s="1" t="s">
        <v>144</v>
      </c>
      <c r="AE75" s="1" t="s">
        <v>100</v>
      </c>
      <c r="AF75" s="1" t="s">
        <v>149</v>
      </c>
      <c r="AG75" s="1" t="s">
        <v>331</v>
      </c>
      <c r="AH75" s="1">
        <v>0.4</v>
      </c>
      <c r="AI75" s="1">
        <f>AJ75*SQRT(X75)</f>
        <v>0.3013768405169846</v>
      </c>
      <c r="AJ75" s="1">
        <v>8.6999999999999994E-2</v>
      </c>
      <c r="AK75" s="1">
        <v>0.45</v>
      </c>
      <c r="AL75" s="1">
        <f>AM75*SQRT(W75)</f>
        <v>0.38797938089542849</v>
      </c>
      <c r="AM75" s="1">
        <v>0.112</v>
      </c>
      <c r="AN75" s="12">
        <f>AH75-AK75</f>
        <v>-4.9999999999999989E-2</v>
      </c>
      <c r="AO75" s="1">
        <f>SQRT((((X75-1)*AI75^2)+((W75-1)*AL75^2))/(X75+W75-2))</f>
        <v>0.34738739182647371</v>
      </c>
      <c r="AP75" s="1">
        <f>AN75/AO75</f>
        <v>-0.14393153343048182</v>
      </c>
      <c r="AQ75" s="1">
        <f>1/X75+1/W75+(AP75^2)/(2*(X75+W75))</f>
        <v>0.16709825596490938</v>
      </c>
      <c r="AR75" s="1">
        <f>1-(3/(4*(X75+W75-2)-1))</f>
        <v>0.96551724137931039</v>
      </c>
      <c r="AS75" s="21">
        <f>AP75*AR75</f>
        <v>-0.13896837710529281</v>
      </c>
      <c r="AT75" s="21">
        <f>AQ75*(AR75^2)</f>
        <v>0.15577292827168723</v>
      </c>
      <c r="AU75" s="21">
        <f>SQRT(AQ75*AR75^2)</f>
        <v>0.39468079288418284</v>
      </c>
      <c r="AV75" s="20">
        <f>1/AT75</f>
        <v>6.4196007040188423</v>
      </c>
      <c r="AW75" s="20">
        <f>AS75/AT75</f>
        <v>-0.89212149150149367</v>
      </c>
      <c r="AX75" s="20">
        <f>((AS75)^2)/AT75</f>
        <v>0.12397667585471585</v>
      </c>
      <c r="AY75" s="14"/>
      <c r="AZ75" s="14"/>
      <c r="BA75" s="1" t="s">
        <v>270</v>
      </c>
      <c r="BB75" s="2"/>
    </row>
    <row r="76" spans="1:63" ht="14.1" customHeight="1">
      <c r="A76" s="2">
        <v>11</v>
      </c>
      <c r="B76" s="2" t="s">
        <v>3</v>
      </c>
      <c r="C76" s="1" t="s">
        <v>91</v>
      </c>
      <c r="D76" s="1">
        <v>2010</v>
      </c>
      <c r="E76" s="1">
        <v>2007</v>
      </c>
      <c r="F76" s="1" t="s">
        <v>92</v>
      </c>
      <c r="G76" s="1" t="s">
        <v>109</v>
      </c>
      <c r="H76" s="1">
        <v>39.831530000000001</v>
      </c>
      <c r="I76" s="1">
        <v>-7.8358790000000003</v>
      </c>
      <c r="J76" s="1" t="s">
        <v>135</v>
      </c>
      <c r="K76" s="1" t="s">
        <v>178</v>
      </c>
      <c r="L76" s="1" t="s">
        <v>179</v>
      </c>
      <c r="M76" s="1" t="s">
        <v>237</v>
      </c>
      <c r="N76" s="12" t="s">
        <v>238</v>
      </c>
      <c r="O76" s="1" t="s">
        <v>86</v>
      </c>
      <c r="P76" s="1" t="s">
        <v>2</v>
      </c>
      <c r="Q76" s="1" t="s">
        <v>93</v>
      </c>
      <c r="R76" s="1">
        <v>2003</v>
      </c>
      <c r="S76" s="1">
        <v>4</v>
      </c>
      <c r="T76" s="12">
        <f>S76*12</f>
        <v>48</v>
      </c>
      <c r="V76" s="1" t="s">
        <v>2</v>
      </c>
      <c r="W76" s="1">
        <v>11</v>
      </c>
      <c r="X76" s="1">
        <v>11</v>
      </c>
      <c r="Y76" s="1" t="s">
        <v>134</v>
      </c>
      <c r="Z76" s="1" t="s">
        <v>147</v>
      </c>
      <c r="AA76" s="1" t="s">
        <v>0</v>
      </c>
      <c r="AB76" s="1" t="s">
        <v>98</v>
      </c>
      <c r="AC76" s="1" t="s">
        <v>158</v>
      </c>
      <c r="AD76" s="1" t="s">
        <v>144</v>
      </c>
      <c r="AE76" s="1" t="s">
        <v>100</v>
      </c>
      <c r="AF76" s="1" t="s">
        <v>222</v>
      </c>
      <c r="AG76" s="1" t="s">
        <v>331</v>
      </c>
      <c r="AH76" s="1">
        <v>2</v>
      </c>
      <c r="AI76" s="1">
        <f>AJ76*SQRT(X76)</f>
        <v>0</v>
      </c>
      <c r="AJ76" s="1">
        <v>0</v>
      </c>
      <c r="AK76" s="1">
        <v>2.6</v>
      </c>
      <c r="AL76" s="1">
        <f>AM76*SQRT(W76)</f>
        <v>0.88553881902489184</v>
      </c>
      <c r="AM76" s="1">
        <v>0.26700000000000002</v>
      </c>
      <c r="AN76" s="12">
        <f>AH76-AK76</f>
        <v>-0.60000000000000009</v>
      </c>
      <c r="AO76" s="1">
        <f>SQRT((((X76-1)*AI76^2)+((W76-1)*AM76^2))/(X76+W76-2))</f>
        <v>0.18879751057680819</v>
      </c>
      <c r="AP76" s="1">
        <f>AN76/AO76</f>
        <v>-3.1780080053327984</v>
      </c>
      <c r="AQ76" s="1">
        <f>1/X76+1/W76+(AP76^2)/(2*(X76+W76))</f>
        <v>0.41135761095362167</v>
      </c>
      <c r="AR76" s="1">
        <f>1-(3/(4*(X76+W76-2)-1))</f>
        <v>0.96202531645569622</v>
      </c>
      <c r="AS76" s="21">
        <f>AP76*AR76</f>
        <v>-3.0573241570290213</v>
      </c>
      <c r="AT76" s="21">
        <f>AQ76*(AR76^2)</f>
        <v>0.38070846993560631</v>
      </c>
      <c r="AU76" s="21">
        <f>SQRT(AQ76*AR76^2)</f>
        <v>0.61701577770394678</v>
      </c>
      <c r="AV76" s="20">
        <f>1/AT76</f>
        <v>2.6266817761347463</v>
      </c>
      <c r="AW76" s="20">
        <f>AS76/AT76</f>
        <v>-8.0306176470046555</v>
      </c>
      <c r="AX76" s="20">
        <f>((AS76)^2)/AT76</f>
        <v>24.552201328050888</v>
      </c>
      <c r="AY76" s="14"/>
      <c r="AZ76" s="14"/>
      <c r="BA76" s="1" t="s">
        <v>270</v>
      </c>
      <c r="BB76" s="2"/>
    </row>
    <row r="77" spans="1:63" ht="14.25" customHeight="1">
      <c r="A77" s="2">
        <v>11</v>
      </c>
      <c r="B77" s="2" t="s">
        <v>3</v>
      </c>
      <c r="C77" s="1" t="s">
        <v>91</v>
      </c>
      <c r="D77" s="1">
        <v>2010</v>
      </c>
      <c r="E77" s="1">
        <v>2007</v>
      </c>
      <c r="F77" s="1" t="s">
        <v>92</v>
      </c>
      <c r="G77" s="1" t="s">
        <v>109</v>
      </c>
      <c r="H77" s="1">
        <v>39.831530000000001</v>
      </c>
      <c r="I77" s="1">
        <v>-7.8358790000000003</v>
      </c>
      <c r="J77" s="1" t="s">
        <v>135</v>
      </c>
      <c r="K77" s="1" t="s">
        <v>176</v>
      </c>
      <c r="L77" s="1" t="s">
        <v>177</v>
      </c>
      <c r="M77" s="1" t="s">
        <v>236</v>
      </c>
      <c r="N77" s="12" t="s">
        <v>238</v>
      </c>
      <c r="O77" s="1" t="s">
        <v>86</v>
      </c>
      <c r="P77" s="1" t="s">
        <v>2</v>
      </c>
      <c r="Q77" s="1" t="s">
        <v>93</v>
      </c>
      <c r="R77" s="1">
        <v>2003</v>
      </c>
      <c r="S77" s="1">
        <v>4</v>
      </c>
      <c r="T77" s="12">
        <f>S77*12</f>
        <v>48</v>
      </c>
      <c r="V77" s="1" t="s">
        <v>2</v>
      </c>
      <c r="W77" s="1">
        <v>12</v>
      </c>
      <c r="X77" s="1">
        <v>12</v>
      </c>
      <c r="Y77" s="1" t="s">
        <v>134</v>
      </c>
      <c r="Z77" s="1" t="s">
        <v>147</v>
      </c>
      <c r="AA77" s="1" t="s">
        <v>0</v>
      </c>
      <c r="AB77" s="1" t="s">
        <v>98</v>
      </c>
      <c r="AC77" s="1" t="s">
        <v>158</v>
      </c>
      <c r="AD77" s="1" t="s">
        <v>144</v>
      </c>
      <c r="AE77" s="1" t="s">
        <v>100</v>
      </c>
      <c r="AF77" s="1" t="s">
        <v>348</v>
      </c>
      <c r="AG77" s="1" t="s">
        <v>331</v>
      </c>
      <c r="AH77" s="1">
        <v>0.39</v>
      </c>
      <c r="AI77" s="1">
        <f>AJ77*SQRT(X77)</f>
        <v>0.24941531628991831</v>
      </c>
      <c r="AJ77" s="1">
        <v>7.1999999999999995E-2</v>
      </c>
      <c r="AK77" s="1">
        <v>0.45</v>
      </c>
      <c r="AL77" s="1">
        <f>AM77*SQRT(W77)</f>
        <v>0.33255375505322443</v>
      </c>
      <c r="AM77" s="1">
        <v>9.6000000000000002E-2</v>
      </c>
      <c r="AN77" s="12">
        <f>AH77-AK77</f>
        <v>-0.06</v>
      </c>
      <c r="AO77" s="1">
        <f>SQRT((((X77-1)*AH77^2)+((W77-1)*AL77^2))/(X77+W77-2))</f>
        <v>0.36241688702376995</v>
      </c>
      <c r="AP77" s="1">
        <f>AN77/AO77</f>
        <v>-0.16555519940787075</v>
      </c>
      <c r="AQ77" s="1">
        <f>1/X77+1/W77+(AP77^2)/(2*(X77+W77))</f>
        <v>0.16723767758439539</v>
      </c>
      <c r="AR77" s="1">
        <f>1-(3/(4*(X77+W77-2)-1))</f>
        <v>0.96551724137931039</v>
      </c>
      <c r="AS77" s="21">
        <f>AP77*AR77</f>
        <v>-0.15984639942828902</v>
      </c>
      <c r="AT77" s="21">
        <f>AQ77*(AR77^2)</f>
        <v>0.15590290038783117</v>
      </c>
      <c r="AU77" s="21">
        <f>SQRT(AQ77*AR77^2)</f>
        <v>0.39484541327946454</v>
      </c>
      <c r="AV77" s="20">
        <f>1/AT77</f>
        <v>6.4142488530511903</v>
      </c>
      <c r="AW77" s="20">
        <f>AS77/AT77</f>
        <v>-1.0252945841972652</v>
      </c>
      <c r="AX77" s="20">
        <f>((AS77)^2)/AT77</f>
        <v>0.16388964763725755</v>
      </c>
      <c r="AY77" s="14"/>
      <c r="AZ77" s="14"/>
      <c r="BA77" s="1" t="s">
        <v>270</v>
      </c>
      <c r="BB77" s="2"/>
    </row>
    <row r="78" spans="1:63" ht="14.25" customHeight="1">
      <c r="A78" s="2">
        <v>11</v>
      </c>
      <c r="B78" s="2" t="s">
        <v>3</v>
      </c>
      <c r="C78" s="1" t="s">
        <v>91</v>
      </c>
      <c r="D78" s="1">
        <v>2010</v>
      </c>
      <c r="E78" s="1">
        <v>2007</v>
      </c>
      <c r="F78" s="1" t="s">
        <v>92</v>
      </c>
      <c r="G78" s="1" t="s">
        <v>109</v>
      </c>
      <c r="H78" s="1">
        <v>39.831530000000001</v>
      </c>
      <c r="I78" s="1">
        <v>-7.8358790000000003</v>
      </c>
      <c r="J78" s="1" t="s">
        <v>135</v>
      </c>
      <c r="K78" s="1" t="s">
        <v>176</v>
      </c>
      <c r="L78" s="1" t="s">
        <v>177</v>
      </c>
      <c r="M78" s="1" t="s">
        <v>236</v>
      </c>
      <c r="N78" s="12" t="s">
        <v>238</v>
      </c>
      <c r="O78" s="1" t="s">
        <v>86</v>
      </c>
      <c r="P78" s="1" t="s">
        <v>2</v>
      </c>
      <c r="Q78" s="1" t="s">
        <v>93</v>
      </c>
      <c r="R78" s="1">
        <v>2003</v>
      </c>
      <c r="S78" s="1">
        <v>4</v>
      </c>
      <c r="T78" s="1">
        <f>S78*12</f>
        <v>48</v>
      </c>
      <c r="V78" s="1" t="s">
        <v>2</v>
      </c>
      <c r="W78" s="1">
        <v>12</v>
      </c>
      <c r="X78" s="1">
        <v>12</v>
      </c>
      <c r="Y78" s="1" t="s">
        <v>134</v>
      </c>
      <c r="Z78" s="1" t="s">
        <v>147</v>
      </c>
      <c r="AA78" s="1" t="s">
        <v>0</v>
      </c>
      <c r="AB78" s="1" t="s">
        <v>98</v>
      </c>
      <c r="AC78" s="1" t="s">
        <v>158</v>
      </c>
      <c r="AD78" s="1" t="s">
        <v>144</v>
      </c>
      <c r="AE78" s="1" t="s">
        <v>100</v>
      </c>
      <c r="AF78" s="1" t="s">
        <v>290</v>
      </c>
      <c r="AG78" s="1" t="s">
        <v>318</v>
      </c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" t="s">
        <v>285</v>
      </c>
    </row>
    <row r="79" spans="1:63" ht="14.25" customHeight="1">
      <c r="A79" s="2">
        <v>11</v>
      </c>
      <c r="B79" s="2" t="s">
        <v>3</v>
      </c>
      <c r="C79" s="1" t="s">
        <v>91</v>
      </c>
      <c r="D79" s="1">
        <v>2010</v>
      </c>
      <c r="E79" s="1">
        <v>2007</v>
      </c>
      <c r="F79" s="1" t="s">
        <v>92</v>
      </c>
      <c r="G79" s="1" t="s">
        <v>109</v>
      </c>
      <c r="H79" s="1">
        <v>39.831530000000001</v>
      </c>
      <c r="I79" s="1">
        <v>-7.8358790000000003</v>
      </c>
      <c r="J79" s="1" t="s">
        <v>135</v>
      </c>
      <c r="K79" s="1" t="s">
        <v>178</v>
      </c>
      <c r="L79" s="1" t="s">
        <v>179</v>
      </c>
      <c r="M79" s="1" t="s">
        <v>237</v>
      </c>
      <c r="N79" s="12" t="s">
        <v>238</v>
      </c>
      <c r="O79" s="1" t="s">
        <v>86</v>
      </c>
      <c r="P79" s="1" t="s">
        <v>2</v>
      </c>
      <c r="Q79" s="1" t="s">
        <v>93</v>
      </c>
      <c r="R79" s="1">
        <v>2003</v>
      </c>
      <c r="S79" s="1">
        <v>4</v>
      </c>
      <c r="T79" s="12">
        <f>S79*12</f>
        <v>48</v>
      </c>
      <c r="V79" s="1" t="s">
        <v>2</v>
      </c>
      <c r="W79" s="1">
        <v>11</v>
      </c>
      <c r="X79" s="1">
        <v>11</v>
      </c>
      <c r="Y79" s="1" t="s">
        <v>134</v>
      </c>
      <c r="Z79" s="1" t="s">
        <v>147</v>
      </c>
      <c r="AA79" s="1" t="s">
        <v>0</v>
      </c>
      <c r="AB79" s="1" t="s">
        <v>98</v>
      </c>
      <c r="AC79" s="1" t="s">
        <v>158</v>
      </c>
      <c r="AD79" s="1" t="s">
        <v>144</v>
      </c>
      <c r="AE79" s="1" t="s">
        <v>100</v>
      </c>
      <c r="AF79" s="1" t="s">
        <v>107</v>
      </c>
      <c r="AG79" s="1" t="s">
        <v>331</v>
      </c>
      <c r="AH79" s="1">
        <v>59.1</v>
      </c>
      <c r="AI79" s="1">
        <f>AJ79*SQRT(X79)</f>
        <v>22.553048574416717</v>
      </c>
      <c r="AJ79" s="1">
        <v>6.8</v>
      </c>
      <c r="AK79" s="1">
        <v>42.5</v>
      </c>
      <c r="AL79" s="1">
        <f>AM79*SQRT(W79)</f>
        <v>22.884711053452261</v>
      </c>
      <c r="AM79" s="1">
        <v>6.9</v>
      </c>
      <c r="AN79" s="12">
        <f>AH79-AK79</f>
        <v>16.600000000000001</v>
      </c>
      <c r="AO79" s="1">
        <f>SQRT((((X79-1)*AI79^2)+((W79-1)*AL79^2))/(X79+W79-2))</f>
        <v>22.719485029375114</v>
      </c>
      <c r="AP79" s="1">
        <f>AN79/AO79</f>
        <v>0.7306503637092594</v>
      </c>
      <c r="AQ79" s="1">
        <f>1/X79+1/W79+(AP79^2)/(2*(X79+W79))</f>
        <v>0.19395113531791985</v>
      </c>
      <c r="AR79" s="1">
        <f>1-(3/(4*(X79+W79-2)-1))</f>
        <v>0.96202531645569622</v>
      </c>
      <c r="AS79" s="21">
        <f>AP79*AR79</f>
        <v>0.70290414736586981</v>
      </c>
      <c r="AT79" s="21">
        <f>AQ79*(AR79^2)</f>
        <v>0.17950036173630912</v>
      </c>
      <c r="AU79" s="21">
        <f>SQRT(AQ79*AR79^2)</f>
        <v>0.42367483018974483</v>
      </c>
      <c r="AV79" s="20">
        <f>1/AT79</f>
        <v>5.5710194137047315</v>
      </c>
      <c r="AW79" s="20">
        <f>AS79/AT79</f>
        <v>3.9158926509488321</v>
      </c>
      <c r="AX79" s="20">
        <f>((AS79)^2)/AT79</f>
        <v>2.7524971849914643</v>
      </c>
      <c r="AY79" s="14"/>
      <c r="AZ79" s="14"/>
      <c r="BA79" s="1" t="s">
        <v>270</v>
      </c>
      <c r="BB79" s="2"/>
    </row>
    <row r="80" spans="1:63" ht="14.25" customHeight="1">
      <c r="A80" s="2">
        <v>11</v>
      </c>
      <c r="B80" s="2" t="s">
        <v>3</v>
      </c>
      <c r="C80" s="1" t="s">
        <v>91</v>
      </c>
      <c r="D80" s="1">
        <v>2010</v>
      </c>
      <c r="E80" s="1">
        <v>2007</v>
      </c>
      <c r="F80" s="1" t="s">
        <v>92</v>
      </c>
      <c r="G80" s="1" t="s">
        <v>109</v>
      </c>
      <c r="H80" s="1">
        <v>39.831530000000001</v>
      </c>
      <c r="I80" s="1">
        <v>-7.8358790000000003</v>
      </c>
      <c r="J80" s="1" t="s">
        <v>135</v>
      </c>
      <c r="K80" s="1" t="s">
        <v>178</v>
      </c>
      <c r="L80" s="1" t="s">
        <v>179</v>
      </c>
      <c r="M80" s="1" t="s">
        <v>237</v>
      </c>
      <c r="N80" s="12" t="s">
        <v>238</v>
      </c>
      <c r="O80" s="1" t="s">
        <v>86</v>
      </c>
      <c r="P80" s="1" t="s">
        <v>2</v>
      </c>
      <c r="Q80" s="1" t="s">
        <v>93</v>
      </c>
      <c r="R80" s="1">
        <v>2003</v>
      </c>
      <c r="S80" s="1">
        <v>4</v>
      </c>
      <c r="T80" s="12">
        <f>S80*12</f>
        <v>48</v>
      </c>
      <c r="V80" s="1" t="s">
        <v>2</v>
      </c>
      <c r="W80" s="1">
        <v>11</v>
      </c>
      <c r="X80" s="1">
        <v>11</v>
      </c>
      <c r="Y80" s="1" t="s">
        <v>134</v>
      </c>
      <c r="Z80" s="1" t="s">
        <v>147</v>
      </c>
      <c r="AA80" s="1" t="s">
        <v>0</v>
      </c>
      <c r="AB80" s="1" t="s">
        <v>98</v>
      </c>
      <c r="AC80" s="1" t="s">
        <v>158</v>
      </c>
      <c r="AD80" s="1" t="s">
        <v>144</v>
      </c>
      <c r="AE80" s="1" t="s">
        <v>100</v>
      </c>
      <c r="AF80" s="1" t="s">
        <v>149</v>
      </c>
      <c r="AG80" s="1" t="s">
        <v>331</v>
      </c>
      <c r="AH80" s="1">
        <v>0.24</v>
      </c>
      <c r="AI80" s="1">
        <f>AJ80*SQRT(X80)</f>
        <v>0.19236423784061321</v>
      </c>
      <c r="AJ80" s="1">
        <v>5.8000000000000003E-2</v>
      </c>
      <c r="AK80" s="1">
        <v>0.52</v>
      </c>
      <c r="AL80" s="1">
        <f>AM80*SQRT(W80)</f>
        <v>0.39467835005229257</v>
      </c>
      <c r="AM80" s="1">
        <v>0.11899999999999999</v>
      </c>
      <c r="AN80" s="12">
        <f>AH80-AK80</f>
        <v>-0.28000000000000003</v>
      </c>
      <c r="AO80" s="1">
        <f>SQRT((((X80-1)*AI80^2)+((W80-1)*AL80^2))/(X80+W80-2))</f>
        <v>0.3104633633780321</v>
      </c>
      <c r="AP80" s="1">
        <f>AN80/AO80</f>
        <v>-0.9018777512213616</v>
      </c>
      <c r="AQ80" s="1">
        <f>1/X80+1/W80+(AP80^2)/(2*(X80+W80))</f>
        <v>0.20030416995791137</v>
      </c>
      <c r="AR80" s="1">
        <f>1-(3/(4*(X80+W80-2)-1))</f>
        <v>0.96202531645569622</v>
      </c>
      <c r="AS80" s="21">
        <f>AP80*AR80</f>
        <v>-0.86762922902308204</v>
      </c>
      <c r="AT80" s="21">
        <f>AQ80*(AR80^2)</f>
        <v>0.1853800489788329</v>
      </c>
      <c r="AU80" s="21">
        <f>SQRT(AQ80*AR80^2)</f>
        <v>0.43055783465039038</v>
      </c>
      <c r="AV80" s="20">
        <f>1/AT80</f>
        <v>5.3943237446990979</v>
      </c>
      <c r="AW80" s="20">
        <f>AS80/AT80</f>
        <v>-4.6802729517141826</v>
      </c>
      <c r="AX80" s="20">
        <f>((AS80)^2)/AT80</f>
        <v>4.0607416127133611</v>
      </c>
      <c r="AY80" s="14"/>
      <c r="AZ80" s="14"/>
      <c r="BA80" s="1" t="s">
        <v>270</v>
      </c>
      <c r="BB80" s="2"/>
    </row>
    <row r="81" spans="1:63" ht="14.25" customHeight="1">
      <c r="A81" s="2">
        <v>133</v>
      </c>
      <c r="B81" s="2" t="s">
        <v>18</v>
      </c>
      <c r="C81" s="1" t="s">
        <v>85</v>
      </c>
      <c r="D81" s="1">
        <v>2004</v>
      </c>
      <c r="E81" s="1">
        <v>1996</v>
      </c>
      <c r="F81" s="1" t="s">
        <v>143</v>
      </c>
      <c r="G81" s="1" t="s">
        <v>142</v>
      </c>
      <c r="H81" s="1">
        <v>39.907029999999999</v>
      </c>
      <c r="I81" s="1">
        <v>-74.474993999999995</v>
      </c>
      <c r="J81" s="1" t="s">
        <v>135</v>
      </c>
      <c r="K81" s="1" t="s">
        <v>176</v>
      </c>
      <c r="L81" s="1" t="s">
        <v>198</v>
      </c>
      <c r="M81" s="1" t="s">
        <v>236</v>
      </c>
      <c r="N81" s="1" t="s">
        <v>238</v>
      </c>
      <c r="O81" s="1" t="s">
        <v>121</v>
      </c>
      <c r="P81" s="1" t="s">
        <v>210</v>
      </c>
      <c r="Q81" s="1" t="s">
        <v>93</v>
      </c>
      <c r="R81" s="1">
        <v>1996</v>
      </c>
      <c r="S81" s="1" t="s">
        <v>156</v>
      </c>
      <c r="T81" s="1">
        <v>11</v>
      </c>
      <c r="V81" s="1" t="s">
        <v>2</v>
      </c>
      <c r="W81" s="1">
        <v>3</v>
      </c>
      <c r="X81" s="1">
        <v>3</v>
      </c>
      <c r="Y81" s="1" t="s">
        <v>134</v>
      </c>
      <c r="Z81" s="1" t="s">
        <v>130</v>
      </c>
      <c r="AA81" s="1" t="s">
        <v>0</v>
      </c>
      <c r="AB81" s="1" t="s">
        <v>148</v>
      </c>
      <c r="AC81" s="1" t="s">
        <v>2</v>
      </c>
      <c r="AD81" s="1" t="s">
        <v>2</v>
      </c>
      <c r="AE81" s="1" t="s">
        <v>2</v>
      </c>
      <c r="AF81" s="1" t="s">
        <v>222</v>
      </c>
      <c r="AG81" s="1" t="s">
        <v>318</v>
      </c>
      <c r="AH81" s="1">
        <v>2.1800000000000002</v>
      </c>
      <c r="AI81" s="1">
        <f>AJ81*(SQRT(X81))</f>
        <v>0.57157676649772882</v>
      </c>
      <c r="AJ81" s="1">
        <f>2.51-AH81</f>
        <v>0.32999999999999963</v>
      </c>
      <c r="AK81" s="1">
        <v>4.78</v>
      </c>
      <c r="AL81" s="1">
        <f>AM81*(SQRT(W81))</f>
        <v>0.8660254037844386</v>
      </c>
      <c r="AM81" s="1">
        <f>5.28-AK81</f>
        <v>0.5</v>
      </c>
      <c r="AN81" s="12">
        <f>AH81-AK81</f>
        <v>-2.6</v>
      </c>
      <c r="AO81" s="1">
        <f>SQRT((((X81-1)*AI81^2)+((W81-1)*AL81^2))/(X81+W81-2))</f>
        <v>0.73372338111852453</v>
      </c>
      <c r="AP81" s="1">
        <f>AN81/AO81</f>
        <v>-3.5435697797123904</v>
      </c>
      <c r="AQ81" s="1">
        <f>1/X81+1/W81+(AP81^2)/(2*(X81+W81))</f>
        <v>1.7130738986409098</v>
      </c>
      <c r="AR81" s="1">
        <f>1-(3/(4*(X81+W81-2)-1))</f>
        <v>0.8</v>
      </c>
      <c r="AS81" s="21">
        <f>AP81*AR81</f>
        <v>-2.8348558237699124</v>
      </c>
      <c r="AT81" s="21">
        <f>AQ81*(AR81^2)</f>
        <v>1.0963672951301824</v>
      </c>
      <c r="AU81" s="21">
        <f>SQRT(AQ81*AR81^2)</f>
        <v>1.0470755918892305</v>
      </c>
      <c r="AV81" s="20">
        <f>1/AT81</f>
        <v>0.9121030921314196</v>
      </c>
      <c r="AW81" s="20">
        <f>AS81/AT81</f>
        <v>-2.5856807626072995</v>
      </c>
      <c r="AX81" s="20">
        <f>((AS81)^2)/AT81</f>
        <v>7.3300321682871328</v>
      </c>
      <c r="AY81" s="14"/>
      <c r="AZ81" s="14"/>
      <c r="BA81" s="1" t="s">
        <v>270</v>
      </c>
      <c r="BB81" s="2"/>
    </row>
    <row r="82" spans="1:63" ht="14.25" customHeight="1">
      <c r="A82" s="2">
        <v>11</v>
      </c>
      <c r="B82" s="2" t="s">
        <v>3</v>
      </c>
      <c r="C82" s="1" t="s">
        <v>91</v>
      </c>
      <c r="D82" s="1">
        <v>2010</v>
      </c>
      <c r="E82" s="1">
        <v>2007</v>
      </c>
      <c r="F82" s="1" t="s">
        <v>92</v>
      </c>
      <c r="G82" s="1" t="s">
        <v>109</v>
      </c>
      <c r="H82" s="1">
        <v>39.831530000000001</v>
      </c>
      <c r="I82" s="1">
        <v>-7.8358790000000003</v>
      </c>
      <c r="J82" s="1" t="s">
        <v>135</v>
      </c>
      <c r="K82" s="1" t="s">
        <v>178</v>
      </c>
      <c r="L82" s="1" t="s">
        <v>179</v>
      </c>
      <c r="M82" s="1" t="s">
        <v>237</v>
      </c>
      <c r="N82" s="12" t="s">
        <v>238</v>
      </c>
      <c r="O82" s="1" t="s">
        <v>86</v>
      </c>
      <c r="P82" s="1" t="s">
        <v>2</v>
      </c>
      <c r="Q82" s="1" t="s">
        <v>93</v>
      </c>
      <c r="R82" s="1">
        <v>2003</v>
      </c>
      <c r="S82" s="1">
        <v>4</v>
      </c>
      <c r="T82" s="12">
        <f>S82*12</f>
        <v>48</v>
      </c>
      <c r="V82" s="1" t="s">
        <v>2</v>
      </c>
      <c r="W82" s="1">
        <v>11</v>
      </c>
      <c r="X82" s="1">
        <v>11</v>
      </c>
      <c r="Y82" s="1" t="s">
        <v>134</v>
      </c>
      <c r="Z82" s="1" t="s">
        <v>147</v>
      </c>
      <c r="AA82" s="1" t="s">
        <v>0</v>
      </c>
      <c r="AB82" s="1" t="s">
        <v>98</v>
      </c>
      <c r="AC82" s="1" t="s">
        <v>158</v>
      </c>
      <c r="AD82" s="1" t="s">
        <v>144</v>
      </c>
      <c r="AE82" s="1" t="s">
        <v>100</v>
      </c>
      <c r="AF82" s="1" t="s">
        <v>348</v>
      </c>
      <c r="AG82" s="1" t="s">
        <v>331</v>
      </c>
      <c r="AH82" s="1">
        <v>0.35</v>
      </c>
      <c r="AI82" s="1">
        <f>AJ82*SQRT(X82)</f>
        <v>0.27859648238985363</v>
      </c>
      <c r="AJ82" s="1">
        <v>8.4000000000000005E-2</v>
      </c>
      <c r="AK82" s="1">
        <v>0.44</v>
      </c>
      <c r="AL82" s="1">
        <f>AM82*SQRT(W82)</f>
        <v>0.3780952261005156</v>
      </c>
      <c r="AM82" s="1">
        <v>0.114</v>
      </c>
      <c r="AN82" s="12">
        <f>AH82-AK82</f>
        <v>-9.0000000000000024E-2</v>
      </c>
      <c r="AO82" s="1">
        <f>SQRT((((X82-1)*AI82^2)+((W82-1)*AM82^2))/(X82+W82-2))</f>
        <v>0.21285206130080114</v>
      </c>
      <c r="AP82" s="1">
        <f>AN82/AO82</f>
        <v>-0.42282888617560821</v>
      </c>
      <c r="AQ82" s="1">
        <f>1/X82+1/W82+(AP82^2)/(2*(X82+W82))</f>
        <v>0.18588146061328423</v>
      </c>
      <c r="AR82" s="1">
        <f>1-(3/(4*(X82+W82-2)-1))</f>
        <v>0.96202531645569622</v>
      </c>
      <c r="AS82" s="21">
        <f>AP82*AR82</f>
        <v>-0.40677209302969902</v>
      </c>
      <c r="AT82" s="21">
        <f>AQ82*(AR82^2)</f>
        <v>0.1720319366291187</v>
      </c>
      <c r="AU82" s="21">
        <f>SQRT(AQ82*AR82^2)</f>
        <v>0.41476732830482044</v>
      </c>
      <c r="AV82" s="20">
        <f>1/AT82</f>
        <v>5.8128741650795126</v>
      </c>
      <c r="AW82" s="20">
        <f>AS82/AT82</f>
        <v>-2.3645149906476575</v>
      </c>
      <c r="AX82" s="20">
        <f>((AS82)^2)/AT82</f>
        <v>0.96181871174584688</v>
      </c>
      <c r="AY82" s="14"/>
      <c r="AZ82" s="14"/>
      <c r="BA82" s="1" t="s">
        <v>270</v>
      </c>
      <c r="BB82" s="2"/>
    </row>
    <row r="83" spans="1:63" ht="14.25" customHeight="1">
      <c r="A83" s="2">
        <v>11</v>
      </c>
      <c r="B83" s="2" t="s">
        <v>3</v>
      </c>
      <c r="C83" s="1" t="s">
        <v>91</v>
      </c>
      <c r="D83" s="1">
        <v>2010</v>
      </c>
      <c r="E83" s="1">
        <v>2007</v>
      </c>
      <c r="F83" s="1" t="s">
        <v>92</v>
      </c>
      <c r="G83" s="1" t="s">
        <v>109</v>
      </c>
      <c r="H83" s="1">
        <v>39.831530000000001</v>
      </c>
      <c r="I83" s="1">
        <v>-7.8358790000000003</v>
      </c>
      <c r="J83" s="1" t="s">
        <v>135</v>
      </c>
      <c r="K83" s="1" t="s">
        <v>178</v>
      </c>
      <c r="L83" s="1" t="s">
        <v>179</v>
      </c>
      <c r="M83" s="1" t="s">
        <v>237</v>
      </c>
      <c r="N83" s="12" t="s">
        <v>238</v>
      </c>
      <c r="O83" s="1" t="s">
        <v>86</v>
      </c>
      <c r="P83" s="1" t="s">
        <v>2</v>
      </c>
      <c r="Q83" s="1" t="s">
        <v>93</v>
      </c>
      <c r="R83" s="1">
        <v>2003</v>
      </c>
      <c r="S83" s="1">
        <v>4</v>
      </c>
      <c r="T83" s="1">
        <f>S83*12</f>
        <v>48</v>
      </c>
      <c r="V83" s="1" t="s">
        <v>2</v>
      </c>
      <c r="W83" s="1">
        <v>11</v>
      </c>
      <c r="X83" s="1">
        <v>11</v>
      </c>
      <c r="Y83" s="1" t="s">
        <v>134</v>
      </c>
      <c r="Z83" s="1" t="s">
        <v>147</v>
      </c>
      <c r="AA83" s="1" t="s">
        <v>0</v>
      </c>
      <c r="AB83" s="1" t="s">
        <v>98</v>
      </c>
      <c r="AC83" s="1" t="s">
        <v>158</v>
      </c>
      <c r="AD83" s="1" t="s">
        <v>144</v>
      </c>
      <c r="AE83" s="1" t="s">
        <v>100</v>
      </c>
      <c r="AF83" s="12" t="s">
        <v>290</v>
      </c>
      <c r="AG83" s="12" t="s">
        <v>318</v>
      </c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" t="s">
        <v>285</v>
      </c>
    </row>
    <row r="84" spans="1:63" s="12" customFormat="1" ht="14.25" customHeight="1">
      <c r="A84" s="2">
        <v>121</v>
      </c>
      <c r="B84" s="2" t="s">
        <v>17</v>
      </c>
      <c r="C84" s="12" t="s">
        <v>85</v>
      </c>
      <c r="D84" s="12">
        <v>2014</v>
      </c>
      <c r="E84" s="12">
        <v>2009</v>
      </c>
      <c r="F84" s="12" t="s">
        <v>136</v>
      </c>
      <c r="G84" s="12" t="s">
        <v>161</v>
      </c>
      <c r="H84" s="12">
        <v>55.345132999999997</v>
      </c>
      <c r="I84" s="12">
        <v>21.021471999999999</v>
      </c>
      <c r="J84" s="12" t="s">
        <v>126</v>
      </c>
      <c r="K84" s="12" t="s">
        <v>176</v>
      </c>
      <c r="L84" s="12" t="s">
        <v>182</v>
      </c>
      <c r="M84" s="12" t="s">
        <v>236</v>
      </c>
      <c r="N84" s="12" t="s">
        <v>238</v>
      </c>
      <c r="O84" s="12" t="s">
        <v>86</v>
      </c>
      <c r="P84" s="12" t="s">
        <v>146</v>
      </c>
      <c r="Q84" s="12" t="s">
        <v>93</v>
      </c>
      <c r="R84" s="12">
        <v>2006</v>
      </c>
      <c r="S84" s="12">
        <v>3</v>
      </c>
      <c r="T84" s="12">
        <f>S84*12</f>
        <v>36</v>
      </c>
      <c r="V84" s="12">
        <v>230</v>
      </c>
      <c r="W84" s="12">
        <v>2</v>
      </c>
      <c r="X84" s="12">
        <v>3</v>
      </c>
      <c r="Y84" s="12" t="s">
        <v>114</v>
      </c>
      <c r="Z84" s="12" t="s">
        <v>2</v>
      </c>
      <c r="AA84" s="12" t="s">
        <v>0</v>
      </c>
      <c r="AB84" s="12" t="s">
        <v>2</v>
      </c>
      <c r="AC84" s="12" t="s">
        <v>2</v>
      </c>
      <c r="AD84" s="12" t="s">
        <v>2</v>
      </c>
      <c r="AE84" s="12" t="s">
        <v>2</v>
      </c>
      <c r="AF84" s="12" t="s">
        <v>222</v>
      </c>
      <c r="AG84" s="12" t="s">
        <v>315</v>
      </c>
      <c r="AH84" s="12">
        <v>69.430000000000007</v>
      </c>
      <c r="AI84" s="12">
        <f>74.1-AH84</f>
        <v>4.6699999999999875</v>
      </c>
      <c r="AK84" s="12">
        <v>85.86</v>
      </c>
      <c r="AL84" s="12">
        <f>90.67-AK84</f>
        <v>4.8100000000000023</v>
      </c>
      <c r="AN84" s="12">
        <f>AH84-AK84</f>
        <v>-16.429999999999993</v>
      </c>
      <c r="AO84" s="12">
        <f>SQRT((((X84-1)*AI84^2)+((W84-1)*AL84^2))/(X84+W84-2))</f>
        <v>4.717128363739949</v>
      </c>
      <c r="AP84" s="12">
        <f>AN84/AO84</f>
        <v>-3.4830512831271689</v>
      </c>
      <c r="AQ84" s="12">
        <f>1/X84+1/W84+(AP84^2)/(2*(X84+W84))</f>
        <v>2.0464979574227149</v>
      </c>
      <c r="AR84" s="12">
        <f>1-(3/(4*(X84+W84-2)-1))</f>
        <v>0.72727272727272729</v>
      </c>
      <c r="AS84" s="21">
        <f>AP84*AR84</f>
        <v>-2.5331282059106686</v>
      </c>
      <c r="AT84" s="21">
        <f>AQ84*(AR84^2)</f>
        <v>1.0824452006202789</v>
      </c>
      <c r="AU84" s="21">
        <f>SQRT(AQ84*AR84^2)</f>
        <v>1.0404062670996743</v>
      </c>
      <c r="AV84" s="20">
        <f>1/AT84</f>
        <v>0.9238342961167596</v>
      </c>
      <c r="AW84" s="20">
        <f>AS84/AT84</f>
        <v>-2.3401907130809927</v>
      </c>
      <c r="AX84" s="20">
        <f>((AS84)^2)/AT84</f>
        <v>5.928003102515663</v>
      </c>
      <c r="AY84" s="14"/>
      <c r="AZ84" s="14"/>
      <c r="BA84" s="12" t="s">
        <v>270</v>
      </c>
      <c r="BB84" s="2"/>
    </row>
    <row r="85" spans="1:63" s="12" customFormat="1" ht="14.25" customHeight="1">
      <c r="A85" s="2">
        <v>521</v>
      </c>
      <c r="B85" s="2" t="s">
        <v>67</v>
      </c>
      <c r="C85" s="12" t="s">
        <v>85</v>
      </c>
      <c r="D85" s="12">
        <v>2020</v>
      </c>
      <c r="E85" s="12">
        <v>2014</v>
      </c>
      <c r="F85" s="12" t="s">
        <v>120</v>
      </c>
      <c r="G85" s="12" t="s">
        <v>109</v>
      </c>
      <c r="H85" s="12">
        <v>41.696944000000002</v>
      </c>
      <c r="I85" s="12">
        <v>-6.2241109999999997</v>
      </c>
      <c r="J85" s="12" t="s">
        <v>128</v>
      </c>
      <c r="K85" s="12" t="s">
        <v>184</v>
      </c>
      <c r="L85" s="12" t="s">
        <v>185</v>
      </c>
      <c r="M85" s="12" t="s">
        <v>237</v>
      </c>
      <c r="N85" s="12" t="s">
        <v>238</v>
      </c>
      <c r="O85" s="12" t="s">
        <v>86</v>
      </c>
      <c r="Q85" s="12" t="s">
        <v>93</v>
      </c>
      <c r="R85" s="12">
        <v>2002</v>
      </c>
      <c r="S85" s="12">
        <v>8</v>
      </c>
      <c r="T85" s="1">
        <f>S85*12</f>
        <v>96</v>
      </c>
      <c r="W85" s="12">
        <v>15</v>
      </c>
      <c r="X85" s="12">
        <v>15</v>
      </c>
      <c r="Y85" s="12" t="s">
        <v>97</v>
      </c>
      <c r="Z85" s="1" t="s">
        <v>147</v>
      </c>
      <c r="AA85" s="12" t="s">
        <v>0</v>
      </c>
      <c r="AB85" s="12" t="s">
        <v>98</v>
      </c>
      <c r="AC85" s="12" t="s">
        <v>202</v>
      </c>
      <c r="AD85" s="12" t="s">
        <v>99</v>
      </c>
      <c r="AE85" s="12" t="s">
        <v>111</v>
      </c>
      <c r="AF85" s="12" t="s">
        <v>256</v>
      </c>
      <c r="AG85" s="12" t="s">
        <v>319</v>
      </c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2" t="s">
        <v>285</v>
      </c>
    </row>
    <row r="86" spans="1:63" s="12" customFormat="1" ht="14.25" customHeight="1">
      <c r="A86" s="2">
        <v>534</v>
      </c>
      <c r="B86" s="2" t="s">
        <v>68</v>
      </c>
      <c r="C86" s="1" t="s">
        <v>85</v>
      </c>
      <c r="D86" s="1">
        <v>2022</v>
      </c>
      <c r="E86" s="1">
        <v>2018</v>
      </c>
      <c r="F86" s="1" t="s">
        <v>143</v>
      </c>
      <c r="G86" s="1" t="s">
        <v>109</v>
      </c>
      <c r="H86" s="1">
        <v>33.299100000000003</v>
      </c>
      <c r="I86" s="1">
        <v>-116.800786</v>
      </c>
      <c r="J86" s="1" t="s">
        <v>128</v>
      </c>
      <c r="K86" s="1" t="s">
        <v>218</v>
      </c>
      <c r="L86" s="1" t="s">
        <v>219</v>
      </c>
      <c r="M86" s="1" t="s">
        <v>237</v>
      </c>
      <c r="N86" s="1" t="s">
        <v>238</v>
      </c>
      <c r="O86" s="1" t="s">
        <v>86</v>
      </c>
      <c r="P86" s="1" t="s">
        <v>210</v>
      </c>
      <c r="Q86" s="1" t="s">
        <v>93</v>
      </c>
      <c r="R86" s="1">
        <v>2018</v>
      </c>
      <c r="S86" s="1">
        <v>1</v>
      </c>
      <c r="T86" s="1">
        <f>S86*12</f>
        <v>12</v>
      </c>
      <c r="U86" s="1"/>
      <c r="V86" s="1">
        <v>9400</v>
      </c>
      <c r="W86" s="1">
        <v>3</v>
      </c>
      <c r="X86" s="1">
        <v>6</v>
      </c>
      <c r="Y86" s="1" t="s">
        <v>97</v>
      </c>
      <c r="Z86" s="1" t="s">
        <v>133</v>
      </c>
      <c r="AA86" s="1" t="s">
        <v>0</v>
      </c>
      <c r="AB86" s="1" t="s">
        <v>98</v>
      </c>
      <c r="AC86" s="1" t="s">
        <v>202</v>
      </c>
      <c r="AD86" s="1" t="s">
        <v>99</v>
      </c>
      <c r="AE86" s="1" t="s">
        <v>102</v>
      </c>
      <c r="AF86" s="1" t="s">
        <v>222</v>
      </c>
      <c r="AG86" s="1" t="s">
        <v>319</v>
      </c>
      <c r="AH86" s="1">
        <v>99.64</v>
      </c>
      <c r="AI86" s="1">
        <f>AJ86*SQRT(X86)</f>
        <v>47.765049984271968</v>
      </c>
      <c r="AJ86" s="1">
        <f>109.75-90.25</f>
        <v>19.5</v>
      </c>
      <c r="AK86" s="1">
        <v>256.32</v>
      </c>
      <c r="AL86" s="1">
        <f>AM86*SQRT(W86)</f>
        <v>73.785364402434212</v>
      </c>
      <c r="AM86" s="1">
        <f>277.98-235.38</f>
        <v>42.600000000000023</v>
      </c>
      <c r="AN86" s="12">
        <f>AH86-AK86</f>
        <v>-156.68</v>
      </c>
      <c r="AO86" s="1">
        <f>SQRT((((X86-1)*AI86^2)+((W86-1)*AL86^2))/(X86+W86-2))</f>
        <v>56.437145822334337</v>
      </c>
      <c r="AP86" s="1">
        <f>AN86/AO86</f>
        <v>-2.7761857499532825</v>
      </c>
      <c r="AQ86" s="1">
        <f>1/X86+1/W86+(AP86^2)/(2*(X86+W86))</f>
        <v>0.92817818434687049</v>
      </c>
      <c r="AR86" s="1">
        <f>1-(3/(4*(X86+W86-2)-1))</f>
        <v>0.88888888888888884</v>
      </c>
      <c r="AS86" s="21">
        <f>AP86*AR86</f>
        <v>-2.4677206666251399</v>
      </c>
      <c r="AT86" s="21">
        <f>AQ86*(AR86^2)</f>
        <v>0.73337535553332978</v>
      </c>
      <c r="AU86" s="21">
        <f>SQRT(AQ86*AR86^2)</f>
        <v>0.85637337390493973</v>
      </c>
      <c r="AV86" s="20">
        <f>1/AT86</f>
        <v>1.3635582276592506</v>
      </c>
      <c r="AW86" s="20">
        <f>AS86/AT86</f>
        <v>-3.3648808185414802</v>
      </c>
      <c r="AX86" s="20">
        <f>((AS86)^2)/AT86</f>
        <v>8.3035859366453284</v>
      </c>
      <c r="AY86" s="14"/>
      <c r="AZ86" s="14"/>
      <c r="BA86" s="1" t="s">
        <v>270</v>
      </c>
      <c r="BB86" s="2"/>
      <c r="BC86" s="1"/>
      <c r="BD86" s="1"/>
      <c r="BE86" s="1"/>
      <c r="BF86" s="1"/>
      <c r="BG86" s="1"/>
      <c r="BH86" s="1"/>
      <c r="BI86" s="1"/>
      <c r="BJ86" s="1"/>
      <c r="BK86" s="1"/>
    </row>
    <row r="87" spans="1:63" s="12" customFormat="1" ht="14.25" customHeight="1">
      <c r="A87" s="2">
        <v>521</v>
      </c>
      <c r="B87" s="2" t="s">
        <v>67</v>
      </c>
      <c r="C87" s="12" t="s">
        <v>85</v>
      </c>
      <c r="D87" s="12">
        <v>2020</v>
      </c>
      <c r="E87" s="12">
        <v>2014</v>
      </c>
      <c r="F87" s="12" t="s">
        <v>120</v>
      </c>
      <c r="G87" s="12" t="s">
        <v>109</v>
      </c>
      <c r="H87" s="12">
        <v>41.696944000000002</v>
      </c>
      <c r="I87" s="12">
        <v>-6.2241109999999997</v>
      </c>
      <c r="J87" s="12" t="s">
        <v>128</v>
      </c>
      <c r="K87" s="12" t="s">
        <v>184</v>
      </c>
      <c r="L87" s="12" t="s">
        <v>185</v>
      </c>
      <c r="M87" s="12" t="s">
        <v>237</v>
      </c>
      <c r="N87" s="12" t="s">
        <v>238</v>
      </c>
      <c r="O87" s="12" t="s">
        <v>121</v>
      </c>
      <c r="Q87" s="12" t="s">
        <v>93</v>
      </c>
      <c r="R87" s="12">
        <v>2010</v>
      </c>
      <c r="S87" s="12">
        <v>4</v>
      </c>
      <c r="T87" s="1">
        <f>S87*12</f>
        <v>48</v>
      </c>
      <c r="W87" s="12">
        <v>15</v>
      </c>
      <c r="X87" s="12">
        <v>15</v>
      </c>
      <c r="Y87" s="12" t="s">
        <v>97</v>
      </c>
      <c r="Z87" s="1" t="s">
        <v>147</v>
      </c>
      <c r="AA87" s="12" t="s">
        <v>0</v>
      </c>
      <c r="AB87" s="12" t="s">
        <v>98</v>
      </c>
      <c r="AC87" s="12" t="s">
        <v>202</v>
      </c>
      <c r="AD87" s="12" t="s">
        <v>99</v>
      </c>
      <c r="AE87" s="12" t="s">
        <v>111</v>
      </c>
      <c r="AF87" s="12" t="s">
        <v>256</v>
      </c>
      <c r="AG87" s="12" t="s">
        <v>319</v>
      </c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2" t="s">
        <v>285</v>
      </c>
    </row>
    <row r="88" spans="1:63" ht="14.25" customHeight="1">
      <c r="A88" s="2">
        <v>493</v>
      </c>
      <c r="B88" s="2" t="s">
        <v>65</v>
      </c>
      <c r="C88" s="1" t="s">
        <v>85</v>
      </c>
      <c r="D88" s="1">
        <v>2023</v>
      </c>
      <c r="E88" s="1">
        <v>2020</v>
      </c>
      <c r="F88" s="1" t="s">
        <v>214</v>
      </c>
      <c r="G88" s="1" t="s">
        <v>159</v>
      </c>
      <c r="H88" s="1">
        <v>53.468417000000002</v>
      </c>
      <c r="I88" s="1">
        <v>122.35216699999999</v>
      </c>
      <c r="J88" s="1" t="s">
        <v>128</v>
      </c>
      <c r="K88" s="1" t="s">
        <v>172</v>
      </c>
      <c r="L88" s="1" t="s">
        <v>173</v>
      </c>
      <c r="M88" s="1" t="s">
        <v>236</v>
      </c>
      <c r="N88" s="1" t="s">
        <v>238</v>
      </c>
      <c r="O88" s="12" t="s">
        <v>86</v>
      </c>
      <c r="P88" s="1" t="s">
        <v>146</v>
      </c>
      <c r="Q88" s="1" t="s">
        <v>93</v>
      </c>
      <c r="R88" s="1">
        <v>2010</v>
      </c>
      <c r="S88" s="1">
        <v>10</v>
      </c>
      <c r="T88" s="12">
        <f>S88*12</f>
        <v>120</v>
      </c>
      <c r="W88" s="1">
        <v>3</v>
      </c>
      <c r="X88" s="1">
        <v>3</v>
      </c>
      <c r="Y88" s="1" t="s">
        <v>97</v>
      </c>
      <c r="Z88" s="1" t="s">
        <v>133</v>
      </c>
      <c r="AA88" s="1" t="s">
        <v>0</v>
      </c>
      <c r="AB88" s="1" t="s">
        <v>98</v>
      </c>
      <c r="AC88" s="1" t="s">
        <v>202</v>
      </c>
      <c r="AD88" s="1" t="s">
        <v>99</v>
      </c>
      <c r="AE88" s="1" t="s">
        <v>100</v>
      </c>
      <c r="AF88" s="1" t="s">
        <v>261</v>
      </c>
      <c r="AG88" s="1" t="s">
        <v>317</v>
      </c>
      <c r="AH88" s="1">
        <v>288</v>
      </c>
      <c r="AI88" s="12">
        <f>AJ88*SQRT(X88)</f>
        <v>13.752483412096886</v>
      </c>
      <c r="AJ88" s="12">
        <v>7.94</v>
      </c>
      <c r="AK88" s="12">
        <v>261</v>
      </c>
      <c r="AL88" s="12">
        <f>AM88*SQRT(W88)</f>
        <v>90.707500792382092</v>
      </c>
      <c r="AM88" s="12">
        <v>52.37</v>
      </c>
      <c r="AN88" s="12">
        <f>AH88-AK88</f>
        <v>27</v>
      </c>
      <c r="AO88" s="1">
        <f>SQRT((((X88-1)*AI88^2)+((W88-1)*AL88^2))/(X88+W88-2))</f>
        <v>64.872881468299212</v>
      </c>
      <c r="AP88" s="1">
        <f>AN88/AO88</f>
        <v>0.4161985623097969</v>
      </c>
      <c r="AQ88" s="1">
        <f>1/X88+1/W88+(AP88^2)/(2*(X88+W88))</f>
        <v>0.68110177027239516</v>
      </c>
      <c r="AR88" s="1">
        <f>1-(3/(4*(X88+W88-2)-1))</f>
        <v>0.8</v>
      </c>
      <c r="AS88" s="21">
        <f>AP88*AR88</f>
        <v>0.33295884984783752</v>
      </c>
      <c r="AT88" s="21">
        <f>AQ88*(AR88^2)</f>
        <v>0.43590513297433298</v>
      </c>
      <c r="AU88" s="21">
        <f>SQRT(AQ88*AR88^2)</f>
        <v>0.66023112087687363</v>
      </c>
      <c r="AV88" s="20">
        <f>1/AT88</f>
        <v>2.294077138244853</v>
      </c>
      <c r="AW88" s="20">
        <f>AS88/AT88</f>
        <v>0.76383328541222484</v>
      </c>
      <c r="AX88" s="20">
        <f>((AS88)^2)/AT88</f>
        <v>0.25432505218634943</v>
      </c>
      <c r="AY88" s="14"/>
      <c r="AZ88" s="14"/>
      <c r="BA88" s="1" t="s">
        <v>270</v>
      </c>
      <c r="BB88" s="2"/>
    </row>
    <row r="89" spans="1:63" ht="14.25" customHeight="1">
      <c r="A89" s="2">
        <v>493</v>
      </c>
      <c r="B89" s="2" t="s">
        <v>65</v>
      </c>
      <c r="C89" s="1" t="s">
        <v>85</v>
      </c>
      <c r="D89" s="1">
        <v>2023</v>
      </c>
      <c r="E89" s="1">
        <v>2020</v>
      </c>
      <c r="F89" s="1" t="s">
        <v>214</v>
      </c>
      <c r="G89" s="1" t="s">
        <v>159</v>
      </c>
      <c r="H89" s="1">
        <v>53.468417000000002</v>
      </c>
      <c r="I89" s="1">
        <v>122.35216699999999</v>
      </c>
      <c r="J89" s="1" t="s">
        <v>128</v>
      </c>
      <c r="K89" s="1" t="s">
        <v>172</v>
      </c>
      <c r="L89" s="1" t="s">
        <v>173</v>
      </c>
      <c r="M89" s="1" t="s">
        <v>236</v>
      </c>
      <c r="N89" s="1" t="s">
        <v>238</v>
      </c>
      <c r="O89" s="1" t="s">
        <v>86</v>
      </c>
      <c r="P89" s="1" t="s">
        <v>146</v>
      </c>
      <c r="Q89" s="1" t="s">
        <v>93</v>
      </c>
      <c r="R89" s="1">
        <v>2010</v>
      </c>
      <c r="S89" s="1">
        <v>10</v>
      </c>
      <c r="T89" s="12">
        <f>S89*12</f>
        <v>120</v>
      </c>
      <c r="W89" s="1">
        <v>3</v>
      </c>
      <c r="X89" s="1">
        <v>3</v>
      </c>
      <c r="Y89" s="1" t="s">
        <v>97</v>
      </c>
      <c r="Z89" s="1" t="s">
        <v>133</v>
      </c>
      <c r="AA89" s="1" t="s">
        <v>0</v>
      </c>
      <c r="AB89" s="1" t="s">
        <v>98</v>
      </c>
      <c r="AC89" s="1" t="s">
        <v>202</v>
      </c>
      <c r="AD89" s="1" t="s">
        <v>99</v>
      </c>
      <c r="AE89" s="1" t="s">
        <v>100</v>
      </c>
      <c r="AF89" s="1" t="s">
        <v>149</v>
      </c>
      <c r="AG89" s="1" t="s">
        <v>317</v>
      </c>
      <c r="AH89" s="1">
        <v>3.74</v>
      </c>
      <c r="AI89" s="12">
        <f>AJ89*SQRT(X89)</f>
        <v>0.1905255888325765</v>
      </c>
      <c r="AJ89" s="12">
        <v>0.11</v>
      </c>
      <c r="AK89" s="12">
        <v>2.67</v>
      </c>
      <c r="AL89" s="12">
        <f>AM89*SQRT(W89)</f>
        <v>1.1951150572225251</v>
      </c>
      <c r="AM89" s="12">
        <v>0.69</v>
      </c>
      <c r="AN89" s="12">
        <f>AH89-AK89</f>
        <v>1.0700000000000003</v>
      </c>
      <c r="AO89" s="1">
        <f>SQRT((((X89-1)*AI89^2)+((W89-1)*AL89^2))/(X89+W89-2))</f>
        <v>0.8557452892070162</v>
      </c>
      <c r="AP89" s="1">
        <f>AN89/AO89</f>
        <v>1.2503720598818897</v>
      </c>
      <c r="AQ89" s="1">
        <f>1/X89+1/W89+(AP89^2)/(2*(X89+W89))</f>
        <v>0.79695252401110661</v>
      </c>
      <c r="AR89" s="1">
        <f>1-(3/(4*(X89+W89-2)-1))</f>
        <v>0.8</v>
      </c>
      <c r="AS89" s="21">
        <f>AP89*AR89</f>
        <v>1.0002976479055119</v>
      </c>
      <c r="AT89" s="21">
        <f>AQ89*(AR89^2)</f>
        <v>0.51004961536710836</v>
      </c>
      <c r="AU89" s="21">
        <f>SQRT(AQ89*AR89^2)</f>
        <v>0.71417757971467322</v>
      </c>
      <c r="AV89" s="20">
        <f>1/AT89</f>
        <v>1.9605935773135517</v>
      </c>
      <c r="AW89" s="20">
        <f>AS89/AT89</f>
        <v>1.9611771438853991</v>
      </c>
      <c r="AX89" s="20">
        <f>((AS89)^2)/AT89</f>
        <v>1.9617608841546144</v>
      </c>
      <c r="AY89" s="14"/>
      <c r="AZ89" s="14"/>
      <c r="BA89" s="1" t="s">
        <v>270</v>
      </c>
      <c r="BB89" s="2"/>
    </row>
    <row r="90" spans="1:63" ht="14.25" customHeight="1">
      <c r="A90" s="2">
        <v>493</v>
      </c>
      <c r="B90" s="2" t="s">
        <v>65</v>
      </c>
      <c r="C90" s="1" t="s">
        <v>85</v>
      </c>
      <c r="D90" s="1">
        <v>2023</v>
      </c>
      <c r="E90" s="1">
        <v>2020</v>
      </c>
      <c r="F90" s="1" t="s">
        <v>214</v>
      </c>
      <c r="G90" s="1" t="s">
        <v>159</v>
      </c>
      <c r="H90" s="1">
        <v>53.468417000000002</v>
      </c>
      <c r="I90" s="1">
        <v>122.35216699999999</v>
      </c>
      <c r="J90" s="1" t="s">
        <v>128</v>
      </c>
      <c r="K90" s="1" t="s">
        <v>172</v>
      </c>
      <c r="L90" s="1" t="s">
        <v>173</v>
      </c>
      <c r="M90" s="1" t="s">
        <v>236</v>
      </c>
      <c r="N90" s="1" t="s">
        <v>238</v>
      </c>
      <c r="O90" s="1" t="s">
        <v>86</v>
      </c>
      <c r="P90" s="1" t="s">
        <v>146</v>
      </c>
      <c r="Q90" s="1" t="s">
        <v>93</v>
      </c>
      <c r="R90" s="1">
        <v>2010</v>
      </c>
      <c r="S90" s="1">
        <v>10</v>
      </c>
      <c r="T90" s="12">
        <f>S90*12</f>
        <v>120</v>
      </c>
      <c r="W90" s="1">
        <v>3</v>
      </c>
      <c r="X90" s="1">
        <v>3</v>
      </c>
      <c r="Y90" s="1" t="s">
        <v>97</v>
      </c>
      <c r="Z90" s="1" t="s">
        <v>133</v>
      </c>
      <c r="AA90" s="1" t="s">
        <v>0</v>
      </c>
      <c r="AB90" s="1" t="s">
        <v>98</v>
      </c>
      <c r="AC90" s="1" t="s">
        <v>202</v>
      </c>
      <c r="AD90" s="1" t="s">
        <v>99</v>
      </c>
      <c r="AE90" s="1" t="s">
        <v>100</v>
      </c>
      <c r="AF90" s="1" t="s">
        <v>253</v>
      </c>
      <c r="AG90" s="1" t="s">
        <v>317</v>
      </c>
      <c r="AH90" s="1">
        <v>0.05</v>
      </c>
      <c r="AI90" s="12">
        <f>AJ90*SQRT(X90)</f>
        <v>1.7320508075688772E-3</v>
      </c>
      <c r="AJ90" s="12">
        <v>1E-3</v>
      </c>
      <c r="AK90" s="12">
        <v>0.23</v>
      </c>
      <c r="AL90" s="12">
        <f>AM90*SQRT(W90)</f>
        <v>0.27712812921102037</v>
      </c>
      <c r="AM90" s="12">
        <v>0.16</v>
      </c>
      <c r="AN90" s="12">
        <f>AH90-AK90</f>
        <v>-0.18</v>
      </c>
      <c r="AO90" s="1">
        <f>SQRT((((X90-1)*AI90^2)+((W90-1)*AL90^2))/(X90+W90-2))</f>
        <v>0.19596300671300185</v>
      </c>
      <c r="AP90" s="1">
        <f>AN90/AO90</f>
        <v>-0.91854071347057598</v>
      </c>
      <c r="AQ90" s="1">
        <f>1/X90+1/W90+(AP90^2)/(2*(X90+W90))</f>
        <v>0.73697642019191956</v>
      </c>
      <c r="AR90" s="1">
        <f>1-(3/(4*(X90+W90-2)-1))</f>
        <v>0.8</v>
      </c>
      <c r="AS90" s="21">
        <f>AP90*AR90</f>
        <v>-0.7348325707764608</v>
      </c>
      <c r="AT90" s="21">
        <f>AQ90*(AR90^2)</f>
        <v>0.47166490892282859</v>
      </c>
      <c r="AU90" s="21">
        <f>SQRT(AQ90*AR90^2)</f>
        <v>0.68677864623387108</v>
      </c>
      <c r="AV90" s="20">
        <f>1/AT90</f>
        <v>2.1201492438429734</v>
      </c>
      <c r="AW90" s="20">
        <f>AS90/AT90</f>
        <v>-1.5579547192829017</v>
      </c>
      <c r="AX90" s="20">
        <f>((AS90)^2)/AT90</f>
        <v>1.1448358715239739</v>
      </c>
      <c r="AY90" s="14"/>
      <c r="AZ90" s="14"/>
      <c r="BA90" s="1" t="s">
        <v>270</v>
      </c>
      <c r="BB90" s="2"/>
    </row>
    <row r="91" spans="1:63" ht="14.25" customHeight="1">
      <c r="A91" s="2">
        <v>493</v>
      </c>
      <c r="B91" s="2" t="s">
        <v>65</v>
      </c>
      <c r="C91" s="1" t="s">
        <v>85</v>
      </c>
      <c r="D91" s="1">
        <v>2023</v>
      </c>
      <c r="E91" s="1">
        <v>2020</v>
      </c>
      <c r="F91" s="1" t="s">
        <v>214</v>
      </c>
      <c r="G91" s="1" t="s">
        <v>159</v>
      </c>
      <c r="H91" s="1">
        <v>53.468417000000002</v>
      </c>
      <c r="I91" s="1">
        <v>122.35216699999999</v>
      </c>
      <c r="J91" s="1" t="s">
        <v>128</v>
      </c>
      <c r="K91" s="1" t="s">
        <v>172</v>
      </c>
      <c r="L91" s="1" t="s">
        <v>173</v>
      </c>
      <c r="M91" s="1" t="s">
        <v>236</v>
      </c>
      <c r="N91" s="1" t="s">
        <v>238</v>
      </c>
      <c r="O91" s="1" t="s">
        <v>86</v>
      </c>
      <c r="P91" s="1" t="s">
        <v>146</v>
      </c>
      <c r="Q91" s="1" t="s">
        <v>93</v>
      </c>
      <c r="R91" s="1">
        <v>2010</v>
      </c>
      <c r="S91" s="1">
        <v>10</v>
      </c>
      <c r="T91" s="1">
        <f>S91*12</f>
        <v>120</v>
      </c>
      <c r="W91" s="1">
        <v>3</v>
      </c>
      <c r="X91" s="1">
        <v>3</v>
      </c>
      <c r="Y91" s="1" t="s">
        <v>97</v>
      </c>
      <c r="Z91" s="1" t="s">
        <v>133</v>
      </c>
      <c r="AA91" s="1" t="s">
        <v>0</v>
      </c>
      <c r="AB91" s="1" t="s">
        <v>98</v>
      </c>
      <c r="AC91" s="1" t="s">
        <v>202</v>
      </c>
      <c r="AD91" s="1" t="s">
        <v>99</v>
      </c>
      <c r="AE91" s="1" t="s">
        <v>100</v>
      </c>
      <c r="AF91" s="1" t="s">
        <v>254</v>
      </c>
      <c r="AG91" s="1" t="s">
        <v>319</v>
      </c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" t="s">
        <v>285</v>
      </c>
    </row>
    <row r="92" spans="1:63" ht="14.25" customHeight="1">
      <c r="A92" s="2">
        <v>493</v>
      </c>
      <c r="B92" s="2" t="s">
        <v>65</v>
      </c>
      <c r="C92" s="1" t="s">
        <v>85</v>
      </c>
      <c r="D92" s="1">
        <v>2023</v>
      </c>
      <c r="E92" s="1">
        <v>2020</v>
      </c>
      <c r="F92" s="1" t="s">
        <v>214</v>
      </c>
      <c r="G92" s="1" t="s">
        <v>159</v>
      </c>
      <c r="H92" s="1">
        <v>53.468417000000002</v>
      </c>
      <c r="I92" s="1">
        <v>122.35216699999999</v>
      </c>
      <c r="J92" s="1" t="s">
        <v>128</v>
      </c>
      <c r="K92" s="1" t="s">
        <v>172</v>
      </c>
      <c r="L92" s="1" t="s">
        <v>173</v>
      </c>
      <c r="M92" s="1" t="s">
        <v>236</v>
      </c>
      <c r="N92" s="1" t="s">
        <v>238</v>
      </c>
      <c r="O92" s="1" t="s">
        <v>86</v>
      </c>
      <c r="P92" s="1" t="s">
        <v>210</v>
      </c>
      <c r="Q92" s="1" t="s">
        <v>93</v>
      </c>
      <c r="R92" s="1">
        <v>2010</v>
      </c>
      <c r="S92" s="1">
        <v>10</v>
      </c>
      <c r="T92" s="12">
        <f>S92*12</f>
        <v>120</v>
      </c>
      <c r="W92" s="1">
        <v>3</v>
      </c>
      <c r="X92" s="1">
        <v>3</v>
      </c>
      <c r="Y92" s="1" t="s">
        <v>97</v>
      </c>
      <c r="Z92" s="1" t="s">
        <v>133</v>
      </c>
      <c r="AA92" s="1" t="s">
        <v>0</v>
      </c>
      <c r="AB92" s="1" t="s">
        <v>98</v>
      </c>
      <c r="AC92" s="1" t="s">
        <v>202</v>
      </c>
      <c r="AD92" s="1" t="s">
        <v>99</v>
      </c>
      <c r="AE92" s="1" t="s">
        <v>100</v>
      </c>
      <c r="AF92" s="1" t="s">
        <v>261</v>
      </c>
      <c r="AG92" s="1" t="s">
        <v>317</v>
      </c>
      <c r="AH92" s="1">
        <v>206.67</v>
      </c>
      <c r="AI92" s="12">
        <f>AJ92*SQRT(X92)</f>
        <v>28.578838324886473</v>
      </c>
      <c r="AJ92" s="12">
        <v>16.5</v>
      </c>
      <c r="AK92" s="12">
        <v>261</v>
      </c>
      <c r="AL92" s="12">
        <f>AM92*SQRT(W92)</f>
        <v>90.707500792382092</v>
      </c>
      <c r="AM92" s="12">
        <v>52.37</v>
      </c>
      <c r="AN92" s="12">
        <f>AH92-AK92</f>
        <v>-54.330000000000013</v>
      </c>
      <c r="AO92" s="1">
        <f>SQRT((((X92-1)*AI92^2)+((W92-1)*AL92^2))/(X92+W92-2))</f>
        <v>67.248050901122767</v>
      </c>
      <c r="AP92" s="1">
        <f>AN92/AO92</f>
        <v>-0.8079044562924711</v>
      </c>
      <c r="AQ92" s="1">
        <f>1/X92+1/W92+(AP92^2)/(2*(X92+W92))</f>
        <v>0.72105913420810275</v>
      </c>
      <c r="AR92" s="1">
        <f>1-(3/(4*(X92+W92-2)-1))</f>
        <v>0.8</v>
      </c>
      <c r="AS92" s="21">
        <f>AP92*AR92</f>
        <v>-0.64632356503397692</v>
      </c>
      <c r="AT92" s="21">
        <f>AQ92*(AR92^2)</f>
        <v>0.46147784589318586</v>
      </c>
      <c r="AU92" s="21">
        <f>SQRT(AQ92*AR92^2)</f>
        <v>0.6793216071149113</v>
      </c>
      <c r="AV92" s="20">
        <f>1/AT92</f>
        <v>2.1669512608227373</v>
      </c>
      <c r="AW92" s="20">
        <f>AS92/AT92</f>
        <v>-1.4005516641498228</v>
      </c>
      <c r="AX92" s="20">
        <f>((AS92)^2)/AT92</f>
        <v>0.90520954458758263</v>
      </c>
      <c r="AY92" s="14"/>
      <c r="AZ92" s="14"/>
      <c r="BA92" s="1" t="s">
        <v>270</v>
      </c>
      <c r="BB92" s="2"/>
    </row>
    <row r="93" spans="1:63" ht="14.25" customHeight="1">
      <c r="A93" s="2">
        <v>493</v>
      </c>
      <c r="B93" s="2" t="s">
        <v>65</v>
      </c>
      <c r="C93" s="1" t="s">
        <v>85</v>
      </c>
      <c r="D93" s="1">
        <v>2023</v>
      </c>
      <c r="E93" s="1">
        <v>2020</v>
      </c>
      <c r="F93" s="1" t="s">
        <v>214</v>
      </c>
      <c r="G93" s="1" t="s">
        <v>159</v>
      </c>
      <c r="H93" s="1">
        <v>53.468417000000002</v>
      </c>
      <c r="I93" s="1">
        <v>122.35216699999999</v>
      </c>
      <c r="J93" s="1" t="s">
        <v>128</v>
      </c>
      <c r="K93" s="1" t="s">
        <v>172</v>
      </c>
      <c r="L93" s="1" t="s">
        <v>173</v>
      </c>
      <c r="M93" s="1" t="s">
        <v>236</v>
      </c>
      <c r="N93" s="1" t="s">
        <v>238</v>
      </c>
      <c r="O93" s="1" t="s">
        <v>86</v>
      </c>
      <c r="P93" s="1" t="s">
        <v>210</v>
      </c>
      <c r="Q93" s="1" t="s">
        <v>93</v>
      </c>
      <c r="R93" s="1">
        <v>2010</v>
      </c>
      <c r="S93" s="1">
        <v>10</v>
      </c>
      <c r="T93" s="12">
        <f>S93*12</f>
        <v>120</v>
      </c>
      <c r="W93" s="1">
        <v>3</v>
      </c>
      <c r="X93" s="1">
        <v>3</v>
      </c>
      <c r="Y93" s="1" t="s">
        <v>97</v>
      </c>
      <c r="Z93" s="1" t="s">
        <v>133</v>
      </c>
      <c r="AA93" s="1" t="s">
        <v>0</v>
      </c>
      <c r="AB93" s="1" t="s">
        <v>98</v>
      </c>
      <c r="AC93" s="1" t="s">
        <v>202</v>
      </c>
      <c r="AD93" s="1" t="s">
        <v>99</v>
      </c>
      <c r="AE93" s="1" t="s">
        <v>100</v>
      </c>
      <c r="AF93" s="1" t="s">
        <v>149</v>
      </c>
      <c r="AG93" s="1" t="s">
        <v>317</v>
      </c>
      <c r="AH93" s="1">
        <v>3.34</v>
      </c>
      <c r="AI93" s="12">
        <f>AJ93*SQRT(X93)</f>
        <v>0.17320508075688773</v>
      </c>
      <c r="AJ93" s="12">
        <v>0.1</v>
      </c>
      <c r="AK93" s="12">
        <v>2.67</v>
      </c>
      <c r="AL93" s="12">
        <f>AM93*SQRT(W93)</f>
        <v>1.1951150572225251</v>
      </c>
      <c r="AM93" s="12">
        <v>0.69</v>
      </c>
      <c r="AN93" s="12">
        <f>AH93-AK93</f>
        <v>0.66999999999999993</v>
      </c>
      <c r="AO93" s="1">
        <f>SQRT((((X93-1)*AI93^2)+((W93-1)*AL93^2))/(X93+W93-2))</f>
        <v>0.85390280477347058</v>
      </c>
      <c r="AP93" s="1">
        <f>AN93/AO93</f>
        <v>0.78463262593187322</v>
      </c>
      <c r="AQ93" s="1">
        <f>1/X93+1/W93+(AP93^2)/(2*(X93+W93))</f>
        <v>0.71797069647306222</v>
      </c>
      <c r="AR93" s="1">
        <f>1-(3/(4*(X93+W93-2)-1))</f>
        <v>0.8</v>
      </c>
      <c r="AS93" s="21">
        <f>AP93*AR93</f>
        <v>0.6277061007454986</v>
      </c>
      <c r="AT93" s="21">
        <f>AQ93*(AR93^2)</f>
        <v>0.45950124574275991</v>
      </c>
      <c r="AU93" s="21">
        <f>SQRT(AQ93*AR93^2)</f>
        <v>0.67786521207594064</v>
      </c>
      <c r="AV93" s="20">
        <f>1/AT93</f>
        <v>2.1762726635997511</v>
      </c>
      <c r="AW93" s="20">
        <f>AS93/AT93</f>
        <v>1.3660596278272201</v>
      </c>
      <c r="AX93" s="20">
        <f>((AS93)^2)/AT93</f>
        <v>0.85748396236927138</v>
      </c>
      <c r="AY93" s="14"/>
      <c r="AZ93" s="14"/>
      <c r="BA93" s="1" t="s">
        <v>270</v>
      </c>
      <c r="BB93" s="2"/>
    </row>
    <row r="94" spans="1:63" ht="14.25" customHeight="1">
      <c r="A94" s="2">
        <v>493</v>
      </c>
      <c r="B94" s="2" t="s">
        <v>65</v>
      </c>
      <c r="C94" s="1" t="s">
        <v>85</v>
      </c>
      <c r="D94" s="1">
        <v>2023</v>
      </c>
      <c r="E94" s="1">
        <v>2020</v>
      </c>
      <c r="F94" s="1" t="s">
        <v>214</v>
      </c>
      <c r="G94" s="1" t="s">
        <v>159</v>
      </c>
      <c r="H94" s="1">
        <v>53.468417000000002</v>
      </c>
      <c r="I94" s="1">
        <v>122.35216699999999</v>
      </c>
      <c r="J94" s="1" t="s">
        <v>128</v>
      </c>
      <c r="K94" s="1" t="s">
        <v>172</v>
      </c>
      <c r="L94" s="1" t="s">
        <v>173</v>
      </c>
      <c r="M94" s="1" t="s">
        <v>236</v>
      </c>
      <c r="N94" s="1" t="s">
        <v>238</v>
      </c>
      <c r="O94" s="1" t="s">
        <v>86</v>
      </c>
      <c r="P94" s="1" t="s">
        <v>210</v>
      </c>
      <c r="Q94" s="1" t="s">
        <v>93</v>
      </c>
      <c r="R94" s="1">
        <v>2010</v>
      </c>
      <c r="S94" s="1">
        <v>10</v>
      </c>
      <c r="T94" s="12">
        <f>S94*12</f>
        <v>120</v>
      </c>
      <c r="W94" s="1">
        <v>3</v>
      </c>
      <c r="X94" s="1">
        <v>3</v>
      </c>
      <c r="Y94" s="1" t="s">
        <v>97</v>
      </c>
      <c r="Z94" s="1" t="s">
        <v>133</v>
      </c>
      <c r="AA94" s="1" t="s">
        <v>0</v>
      </c>
      <c r="AB94" s="1" t="s">
        <v>98</v>
      </c>
      <c r="AC94" s="1" t="s">
        <v>202</v>
      </c>
      <c r="AD94" s="1" t="s">
        <v>99</v>
      </c>
      <c r="AE94" s="1" t="s">
        <v>100</v>
      </c>
      <c r="AF94" s="1" t="s">
        <v>253</v>
      </c>
      <c r="AG94" s="1" t="s">
        <v>317</v>
      </c>
      <c r="AH94" s="1">
        <v>7.0000000000000007E-2</v>
      </c>
      <c r="AI94" s="12">
        <f>AJ94*SQRT(X94)</f>
        <v>1.7320508075688773E-2</v>
      </c>
      <c r="AJ94" s="12">
        <v>0.01</v>
      </c>
      <c r="AK94" s="12">
        <v>0.23</v>
      </c>
      <c r="AL94" s="12">
        <f>AM94*SQRT(W94)</f>
        <v>0.27712812921102037</v>
      </c>
      <c r="AM94" s="12">
        <v>0.16</v>
      </c>
      <c r="AN94" s="12">
        <f>AH94-AK94</f>
        <v>-0.16</v>
      </c>
      <c r="AO94" s="1">
        <f>SQRT((((X94-1)*AI94^2)+((W94-1)*AL94^2))/(X94+W94-2))</f>
        <v>0.19634153916071861</v>
      </c>
      <c r="AP94" s="1">
        <f>AN94/AO94</f>
        <v>-0.81490651791737945</v>
      </c>
      <c r="AQ94" s="1">
        <f>1/X94+1/W94+(AP94^2)/(2*(X94+W94))</f>
        <v>0.72200605274535234</v>
      </c>
      <c r="AR94" s="1">
        <f>1-(3/(4*(X94+W94-2)-1))</f>
        <v>0.8</v>
      </c>
      <c r="AS94" s="21">
        <f>AP94*AR94</f>
        <v>-0.6519252143339036</v>
      </c>
      <c r="AT94" s="21">
        <f>AQ94*(AR94^2)</f>
        <v>0.46208387375702559</v>
      </c>
      <c r="AU94" s="21">
        <f>SQRT(AQ94*AR94^2)</f>
        <v>0.67976751449081885</v>
      </c>
      <c r="AV94" s="20">
        <f>1/AT94</f>
        <v>2.1641092814371254</v>
      </c>
      <c r="AW94" s="20">
        <f>AS94/AT94</f>
        <v>-1.410837407142888</v>
      </c>
      <c r="AX94" s="20">
        <f>((AS94)^2)/AT94</f>
        <v>0.91976047904191616</v>
      </c>
      <c r="AY94" s="14"/>
      <c r="AZ94" s="14"/>
      <c r="BA94" s="1" t="s">
        <v>270</v>
      </c>
      <c r="BB94" s="2"/>
    </row>
    <row r="95" spans="1:63" ht="14.25" customHeight="1">
      <c r="A95" s="2">
        <v>493</v>
      </c>
      <c r="B95" s="2" t="s">
        <v>65</v>
      </c>
      <c r="C95" s="1" t="s">
        <v>85</v>
      </c>
      <c r="D95" s="1">
        <v>2023</v>
      </c>
      <c r="E95" s="1">
        <v>2020</v>
      </c>
      <c r="F95" s="1" t="s">
        <v>214</v>
      </c>
      <c r="G95" s="1" t="s">
        <v>159</v>
      </c>
      <c r="H95" s="1">
        <v>53.468417000000002</v>
      </c>
      <c r="I95" s="1">
        <v>122.35216699999999</v>
      </c>
      <c r="J95" s="1" t="s">
        <v>128</v>
      </c>
      <c r="K95" s="1" t="s">
        <v>172</v>
      </c>
      <c r="L95" s="1" t="s">
        <v>173</v>
      </c>
      <c r="M95" s="1" t="s">
        <v>236</v>
      </c>
      <c r="N95" s="1" t="s">
        <v>238</v>
      </c>
      <c r="O95" s="1" t="s">
        <v>86</v>
      </c>
      <c r="P95" s="1" t="s">
        <v>210</v>
      </c>
      <c r="Q95" s="1" t="s">
        <v>93</v>
      </c>
      <c r="R95" s="1">
        <v>2010</v>
      </c>
      <c r="S95" s="1">
        <v>10</v>
      </c>
      <c r="T95" s="1">
        <f>S95*12</f>
        <v>120</v>
      </c>
      <c r="W95" s="1">
        <v>3</v>
      </c>
      <c r="X95" s="1">
        <v>3</v>
      </c>
      <c r="Y95" s="1" t="s">
        <v>97</v>
      </c>
      <c r="Z95" s="1" t="s">
        <v>133</v>
      </c>
      <c r="AA95" s="1" t="s">
        <v>0</v>
      </c>
      <c r="AB95" s="1" t="s">
        <v>98</v>
      </c>
      <c r="AC95" s="1" t="s">
        <v>202</v>
      </c>
      <c r="AD95" s="1" t="s">
        <v>99</v>
      </c>
      <c r="AE95" s="1" t="s">
        <v>100</v>
      </c>
      <c r="AF95" s="1" t="s">
        <v>254</v>
      </c>
      <c r="AG95" s="1" t="s">
        <v>319</v>
      </c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" t="s">
        <v>285</v>
      </c>
    </row>
    <row r="96" spans="1:63" ht="14.25" customHeight="1">
      <c r="A96" s="2">
        <v>493</v>
      </c>
      <c r="B96" s="2" t="s">
        <v>65</v>
      </c>
      <c r="C96" s="1" t="s">
        <v>85</v>
      </c>
      <c r="D96" s="1">
        <v>2023</v>
      </c>
      <c r="E96" s="1">
        <v>2020</v>
      </c>
      <c r="F96" s="1" t="s">
        <v>214</v>
      </c>
      <c r="G96" s="1" t="s">
        <v>159</v>
      </c>
      <c r="H96" s="1">
        <v>53.468417000000002</v>
      </c>
      <c r="I96" s="1">
        <v>122.35216699999999</v>
      </c>
      <c r="J96" s="1" t="s">
        <v>128</v>
      </c>
      <c r="K96" s="1" t="s">
        <v>172</v>
      </c>
      <c r="L96" s="1" t="s">
        <v>173</v>
      </c>
      <c r="M96" s="1" t="s">
        <v>236</v>
      </c>
      <c r="N96" s="1" t="s">
        <v>238</v>
      </c>
      <c r="O96" s="1" t="s">
        <v>86</v>
      </c>
      <c r="P96" s="1" t="s">
        <v>129</v>
      </c>
      <c r="Q96" s="1" t="s">
        <v>93</v>
      </c>
      <c r="R96" s="1">
        <v>2010</v>
      </c>
      <c r="S96" s="1">
        <v>10</v>
      </c>
      <c r="T96" s="12">
        <f>S96*12</f>
        <v>120</v>
      </c>
      <c r="W96" s="1">
        <v>3</v>
      </c>
      <c r="X96" s="1">
        <v>3</v>
      </c>
      <c r="Y96" s="1" t="s">
        <v>97</v>
      </c>
      <c r="Z96" s="1" t="s">
        <v>133</v>
      </c>
      <c r="AA96" s="1" t="s">
        <v>0</v>
      </c>
      <c r="AB96" s="1" t="s">
        <v>98</v>
      </c>
      <c r="AC96" s="1" t="s">
        <v>202</v>
      </c>
      <c r="AD96" s="1" t="s">
        <v>99</v>
      </c>
      <c r="AE96" s="1" t="s">
        <v>100</v>
      </c>
      <c r="AF96" s="1" t="s">
        <v>261</v>
      </c>
      <c r="AG96" s="1" t="s">
        <v>317</v>
      </c>
      <c r="AH96" s="1">
        <v>313</v>
      </c>
      <c r="AI96" s="12">
        <f>AJ96*SQRT(X96)</f>
        <v>104.89299690637121</v>
      </c>
      <c r="AJ96" s="12">
        <v>60.56</v>
      </c>
      <c r="AK96" s="12">
        <v>261</v>
      </c>
      <c r="AL96" s="12">
        <f>AM96*SQRT(W96)</f>
        <v>90.707500792382092</v>
      </c>
      <c r="AM96" s="12">
        <v>52.37</v>
      </c>
      <c r="AN96" s="12">
        <f>AH96-AK96</f>
        <v>52</v>
      </c>
      <c r="AO96" s="1">
        <f>SQRT((((X96-1)*AI96^2)+((W96-1)*AL96^2))/(X96+W96-2))</f>
        <v>98.057104536081411</v>
      </c>
      <c r="AP96" s="1">
        <f>AN96/AO96</f>
        <v>0.53030323754732034</v>
      </c>
      <c r="AQ96" s="1">
        <f>1/X96+1/W96+(AP96^2)/(2*(X96+W96))</f>
        <v>0.69010179364609747</v>
      </c>
      <c r="AR96" s="1">
        <f>1-(3/(4*(X96+W96-2)-1))</f>
        <v>0.8</v>
      </c>
      <c r="AS96" s="21">
        <f>AP96*AR96</f>
        <v>0.4242425900378563</v>
      </c>
      <c r="AT96" s="21">
        <f>AQ96*(AR96^2)</f>
        <v>0.44166514793350248</v>
      </c>
      <c r="AU96" s="21">
        <f>SQRT(AQ96*AR96^2)</f>
        <v>0.66457892528540397</v>
      </c>
      <c r="AV96" s="20">
        <f>1/AT96</f>
        <v>2.2641587290255489</v>
      </c>
      <c r="AW96" s="20">
        <f>AS96/AT96</f>
        <v>0.96055256345861972</v>
      </c>
      <c r="AX96" s="20">
        <f>((AS96)^2)/AT96</f>
        <v>0.40750730738918717</v>
      </c>
      <c r="AY96" s="14"/>
      <c r="AZ96" s="14"/>
      <c r="BA96" s="1" t="s">
        <v>270</v>
      </c>
      <c r="BB96" s="2"/>
    </row>
    <row r="97" spans="1:63" ht="14.25" customHeight="1">
      <c r="A97" s="2">
        <v>493</v>
      </c>
      <c r="B97" s="2" t="s">
        <v>65</v>
      </c>
      <c r="C97" s="1" t="s">
        <v>85</v>
      </c>
      <c r="D97" s="1">
        <v>2023</v>
      </c>
      <c r="E97" s="1">
        <v>2020</v>
      </c>
      <c r="F97" s="1" t="s">
        <v>214</v>
      </c>
      <c r="G97" s="1" t="s">
        <v>159</v>
      </c>
      <c r="H97" s="1">
        <v>53.468417000000002</v>
      </c>
      <c r="I97" s="1">
        <v>122.35216699999999</v>
      </c>
      <c r="J97" s="1" t="s">
        <v>128</v>
      </c>
      <c r="K97" s="1" t="s">
        <v>172</v>
      </c>
      <c r="L97" s="1" t="s">
        <v>173</v>
      </c>
      <c r="M97" s="1" t="s">
        <v>236</v>
      </c>
      <c r="N97" s="1" t="s">
        <v>238</v>
      </c>
      <c r="O97" s="1" t="s">
        <v>86</v>
      </c>
      <c r="P97" s="1" t="s">
        <v>129</v>
      </c>
      <c r="Q97" s="1" t="s">
        <v>93</v>
      </c>
      <c r="R97" s="1">
        <v>2010</v>
      </c>
      <c r="S97" s="1">
        <v>10</v>
      </c>
      <c r="T97" s="12">
        <f>S97*12</f>
        <v>120</v>
      </c>
      <c r="W97" s="1">
        <v>3</v>
      </c>
      <c r="X97" s="1">
        <v>3</v>
      </c>
      <c r="Y97" s="1" t="s">
        <v>97</v>
      </c>
      <c r="Z97" s="1" t="s">
        <v>133</v>
      </c>
      <c r="AA97" s="1" t="s">
        <v>0</v>
      </c>
      <c r="AB97" s="1" t="s">
        <v>98</v>
      </c>
      <c r="AC97" s="1" t="s">
        <v>202</v>
      </c>
      <c r="AD97" s="1" t="s">
        <v>99</v>
      </c>
      <c r="AE97" s="1" t="s">
        <v>100</v>
      </c>
      <c r="AF97" s="1" t="s">
        <v>149</v>
      </c>
      <c r="AG97" s="1" t="s">
        <v>317</v>
      </c>
      <c r="AH97" s="1">
        <v>3.85</v>
      </c>
      <c r="AI97" s="12">
        <f>AJ97*SQRT(X97)</f>
        <v>0.29444863728670917</v>
      </c>
      <c r="AJ97" s="12">
        <v>0.17</v>
      </c>
      <c r="AK97" s="12">
        <v>2.67</v>
      </c>
      <c r="AL97" s="12">
        <f>AM97*SQRT(W97)</f>
        <v>1.1951150572225251</v>
      </c>
      <c r="AM97" s="12">
        <v>0.69</v>
      </c>
      <c r="AN97" s="12">
        <f>AH97-AK97</f>
        <v>1.1800000000000002</v>
      </c>
      <c r="AO97" s="1">
        <f>SQRT((((X97-1)*AI97^2)+((W97-1)*AL97^2))/(X97+W97-2))</f>
        <v>0.87034475927646038</v>
      </c>
      <c r="AP97" s="1">
        <f>AN97/AO97</f>
        <v>1.3557845755065661</v>
      </c>
      <c r="AQ97" s="1">
        <f>1/X97+1/W97+(AP97^2)/(2*(X97+W97))</f>
        <v>0.81984598459845992</v>
      </c>
      <c r="AR97" s="1">
        <f>1-(3/(4*(X97+W97-2)-1))</f>
        <v>0.8</v>
      </c>
      <c r="AS97" s="21">
        <f>AP97*AR97</f>
        <v>1.0846276604052529</v>
      </c>
      <c r="AT97" s="21">
        <f>AQ97*(AR97^2)</f>
        <v>0.5247014301430144</v>
      </c>
      <c r="AU97" s="21">
        <f>SQRT(AQ97*AR97^2)</f>
        <v>0.72436277523283488</v>
      </c>
      <c r="AV97" s="20">
        <f>1/AT97</f>
        <v>1.9058457678063438</v>
      </c>
      <c r="AW97" s="20">
        <f>AS97/AT97</f>
        <v>2.0671330362290479</v>
      </c>
      <c r="AX97" s="20">
        <f>((AS97)^2)/AT97</f>
        <v>2.2420696688315189</v>
      </c>
      <c r="AY97" s="14"/>
      <c r="AZ97" s="14"/>
      <c r="BA97" s="1" t="s">
        <v>270</v>
      </c>
      <c r="BB97" s="2"/>
    </row>
    <row r="98" spans="1:63" ht="14.25" customHeight="1">
      <c r="A98" s="2">
        <v>493</v>
      </c>
      <c r="B98" s="2" t="s">
        <v>65</v>
      </c>
      <c r="C98" s="1" t="s">
        <v>85</v>
      </c>
      <c r="D98" s="1">
        <v>2023</v>
      </c>
      <c r="E98" s="1">
        <v>2020</v>
      </c>
      <c r="F98" s="1" t="s">
        <v>214</v>
      </c>
      <c r="G98" s="1" t="s">
        <v>159</v>
      </c>
      <c r="H98" s="1">
        <v>53.468417000000002</v>
      </c>
      <c r="I98" s="1">
        <v>122.35216699999999</v>
      </c>
      <c r="J98" s="1" t="s">
        <v>128</v>
      </c>
      <c r="K98" s="1" t="s">
        <v>172</v>
      </c>
      <c r="L98" s="1" t="s">
        <v>173</v>
      </c>
      <c r="M98" s="1" t="s">
        <v>236</v>
      </c>
      <c r="N98" s="1" t="s">
        <v>238</v>
      </c>
      <c r="O98" s="1" t="s">
        <v>86</v>
      </c>
      <c r="P98" s="1" t="s">
        <v>129</v>
      </c>
      <c r="Q98" s="1" t="s">
        <v>93</v>
      </c>
      <c r="R98" s="1">
        <v>2010</v>
      </c>
      <c r="S98" s="1">
        <v>10</v>
      </c>
      <c r="T98" s="12">
        <f>S98*12</f>
        <v>120</v>
      </c>
      <c r="W98" s="1">
        <v>3</v>
      </c>
      <c r="X98" s="1">
        <v>3</v>
      </c>
      <c r="Y98" s="1" t="s">
        <v>97</v>
      </c>
      <c r="Z98" s="1" t="s">
        <v>133</v>
      </c>
      <c r="AA98" s="1" t="s">
        <v>0</v>
      </c>
      <c r="AB98" s="1" t="s">
        <v>98</v>
      </c>
      <c r="AC98" s="1" t="s">
        <v>202</v>
      </c>
      <c r="AD98" s="1" t="s">
        <v>99</v>
      </c>
      <c r="AE98" s="1" t="s">
        <v>100</v>
      </c>
      <c r="AF98" s="1" t="s">
        <v>253</v>
      </c>
      <c r="AG98" s="1" t="s">
        <v>317</v>
      </c>
      <c r="AH98" s="1">
        <v>0.04</v>
      </c>
      <c r="AI98" s="12">
        <f>AJ98*SQRT(X98)</f>
        <v>0</v>
      </c>
      <c r="AJ98" s="12">
        <v>0</v>
      </c>
      <c r="AK98" s="12">
        <v>0.23</v>
      </c>
      <c r="AL98" s="12">
        <f>AM98*SQRT(W98)</f>
        <v>0.27712812921102037</v>
      </c>
      <c r="AM98" s="12">
        <v>0.16</v>
      </c>
      <c r="AN98" s="12">
        <f>AH98-AK98</f>
        <v>-0.19</v>
      </c>
      <c r="AO98" s="1">
        <f>SQRT((((X98-1)*AI98^2)+((W98-1)*AL98^2))/(X98+W98-2))</f>
        <v>0.19595917942265426</v>
      </c>
      <c r="AP98" s="1">
        <f>AN98/AO98</f>
        <v>-0.9695896898516746</v>
      </c>
      <c r="AQ98" s="1">
        <f>1/X98+1/W98+(AP98^2)/(2*(X98+W98))</f>
        <v>0.74500868055555547</v>
      </c>
      <c r="AR98" s="1">
        <f>1-(3/(4*(X98+W98-2)-1))</f>
        <v>0.8</v>
      </c>
      <c r="AS98" s="21">
        <f>AP98*AR98</f>
        <v>-0.77567175188133974</v>
      </c>
      <c r="AT98" s="21">
        <f>AQ98*(AR98^2)</f>
        <v>0.47680555555555559</v>
      </c>
      <c r="AU98" s="21">
        <f>SQRT(AQ98*AR98^2)</f>
        <v>0.69051108286221996</v>
      </c>
      <c r="AV98" s="20">
        <f>1/AT98</f>
        <v>2.0972909991261286</v>
      </c>
      <c r="AW98" s="20">
        <f>AS98/AT98</f>
        <v>-1.6268093834971296</v>
      </c>
      <c r="AX98" s="20">
        <f>((AS98)^2)/AT98</f>
        <v>1.2618700844742208</v>
      </c>
      <c r="AY98" s="14"/>
      <c r="AZ98" s="14"/>
      <c r="BA98" s="1" t="s">
        <v>270</v>
      </c>
      <c r="BB98" s="2"/>
    </row>
    <row r="99" spans="1:63" ht="14.25" customHeight="1">
      <c r="A99" s="2">
        <v>493</v>
      </c>
      <c r="B99" s="2" t="s">
        <v>65</v>
      </c>
      <c r="C99" s="1" t="s">
        <v>85</v>
      </c>
      <c r="D99" s="1">
        <v>2023</v>
      </c>
      <c r="E99" s="1">
        <v>2020</v>
      </c>
      <c r="F99" s="1" t="s">
        <v>214</v>
      </c>
      <c r="G99" s="1" t="s">
        <v>159</v>
      </c>
      <c r="H99" s="1">
        <v>53.468417000000002</v>
      </c>
      <c r="I99" s="1">
        <v>122.35216699999999</v>
      </c>
      <c r="J99" s="1" t="s">
        <v>128</v>
      </c>
      <c r="K99" s="1" t="s">
        <v>172</v>
      </c>
      <c r="L99" s="1" t="s">
        <v>173</v>
      </c>
      <c r="M99" s="1" t="s">
        <v>236</v>
      </c>
      <c r="N99" s="1" t="s">
        <v>238</v>
      </c>
      <c r="O99" s="1" t="s">
        <v>86</v>
      </c>
      <c r="P99" s="1" t="s">
        <v>129</v>
      </c>
      <c r="Q99" s="1" t="s">
        <v>93</v>
      </c>
      <c r="R99" s="1">
        <v>2010</v>
      </c>
      <c r="S99" s="1">
        <v>10</v>
      </c>
      <c r="T99" s="1">
        <f>S99*12</f>
        <v>120</v>
      </c>
      <c r="W99" s="1">
        <v>3</v>
      </c>
      <c r="X99" s="1">
        <v>3</v>
      </c>
      <c r="Y99" s="1" t="s">
        <v>97</v>
      </c>
      <c r="Z99" s="1" t="s">
        <v>133</v>
      </c>
      <c r="AA99" s="1" t="s">
        <v>0</v>
      </c>
      <c r="AB99" s="1" t="s">
        <v>98</v>
      </c>
      <c r="AC99" s="1" t="s">
        <v>202</v>
      </c>
      <c r="AD99" s="1" t="s">
        <v>99</v>
      </c>
      <c r="AE99" s="1" t="s">
        <v>100</v>
      </c>
      <c r="AF99" s="1" t="s">
        <v>254</v>
      </c>
      <c r="AG99" s="1" t="s">
        <v>319</v>
      </c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" t="s">
        <v>285</v>
      </c>
    </row>
    <row r="100" spans="1:63" ht="14.25" customHeight="1">
      <c r="A100" s="2">
        <v>44</v>
      </c>
      <c r="B100" s="2" t="s">
        <v>10</v>
      </c>
      <c r="C100" s="1" t="s">
        <v>89</v>
      </c>
      <c r="D100" s="1">
        <v>2016</v>
      </c>
      <c r="E100" s="1">
        <v>2013</v>
      </c>
      <c r="F100" s="1" t="s">
        <v>143</v>
      </c>
      <c r="G100" s="1" t="s">
        <v>119</v>
      </c>
      <c r="H100" s="1">
        <v>43.7</v>
      </c>
      <c r="I100" s="1">
        <v>-121.61666700000001</v>
      </c>
      <c r="J100" s="1" t="s">
        <v>382</v>
      </c>
      <c r="K100" s="1" t="s">
        <v>176</v>
      </c>
      <c r="L100" s="1" t="s">
        <v>192</v>
      </c>
      <c r="M100" s="1" t="s">
        <v>236</v>
      </c>
      <c r="N100" s="1" t="s">
        <v>238</v>
      </c>
      <c r="O100" s="1" t="s">
        <v>121</v>
      </c>
      <c r="P100" s="1" t="s">
        <v>146</v>
      </c>
      <c r="Q100" s="1" t="s">
        <v>93</v>
      </c>
      <c r="R100" s="1">
        <v>2013</v>
      </c>
      <c r="S100" s="1" t="s">
        <v>157</v>
      </c>
      <c r="T100" s="23">
        <f>1/4.345</f>
        <v>0.23014959723820486</v>
      </c>
      <c r="W100" s="1">
        <v>12</v>
      </c>
      <c r="X100" s="1">
        <v>12</v>
      </c>
      <c r="Y100" s="1" t="s">
        <v>134</v>
      </c>
      <c r="Z100" s="1" t="s">
        <v>0</v>
      </c>
      <c r="AA100" s="1" t="s">
        <v>1</v>
      </c>
      <c r="AB100" s="1" t="s">
        <v>98</v>
      </c>
      <c r="AC100" s="1" t="s">
        <v>158</v>
      </c>
      <c r="AD100" s="1" t="s">
        <v>2</v>
      </c>
      <c r="AE100" s="1" t="s">
        <v>100</v>
      </c>
      <c r="AF100" s="12" t="str">
        <f>J100&amp;"_"&amp;"Richness"</f>
        <v>ECM_Richness</v>
      </c>
      <c r="AG100" s="1" t="s">
        <v>331</v>
      </c>
      <c r="AH100" s="1">
        <v>8.4</v>
      </c>
      <c r="AI100" s="1">
        <v>0.8</v>
      </c>
      <c r="AK100" s="1">
        <v>7.4</v>
      </c>
      <c r="AL100" s="1">
        <v>0.7</v>
      </c>
      <c r="AN100" s="12">
        <f>AH100-AK100</f>
        <v>1</v>
      </c>
      <c r="AO100" s="1">
        <f>SQRT((((X100-1)*AI100^2)+((W100-1)*AL100^2))/(X100+W100-2))</f>
        <v>0.75166481891864534</v>
      </c>
      <c r="AP100" s="1">
        <f>AN100/AO100</f>
        <v>1.3303802104754787</v>
      </c>
      <c r="AQ100" s="1">
        <f>1/X100+1/W100+(AP100^2)/(2*(X100+W100))</f>
        <v>0.20353982300884954</v>
      </c>
      <c r="AR100" s="1">
        <f>1-(3/(4*(X100+W100-2)-1))</f>
        <v>0.96551724137931039</v>
      </c>
      <c r="AS100" s="21">
        <f>AP100*AR100</f>
        <v>1.2845050308039105</v>
      </c>
      <c r="AT100" s="21">
        <f>AQ100*(AR100^2)</f>
        <v>0.18974461502846382</v>
      </c>
      <c r="AU100" s="21">
        <f>SQRT(AQ100*AR100^2)</f>
        <v>0.43559684919483038</v>
      </c>
      <c r="AV100" s="20">
        <f>1/AT100</f>
        <v>5.2702417923691209</v>
      </c>
      <c r="AW100" s="20">
        <f>AS100/AT100</f>
        <v>6.7696520958511543</v>
      </c>
      <c r="AX100" s="20">
        <f>((AS100)^2)/AT100</f>
        <v>8.6956521739130448</v>
      </c>
      <c r="AY100" s="14"/>
      <c r="AZ100" s="14"/>
      <c r="BA100" s="1" t="s">
        <v>270</v>
      </c>
      <c r="BB100" s="2"/>
    </row>
    <row r="101" spans="1:63" ht="14.25" customHeight="1">
      <c r="A101" s="2">
        <v>44</v>
      </c>
      <c r="B101" s="2" t="s">
        <v>10</v>
      </c>
      <c r="C101" s="1" t="s">
        <v>89</v>
      </c>
      <c r="D101" s="1">
        <v>2016</v>
      </c>
      <c r="E101" s="1">
        <v>2013</v>
      </c>
      <c r="F101" s="1" t="s">
        <v>143</v>
      </c>
      <c r="G101" s="1" t="s">
        <v>119</v>
      </c>
      <c r="H101" s="1">
        <v>43.7</v>
      </c>
      <c r="I101" s="1">
        <v>-121.61666700000001</v>
      </c>
      <c r="J101" s="1" t="s">
        <v>382</v>
      </c>
      <c r="K101" s="1" t="s">
        <v>176</v>
      </c>
      <c r="L101" s="1" t="s">
        <v>192</v>
      </c>
      <c r="M101" s="1" t="s">
        <v>236</v>
      </c>
      <c r="N101" s="1" t="s">
        <v>238</v>
      </c>
      <c r="O101" s="1" t="s">
        <v>121</v>
      </c>
      <c r="P101" s="1" t="s">
        <v>146</v>
      </c>
      <c r="Q101" s="1" t="s">
        <v>93</v>
      </c>
      <c r="R101" s="1">
        <v>2013</v>
      </c>
      <c r="S101" s="1" t="s">
        <v>157</v>
      </c>
      <c r="T101" s="23">
        <f>1/4.345</f>
        <v>0.23014959723820486</v>
      </c>
      <c r="W101" s="1">
        <v>12</v>
      </c>
      <c r="X101" s="1">
        <v>12</v>
      </c>
      <c r="Y101" s="1" t="s">
        <v>134</v>
      </c>
      <c r="Z101" s="1" t="s">
        <v>0</v>
      </c>
      <c r="AA101" s="1" t="s">
        <v>1</v>
      </c>
      <c r="AB101" s="1" t="s">
        <v>98</v>
      </c>
      <c r="AC101" s="1" t="s">
        <v>158</v>
      </c>
      <c r="AD101" s="1" t="s">
        <v>2</v>
      </c>
      <c r="AE101" s="1" t="s">
        <v>100</v>
      </c>
      <c r="AF101" s="1" t="str">
        <f>J101&amp;"_"&amp;"Simpson_diversity"</f>
        <v>ECM_Simpson_diversity</v>
      </c>
      <c r="AG101" s="1" t="s">
        <v>331</v>
      </c>
      <c r="AH101" s="1">
        <v>0.74</v>
      </c>
      <c r="AI101" s="1">
        <v>0.02</v>
      </c>
      <c r="AK101" s="1">
        <v>0.68</v>
      </c>
      <c r="AL101" s="1">
        <v>0.04</v>
      </c>
      <c r="AN101" s="12">
        <f>AH101-AK101</f>
        <v>5.9999999999999942E-2</v>
      </c>
      <c r="AO101" s="1">
        <f>SQRT((((X101-1)*AI101^2)+((W101-1)*AL101^2))/(X101+W101-2))</f>
        <v>3.1622776601683791E-2</v>
      </c>
      <c r="AP101" s="1">
        <f>AN101/AO101</f>
        <v>1.897366596101026</v>
      </c>
      <c r="AQ101" s="1">
        <f>1/X101+1/W101+(AP101^2)/(2*(X101+W101))</f>
        <v>0.24166666666666653</v>
      </c>
      <c r="AR101" s="1">
        <f>1-(3/(4*(X101+W101-2)-1))</f>
        <v>0.96551724137931039</v>
      </c>
      <c r="AS101" s="21">
        <f>AP101*AR101</f>
        <v>1.8319401617527149</v>
      </c>
      <c r="AT101" s="21">
        <f>AQ101*(AR101^2)</f>
        <v>0.22528735632183899</v>
      </c>
      <c r="AU101" s="21">
        <f>SQRT(AQ101*AR101^2)</f>
        <v>0.47464445253456716</v>
      </c>
      <c r="AV101" s="20">
        <f>1/AT101</f>
        <v>4.4387755102040831</v>
      </c>
      <c r="AW101" s="20">
        <f>AS101/AT101</f>
        <v>8.1315711261472572</v>
      </c>
      <c r="AX101" s="20">
        <f>((AS101)^2)/AT101</f>
        <v>14.896551724137915</v>
      </c>
      <c r="AY101" s="14"/>
      <c r="AZ101" s="14"/>
      <c r="BA101" s="1" t="s">
        <v>270</v>
      </c>
      <c r="BB101" s="2"/>
    </row>
    <row r="102" spans="1:63" ht="14.25" customHeight="1">
      <c r="A102" s="2">
        <v>44</v>
      </c>
      <c r="B102" s="2" t="s">
        <v>10</v>
      </c>
      <c r="C102" s="1" t="s">
        <v>89</v>
      </c>
      <c r="D102" s="1">
        <v>2016</v>
      </c>
      <c r="E102" s="1">
        <v>2013</v>
      </c>
      <c r="F102" s="1" t="s">
        <v>143</v>
      </c>
      <c r="G102" s="1" t="s">
        <v>119</v>
      </c>
      <c r="H102" s="1">
        <v>43.7</v>
      </c>
      <c r="I102" s="1">
        <v>-121.61666700000001</v>
      </c>
      <c r="J102" s="1" t="s">
        <v>382</v>
      </c>
      <c r="K102" s="1" t="s">
        <v>176</v>
      </c>
      <c r="L102" s="1" t="s">
        <v>192</v>
      </c>
      <c r="M102" s="1" t="s">
        <v>236</v>
      </c>
      <c r="N102" s="1" t="s">
        <v>238</v>
      </c>
      <c r="O102" s="1" t="s">
        <v>121</v>
      </c>
      <c r="P102" s="1" t="s">
        <v>129</v>
      </c>
      <c r="Q102" s="1" t="s">
        <v>93</v>
      </c>
      <c r="R102" s="1">
        <v>2013</v>
      </c>
      <c r="S102" s="1" t="s">
        <v>157</v>
      </c>
      <c r="T102" s="23">
        <f>1/4.345</f>
        <v>0.23014959723820486</v>
      </c>
      <c r="W102" s="1">
        <v>12</v>
      </c>
      <c r="X102" s="1">
        <v>12</v>
      </c>
      <c r="Y102" s="1" t="s">
        <v>134</v>
      </c>
      <c r="Z102" s="1" t="s">
        <v>0</v>
      </c>
      <c r="AA102" s="1" t="s">
        <v>1</v>
      </c>
      <c r="AB102" s="1" t="s">
        <v>98</v>
      </c>
      <c r="AC102" s="1" t="s">
        <v>158</v>
      </c>
      <c r="AD102" s="1" t="s">
        <v>2</v>
      </c>
      <c r="AE102" s="1" t="s">
        <v>100</v>
      </c>
      <c r="AF102" s="12" t="str">
        <f>J102&amp;"_"&amp;"Richness"</f>
        <v>ECM_Richness</v>
      </c>
      <c r="AG102" s="1" t="s">
        <v>331</v>
      </c>
      <c r="AH102" s="1">
        <v>6.6</v>
      </c>
      <c r="AI102" s="1">
        <v>0.5</v>
      </c>
      <c r="AK102" s="1">
        <v>7.4</v>
      </c>
      <c r="AL102" s="1">
        <v>0.7</v>
      </c>
      <c r="AN102" s="12">
        <f>AH102-AK102</f>
        <v>-0.80000000000000071</v>
      </c>
      <c r="AO102" s="1">
        <f>SQRT((((X102-1)*AI102^2)+((W102-1)*AL102^2))/(X102+W102-2))</f>
        <v>0.60827625302982202</v>
      </c>
      <c r="AP102" s="1">
        <f>AN102/AO102</f>
        <v>-1.3151918984428594</v>
      </c>
      <c r="AQ102" s="1">
        <f>1/X102+1/W102+(AP102^2)/(2*(X102+W102))</f>
        <v>0.20270270270270274</v>
      </c>
      <c r="AR102" s="1">
        <f>1-(3/(4*(X102+W102-2)-1))</f>
        <v>0.96551724137931039</v>
      </c>
      <c r="AS102" s="21">
        <f>AP102*AR102</f>
        <v>-1.2698404536689678</v>
      </c>
      <c r="AT102" s="21">
        <f>AQ102*(AR102^2)</f>
        <v>0.18896423177041494</v>
      </c>
      <c r="AU102" s="21">
        <f>SQRT(AQ102*AR102^2)</f>
        <v>0.43470016306692932</v>
      </c>
      <c r="AV102" s="20">
        <f>1/AT102</f>
        <v>5.2920068027210867</v>
      </c>
      <c r="AW102" s="20">
        <f>AS102/AT102</f>
        <v>-6.720004319186609</v>
      </c>
      <c r="AX102" s="20">
        <f>((AS102)^2)/AT102</f>
        <v>8.5333333333333474</v>
      </c>
      <c r="AY102" s="14"/>
      <c r="AZ102" s="14"/>
      <c r="BA102" s="1" t="s">
        <v>270</v>
      </c>
      <c r="BB102" s="2"/>
    </row>
    <row r="103" spans="1:63" ht="14.25" customHeight="1">
      <c r="A103" s="2">
        <v>44</v>
      </c>
      <c r="B103" s="2" t="s">
        <v>10</v>
      </c>
      <c r="C103" s="1" t="s">
        <v>89</v>
      </c>
      <c r="D103" s="1">
        <v>2016</v>
      </c>
      <c r="E103" s="1">
        <v>2013</v>
      </c>
      <c r="F103" s="1" t="s">
        <v>143</v>
      </c>
      <c r="G103" s="1" t="s">
        <v>119</v>
      </c>
      <c r="H103" s="1">
        <v>43.7</v>
      </c>
      <c r="I103" s="1">
        <v>-121.61666700000001</v>
      </c>
      <c r="J103" s="1" t="s">
        <v>382</v>
      </c>
      <c r="K103" s="1" t="s">
        <v>176</v>
      </c>
      <c r="L103" s="1" t="s">
        <v>192</v>
      </c>
      <c r="M103" s="1" t="s">
        <v>236</v>
      </c>
      <c r="N103" s="1" t="s">
        <v>238</v>
      </c>
      <c r="O103" s="1" t="s">
        <v>121</v>
      </c>
      <c r="P103" s="1" t="s">
        <v>129</v>
      </c>
      <c r="Q103" s="1" t="s">
        <v>93</v>
      </c>
      <c r="R103" s="1">
        <v>2013</v>
      </c>
      <c r="S103" s="1" t="s">
        <v>157</v>
      </c>
      <c r="T103" s="23">
        <f>1/4.345</f>
        <v>0.23014959723820486</v>
      </c>
      <c r="W103" s="1">
        <v>12</v>
      </c>
      <c r="X103" s="1">
        <v>12</v>
      </c>
      <c r="Y103" s="1" t="s">
        <v>134</v>
      </c>
      <c r="Z103" s="1" t="s">
        <v>0</v>
      </c>
      <c r="AA103" s="1" t="s">
        <v>1</v>
      </c>
      <c r="AB103" s="1" t="s">
        <v>98</v>
      </c>
      <c r="AC103" s="1" t="s">
        <v>158</v>
      </c>
      <c r="AD103" s="1" t="s">
        <v>2</v>
      </c>
      <c r="AE103" s="1" t="s">
        <v>100</v>
      </c>
      <c r="AF103" s="1" t="str">
        <f>J103&amp;"_"&amp;"Simpson_diversity"</f>
        <v>ECM_Simpson_diversity</v>
      </c>
      <c r="AG103" s="1" t="s">
        <v>331</v>
      </c>
      <c r="AH103" s="1">
        <v>0.64</v>
      </c>
      <c r="AI103" s="1">
        <v>0.06</v>
      </c>
      <c r="AK103" s="1">
        <v>0.68</v>
      </c>
      <c r="AL103" s="1">
        <v>0.04</v>
      </c>
      <c r="AN103" s="12">
        <f>AH103-AK103</f>
        <v>-4.0000000000000036E-2</v>
      </c>
      <c r="AO103" s="1">
        <f>SQRT((((X103-1)*AI103^2)+((W103-1)*AL103^2))/(X103+W103-2))</f>
        <v>5.0990195135927847E-2</v>
      </c>
      <c r="AP103" s="1">
        <f>AN103/AO103</f>
        <v>-0.78446454055273684</v>
      </c>
      <c r="AQ103" s="1">
        <f>1/X103+1/W103+(AP103^2)/(2*(X103+W103))</f>
        <v>0.17948717948717952</v>
      </c>
      <c r="AR103" s="1">
        <f>1-(3/(4*(X103+W103-2)-1))</f>
        <v>0.96551724137931039</v>
      </c>
      <c r="AS103" s="21">
        <f>AP103*AR103</f>
        <v>-0.75741403915436667</v>
      </c>
      <c r="AT103" s="21">
        <f>AQ103*(AR103^2)</f>
        <v>0.16732217445653835</v>
      </c>
      <c r="AU103" s="21">
        <f>SQRT(AQ103*AR103^2)</f>
        <v>0.40905033242443206</v>
      </c>
      <c r="AV103" s="20">
        <f>1/AT103</f>
        <v>5.9764941690962088</v>
      </c>
      <c r="AW103" s="20">
        <f>AS103/AT103</f>
        <v>-4.5266805885976797</v>
      </c>
      <c r="AX103" s="20">
        <f>((AS103)^2)/AT103</f>
        <v>3.4285714285714342</v>
      </c>
      <c r="AY103" s="14"/>
      <c r="AZ103" s="14"/>
      <c r="BA103" s="1" t="s">
        <v>270</v>
      </c>
      <c r="BB103" s="2"/>
    </row>
    <row r="104" spans="1:63" ht="14.25" customHeight="1">
      <c r="A104" s="17">
        <v>320</v>
      </c>
      <c r="B104" s="17" t="s">
        <v>243</v>
      </c>
      <c r="C104" s="12" t="s">
        <v>85</v>
      </c>
      <c r="D104" s="16">
        <v>2024</v>
      </c>
      <c r="E104" s="16">
        <v>2021</v>
      </c>
      <c r="F104" s="16" t="s">
        <v>120</v>
      </c>
      <c r="G104" s="16" t="s">
        <v>109</v>
      </c>
      <c r="H104" s="16">
        <v>42.345813999999997</v>
      </c>
      <c r="I104" s="16">
        <v>-6.3904769999999997</v>
      </c>
      <c r="J104" s="16" t="s">
        <v>126</v>
      </c>
      <c r="K104" s="16" t="s">
        <v>176</v>
      </c>
      <c r="L104" s="16" t="s">
        <v>177</v>
      </c>
      <c r="M104" s="16" t="s">
        <v>236</v>
      </c>
      <c r="N104" s="16" t="s">
        <v>238</v>
      </c>
      <c r="O104" s="16" t="s">
        <v>86</v>
      </c>
      <c r="P104" s="16"/>
      <c r="Q104" s="16" t="s">
        <v>93</v>
      </c>
      <c r="R104" s="16">
        <v>2012</v>
      </c>
      <c r="S104" s="16">
        <v>9</v>
      </c>
      <c r="T104" s="16">
        <f>S104*12</f>
        <v>108</v>
      </c>
      <c r="U104" s="16">
        <v>11891</v>
      </c>
      <c r="V104" s="16"/>
      <c r="W104" s="16">
        <v>9</v>
      </c>
      <c r="X104" s="16">
        <v>9</v>
      </c>
      <c r="Y104" s="16" t="s">
        <v>114</v>
      </c>
      <c r="Z104" s="16" t="s">
        <v>2</v>
      </c>
      <c r="AA104" s="16" t="s">
        <v>1</v>
      </c>
      <c r="AB104" s="16" t="s">
        <v>113</v>
      </c>
      <c r="AC104" s="1" t="s">
        <v>2</v>
      </c>
      <c r="AD104" s="1" t="s">
        <v>2</v>
      </c>
      <c r="AE104" s="1" t="s">
        <v>2</v>
      </c>
      <c r="AF104" s="16" t="s">
        <v>222</v>
      </c>
      <c r="AG104" s="16" t="s">
        <v>315</v>
      </c>
      <c r="AH104" s="16">
        <v>9.0299999999999994</v>
      </c>
      <c r="AI104" s="16">
        <f>11.1-5.94</f>
        <v>5.1599999999999993</v>
      </c>
      <c r="AJ104" s="16"/>
      <c r="AK104" s="16">
        <v>26.58</v>
      </c>
      <c r="AL104" s="16">
        <f>30.97-22.71</f>
        <v>8.259999999999998</v>
      </c>
      <c r="AM104" s="16"/>
      <c r="AN104" s="12">
        <f>AH104-AK104</f>
        <v>-17.549999999999997</v>
      </c>
      <c r="AO104" s="1">
        <f>SQRT((((X104-1)*AI104^2)+((W104-1)*AL104^2))/(X104+W104-2))</f>
        <v>6.8866973216484535</v>
      </c>
      <c r="AP104" s="1">
        <f>AN104/AO104</f>
        <v>-2.5483913667631746</v>
      </c>
      <c r="AQ104" s="1">
        <f>1/X104+1/W104+(AP104^2)/(2*(X104+W104))</f>
        <v>0.40261940439425226</v>
      </c>
      <c r="AR104" s="1">
        <f>1-(3/(4*(X104+W104-2)-1))</f>
        <v>0.95238095238095233</v>
      </c>
      <c r="AS104" s="21">
        <f>AP104*AR104</f>
        <v>-2.427039396917309</v>
      </c>
      <c r="AT104" s="21">
        <f>AQ104*(AR104^2)</f>
        <v>0.36518766838480926</v>
      </c>
      <c r="AU104" s="21">
        <f>SQRT(AQ104*AR104^2)</f>
        <v>0.60430759418098434</v>
      </c>
      <c r="AV104" s="20">
        <f>1/AT104</f>
        <v>2.7383180938800753</v>
      </c>
      <c r="AW104" s="20">
        <f>AS104/AT104</f>
        <v>-6.6460058951384537</v>
      </c>
      <c r="AX104" s="20">
        <f>((AS104)^2)/AT104</f>
        <v>16.130118139645713</v>
      </c>
      <c r="AY104" s="15"/>
      <c r="AZ104" s="15"/>
      <c r="BA104" s="1" t="s">
        <v>270</v>
      </c>
      <c r="BB104" s="17"/>
      <c r="BC104" s="16"/>
      <c r="BD104" s="16"/>
      <c r="BE104" s="16"/>
      <c r="BF104" s="16"/>
      <c r="BG104" s="16"/>
      <c r="BH104" s="16"/>
      <c r="BI104" s="16"/>
      <c r="BJ104" s="16"/>
      <c r="BK104" s="16"/>
    </row>
    <row r="105" spans="1:63" ht="14.25" customHeight="1">
      <c r="A105" s="2">
        <v>215</v>
      </c>
      <c r="B105" s="2" t="s">
        <v>34</v>
      </c>
      <c r="C105" s="1" t="s">
        <v>85</v>
      </c>
      <c r="D105" s="1">
        <v>2001</v>
      </c>
      <c r="E105" s="1">
        <v>1997</v>
      </c>
      <c r="F105" s="1" t="s">
        <v>116</v>
      </c>
      <c r="G105" s="1" t="s">
        <v>117</v>
      </c>
      <c r="H105" s="1">
        <v>61.1</v>
      </c>
      <c r="I105" s="1">
        <v>16</v>
      </c>
      <c r="J105" s="1" t="s">
        <v>135</v>
      </c>
      <c r="K105" s="1" t="s">
        <v>176</v>
      </c>
      <c r="L105" s="1" t="s">
        <v>182</v>
      </c>
      <c r="M105" s="1" t="s">
        <v>236</v>
      </c>
      <c r="N105" s="1" t="s">
        <v>238</v>
      </c>
      <c r="O105" s="1" t="s">
        <v>121</v>
      </c>
      <c r="P105" s="1" t="s">
        <v>146</v>
      </c>
      <c r="Q105" s="1" t="s">
        <v>93</v>
      </c>
      <c r="R105" s="1">
        <v>1997</v>
      </c>
      <c r="S105" s="1" t="s">
        <v>298</v>
      </c>
      <c r="T105" s="1">
        <v>4</v>
      </c>
      <c r="V105" s="1">
        <v>30</v>
      </c>
      <c r="W105" s="12">
        <v>45</v>
      </c>
      <c r="X105" s="12">
        <v>45</v>
      </c>
      <c r="Y105" s="1" t="s">
        <v>134</v>
      </c>
      <c r="Z105" s="1" t="s">
        <v>154</v>
      </c>
      <c r="AA105" s="1" t="s">
        <v>0</v>
      </c>
      <c r="AB105" s="1" t="s">
        <v>98</v>
      </c>
      <c r="AC105" s="1" t="s">
        <v>221</v>
      </c>
      <c r="AD105" s="1" t="s">
        <v>2</v>
      </c>
      <c r="AE105" s="1" t="s">
        <v>100</v>
      </c>
      <c r="AF105" s="1" t="s">
        <v>253</v>
      </c>
      <c r="AG105" s="1" t="s">
        <v>331</v>
      </c>
      <c r="AH105" s="1">
        <v>2.1</v>
      </c>
      <c r="AI105" s="7" t="s">
        <v>2</v>
      </c>
      <c r="AJ105" s="7" t="s">
        <v>2</v>
      </c>
      <c r="AK105" s="1">
        <v>4.5999999999999996</v>
      </c>
      <c r="AL105" s="7" t="s">
        <v>2</v>
      </c>
      <c r="AM105" s="7" t="s">
        <v>2</v>
      </c>
      <c r="AN105" s="12">
        <f>AH105-AK105</f>
        <v>-2.4999999999999996</v>
      </c>
      <c r="AO105" s="1" t="e">
        <f>SQRT((((X105-1)*AI105^2)+((W105-1)*AL105^2))/(X105+W105-2))</f>
        <v>#VALUE!</v>
      </c>
      <c r="AP105" s="1" t="e">
        <f>AN105/AO105</f>
        <v>#VALUE!</v>
      </c>
      <c r="AQ105" s="1" t="e">
        <f>1/X105+1/W105+(AP105^2)/(2*(X105+W105))</f>
        <v>#VALUE!</v>
      </c>
      <c r="AR105" s="1">
        <f>1-(3/(4*(X105+W105-2)-1))</f>
        <v>0.99145299145299148</v>
      </c>
      <c r="AS105" s="1" t="e">
        <f>AP105*AR105</f>
        <v>#VALUE!</v>
      </c>
      <c r="AU105" s="1" t="e">
        <f>SQRT(AQ105*AR105^2)</f>
        <v>#VALUE!</v>
      </c>
      <c r="AY105" s="14"/>
      <c r="AZ105" s="14"/>
      <c r="BA105" s="1" t="s">
        <v>270</v>
      </c>
      <c r="BB105" s="2"/>
    </row>
    <row r="106" spans="1:63" ht="14.25" customHeight="1">
      <c r="A106" s="2">
        <v>294</v>
      </c>
      <c r="B106" s="2" t="s">
        <v>44</v>
      </c>
      <c r="C106" s="1" t="s">
        <v>85</v>
      </c>
      <c r="D106" s="1">
        <v>2016</v>
      </c>
      <c r="E106" s="1">
        <v>2013</v>
      </c>
      <c r="F106" s="1" t="s">
        <v>143</v>
      </c>
      <c r="G106" s="1" t="s">
        <v>159</v>
      </c>
      <c r="H106" s="1">
        <v>43.7</v>
      </c>
      <c r="I106" s="1">
        <v>-121.61666700000001</v>
      </c>
      <c r="J106" s="1" t="s">
        <v>128</v>
      </c>
      <c r="K106" s="1" t="s">
        <v>176</v>
      </c>
      <c r="L106" s="1" t="s">
        <v>192</v>
      </c>
      <c r="M106" s="1" t="s">
        <v>236</v>
      </c>
      <c r="N106" s="1" t="s">
        <v>238</v>
      </c>
      <c r="O106" s="1" t="s">
        <v>121</v>
      </c>
      <c r="P106" s="1" t="s">
        <v>146</v>
      </c>
      <c r="Q106" s="1" t="s">
        <v>115</v>
      </c>
      <c r="R106" s="1">
        <v>2013</v>
      </c>
      <c r="S106" s="1" t="s">
        <v>308</v>
      </c>
      <c r="T106" s="23">
        <f>3/4.345</f>
        <v>0.69044879171461448</v>
      </c>
      <c r="V106" s="1">
        <v>199</v>
      </c>
      <c r="W106" s="1">
        <v>10</v>
      </c>
      <c r="X106" s="1">
        <v>10</v>
      </c>
      <c r="Y106" s="1" t="s">
        <v>97</v>
      </c>
      <c r="Z106" s="1" t="s">
        <v>133</v>
      </c>
      <c r="AA106" s="1" t="s">
        <v>0</v>
      </c>
      <c r="AB106" s="1" t="s">
        <v>98</v>
      </c>
      <c r="AC106" s="1" t="s">
        <v>202</v>
      </c>
      <c r="AD106" s="1" t="s">
        <v>99</v>
      </c>
      <c r="AE106" s="1" t="s">
        <v>111</v>
      </c>
      <c r="AF106" s="1" t="s">
        <v>222</v>
      </c>
      <c r="AG106" s="1" t="s">
        <v>317</v>
      </c>
      <c r="AH106" s="1">
        <v>55.84</v>
      </c>
      <c r="AI106" s="1">
        <v>13.78</v>
      </c>
      <c r="AK106" s="1">
        <v>87.32</v>
      </c>
      <c r="AL106" s="1">
        <v>14.75</v>
      </c>
      <c r="AN106" s="12">
        <f>AH106-AK106</f>
        <v>-31.47999999999999</v>
      </c>
      <c r="AO106" s="1">
        <f>SQRT((((X106-1)*AI106^2)+((W106-1)*AL106^2))/(X106+W106-2))</f>
        <v>14.273242448722016</v>
      </c>
      <c r="AP106" s="1">
        <f>AN106/AO106</f>
        <v>-2.2055254868047602</v>
      </c>
      <c r="AQ106" s="1">
        <f>1/X106+1/W106+(AP106^2)/(2*(X106+W106))</f>
        <v>0.32160856682363437</v>
      </c>
      <c r="AR106" s="1">
        <f>1-(3/(4*(X106+W106-2)-1))</f>
        <v>0.95774647887323949</v>
      </c>
      <c r="AS106" s="21">
        <f>AP106*AR106</f>
        <v>-2.1123342690524467</v>
      </c>
      <c r="AT106" s="21">
        <f>AQ106*(AR106^2)</f>
        <v>0.29500456516415102</v>
      </c>
      <c r="AU106" s="21">
        <f>SQRT(AQ106*AR106^2)</f>
        <v>0.54314322711799601</v>
      </c>
      <c r="AV106" s="20">
        <f>1/AT106</f>
        <v>3.3897780512093583</v>
      </c>
      <c r="AW106" s="20">
        <f>AS106/AT106</f>
        <v>-7.1603443420513475</v>
      </c>
      <c r="AX106" s="20">
        <f>((AS106)^2)/AT106</f>
        <v>15.125040731930854</v>
      </c>
      <c r="AY106" s="14"/>
      <c r="AZ106" s="14"/>
      <c r="BA106" s="1" t="s">
        <v>270</v>
      </c>
      <c r="BB106" s="2"/>
    </row>
    <row r="107" spans="1:63" ht="14.25" customHeight="1">
      <c r="A107" s="2">
        <v>215</v>
      </c>
      <c r="B107" s="2" t="s">
        <v>34</v>
      </c>
      <c r="C107" s="1" t="s">
        <v>85</v>
      </c>
      <c r="D107" s="1">
        <v>2001</v>
      </c>
      <c r="E107" s="1">
        <v>1997</v>
      </c>
      <c r="F107" s="1" t="s">
        <v>116</v>
      </c>
      <c r="G107" s="1" t="s">
        <v>117</v>
      </c>
      <c r="H107" s="1">
        <v>61.1</v>
      </c>
      <c r="I107" s="1">
        <v>16</v>
      </c>
      <c r="J107" s="1" t="s">
        <v>135</v>
      </c>
      <c r="K107" s="1" t="s">
        <v>176</v>
      </c>
      <c r="L107" s="1" t="s">
        <v>182</v>
      </c>
      <c r="M107" s="1" t="s">
        <v>236</v>
      </c>
      <c r="N107" s="1" t="s">
        <v>238</v>
      </c>
      <c r="O107" s="1" t="s">
        <v>121</v>
      </c>
      <c r="P107" s="1" t="s">
        <v>129</v>
      </c>
      <c r="Q107" s="1" t="s">
        <v>93</v>
      </c>
      <c r="R107" s="1">
        <v>1997</v>
      </c>
      <c r="S107" s="1" t="s">
        <v>298</v>
      </c>
      <c r="T107" s="1">
        <v>4</v>
      </c>
      <c r="V107" s="1">
        <v>30</v>
      </c>
      <c r="W107" s="12">
        <v>45</v>
      </c>
      <c r="X107" s="12">
        <v>45</v>
      </c>
      <c r="Y107" s="1" t="s">
        <v>134</v>
      </c>
      <c r="Z107" s="1" t="s">
        <v>154</v>
      </c>
      <c r="AA107" s="1" t="s">
        <v>0</v>
      </c>
      <c r="AB107" s="1" t="s">
        <v>98</v>
      </c>
      <c r="AC107" s="1" t="s">
        <v>221</v>
      </c>
      <c r="AD107" s="1" t="s">
        <v>2</v>
      </c>
      <c r="AE107" s="1" t="s">
        <v>100</v>
      </c>
      <c r="AF107" s="1" t="s">
        <v>253</v>
      </c>
      <c r="AG107" s="1" t="s">
        <v>331</v>
      </c>
      <c r="AH107" s="1">
        <v>0</v>
      </c>
      <c r="AI107" s="7" t="s">
        <v>2</v>
      </c>
      <c r="AJ107" s="7" t="s">
        <v>2</v>
      </c>
      <c r="AK107" s="1">
        <v>4.5999999999999996</v>
      </c>
      <c r="AL107" s="7" t="s">
        <v>2</v>
      </c>
      <c r="AM107" s="7" t="s">
        <v>2</v>
      </c>
      <c r="AN107" s="12">
        <f>AH107-AK107</f>
        <v>-4.5999999999999996</v>
      </c>
      <c r="AO107" s="1" t="e">
        <f>SQRT((((X107-1)*AI107^2)+((W107-1)*AL107^2))/(X107+W107-2))</f>
        <v>#VALUE!</v>
      </c>
      <c r="AP107" s="1" t="e">
        <f>AN107/AO107</f>
        <v>#VALUE!</v>
      </c>
      <c r="AQ107" s="1" t="e">
        <f>1/X107+1/W107+(AP107^2)/(2*(X107+W107))</f>
        <v>#VALUE!</v>
      </c>
      <c r="AR107" s="1">
        <f>1-(3/(4*(X107+W107-2)-1))</f>
        <v>0.99145299145299148</v>
      </c>
      <c r="AS107" s="1" t="e">
        <f>AP107*AR107</f>
        <v>#VALUE!</v>
      </c>
      <c r="AU107" s="1" t="e">
        <f>SQRT(AQ107*AR107^2)</f>
        <v>#VALUE!</v>
      </c>
      <c r="AY107" s="14"/>
      <c r="AZ107" s="14"/>
      <c r="BA107" s="1" t="s">
        <v>270</v>
      </c>
      <c r="BB107" s="2"/>
    </row>
    <row r="108" spans="1:63" ht="14.25" customHeight="1">
      <c r="A108" s="2">
        <v>215</v>
      </c>
      <c r="B108" s="2" t="s">
        <v>34</v>
      </c>
      <c r="C108" s="1" t="s">
        <v>85</v>
      </c>
      <c r="D108" s="1">
        <v>2001</v>
      </c>
      <c r="E108" s="1">
        <v>1997</v>
      </c>
      <c r="F108" s="1" t="s">
        <v>116</v>
      </c>
      <c r="G108" s="1" t="s">
        <v>117</v>
      </c>
      <c r="H108" s="1">
        <v>61.1</v>
      </c>
      <c r="I108" s="1">
        <v>16</v>
      </c>
      <c r="J108" s="1" t="s">
        <v>126</v>
      </c>
      <c r="K108" s="1" t="s">
        <v>176</v>
      </c>
      <c r="L108" s="1" t="s">
        <v>182</v>
      </c>
      <c r="M108" s="1" t="s">
        <v>236</v>
      </c>
      <c r="N108" s="1" t="s">
        <v>238</v>
      </c>
      <c r="O108" s="1" t="s">
        <v>121</v>
      </c>
      <c r="P108" s="1" t="s">
        <v>146</v>
      </c>
      <c r="Q108" s="1" t="s">
        <v>93</v>
      </c>
      <c r="R108" s="1">
        <v>1997</v>
      </c>
      <c r="S108" s="1" t="s">
        <v>298</v>
      </c>
      <c r="T108" s="1">
        <v>4</v>
      </c>
      <c r="V108" s="1">
        <v>30</v>
      </c>
      <c r="W108" s="1">
        <v>5</v>
      </c>
      <c r="X108" s="1">
        <v>5</v>
      </c>
      <c r="Y108" s="1" t="s">
        <v>114</v>
      </c>
      <c r="Z108" s="1" t="s">
        <v>2</v>
      </c>
      <c r="AA108" s="1" t="s">
        <v>0</v>
      </c>
      <c r="AB108" s="1" t="s">
        <v>113</v>
      </c>
      <c r="AC108" s="1" t="s">
        <v>2</v>
      </c>
      <c r="AD108" s="1" t="s">
        <v>2</v>
      </c>
      <c r="AE108" s="1" t="s">
        <v>2</v>
      </c>
      <c r="AF108" s="1" t="s">
        <v>297</v>
      </c>
      <c r="AG108" s="1" t="s">
        <v>319</v>
      </c>
      <c r="AH108" s="1">
        <v>0.14000000000000001</v>
      </c>
      <c r="AI108" s="1">
        <f>AJ108*SQRT(X108)</f>
        <v>8.9442719099991547E-2</v>
      </c>
      <c r="AJ108" s="1">
        <f>0.18-AH108</f>
        <v>3.999999999999998E-2</v>
      </c>
      <c r="AK108" s="1">
        <v>1.36</v>
      </c>
      <c r="AL108" s="1">
        <f>AM108*SQRT(W108)</f>
        <v>0.33541019662496829</v>
      </c>
      <c r="AM108" s="1">
        <f>1.51-AK108</f>
        <v>0.14999999999999991</v>
      </c>
      <c r="AN108" s="12">
        <f>AH108-AK108</f>
        <v>-1.2200000000000002</v>
      </c>
      <c r="AO108" s="1">
        <f>SQRT((((X108-1)*AI108^2)+((W108-1)*AL108^2))/(X108+W108-2))</f>
        <v>0.24545875417267143</v>
      </c>
      <c r="AP108" s="1">
        <f>AN108/AO108</f>
        <v>-4.9702851467329374</v>
      </c>
      <c r="AQ108" s="1">
        <f>1/X108+1/W108+(AP108^2)/(2*(X108+W108))</f>
        <v>1.6351867219917029</v>
      </c>
      <c r="AR108" s="1">
        <f>1-(3/(4*(X108+W108-2)-1))</f>
        <v>0.90322580645161288</v>
      </c>
      <c r="AS108" s="21">
        <f>AP108*AR108</f>
        <v>-4.4892898099523304</v>
      </c>
      <c r="AT108" s="21">
        <f>AQ108*(AR108^2)</f>
        <v>1.3340128928631581</v>
      </c>
      <c r="AU108" s="21">
        <f>SQRT(AQ108*AR108^2)</f>
        <v>1.154994758803328</v>
      </c>
      <c r="AV108" s="20">
        <f>1/AT108</f>
        <v>0.74961794248759117</v>
      </c>
      <c r="AW108" s="20">
        <f>AS108/AT108</f>
        <v>-3.3652521905669754</v>
      </c>
      <c r="AX108" s="20">
        <f>((AS108)^2)/AT108</f>
        <v>15.10759236703208</v>
      </c>
      <c r="AY108" s="14"/>
      <c r="AZ108" s="14"/>
      <c r="BA108" s="1" t="s">
        <v>270</v>
      </c>
      <c r="BB108" s="2"/>
    </row>
    <row r="109" spans="1:63" ht="14.25" customHeight="1">
      <c r="A109" s="2">
        <v>215</v>
      </c>
      <c r="B109" s="2" t="s">
        <v>34</v>
      </c>
      <c r="C109" s="1" t="s">
        <v>85</v>
      </c>
      <c r="D109" s="1">
        <v>2001</v>
      </c>
      <c r="E109" s="1">
        <v>1997</v>
      </c>
      <c r="F109" s="1" t="s">
        <v>116</v>
      </c>
      <c r="G109" s="1" t="s">
        <v>117</v>
      </c>
      <c r="H109" s="1">
        <v>61.1</v>
      </c>
      <c r="I109" s="1">
        <v>16</v>
      </c>
      <c r="J109" s="1" t="s">
        <v>126</v>
      </c>
      <c r="K109" s="1" t="s">
        <v>176</v>
      </c>
      <c r="L109" s="1" t="s">
        <v>182</v>
      </c>
      <c r="M109" s="1" t="s">
        <v>236</v>
      </c>
      <c r="N109" s="1" t="s">
        <v>238</v>
      </c>
      <c r="O109" s="1" t="s">
        <v>121</v>
      </c>
      <c r="P109" s="1" t="s">
        <v>129</v>
      </c>
      <c r="Q109" s="1" t="s">
        <v>93</v>
      </c>
      <c r="R109" s="1">
        <v>1997</v>
      </c>
      <c r="S109" s="1" t="s">
        <v>298</v>
      </c>
      <c r="T109" s="1">
        <v>4</v>
      </c>
      <c r="V109" s="1">
        <v>30</v>
      </c>
      <c r="W109" s="1">
        <v>5</v>
      </c>
      <c r="X109" s="1">
        <v>5</v>
      </c>
      <c r="Y109" s="1" t="s">
        <v>114</v>
      </c>
      <c r="Z109" s="1" t="s">
        <v>2</v>
      </c>
      <c r="AA109" s="1" t="s">
        <v>0</v>
      </c>
      <c r="AB109" s="1" t="s">
        <v>113</v>
      </c>
      <c r="AC109" s="1" t="s">
        <v>2</v>
      </c>
      <c r="AD109" s="1" t="s">
        <v>2</v>
      </c>
      <c r="AE109" s="1" t="s">
        <v>2</v>
      </c>
      <c r="AF109" s="1" t="s">
        <v>297</v>
      </c>
      <c r="AG109" s="1" t="s">
        <v>319</v>
      </c>
      <c r="AH109" s="1">
        <v>0</v>
      </c>
      <c r="AI109" s="1">
        <v>0</v>
      </c>
      <c r="AJ109" s="1">
        <v>0</v>
      </c>
      <c r="AK109" s="1">
        <v>1.36</v>
      </c>
      <c r="AL109" s="1">
        <f>AM109*SQRT(W109)</f>
        <v>0.33541019662496829</v>
      </c>
      <c r="AM109" s="1">
        <f>1.51-AK109</f>
        <v>0.14999999999999991</v>
      </c>
      <c r="AN109" s="12">
        <f>AH109-AK109</f>
        <v>-1.36</v>
      </c>
      <c r="AO109" s="1">
        <f>SQRT((((X109-1)*AI109^2)+((W109-1)*AL109^2))/(X109+W109-2))</f>
        <v>0.23717082451262833</v>
      </c>
      <c r="AP109" s="1">
        <f>AN109/AO109</f>
        <v>-5.7342634904386642</v>
      </c>
      <c r="AQ109" s="1">
        <f>1/X109+1/W109+(AP109^2)/(2*(X109+W109))</f>
        <v>2.0440888888888908</v>
      </c>
      <c r="AR109" s="1">
        <f>1-(3/(4*(X109+W109-2)-1))</f>
        <v>0.90322580645161288</v>
      </c>
      <c r="AS109" s="21">
        <f>AP109*AR109</f>
        <v>-5.1793347655575026</v>
      </c>
      <c r="AT109" s="21">
        <f>AQ109*(AR109^2)</f>
        <v>1.6676021736616964</v>
      </c>
      <c r="AU109" s="21">
        <f>SQRT(AQ109*AR109^2)</f>
        <v>1.2913567182082943</v>
      </c>
      <c r="AV109" s="20">
        <f>1/AT109</f>
        <v>0.59966340641318228</v>
      </c>
      <c r="AW109" s="20">
        <f>AS109/AT109</f>
        <v>-3.1058575284684329</v>
      </c>
      <c r="AX109" s="20">
        <f>((AS109)^2)/AT109</f>
        <v>16.086275874065056</v>
      </c>
      <c r="AY109" s="14"/>
      <c r="AZ109" s="14"/>
      <c r="BA109" s="1" t="s">
        <v>270</v>
      </c>
      <c r="BB109" s="2"/>
    </row>
    <row r="110" spans="1:63" s="12" customFormat="1" ht="14.25" customHeight="1">
      <c r="A110" s="2">
        <v>449</v>
      </c>
      <c r="B110" s="2" t="s">
        <v>57</v>
      </c>
      <c r="C110" s="12" t="s">
        <v>85</v>
      </c>
      <c r="D110" s="12">
        <v>2019</v>
      </c>
      <c r="E110" s="12">
        <v>2015</v>
      </c>
      <c r="F110" s="12" t="s">
        <v>152</v>
      </c>
      <c r="G110" s="1" t="s">
        <v>117</v>
      </c>
      <c r="H110" s="12">
        <v>61.714253999999997</v>
      </c>
      <c r="I110" s="12">
        <v>-116.79387</v>
      </c>
      <c r="J110" s="12" t="s">
        <v>128</v>
      </c>
      <c r="K110" s="12" t="s">
        <v>103</v>
      </c>
      <c r="L110" s="12" t="s">
        <v>187</v>
      </c>
      <c r="M110" s="12" t="s">
        <v>236</v>
      </c>
      <c r="N110" s="12" t="s">
        <v>238</v>
      </c>
      <c r="O110" s="12" t="s">
        <v>86</v>
      </c>
      <c r="P110" s="12" t="s">
        <v>129</v>
      </c>
      <c r="Q110" s="12" t="s">
        <v>93</v>
      </c>
      <c r="R110" s="12">
        <v>2014</v>
      </c>
      <c r="S110" s="12">
        <v>1</v>
      </c>
      <c r="T110" s="1">
        <f>S110*12</f>
        <v>12</v>
      </c>
      <c r="W110" s="12">
        <v>8</v>
      </c>
      <c r="X110" s="12">
        <v>39</v>
      </c>
      <c r="Y110" s="12" t="s">
        <v>97</v>
      </c>
      <c r="Z110" s="12" t="s">
        <v>130</v>
      </c>
      <c r="AA110" s="12" t="s">
        <v>1</v>
      </c>
      <c r="AB110" s="12" t="s">
        <v>98</v>
      </c>
      <c r="AC110" s="12" t="s">
        <v>202</v>
      </c>
      <c r="AD110" s="12" t="s">
        <v>99</v>
      </c>
      <c r="AE110" s="12" t="s">
        <v>100</v>
      </c>
      <c r="AF110" s="12" t="s">
        <v>254</v>
      </c>
      <c r="AG110" s="12" t="s">
        <v>319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2" t="s">
        <v>285</v>
      </c>
    </row>
    <row r="111" spans="1:63" ht="14.25" customHeight="1">
      <c r="A111" s="2">
        <v>102</v>
      </c>
      <c r="B111" s="2" t="s">
        <v>14</v>
      </c>
      <c r="C111" s="1" t="s">
        <v>85</v>
      </c>
      <c r="D111" s="1">
        <v>2024</v>
      </c>
      <c r="E111" s="1">
        <v>2020</v>
      </c>
      <c r="F111" s="1" t="s">
        <v>143</v>
      </c>
      <c r="G111" s="1" t="s">
        <v>166</v>
      </c>
      <c r="H111" s="1">
        <v>44.798842</v>
      </c>
      <c r="I111" s="1">
        <v>-111.290696</v>
      </c>
      <c r="J111" s="1" t="s">
        <v>128</v>
      </c>
      <c r="K111" s="1" t="s">
        <v>176</v>
      </c>
      <c r="L111" s="1" t="s">
        <v>186</v>
      </c>
      <c r="M111" s="16" t="s">
        <v>236</v>
      </c>
      <c r="N111" s="16" t="s">
        <v>238</v>
      </c>
      <c r="O111" s="1" t="s">
        <v>121</v>
      </c>
      <c r="P111" s="1" t="s">
        <v>146</v>
      </c>
      <c r="Q111" s="1" t="s">
        <v>93</v>
      </c>
      <c r="R111" s="1">
        <v>2019</v>
      </c>
      <c r="S111" s="1" t="s">
        <v>165</v>
      </c>
      <c r="T111" s="1">
        <v>8</v>
      </c>
      <c r="W111" s="1">
        <v>7</v>
      </c>
      <c r="X111" s="1">
        <v>15</v>
      </c>
      <c r="Y111" s="1" t="s">
        <v>97</v>
      </c>
      <c r="Z111" s="1" t="s">
        <v>130</v>
      </c>
      <c r="AA111" s="1" t="s">
        <v>1</v>
      </c>
      <c r="AB111" s="1" t="s">
        <v>98</v>
      </c>
      <c r="AC111" s="1" t="s">
        <v>202</v>
      </c>
      <c r="AD111" s="1" t="s">
        <v>99</v>
      </c>
      <c r="AE111" s="1" t="s">
        <v>111</v>
      </c>
      <c r="AF111" s="16" t="s">
        <v>222</v>
      </c>
      <c r="AG111" s="16" t="s">
        <v>323</v>
      </c>
      <c r="AH111" s="16">
        <v>52.2</v>
      </c>
      <c r="AI111" s="12">
        <f>91.35-29.36</f>
        <v>61.989999999999995</v>
      </c>
      <c r="AJ111" s="16"/>
      <c r="AK111" s="16">
        <v>362.15</v>
      </c>
      <c r="AL111" s="16">
        <f>489.4-241.44</f>
        <v>247.95999999999998</v>
      </c>
      <c r="AM111" s="16"/>
      <c r="AN111" s="12">
        <f>AH111-AK111</f>
        <v>-309.95</v>
      </c>
      <c r="AO111" s="1">
        <f>SQRT((((X111-1)*AI111^2)+((W111-1)*AL111^2))/(X111+W111-2))</f>
        <v>145.3794364757272</v>
      </c>
      <c r="AP111" s="1">
        <f>AN111/AO111</f>
        <v>-2.132007163556104</v>
      </c>
      <c r="AQ111" s="1">
        <f>1/X111+1/W111+(AP111^2)/(2*(X111+W111))</f>
        <v>0.31282959464777643</v>
      </c>
      <c r="AR111" s="1">
        <f>1-(3/(4*(X111+W111-2)-1))</f>
        <v>0.96202531645569622</v>
      </c>
      <c r="AS111" s="21">
        <f>AP111*AR111</f>
        <v>-2.051044866205872</v>
      </c>
      <c r="AT111" s="21">
        <f>AQ111*(AR111^2)</f>
        <v>0.28952150916288366</v>
      </c>
      <c r="AU111" s="21">
        <f>SQRT(AQ111*AR111^2)</f>
        <v>0.5380720297161744</v>
      </c>
      <c r="AV111" s="20">
        <f>1/AT111</f>
        <v>3.4539748113754269</v>
      </c>
      <c r="AW111" s="20">
        <f>AS111/AT111</f>
        <v>-7.0842573048759645</v>
      </c>
      <c r="AX111" s="20">
        <f>((AS111)^2)/AT111</f>
        <v>14.530129576047294</v>
      </c>
      <c r="AY111" s="14"/>
      <c r="AZ111" s="14"/>
      <c r="BA111" s="1" t="s">
        <v>270</v>
      </c>
      <c r="BB111" s="2"/>
    </row>
    <row r="112" spans="1:63" ht="14.25" customHeight="1">
      <c r="A112" s="2">
        <v>21</v>
      </c>
      <c r="B112" s="2" t="s">
        <v>4</v>
      </c>
      <c r="C112" s="1" t="s">
        <v>85</v>
      </c>
      <c r="D112" s="1">
        <v>2005</v>
      </c>
      <c r="E112" s="1" t="s">
        <v>145</v>
      </c>
      <c r="F112" s="1" t="s">
        <v>120</v>
      </c>
      <c r="G112" s="1" t="s">
        <v>161</v>
      </c>
      <c r="H112" s="1">
        <v>42.641388999999997</v>
      </c>
      <c r="I112" s="1">
        <v>-2.2769439999999999</v>
      </c>
      <c r="J112" s="1" t="s">
        <v>135</v>
      </c>
      <c r="K112" s="1" t="s">
        <v>178</v>
      </c>
      <c r="L112" s="1" t="s">
        <v>194</v>
      </c>
      <c r="M112" s="1" t="s">
        <v>236</v>
      </c>
      <c r="N112" s="1" t="s">
        <v>238</v>
      </c>
      <c r="O112" s="1" t="s">
        <v>86</v>
      </c>
      <c r="P112" s="1" t="s">
        <v>146</v>
      </c>
      <c r="Q112" s="1" t="s">
        <v>93</v>
      </c>
      <c r="R112" s="1">
        <v>1994</v>
      </c>
      <c r="S112" s="1">
        <v>4</v>
      </c>
      <c r="T112" s="1">
        <f>S112*12</f>
        <v>48</v>
      </c>
      <c r="V112" s="1">
        <v>38</v>
      </c>
      <c r="W112" s="1">
        <f>12*5</f>
        <v>60</v>
      </c>
      <c r="X112" s="1">
        <f>12*5</f>
        <v>60</v>
      </c>
      <c r="Y112" s="1" t="s">
        <v>134</v>
      </c>
      <c r="Z112" s="1" t="s">
        <v>133</v>
      </c>
      <c r="AA112" s="1" t="s">
        <v>0</v>
      </c>
      <c r="AB112" s="1" t="s">
        <v>148</v>
      </c>
      <c r="AC112" s="1" t="s">
        <v>2</v>
      </c>
      <c r="AD112" s="1" t="s">
        <v>2</v>
      </c>
      <c r="AE112" s="1" t="s">
        <v>2</v>
      </c>
      <c r="AF112" s="1" t="s">
        <v>149</v>
      </c>
      <c r="AG112" s="1" t="s">
        <v>332</v>
      </c>
      <c r="AH112" s="1">
        <v>1.242</v>
      </c>
      <c r="AI112" s="7" t="s">
        <v>2</v>
      </c>
      <c r="AJ112" s="7" t="s">
        <v>2</v>
      </c>
      <c r="AK112" s="1">
        <v>1.3240000000000001</v>
      </c>
      <c r="AL112" s="7" t="s">
        <v>2</v>
      </c>
      <c r="AM112" s="7" t="s">
        <v>2</v>
      </c>
      <c r="AN112" s="12">
        <f>AH112-AK112</f>
        <v>-8.2000000000000073E-2</v>
      </c>
      <c r="AO112" s="1" t="e">
        <f>SQRT((((X112-1)*AI112^2)+((W112-1)*AL112^2))/(X112+W112-2))</f>
        <v>#VALUE!</v>
      </c>
      <c r="AP112" s="1" t="e">
        <f>AN112/AO112</f>
        <v>#VALUE!</v>
      </c>
      <c r="AQ112" s="1" t="e">
        <f>1/X112+1/W112+(AP112^2)/(2*(X112+W112))</f>
        <v>#VALUE!</v>
      </c>
      <c r="AR112" s="1">
        <f>1-(3/(4*(X112+W112-2)-1))</f>
        <v>0.99363057324840764</v>
      </c>
      <c r="AS112" s="1" t="e">
        <f>AP112*AR112</f>
        <v>#VALUE!</v>
      </c>
      <c r="AU112" s="1" t="e">
        <f>SQRT(AQ112*AR112^2)</f>
        <v>#VALUE!</v>
      </c>
      <c r="AY112" s="14"/>
      <c r="AZ112" s="14"/>
      <c r="BA112" s="1" t="s">
        <v>270</v>
      </c>
      <c r="BB112" s="2"/>
    </row>
    <row r="113" spans="1:54" ht="14.25" customHeight="1">
      <c r="A113" s="2">
        <v>21</v>
      </c>
      <c r="B113" s="2" t="s">
        <v>4</v>
      </c>
      <c r="C113" s="1" t="s">
        <v>85</v>
      </c>
      <c r="D113" s="1">
        <v>2005</v>
      </c>
      <c r="E113" s="1" t="s">
        <v>145</v>
      </c>
      <c r="F113" s="1" t="s">
        <v>120</v>
      </c>
      <c r="G113" s="1" t="s">
        <v>161</v>
      </c>
      <c r="H113" s="1">
        <v>42.641388999999997</v>
      </c>
      <c r="I113" s="1">
        <v>-2.2769439999999999</v>
      </c>
      <c r="J113" s="1" t="s">
        <v>135</v>
      </c>
      <c r="K113" s="1" t="s">
        <v>178</v>
      </c>
      <c r="L113" s="1" t="s">
        <v>194</v>
      </c>
      <c r="M113" s="1" t="s">
        <v>236</v>
      </c>
      <c r="N113" s="1" t="s">
        <v>238</v>
      </c>
      <c r="O113" s="1" t="s">
        <v>86</v>
      </c>
      <c r="P113" s="1" t="s">
        <v>146</v>
      </c>
      <c r="Q113" s="1" t="s">
        <v>93</v>
      </c>
      <c r="R113" s="1">
        <v>1994</v>
      </c>
      <c r="S113" s="1">
        <v>4</v>
      </c>
      <c r="T113" s="1">
        <f>S113*12</f>
        <v>48</v>
      </c>
      <c r="V113" s="1">
        <v>38</v>
      </c>
      <c r="W113" s="1">
        <f>12*5</f>
        <v>60</v>
      </c>
      <c r="X113" s="1">
        <f>12*5</f>
        <v>60</v>
      </c>
      <c r="Y113" s="1" t="s">
        <v>134</v>
      </c>
      <c r="Z113" s="1" t="s">
        <v>133</v>
      </c>
      <c r="AA113" s="1" t="s">
        <v>0</v>
      </c>
      <c r="AB113" s="1" t="s">
        <v>148</v>
      </c>
      <c r="AC113" s="1" t="s">
        <v>2</v>
      </c>
      <c r="AD113" s="1" t="s">
        <v>2</v>
      </c>
      <c r="AE113" s="1" t="s">
        <v>2</v>
      </c>
      <c r="AF113" s="1" t="s">
        <v>299</v>
      </c>
      <c r="AG113" s="1" t="s">
        <v>332</v>
      </c>
      <c r="AH113" s="1">
        <f>22.7/100</f>
        <v>0.22699999999999998</v>
      </c>
      <c r="AI113" s="13"/>
      <c r="AJ113" s="13"/>
      <c r="AK113" s="1">
        <f>27.6/100</f>
        <v>0.27600000000000002</v>
      </c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2">
        <f>LOG(AH113/AK113)</f>
        <v>-8.4883224872095056E-2</v>
      </c>
      <c r="AZ113" s="12">
        <f>((1-AH113)/(AH113*X113))+((1-AK113)/(W113*AK113))</f>
        <v>0.10047457915682394</v>
      </c>
      <c r="BA113" s="1" t="s">
        <v>283</v>
      </c>
    </row>
    <row r="114" spans="1:54" ht="14.25" customHeight="1">
      <c r="A114" s="2">
        <v>141</v>
      </c>
      <c r="B114" s="2" t="s">
        <v>21</v>
      </c>
      <c r="C114" s="1" t="s">
        <v>85</v>
      </c>
      <c r="D114" s="1">
        <v>2022</v>
      </c>
      <c r="E114" s="1">
        <v>2015</v>
      </c>
      <c r="F114" s="1" t="s">
        <v>199</v>
      </c>
      <c r="G114" s="1" t="s">
        <v>124</v>
      </c>
      <c r="H114" s="1">
        <v>20.327825000000001</v>
      </c>
      <c r="I114" s="1">
        <v>-74.804070999999993</v>
      </c>
      <c r="J114" s="1" t="s">
        <v>126</v>
      </c>
      <c r="K114" s="1" t="s">
        <v>176</v>
      </c>
      <c r="L114" s="1" t="s">
        <v>200</v>
      </c>
      <c r="M114" s="1" t="s">
        <v>236</v>
      </c>
      <c r="N114" s="1" t="s">
        <v>238</v>
      </c>
      <c r="O114" s="1" t="s">
        <v>121</v>
      </c>
      <c r="Q114" s="1" t="s">
        <v>115</v>
      </c>
      <c r="R114" s="1">
        <v>2015</v>
      </c>
      <c r="S114" s="1" t="s">
        <v>300</v>
      </c>
      <c r="T114" s="23">
        <f>2/4.345</f>
        <v>0.46029919447640971</v>
      </c>
      <c r="W114" s="1">
        <v>3</v>
      </c>
      <c r="X114" s="1">
        <v>3</v>
      </c>
      <c r="Y114" s="1" t="s">
        <v>114</v>
      </c>
      <c r="Z114" s="1" t="s">
        <v>2</v>
      </c>
      <c r="AA114" s="1" t="s">
        <v>1</v>
      </c>
      <c r="AB114" s="1" t="s">
        <v>113</v>
      </c>
      <c r="AC114" s="1" t="s">
        <v>2</v>
      </c>
      <c r="AD114" s="1" t="s">
        <v>2</v>
      </c>
      <c r="AE114" s="1" t="s">
        <v>2</v>
      </c>
      <c r="AF114" s="1" t="s">
        <v>297</v>
      </c>
      <c r="AG114" s="1" t="s">
        <v>319</v>
      </c>
      <c r="AH114" s="1">
        <v>1.76</v>
      </c>
      <c r="AI114" s="12">
        <f>2.93-AH114</f>
        <v>1.1700000000000002</v>
      </c>
      <c r="AJ114" s="12"/>
      <c r="AK114" s="12">
        <v>49.59</v>
      </c>
      <c r="AL114" s="1">
        <f>63.07-AK114</f>
        <v>13.479999999999997</v>
      </c>
      <c r="AM114" s="12"/>
      <c r="AN114" s="12">
        <f>AH114-AK114</f>
        <v>-47.830000000000005</v>
      </c>
      <c r="AO114" s="1">
        <f>SQRT((((X114-1)*AI114^2)+((W114-1)*AL114^2))/(X114+W114-2))</f>
        <v>9.5676355490789859</v>
      </c>
      <c r="AP114" s="1">
        <f>AN114/AO114</f>
        <v>-4.99914526997261</v>
      </c>
      <c r="AQ114" s="1">
        <f>1/X114+1/W114+(AP114^2)/(2*(X114+W114))</f>
        <v>2.7492877858574598</v>
      </c>
      <c r="AR114" s="1">
        <f>1-(3/(4*(X114+W114-2)-1))</f>
        <v>0.8</v>
      </c>
      <c r="AS114" s="21">
        <f>AP114*AR114</f>
        <v>-3.9993162159780882</v>
      </c>
      <c r="AT114" s="21">
        <f>AQ114*(AR114^2)</f>
        <v>1.7595441829487746</v>
      </c>
      <c r="AU114" s="21">
        <f>SQRT(AQ114*AR114^2)</f>
        <v>1.3264781125027185</v>
      </c>
      <c r="AV114" s="20">
        <f>1/AT114</f>
        <v>0.56832900798440078</v>
      </c>
      <c r="AW114" s="20">
        <f>AS114/AT114</f>
        <v>-2.2729274176427543</v>
      </c>
      <c r="AX114" s="20">
        <f>((AS114)^2)/AT114</f>
        <v>9.0901554791198684</v>
      </c>
      <c r="AY114" s="14"/>
      <c r="AZ114" s="14"/>
      <c r="BA114" s="1" t="s">
        <v>270</v>
      </c>
      <c r="BB114" s="2"/>
    </row>
    <row r="115" spans="1:54" ht="14.25" customHeight="1">
      <c r="A115" s="2">
        <v>141</v>
      </c>
      <c r="B115" s="2" t="s">
        <v>21</v>
      </c>
      <c r="C115" s="1" t="s">
        <v>85</v>
      </c>
      <c r="D115" s="1">
        <v>2022</v>
      </c>
      <c r="E115" s="1">
        <v>2015</v>
      </c>
      <c r="F115" s="1" t="s">
        <v>199</v>
      </c>
      <c r="G115" s="1" t="s">
        <v>124</v>
      </c>
      <c r="H115" s="1">
        <v>20.327825000000001</v>
      </c>
      <c r="I115" s="1">
        <v>-74.804070999999993</v>
      </c>
      <c r="J115" s="1" t="s">
        <v>126</v>
      </c>
      <c r="K115" s="1" t="s">
        <v>176</v>
      </c>
      <c r="L115" s="1" t="s">
        <v>200</v>
      </c>
      <c r="M115" s="1" t="s">
        <v>236</v>
      </c>
      <c r="N115" s="1" t="s">
        <v>238</v>
      </c>
      <c r="O115" s="1" t="s">
        <v>121</v>
      </c>
      <c r="Q115" s="1" t="s">
        <v>115</v>
      </c>
      <c r="R115" s="1">
        <v>2015</v>
      </c>
      <c r="S115" s="1" t="s">
        <v>298</v>
      </c>
      <c r="T115" s="1">
        <v>4</v>
      </c>
      <c r="W115" s="1">
        <v>3</v>
      </c>
      <c r="X115" s="1">
        <v>3</v>
      </c>
      <c r="Y115" s="1" t="s">
        <v>114</v>
      </c>
      <c r="Z115" s="1" t="s">
        <v>2</v>
      </c>
      <c r="AA115" s="1" t="s">
        <v>1</v>
      </c>
      <c r="AB115" s="1" t="s">
        <v>113</v>
      </c>
      <c r="AC115" s="1" t="s">
        <v>2</v>
      </c>
      <c r="AD115" s="1" t="s">
        <v>2</v>
      </c>
      <c r="AE115" s="1" t="s">
        <v>2</v>
      </c>
      <c r="AF115" s="1" t="s">
        <v>297</v>
      </c>
      <c r="AG115" s="1" t="s">
        <v>319</v>
      </c>
      <c r="AH115" s="1">
        <v>78.03</v>
      </c>
      <c r="AI115" s="12">
        <f>84.77-AH115</f>
        <v>6.7399999999999949</v>
      </c>
      <c r="AJ115" s="12"/>
      <c r="AK115" s="12">
        <v>49.59</v>
      </c>
      <c r="AL115" s="1">
        <f>63.07-AK115</f>
        <v>13.479999999999997</v>
      </c>
      <c r="AM115" s="12"/>
      <c r="AN115" s="12">
        <f>AH115-AK115</f>
        <v>28.439999999999998</v>
      </c>
      <c r="AO115" s="1">
        <f>SQRT((((X115-1)*AI115^2)+((W115-1)*AL115^2))/(X115+W115-2))</f>
        <v>10.656875714767434</v>
      </c>
      <c r="AP115" s="1">
        <f>AN115/AO115</f>
        <v>2.6686996040115352</v>
      </c>
      <c r="AQ115" s="1">
        <f>1/X115+1/W115+(AP115^2)/(2*(X115+W115))</f>
        <v>1.2601631313709438</v>
      </c>
      <c r="AR115" s="1">
        <f>1-(3/(4*(X115+W115-2)-1))</f>
        <v>0.8</v>
      </c>
      <c r="AS115" s="21">
        <f>AP115*AR115</f>
        <v>2.1349596832092281</v>
      </c>
      <c r="AT115" s="21">
        <f>AQ115*(AR115^2)</f>
        <v>0.8065044040774042</v>
      </c>
      <c r="AU115" s="21">
        <f>SQRT(AQ115*AR115^2)</f>
        <v>0.89805590253469425</v>
      </c>
      <c r="AV115" s="20">
        <f>1/AT115</f>
        <v>1.2399188336038214</v>
      </c>
      <c r="AW115" s="20">
        <f>AS115/AT115</f>
        <v>2.6471767201959699</v>
      </c>
      <c r="AX115" s="20">
        <f>((AS115)^2)/AT115</f>
        <v>5.6516155719484322</v>
      </c>
      <c r="AY115" s="14"/>
      <c r="AZ115" s="14"/>
      <c r="BA115" s="1" t="s">
        <v>270</v>
      </c>
      <c r="BB115" s="2"/>
    </row>
    <row r="116" spans="1:54" ht="14.25" customHeight="1">
      <c r="A116" s="2">
        <v>141</v>
      </c>
      <c r="B116" s="2" t="s">
        <v>21</v>
      </c>
      <c r="C116" s="1" t="s">
        <v>85</v>
      </c>
      <c r="D116" s="1">
        <v>2022</v>
      </c>
      <c r="E116" s="1">
        <v>2015</v>
      </c>
      <c r="F116" s="1" t="s">
        <v>199</v>
      </c>
      <c r="G116" s="1" t="s">
        <v>124</v>
      </c>
      <c r="H116" s="1">
        <v>20.327825000000001</v>
      </c>
      <c r="I116" s="1">
        <v>-74.804070999999993</v>
      </c>
      <c r="J116" s="1" t="s">
        <v>126</v>
      </c>
      <c r="K116" s="1" t="s">
        <v>176</v>
      </c>
      <c r="L116" s="1" t="s">
        <v>200</v>
      </c>
      <c r="M116" s="1" t="s">
        <v>236</v>
      </c>
      <c r="N116" s="1" t="s">
        <v>238</v>
      </c>
      <c r="O116" s="1" t="s">
        <v>121</v>
      </c>
      <c r="Q116" s="1" t="s">
        <v>115</v>
      </c>
      <c r="R116" s="1">
        <v>2015</v>
      </c>
      <c r="S116" s="1" t="s">
        <v>300</v>
      </c>
      <c r="T116" s="23">
        <f>2/4.345</f>
        <v>0.46029919447640971</v>
      </c>
      <c r="W116" s="1">
        <v>3</v>
      </c>
      <c r="X116" s="1">
        <v>3</v>
      </c>
      <c r="Y116" s="1" t="s">
        <v>114</v>
      </c>
      <c r="Z116" s="12" t="s">
        <v>2</v>
      </c>
      <c r="AA116" s="1" t="s">
        <v>1</v>
      </c>
      <c r="AB116" s="1" t="s">
        <v>113</v>
      </c>
      <c r="AC116" s="1" t="s">
        <v>2</v>
      </c>
      <c r="AD116" s="1" t="s">
        <v>2</v>
      </c>
      <c r="AE116" s="1" t="s">
        <v>2</v>
      </c>
      <c r="AF116" s="1" t="s">
        <v>256</v>
      </c>
      <c r="AG116" s="1" t="s">
        <v>315</v>
      </c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2" t="s">
        <v>285</v>
      </c>
    </row>
    <row r="117" spans="1:54" ht="14.25" customHeight="1">
      <c r="A117" s="2">
        <v>141</v>
      </c>
      <c r="B117" s="2" t="s">
        <v>21</v>
      </c>
      <c r="C117" s="1" t="s">
        <v>85</v>
      </c>
      <c r="D117" s="1">
        <v>2022</v>
      </c>
      <c r="E117" s="1">
        <v>2015</v>
      </c>
      <c r="F117" s="1" t="s">
        <v>199</v>
      </c>
      <c r="G117" s="1" t="s">
        <v>124</v>
      </c>
      <c r="H117" s="1">
        <v>20.327825000000001</v>
      </c>
      <c r="I117" s="1">
        <v>-74.804070999999993</v>
      </c>
      <c r="J117" s="1" t="s">
        <v>126</v>
      </c>
      <c r="K117" s="1" t="s">
        <v>176</v>
      </c>
      <c r="L117" s="1" t="s">
        <v>200</v>
      </c>
      <c r="M117" s="1" t="s">
        <v>236</v>
      </c>
      <c r="N117" s="1" t="s">
        <v>238</v>
      </c>
      <c r="O117" s="1" t="s">
        <v>121</v>
      </c>
      <c r="Q117" s="1" t="s">
        <v>115</v>
      </c>
      <c r="R117" s="1">
        <v>2015</v>
      </c>
      <c r="S117" s="1" t="s">
        <v>298</v>
      </c>
      <c r="T117" s="1">
        <v>4</v>
      </c>
      <c r="W117" s="1">
        <v>3</v>
      </c>
      <c r="X117" s="1">
        <v>3</v>
      </c>
      <c r="Y117" s="1" t="s">
        <v>114</v>
      </c>
      <c r="Z117" s="12" t="s">
        <v>2</v>
      </c>
      <c r="AA117" s="1" t="s">
        <v>1</v>
      </c>
      <c r="AB117" s="1" t="s">
        <v>113</v>
      </c>
      <c r="AC117" s="1" t="s">
        <v>2</v>
      </c>
      <c r="AD117" s="1" t="s">
        <v>2</v>
      </c>
      <c r="AE117" s="1" t="s">
        <v>2</v>
      </c>
      <c r="AF117" s="1" t="s">
        <v>256</v>
      </c>
      <c r="AG117" s="1" t="s">
        <v>315</v>
      </c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2" t="s">
        <v>285</v>
      </c>
    </row>
    <row r="118" spans="1:54" s="16" customFormat="1" ht="14.25">
      <c r="A118" s="17">
        <v>320</v>
      </c>
      <c r="B118" s="17" t="s">
        <v>243</v>
      </c>
      <c r="C118" s="12" t="s">
        <v>85</v>
      </c>
      <c r="D118" s="16">
        <v>2024</v>
      </c>
      <c r="E118" s="16">
        <v>2021</v>
      </c>
      <c r="F118" s="16" t="s">
        <v>120</v>
      </c>
      <c r="G118" s="16" t="s">
        <v>109</v>
      </c>
      <c r="H118" s="16">
        <v>42.345813999999997</v>
      </c>
      <c r="I118" s="16">
        <v>-6.3904769999999997</v>
      </c>
      <c r="J118" s="16" t="s">
        <v>126</v>
      </c>
      <c r="K118" s="16" t="s">
        <v>176</v>
      </c>
      <c r="L118" s="16" t="s">
        <v>177</v>
      </c>
      <c r="M118" s="16" t="s">
        <v>236</v>
      </c>
      <c r="N118" s="16" t="s">
        <v>238</v>
      </c>
      <c r="O118" s="16" t="s">
        <v>86</v>
      </c>
      <c r="Q118" s="16" t="s">
        <v>93</v>
      </c>
      <c r="R118" s="16">
        <v>2005</v>
      </c>
      <c r="S118" s="16">
        <v>16</v>
      </c>
      <c r="T118" s="16">
        <f>S118*12</f>
        <v>192</v>
      </c>
      <c r="U118" s="16">
        <v>1172</v>
      </c>
      <c r="W118" s="16">
        <v>9</v>
      </c>
      <c r="X118" s="16">
        <v>9</v>
      </c>
      <c r="Y118" s="16" t="s">
        <v>114</v>
      </c>
      <c r="Z118" s="16" t="s">
        <v>2</v>
      </c>
      <c r="AA118" s="16" t="s">
        <v>1</v>
      </c>
      <c r="AB118" s="16" t="s">
        <v>113</v>
      </c>
      <c r="AC118" s="1" t="s">
        <v>2</v>
      </c>
      <c r="AD118" s="1" t="s">
        <v>2</v>
      </c>
      <c r="AE118" s="1" t="s">
        <v>2</v>
      </c>
      <c r="AF118" s="16" t="s">
        <v>222</v>
      </c>
      <c r="AG118" s="16" t="s">
        <v>315</v>
      </c>
      <c r="AH118" s="16">
        <v>10.89</v>
      </c>
      <c r="AI118" s="16">
        <f>15.74-8.77</f>
        <v>6.9700000000000006</v>
      </c>
      <c r="AK118" s="16">
        <v>26.58</v>
      </c>
      <c r="AL118" s="16">
        <f>30.97-22.71</f>
        <v>8.259999999999998</v>
      </c>
      <c r="AN118" s="12">
        <f>AH118-AK118</f>
        <v>-15.689999999999998</v>
      </c>
      <c r="AO118" s="1">
        <f>SQRT((((X118-1)*AI118^2)+((W118-1)*AL118^2))/(X118+W118-2))</f>
        <v>7.6422673337171343</v>
      </c>
      <c r="AP118" s="1">
        <f>AN118/AO118</f>
        <v>-2.053055633211998</v>
      </c>
      <c r="AQ118" s="1">
        <f>1/X118+1/W118+(AP118^2)/(2*(X118+W118))</f>
        <v>0.3393065953628755</v>
      </c>
      <c r="AR118" s="1">
        <f>1-(3/(4*(X118+W118-2)-1))</f>
        <v>0.95238095238095233</v>
      </c>
      <c r="AS118" s="21">
        <f>AP118*AR118</f>
        <v>-1.9552910792495217</v>
      </c>
      <c r="AT118" s="21">
        <f>AQ118*(AR118^2)</f>
        <v>0.30776108422936549</v>
      </c>
      <c r="AU118" s="21">
        <f>SQRT(AQ118*AR118^2)</f>
        <v>0.55476218709404257</v>
      </c>
      <c r="AV118" s="20">
        <f>1/AT118</f>
        <v>3.2492737101703502</v>
      </c>
      <c r="AW118" s="20">
        <f>AS118/AT118</f>
        <v>-6.3532758995360812</v>
      </c>
      <c r="AX118" s="20">
        <f>((AS118)^2)/AT118</f>
        <v>12.42250369037388</v>
      </c>
      <c r="AY118" s="15"/>
      <c r="AZ118" s="15"/>
      <c r="BA118" s="1" t="s">
        <v>270</v>
      </c>
      <c r="BB118" s="17"/>
    </row>
    <row r="119" spans="1:54" s="16" customFormat="1" ht="14.25">
      <c r="A119" s="17">
        <v>191</v>
      </c>
      <c r="B119" s="17" t="s">
        <v>240</v>
      </c>
      <c r="C119" s="1" t="s">
        <v>85</v>
      </c>
      <c r="D119" s="16">
        <v>2025</v>
      </c>
      <c r="E119" s="16">
        <v>2020</v>
      </c>
      <c r="F119" s="16" t="s">
        <v>120</v>
      </c>
      <c r="G119" s="16" t="s">
        <v>109</v>
      </c>
      <c r="H119" s="16">
        <v>40.551667000000002</v>
      </c>
      <c r="I119" s="16">
        <v>-2.108889</v>
      </c>
      <c r="J119" s="1" t="s">
        <v>128</v>
      </c>
      <c r="K119" s="16" t="s">
        <v>176</v>
      </c>
      <c r="L119" s="16" t="s">
        <v>191</v>
      </c>
      <c r="M119" s="16" t="s">
        <v>236</v>
      </c>
      <c r="N119" s="16" t="s">
        <v>238</v>
      </c>
      <c r="O119" s="16" t="s">
        <v>121</v>
      </c>
      <c r="P119" s="16" t="s">
        <v>146</v>
      </c>
      <c r="Q119" s="16" t="s">
        <v>93</v>
      </c>
      <c r="R119" s="16">
        <v>2019</v>
      </c>
      <c r="S119" s="16">
        <v>1</v>
      </c>
      <c r="T119" s="16">
        <f>S119*12</f>
        <v>12</v>
      </c>
      <c r="W119" s="16">
        <v>9</v>
      </c>
      <c r="X119" s="16">
        <v>9</v>
      </c>
      <c r="Y119" s="16" t="s">
        <v>97</v>
      </c>
      <c r="Z119" s="16" t="s">
        <v>147</v>
      </c>
      <c r="AA119" s="16" t="s">
        <v>1</v>
      </c>
      <c r="AB119" s="16" t="s">
        <v>98</v>
      </c>
      <c r="AC119" s="16" t="s">
        <v>202</v>
      </c>
      <c r="AD119" s="16" t="s">
        <v>99</v>
      </c>
      <c r="AE119" s="16" t="s">
        <v>102</v>
      </c>
      <c r="AF119" s="16" t="s">
        <v>149</v>
      </c>
      <c r="AG119" s="16" t="s">
        <v>335</v>
      </c>
      <c r="AH119" s="16">
        <v>4.99</v>
      </c>
      <c r="AI119" s="12">
        <f>5.04-4.79</f>
        <v>0.25</v>
      </c>
      <c r="AK119" s="16">
        <v>5.1100000000000003</v>
      </c>
      <c r="AL119" s="16">
        <f>5.37-4.9</f>
        <v>0.46999999999999975</v>
      </c>
      <c r="AN119" s="12">
        <f>AH119-AK119</f>
        <v>-0.12000000000000011</v>
      </c>
      <c r="AO119" s="1">
        <f>SQRT((((X119-1)*AI119^2)+((W119-1)*AL119^2))/(X119+W119-2))</f>
        <v>0.3764306044943741</v>
      </c>
      <c r="AP119" s="1">
        <f>AN119/AO119</f>
        <v>-0.31878385701711337</v>
      </c>
      <c r="AQ119" s="1">
        <f>1/X119+1/W119+(AP119^2)/(2*(X119+W119))</f>
        <v>0.22504508743040852</v>
      </c>
      <c r="AR119" s="1">
        <f>1-(3/(4*(X119+W119-2)-1))</f>
        <v>0.95238095238095233</v>
      </c>
      <c r="AS119" s="21">
        <f>AP119*AR119</f>
        <v>-0.30360367334963179</v>
      </c>
      <c r="AT119" s="21">
        <f>AQ119*(AR119^2)</f>
        <v>0.20412252828154967</v>
      </c>
      <c r="AU119" s="21">
        <f>SQRT(AQ119*AR119^2)</f>
        <v>0.45179921235162601</v>
      </c>
      <c r="AV119" s="20">
        <f>1/AT119</f>
        <v>4.8990182926829275</v>
      </c>
      <c r="AW119" s="20">
        <f>AS119/AT119</f>
        <v>-1.4873599494655783</v>
      </c>
      <c r="AX119" s="20">
        <f>((AS119)^2)/AT119</f>
        <v>0.45156794425087227</v>
      </c>
      <c r="AY119" s="14"/>
      <c r="AZ119" s="14"/>
      <c r="BA119" s="1" t="s">
        <v>270</v>
      </c>
      <c r="BB119" s="17"/>
    </row>
    <row r="120" spans="1:54" s="16" customFormat="1" ht="14.25">
      <c r="A120" s="17">
        <v>191</v>
      </c>
      <c r="B120" s="17" t="s">
        <v>240</v>
      </c>
      <c r="C120" s="1" t="s">
        <v>85</v>
      </c>
      <c r="D120" s="16">
        <v>2025</v>
      </c>
      <c r="E120" s="16">
        <v>2020</v>
      </c>
      <c r="F120" s="16" t="s">
        <v>120</v>
      </c>
      <c r="G120" s="16" t="s">
        <v>109</v>
      </c>
      <c r="H120" s="16">
        <v>40.551667000000002</v>
      </c>
      <c r="I120" s="16">
        <v>-2.108889</v>
      </c>
      <c r="J120" s="1" t="s">
        <v>128</v>
      </c>
      <c r="K120" s="16" t="s">
        <v>176</v>
      </c>
      <c r="L120" s="16" t="s">
        <v>191</v>
      </c>
      <c r="M120" s="16" t="s">
        <v>236</v>
      </c>
      <c r="N120" s="16" t="s">
        <v>238</v>
      </c>
      <c r="O120" s="16" t="s">
        <v>121</v>
      </c>
      <c r="P120" s="16" t="s">
        <v>146</v>
      </c>
      <c r="Q120" s="16" t="s">
        <v>93</v>
      </c>
      <c r="R120" s="16">
        <v>2019</v>
      </c>
      <c r="S120" s="16">
        <v>1</v>
      </c>
      <c r="T120" s="16">
        <f>S120*12</f>
        <v>12</v>
      </c>
      <c r="W120" s="16">
        <v>9</v>
      </c>
      <c r="X120" s="16">
        <v>9</v>
      </c>
      <c r="Y120" s="16" t="s">
        <v>97</v>
      </c>
      <c r="Z120" s="16" t="s">
        <v>147</v>
      </c>
      <c r="AA120" s="16" t="s">
        <v>1</v>
      </c>
      <c r="AB120" s="16" t="s">
        <v>98</v>
      </c>
      <c r="AC120" s="16" t="s">
        <v>202</v>
      </c>
      <c r="AD120" s="16" t="s">
        <v>99</v>
      </c>
      <c r="AE120" s="16" t="s">
        <v>102</v>
      </c>
      <c r="AF120" s="16" t="s">
        <v>383</v>
      </c>
      <c r="AG120" s="16" t="s">
        <v>330</v>
      </c>
      <c r="AH120" s="16">
        <v>12261</v>
      </c>
      <c r="AI120" s="12">
        <f>21676-5000</f>
        <v>16676</v>
      </c>
      <c r="AK120" s="16">
        <v>13984</v>
      </c>
      <c r="AL120" s="16">
        <f>16384-4323</f>
        <v>12061</v>
      </c>
      <c r="AN120" s="12">
        <f>AH120-AK120</f>
        <v>-1723</v>
      </c>
      <c r="AO120" s="1">
        <f>SQRT((((X120-1)*AI120^2)+((W120-1)*AL120^2))/(X120+W120-2))</f>
        <v>14552.606244243674</v>
      </c>
      <c r="AP120" s="1">
        <f>AN120/AO120</f>
        <v>-0.11839803613744704</v>
      </c>
      <c r="AQ120" s="1">
        <f>1/X120+1/W120+(AP120^2)/(2*(X120+W120))</f>
        <v>0.22261161374892233</v>
      </c>
      <c r="AR120" s="1">
        <f>1-(3/(4*(X120+W120-2)-1))</f>
        <v>0.95238095238095233</v>
      </c>
      <c r="AS120" s="21">
        <f>AP120*AR120</f>
        <v>-0.11276003441661622</v>
      </c>
      <c r="AT120" s="21">
        <f>AQ120*(AR120^2)</f>
        <v>0.20191529591738985</v>
      </c>
      <c r="AU120" s="21">
        <f>SQRT(AQ120*AR120^2)</f>
        <v>0.44934985914918218</v>
      </c>
      <c r="AV120" s="20">
        <f>1/AT120</f>
        <v>4.9525717972804433</v>
      </c>
      <c r="AW120" s="20">
        <f>AS120/AT120</f>
        <v>-0.55845216631210559</v>
      </c>
      <c r="AX120" s="20">
        <f>((AS120)^2)/AT120</f>
        <v>6.2971085493386925E-2</v>
      </c>
      <c r="AY120" s="14"/>
      <c r="AZ120" s="14"/>
      <c r="BA120" s="1" t="s">
        <v>270</v>
      </c>
      <c r="BB120" s="17"/>
    </row>
    <row r="121" spans="1:54" s="16" customFormat="1" ht="14.25">
      <c r="A121" s="17">
        <v>191</v>
      </c>
      <c r="B121" s="17" t="s">
        <v>240</v>
      </c>
      <c r="C121" s="1" t="s">
        <v>85</v>
      </c>
      <c r="D121" s="16">
        <v>2025</v>
      </c>
      <c r="E121" s="16">
        <v>2020</v>
      </c>
      <c r="F121" s="16" t="s">
        <v>120</v>
      </c>
      <c r="G121" s="16" t="s">
        <v>109</v>
      </c>
      <c r="H121" s="16">
        <v>40.551667000000002</v>
      </c>
      <c r="I121" s="16">
        <v>-2.108889</v>
      </c>
      <c r="J121" s="1" t="s">
        <v>128</v>
      </c>
      <c r="K121" s="16" t="s">
        <v>176</v>
      </c>
      <c r="L121" s="16" t="s">
        <v>191</v>
      </c>
      <c r="M121" s="16" t="s">
        <v>236</v>
      </c>
      <c r="N121" s="16" t="s">
        <v>238</v>
      </c>
      <c r="O121" s="16" t="s">
        <v>121</v>
      </c>
      <c r="P121" s="16" t="s">
        <v>146</v>
      </c>
      <c r="Q121" s="16" t="s">
        <v>93</v>
      </c>
      <c r="R121" s="16">
        <v>2019</v>
      </c>
      <c r="S121" s="16">
        <v>1</v>
      </c>
      <c r="T121" s="16">
        <f>S121*12</f>
        <v>12</v>
      </c>
      <c r="W121" s="16">
        <v>9</v>
      </c>
      <c r="X121" s="16">
        <v>9</v>
      </c>
      <c r="Y121" s="16" t="s">
        <v>97</v>
      </c>
      <c r="Z121" s="16" t="s">
        <v>147</v>
      </c>
      <c r="AA121" s="16" t="s">
        <v>1</v>
      </c>
      <c r="AB121" s="16" t="s">
        <v>98</v>
      </c>
      <c r="AC121" s="16" t="s">
        <v>202</v>
      </c>
      <c r="AD121" s="16" t="s">
        <v>99</v>
      </c>
      <c r="AE121" s="16" t="s">
        <v>102</v>
      </c>
      <c r="AF121" s="16" t="s">
        <v>301</v>
      </c>
      <c r="AG121" s="16" t="s">
        <v>330</v>
      </c>
      <c r="AH121" s="16">
        <v>26142</v>
      </c>
      <c r="AI121" s="12">
        <f>31508-11142</f>
        <v>20366</v>
      </c>
      <c r="AK121" s="16">
        <v>16120</v>
      </c>
      <c r="AL121" s="16">
        <f>17931-12176</f>
        <v>5755</v>
      </c>
      <c r="AN121" s="12">
        <f>AH121-AK121</f>
        <v>10022</v>
      </c>
      <c r="AO121" s="1">
        <f>SQRT((((X121-1)*AI121^2)+((W121-1)*AL121^2))/(X121+W121-2))</f>
        <v>14964.858519210931</v>
      </c>
      <c r="AP121" s="1">
        <f>AN121/AO121</f>
        <v>0.66970228867412251</v>
      </c>
      <c r="AQ121" s="1">
        <f>1/X121+1/W121+(AP121^2)/(2*(X121+W121))</f>
        <v>0.23468058765153771</v>
      </c>
      <c r="AR121" s="1">
        <f>1-(3/(4*(X121+W121-2)-1))</f>
        <v>0.95238095238095233</v>
      </c>
      <c r="AS121" s="21">
        <f>AP121*AR121</f>
        <v>0.63781170349916427</v>
      </c>
      <c r="AT121" s="21">
        <f>AQ121*(AR121^2)</f>
        <v>0.21286221102180289</v>
      </c>
      <c r="AU121" s="21">
        <f>SQRT(AQ121*AR121^2)</f>
        <v>0.46136992860588877</v>
      </c>
      <c r="AV121" s="20">
        <f>1/AT121</f>
        <v>4.6978747199876301</v>
      </c>
      <c r="AW121" s="20">
        <f>AS121/AT121</f>
        <v>2.9963594779809695</v>
      </c>
      <c r="AX121" s="20">
        <f>((AS121)^2)/AT121</f>
        <v>1.9111131429469088</v>
      </c>
      <c r="AY121" s="14"/>
      <c r="AZ121" s="14"/>
      <c r="BA121" s="1" t="s">
        <v>270</v>
      </c>
      <c r="BB121" s="17"/>
    </row>
    <row r="122" spans="1:54" s="16" customFormat="1" ht="14.25">
      <c r="A122" s="17">
        <v>191</v>
      </c>
      <c r="B122" s="17" t="s">
        <v>240</v>
      </c>
      <c r="C122" s="1" t="s">
        <v>85</v>
      </c>
      <c r="D122" s="16">
        <v>2025</v>
      </c>
      <c r="E122" s="16">
        <v>2020</v>
      </c>
      <c r="F122" s="16" t="s">
        <v>120</v>
      </c>
      <c r="G122" s="16" t="s">
        <v>109</v>
      </c>
      <c r="H122" s="16">
        <v>40.551667000000002</v>
      </c>
      <c r="I122" s="16">
        <v>-2.108889</v>
      </c>
      <c r="J122" s="1" t="s">
        <v>128</v>
      </c>
      <c r="K122" s="16" t="s">
        <v>176</v>
      </c>
      <c r="L122" s="16" t="s">
        <v>191</v>
      </c>
      <c r="M122" s="16" t="s">
        <v>236</v>
      </c>
      <c r="N122" s="16" t="s">
        <v>238</v>
      </c>
      <c r="O122" s="16" t="s">
        <v>121</v>
      </c>
      <c r="P122" s="16" t="s">
        <v>146</v>
      </c>
      <c r="Q122" s="16" t="s">
        <v>93</v>
      </c>
      <c r="R122" s="16">
        <v>2019</v>
      </c>
      <c r="S122" s="16">
        <v>1</v>
      </c>
      <c r="T122" s="16">
        <v>12</v>
      </c>
      <c r="W122" s="16">
        <v>9</v>
      </c>
      <c r="X122" s="16">
        <v>9</v>
      </c>
      <c r="Y122" s="16" t="s">
        <v>97</v>
      </c>
      <c r="Z122" s="16" t="s">
        <v>147</v>
      </c>
      <c r="AA122" s="16" t="s">
        <v>1</v>
      </c>
      <c r="AB122" s="16" t="s">
        <v>98</v>
      </c>
      <c r="AC122" s="16" t="s">
        <v>202</v>
      </c>
      <c r="AD122" s="16" t="s">
        <v>99</v>
      </c>
      <c r="AE122" s="16" t="s">
        <v>102</v>
      </c>
      <c r="AF122" s="16" t="s">
        <v>256</v>
      </c>
      <c r="AG122" s="16" t="s">
        <v>316</v>
      </c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4"/>
      <c r="AZ122" s="14"/>
      <c r="BA122" s="16" t="s">
        <v>285</v>
      </c>
    </row>
    <row r="123" spans="1:54" ht="14.25" customHeight="1">
      <c r="A123" s="2">
        <v>294</v>
      </c>
      <c r="B123" s="2" t="s">
        <v>44</v>
      </c>
      <c r="C123" s="1" t="s">
        <v>85</v>
      </c>
      <c r="D123" s="1">
        <v>2016</v>
      </c>
      <c r="E123" s="1">
        <v>2013</v>
      </c>
      <c r="F123" s="1" t="s">
        <v>143</v>
      </c>
      <c r="G123" s="1" t="s">
        <v>159</v>
      </c>
      <c r="H123" s="1">
        <v>43.7</v>
      </c>
      <c r="I123" s="1">
        <v>-121.61666700000001</v>
      </c>
      <c r="J123" s="1" t="s">
        <v>128</v>
      </c>
      <c r="K123" s="1" t="s">
        <v>176</v>
      </c>
      <c r="L123" s="1" t="s">
        <v>192</v>
      </c>
      <c r="M123" s="1" t="s">
        <v>236</v>
      </c>
      <c r="N123" s="1" t="s">
        <v>238</v>
      </c>
      <c r="O123" s="1" t="s">
        <v>121</v>
      </c>
      <c r="P123" s="1" t="s">
        <v>129</v>
      </c>
      <c r="Q123" s="1" t="s">
        <v>115</v>
      </c>
      <c r="R123" s="1">
        <v>2013</v>
      </c>
      <c r="S123" s="1" t="s">
        <v>308</v>
      </c>
      <c r="T123" s="23">
        <f>3/4.345</f>
        <v>0.69044879171461448</v>
      </c>
      <c r="V123" s="1">
        <v>199</v>
      </c>
      <c r="W123" s="1">
        <v>10</v>
      </c>
      <c r="X123" s="1">
        <v>10</v>
      </c>
      <c r="Y123" s="1" t="s">
        <v>97</v>
      </c>
      <c r="Z123" s="1" t="s">
        <v>133</v>
      </c>
      <c r="AA123" s="1" t="s">
        <v>0</v>
      </c>
      <c r="AB123" s="1" t="s">
        <v>98</v>
      </c>
      <c r="AC123" s="1" t="s">
        <v>202</v>
      </c>
      <c r="AD123" s="1" t="s">
        <v>99</v>
      </c>
      <c r="AE123" s="1" t="s">
        <v>111</v>
      </c>
      <c r="AF123" s="1" t="s">
        <v>222</v>
      </c>
      <c r="AG123" s="1" t="s">
        <v>317</v>
      </c>
      <c r="AH123" s="1">
        <v>42.46</v>
      </c>
      <c r="AI123" s="1">
        <v>22.92</v>
      </c>
      <c r="AK123" s="1">
        <v>80.459999999999994</v>
      </c>
      <c r="AL123" s="1">
        <v>16.559999999999999</v>
      </c>
      <c r="AN123" s="12">
        <f>AH123-AK123</f>
        <v>-37.999999999999993</v>
      </c>
      <c r="AO123" s="1">
        <f>SQRT((((X123-1)*AI123^2)+((W123-1)*AL123^2))/(X123+W123-2))</f>
        <v>19.994499243541959</v>
      </c>
      <c r="AP123" s="1">
        <f>AN123/AO123</f>
        <v>-1.9005227156300823</v>
      </c>
      <c r="AQ123" s="1">
        <f>1/X123+1/W123+(AP123^2)/(2*(X123+W123))</f>
        <v>0.29029966481564862</v>
      </c>
      <c r="AR123" s="1">
        <f>1-(3/(4*(X123+W123-2)-1))</f>
        <v>0.95774647887323949</v>
      </c>
      <c r="AS123" s="21">
        <f>AP123*AR123</f>
        <v>-1.8202189389133183</v>
      </c>
      <c r="AT123" s="21">
        <f>AQ123*(AR123^2)</f>
        <v>0.26628558819828591</v>
      </c>
      <c r="AU123" s="21">
        <f>SQRT(AQ123*AR123^2)</f>
        <v>0.5160286699382951</v>
      </c>
      <c r="AV123" s="20">
        <f>1/AT123</f>
        <v>3.7553665850491456</v>
      </c>
      <c r="AW123" s="20">
        <f>AS123/AT123</f>
        <v>-6.8355893806686874</v>
      </c>
      <c r="AX123" s="20">
        <f>((AS123)^2)/AT123</f>
        <v>12.442269249327905</v>
      </c>
      <c r="AY123" s="14"/>
      <c r="AZ123" s="14"/>
      <c r="BA123" s="1" t="s">
        <v>270</v>
      </c>
      <c r="BB123" s="2"/>
    </row>
    <row r="124" spans="1:54" ht="14.25" customHeight="1">
      <c r="A124" s="2">
        <v>474</v>
      </c>
      <c r="B124" s="2" t="s">
        <v>61</v>
      </c>
      <c r="C124" s="1" t="s">
        <v>85</v>
      </c>
      <c r="D124" s="1">
        <v>2023</v>
      </c>
      <c r="E124" s="1">
        <v>2020</v>
      </c>
      <c r="F124" s="1" t="s">
        <v>120</v>
      </c>
      <c r="G124" s="1" t="s">
        <v>109</v>
      </c>
      <c r="H124" s="1">
        <v>37.020277999999998</v>
      </c>
      <c r="I124" s="1">
        <v>-6.48</v>
      </c>
      <c r="J124" s="1" t="s">
        <v>128</v>
      </c>
      <c r="K124" s="1" t="s">
        <v>302</v>
      </c>
      <c r="M124" s="1" t="s">
        <v>237</v>
      </c>
      <c r="N124" s="1" t="s">
        <v>238</v>
      </c>
      <c r="O124" s="1" t="s">
        <v>121</v>
      </c>
      <c r="P124" s="16" t="s">
        <v>146</v>
      </c>
      <c r="Q124" s="1" t="s">
        <v>115</v>
      </c>
      <c r="R124" s="1">
        <v>2020</v>
      </c>
      <c r="S124" s="1" t="s">
        <v>305</v>
      </c>
      <c r="T124" s="23">
        <f>0.2/4.345</f>
        <v>4.6029919447640968E-2</v>
      </c>
      <c r="W124" s="16">
        <v>9</v>
      </c>
      <c r="X124" s="16">
        <v>9</v>
      </c>
      <c r="Y124" s="1" t="s">
        <v>97</v>
      </c>
      <c r="AA124" s="1" t="s">
        <v>1</v>
      </c>
      <c r="AB124" s="1" t="s">
        <v>98</v>
      </c>
      <c r="AC124" s="1" t="s">
        <v>202</v>
      </c>
      <c r="AD124" s="1" t="s">
        <v>99</v>
      </c>
      <c r="AE124" s="1" t="s">
        <v>102</v>
      </c>
      <c r="AF124" s="12" t="s">
        <v>384</v>
      </c>
      <c r="AG124" s="12" t="s">
        <v>334</v>
      </c>
      <c r="AH124" s="16">
        <v>21.76</v>
      </c>
      <c r="AI124" s="12">
        <f>23.04-18.92</f>
        <v>4.1199999999999974</v>
      </c>
      <c r="AJ124" s="16"/>
      <c r="AK124" s="16">
        <v>19.93</v>
      </c>
      <c r="AL124" s="16">
        <f>23.18-17.97</f>
        <v>5.2100000000000009</v>
      </c>
      <c r="AM124" s="16"/>
      <c r="AN124" s="12">
        <f>AH124-AK124</f>
        <v>1.8300000000000018</v>
      </c>
      <c r="AO124" s="1">
        <f>SQRT((((X124-1)*AI124^2)+((W124-1)*AL124^2))/(X124+W124-2))</f>
        <v>4.6967275841802865</v>
      </c>
      <c r="AP124" s="1">
        <f>AN124/AO124</f>
        <v>0.38963298747917252</v>
      </c>
      <c r="AQ124" s="1">
        <f>1/X124+1/W124+(AP124^2)/(2*(X124+W124))</f>
        <v>0.22643927402588734</v>
      </c>
      <c r="AR124" s="1">
        <f>1-(3/(4*(X124+W124-2)-1))</f>
        <v>0.95238095238095233</v>
      </c>
      <c r="AS124" s="21">
        <f>AP124*AR124</f>
        <v>0.37107903569445</v>
      </c>
      <c r="AT124" s="21">
        <f>AQ124*(AR124^2)</f>
        <v>0.20538709662212001</v>
      </c>
      <c r="AU124" s="21">
        <f>SQRT(AQ124*AR124^2)</f>
        <v>0.45319653200583959</v>
      </c>
      <c r="AV124" s="20">
        <f>1/AT124</f>
        <v>4.8688550373728825</v>
      </c>
      <c r="AW124" s="20">
        <f>AS124/AT124</f>
        <v>1.8067300322043947</v>
      </c>
      <c r="AX124" s="20">
        <f>((AS124)^2)/AT124</f>
        <v>0.67043963811060936</v>
      </c>
      <c r="AY124" s="14"/>
      <c r="AZ124" s="14"/>
      <c r="BA124" s="1" t="s">
        <v>270</v>
      </c>
      <c r="BB124" s="2"/>
    </row>
    <row r="125" spans="1:54" ht="14.25" customHeight="1">
      <c r="A125" s="2">
        <v>474</v>
      </c>
      <c r="B125" s="2" t="s">
        <v>61</v>
      </c>
      <c r="C125" s="1" t="s">
        <v>85</v>
      </c>
      <c r="D125" s="1">
        <v>2023</v>
      </c>
      <c r="E125" s="1">
        <v>2020</v>
      </c>
      <c r="F125" s="1" t="s">
        <v>120</v>
      </c>
      <c r="G125" s="1" t="s">
        <v>109</v>
      </c>
      <c r="H125" s="1">
        <v>37.020277999999998</v>
      </c>
      <c r="I125" s="1">
        <v>-6.48</v>
      </c>
      <c r="J125" s="1" t="s">
        <v>128</v>
      </c>
      <c r="K125" s="1" t="s">
        <v>302</v>
      </c>
      <c r="M125" s="1" t="s">
        <v>237</v>
      </c>
      <c r="N125" s="1" t="s">
        <v>238</v>
      </c>
      <c r="O125" s="1" t="s">
        <v>121</v>
      </c>
      <c r="P125" s="16" t="s">
        <v>146</v>
      </c>
      <c r="Q125" s="1" t="s">
        <v>115</v>
      </c>
      <c r="R125" s="1">
        <v>2020</v>
      </c>
      <c r="S125" s="1" t="s">
        <v>305</v>
      </c>
      <c r="T125" s="23">
        <f>0.2/4.345</f>
        <v>4.6029919447640968E-2</v>
      </c>
      <c r="W125" s="16">
        <v>9</v>
      </c>
      <c r="X125" s="16">
        <v>9</v>
      </c>
      <c r="Y125" s="1" t="s">
        <v>97</v>
      </c>
      <c r="AA125" s="1" t="s">
        <v>1</v>
      </c>
      <c r="AB125" s="1" t="s">
        <v>98</v>
      </c>
      <c r="AC125" s="1" t="s">
        <v>202</v>
      </c>
      <c r="AD125" s="1" t="s">
        <v>99</v>
      </c>
      <c r="AE125" s="1" t="s">
        <v>102</v>
      </c>
      <c r="AF125" s="16" t="s">
        <v>303</v>
      </c>
      <c r="AG125" s="12" t="s">
        <v>334</v>
      </c>
      <c r="AH125" s="16">
        <v>14.81</v>
      </c>
      <c r="AI125" s="12">
        <f>16.8-12.95</f>
        <v>3.8500000000000014</v>
      </c>
      <c r="AJ125" s="16"/>
      <c r="AK125" s="16">
        <v>21.77</v>
      </c>
      <c r="AL125" s="16">
        <f>23.88-20.16</f>
        <v>3.7199999999999989</v>
      </c>
      <c r="AM125" s="16"/>
      <c r="AN125" s="12">
        <f>AH125-AK125</f>
        <v>-6.9599999999999991</v>
      </c>
      <c r="AO125" s="1">
        <f>SQRT((((X125-1)*AI125^2)+((W125-1)*AL125^2))/(X125+W125-2))</f>
        <v>3.7855580830308231</v>
      </c>
      <c r="AP125" s="1">
        <f>AN125/AO125</f>
        <v>-1.838566427285572</v>
      </c>
      <c r="AQ125" s="1">
        <f>1/X125+1/W125+(AP125^2)/(2*(X125+W125))</f>
        <v>0.31612018076504533</v>
      </c>
      <c r="AR125" s="1">
        <f>1-(3/(4*(X125+W125-2)-1))</f>
        <v>0.95238095238095233</v>
      </c>
      <c r="AS125" s="21">
        <f>AP125*AR125</f>
        <v>-1.7510156450338779</v>
      </c>
      <c r="AT125" s="21">
        <f>AQ125*(AR125^2)</f>
        <v>0.28673032268938348</v>
      </c>
      <c r="AU125" s="21">
        <f>SQRT(AQ125*AR125^2)</f>
        <v>0.53547205593698677</v>
      </c>
      <c r="AV125" s="20">
        <f>1/AT125</f>
        <v>3.4875976514116558</v>
      </c>
      <c r="AW125" s="20">
        <f>AS125/AT125</f>
        <v>-6.1068380512052176</v>
      </c>
      <c r="AX125" s="20">
        <f>((AS125)^2)/AT125</f>
        <v>10.693168969348534</v>
      </c>
      <c r="AY125" s="14"/>
      <c r="AZ125" s="14"/>
      <c r="BA125" s="1" t="s">
        <v>270</v>
      </c>
      <c r="BB125" s="2"/>
    </row>
    <row r="126" spans="1:54" ht="14.25" customHeight="1">
      <c r="A126" s="2">
        <v>474</v>
      </c>
      <c r="B126" s="2" t="s">
        <v>61</v>
      </c>
      <c r="C126" s="1" t="s">
        <v>85</v>
      </c>
      <c r="D126" s="1">
        <v>2023</v>
      </c>
      <c r="E126" s="1">
        <v>2020</v>
      </c>
      <c r="F126" s="1" t="s">
        <v>120</v>
      </c>
      <c r="G126" s="1" t="s">
        <v>109</v>
      </c>
      <c r="H126" s="1">
        <v>37.020277999999998</v>
      </c>
      <c r="I126" s="1">
        <v>-6.48</v>
      </c>
      <c r="J126" s="1" t="s">
        <v>128</v>
      </c>
      <c r="K126" s="1" t="s">
        <v>302</v>
      </c>
      <c r="M126" s="1" t="s">
        <v>237</v>
      </c>
      <c r="N126" s="1" t="s">
        <v>238</v>
      </c>
      <c r="O126" s="1" t="s">
        <v>121</v>
      </c>
      <c r="P126" s="16" t="s">
        <v>146</v>
      </c>
      <c r="Q126" s="1" t="s">
        <v>115</v>
      </c>
      <c r="R126" s="1">
        <v>2020</v>
      </c>
      <c r="S126" s="1" t="s">
        <v>305</v>
      </c>
      <c r="T126" s="23">
        <f>0.2/4.345</f>
        <v>4.6029919447640968E-2</v>
      </c>
      <c r="W126" s="16">
        <v>9</v>
      </c>
      <c r="X126" s="16">
        <v>9</v>
      </c>
      <c r="Y126" s="1" t="s">
        <v>97</v>
      </c>
      <c r="AA126" s="1" t="s">
        <v>1</v>
      </c>
      <c r="AB126" s="1" t="s">
        <v>98</v>
      </c>
      <c r="AC126" s="1" t="s">
        <v>202</v>
      </c>
      <c r="AD126" s="1" t="s">
        <v>99</v>
      </c>
      <c r="AE126" s="1" t="s">
        <v>102</v>
      </c>
      <c r="AF126" s="16" t="s">
        <v>304</v>
      </c>
      <c r="AG126" s="12" t="s">
        <v>334</v>
      </c>
      <c r="AH126" s="16">
        <v>18.2</v>
      </c>
      <c r="AI126" s="12">
        <f>22.1-12.3</f>
        <v>9.8000000000000007</v>
      </c>
      <c r="AJ126" s="16"/>
      <c r="AK126" s="16">
        <v>23</v>
      </c>
      <c r="AL126" s="16">
        <f>25.4-19.4</f>
        <v>6</v>
      </c>
      <c r="AM126" s="16"/>
      <c r="AN126" s="12">
        <f>AH126-AK126</f>
        <v>-4.8000000000000007</v>
      </c>
      <c r="AO126" s="1">
        <f>SQRT((((X126-1)*AI126^2)+((W126-1)*AL126^2))/(X126+W126-2))</f>
        <v>8.1252692263087507</v>
      </c>
      <c r="AP126" s="1">
        <f>AN126/AO126</f>
        <v>-0.59074965595701312</v>
      </c>
      <c r="AQ126" s="1">
        <f>1/X126+1/W126+(AP126^2)/(2*(X126+W126))</f>
        <v>0.23191625433370358</v>
      </c>
      <c r="AR126" s="1">
        <f>1-(3/(4*(X126+W126-2)-1))</f>
        <v>0.95238095238095233</v>
      </c>
      <c r="AS126" s="21">
        <f>AP126*AR126</f>
        <v>-0.5626187199590601</v>
      </c>
      <c r="AT126" s="21">
        <f>AQ126*(AR126^2)</f>
        <v>0.21035487921424359</v>
      </c>
      <c r="AU126" s="21">
        <f>SQRT(AQ126*AR126^2)</f>
        <v>0.45864461101624598</v>
      </c>
      <c r="AV126" s="20">
        <f>1/AT126</f>
        <v>4.7538711901306252</v>
      </c>
      <c r="AW126" s="20">
        <f>AS126/AT126</f>
        <v>-2.6746169238415458</v>
      </c>
      <c r="AX126" s="20">
        <f>((AS126)^2)/AT126</f>
        <v>1.5047895500725694</v>
      </c>
      <c r="AY126" s="14"/>
      <c r="AZ126" s="14"/>
      <c r="BA126" s="1" t="s">
        <v>270</v>
      </c>
      <c r="BB126" s="2"/>
    </row>
    <row r="127" spans="1:54" ht="14.25" customHeight="1">
      <c r="A127" s="2">
        <v>474</v>
      </c>
      <c r="B127" s="2" t="s">
        <v>61</v>
      </c>
      <c r="C127" s="1" t="s">
        <v>85</v>
      </c>
      <c r="D127" s="1">
        <v>2023</v>
      </c>
      <c r="E127" s="1">
        <v>2020</v>
      </c>
      <c r="F127" s="1" t="s">
        <v>120</v>
      </c>
      <c r="G127" s="1" t="s">
        <v>109</v>
      </c>
      <c r="H127" s="1">
        <v>37.020277999999998</v>
      </c>
      <c r="I127" s="1">
        <v>-6.48</v>
      </c>
      <c r="J127" s="1" t="s">
        <v>128</v>
      </c>
      <c r="K127" s="1" t="s">
        <v>302</v>
      </c>
      <c r="M127" s="1" t="s">
        <v>237</v>
      </c>
      <c r="N127" s="1" t="s">
        <v>238</v>
      </c>
      <c r="O127" s="1" t="s">
        <v>121</v>
      </c>
      <c r="P127" s="16" t="s">
        <v>146</v>
      </c>
      <c r="Q127" s="1" t="s">
        <v>115</v>
      </c>
      <c r="R127" s="1">
        <v>2020</v>
      </c>
      <c r="S127" s="1" t="s">
        <v>305</v>
      </c>
      <c r="T127" s="23">
        <f>0.2/4.345</f>
        <v>4.6029919447640968E-2</v>
      </c>
      <c r="W127" s="16">
        <v>9</v>
      </c>
      <c r="X127" s="16">
        <v>9</v>
      </c>
      <c r="Y127" s="1" t="s">
        <v>97</v>
      </c>
      <c r="AA127" s="1" t="s">
        <v>1</v>
      </c>
      <c r="AB127" s="1" t="s">
        <v>98</v>
      </c>
      <c r="AC127" s="1" t="s">
        <v>202</v>
      </c>
      <c r="AD127" s="1" t="s">
        <v>99</v>
      </c>
      <c r="AE127" s="1" t="s">
        <v>102</v>
      </c>
      <c r="AF127" s="16" t="s">
        <v>256</v>
      </c>
      <c r="AG127" s="16" t="s">
        <v>333</v>
      </c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4"/>
      <c r="AZ127" s="14"/>
      <c r="BA127" s="16" t="s">
        <v>285</v>
      </c>
    </row>
    <row r="128" spans="1:54" ht="14.25" customHeight="1">
      <c r="A128" s="2">
        <v>534</v>
      </c>
      <c r="B128" s="2" t="s">
        <v>68</v>
      </c>
      <c r="C128" s="1" t="s">
        <v>85</v>
      </c>
      <c r="D128" s="1">
        <v>2022</v>
      </c>
      <c r="E128" s="1">
        <v>2018</v>
      </c>
      <c r="F128" s="1" t="s">
        <v>143</v>
      </c>
      <c r="G128" s="1" t="s">
        <v>109</v>
      </c>
      <c r="H128" s="1">
        <v>33.299100000000003</v>
      </c>
      <c r="I128" s="1">
        <v>-116.800786</v>
      </c>
      <c r="J128" s="1" t="s">
        <v>128</v>
      </c>
      <c r="K128" s="1" t="s">
        <v>218</v>
      </c>
      <c r="L128" s="1" t="s">
        <v>219</v>
      </c>
      <c r="M128" s="1" t="s">
        <v>237</v>
      </c>
      <c r="N128" s="1" t="s">
        <v>238</v>
      </c>
      <c r="O128" s="1" t="s">
        <v>86</v>
      </c>
      <c r="P128" s="1" t="s">
        <v>210</v>
      </c>
      <c r="Q128" s="1" t="s">
        <v>93</v>
      </c>
      <c r="R128" s="1">
        <v>2018</v>
      </c>
      <c r="S128" s="1" t="s">
        <v>367</v>
      </c>
      <c r="T128" s="23">
        <f>2/4.345</f>
        <v>0.46029919447640971</v>
      </c>
      <c r="V128" s="1">
        <v>9400</v>
      </c>
      <c r="W128" s="1">
        <v>3</v>
      </c>
      <c r="X128" s="1">
        <v>6</v>
      </c>
      <c r="Y128" s="1" t="s">
        <v>97</v>
      </c>
      <c r="Z128" s="1" t="s">
        <v>133</v>
      </c>
      <c r="AA128" s="1" t="s">
        <v>0</v>
      </c>
      <c r="AB128" s="1" t="s">
        <v>98</v>
      </c>
      <c r="AC128" s="1" t="s">
        <v>202</v>
      </c>
      <c r="AD128" s="1" t="s">
        <v>99</v>
      </c>
      <c r="AE128" s="1" t="s">
        <v>102</v>
      </c>
      <c r="AF128" s="1" t="s">
        <v>222</v>
      </c>
      <c r="AG128" s="1" t="s">
        <v>319</v>
      </c>
      <c r="AH128" s="1">
        <v>161.01</v>
      </c>
      <c r="AI128" s="1">
        <f>AJ128*SQRT(X128)</f>
        <v>70.741263771578161</v>
      </c>
      <c r="AJ128" s="1">
        <f>175.45-146.57</f>
        <v>28.879999999999995</v>
      </c>
      <c r="AK128" s="1">
        <v>292.42</v>
      </c>
      <c r="AL128" s="1">
        <f>AM128*SQRT(W128)</f>
        <v>72.538287820984564</v>
      </c>
      <c r="AM128" s="1">
        <f>313.36-271.48</f>
        <v>41.879999999999995</v>
      </c>
      <c r="AN128" s="12">
        <f>AH128-AK128</f>
        <v>-131.41000000000003</v>
      </c>
      <c r="AO128" s="1">
        <f>SQRT((((X128-1)*AI128^2)+((W128-1)*AL128^2))/(X128+W128-2))</f>
        <v>71.25932360049454</v>
      </c>
      <c r="AP128" s="1">
        <f>AN128/AO128</f>
        <v>-1.8441095615323528</v>
      </c>
      <c r="AQ128" s="1">
        <f>1/X128+1/W128+(AP128^2)/(2*(X128+W128))</f>
        <v>0.68893000416305816</v>
      </c>
      <c r="AR128" s="1">
        <f>1-(3/(4*(X128+W128-2)-1))</f>
        <v>0.88888888888888884</v>
      </c>
      <c r="AS128" s="21">
        <f>AP128*AR128</f>
        <v>-1.639208499139869</v>
      </c>
      <c r="AT128" s="21">
        <f>AQ128*(AR128^2)</f>
        <v>0.54433975637574961</v>
      </c>
      <c r="AU128" s="21">
        <f>SQRT(AQ128*AR128^2)</f>
        <v>0.73779384408908533</v>
      </c>
      <c r="AV128" s="20">
        <f>1/AT128</f>
        <v>1.8370879368761648</v>
      </c>
      <c r="AW128" s="20">
        <f>AS128/AT128</f>
        <v>-3.0113701597947364</v>
      </c>
      <c r="AX128" s="20">
        <f>((AS128)^2)/AT128</f>
        <v>4.9362635599917173</v>
      </c>
      <c r="AY128" s="14"/>
      <c r="AZ128" s="14"/>
      <c r="BA128" s="1" t="s">
        <v>270</v>
      </c>
      <c r="BB128" s="2"/>
    </row>
    <row r="129" spans="1:54" ht="14.25" customHeight="1">
      <c r="A129" s="2">
        <v>474</v>
      </c>
      <c r="B129" s="2" t="s">
        <v>61</v>
      </c>
      <c r="C129" s="1" t="s">
        <v>85</v>
      </c>
      <c r="D129" s="1">
        <v>2023</v>
      </c>
      <c r="E129" s="1">
        <v>2020</v>
      </c>
      <c r="F129" s="1" t="s">
        <v>120</v>
      </c>
      <c r="G129" s="1" t="s">
        <v>109</v>
      </c>
      <c r="H129" s="1">
        <v>37.020277999999998</v>
      </c>
      <c r="I129" s="1">
        <v>-6.48</v>
      </c>
      <c r="J129" s="1" t="s">
        <v>128</v>
      </c>
      <c r="K129" s="1" t="s">
        <v>302</v>
      </c>
      <c r="M129" s="1" t="s">
        <v>237</v>
      </c>
      <c r="N129" s="1" t="s">
        <v>238</v>
      </c>
      <c r="O129" s="1" t="s">
        <v>121</v>
      </c>
      <c r="P129" s="16" t="s">
        <v>146</v>
      </c>
      <c r="Q129" s="1" t="s">
        <v>115</v>
      </c>
      <c r="R129" s="1">
        <v>2020</v>
      </c>
      <c r="S129" s="1">
        <v>1</v>
      </c>
      <c r="T129" s="1">
        <f>S129*12</f>
        <v>12</v>
      </c>
      <c r="W129" s="16">
        <v>9</v>
      </c>
      <c r="X129" s="16">
        <v>9</v>
      </c>
      <c r="Y129" s="1" t="s">
        <v>97</v>
      </c>
      <c r="AA129" s="1" t="s">
        <v>1</v>
      </c>
      <c r="AB129" s="1" t="s">
        <v>98</v>
      </c>
      <c r="AC129" s="1" t="s">
        <v>202</v>
      </c>
      <c r="AD129" s="1" t="s">
        <v>99</v>
      </c>
      <c r="AE129" s="1" t="s">
        <v>102</v>
      </c>
      <c r="AF129" s="12" t="s">
        <v>384</v>
      </c>
      <c r="AG129" s="12" t="s">
        <v>334</v>
      </c>
      <c r="AH129" s="16">
        <v>18.309999999999999</v>
      </c>
      <c r="AI129" s="12">
        <f>19.8-13.92</f>
        <v>5.8800000000000008</v>
      </c>
      <c r="AJ129" s="16"/>
      <c r="AK129" s="16">
        <v>19.93</v>
      </c>
      <c r="AL129" s="16">
        <f>23.18-17.97</f>
        <v>5.2100000000000009</v>
      </c>
      <c r="AM129" s="16"/>
      <c r="AN129" s="12">
        <f>AH129-AK129</f>
        <v>-1.620000000000001</v>
      </c>
      <c r="AO129" s="1">
        <f>SQRT((((X129-1)*AI129^2)+((W129-1)*AL129^2))/(X129+W129-2))</f>
        <v>5.5551102599318414</v>
      </c>
      <c r="AP129" s="1">
        <f>AN129/AO129</f>
        <v>-0.29162337455024295</v>
      </c>
      <c r="AQ129" s="1">
        <f>1/X129+1/W129+(AP129^2)/(2*(X129+W129))</f>
        <v>0.22458456090511308</v>
      </c>
      <c r="AR129" s="1">
        <f>1-(3/(4*(X129+W129-2)-1))</f>
        <v>0.95238095238095233</v>
      </c>
      <c r="AS129" s="21">
        <f>AP129*AR129</f>
        <v>-0.27773654719070756</v>
      </c>
      <c r="AT129" s="21">
        <f>AQ129*(AR129^2)</f>
        <v>0.20370481714749486</v>
      </c>
      <c r="AU129" s="21">
        <f>SQRT(AQ129*AR129^2)</f>
        <v>0.45133670042164181</v>
      </c>
      <c r="AV129" s="20">
        <f>1/AT129</f>
        <v>4.9090640761624122</v>
      </c>
      <c r="AW129" s="20">
        <f>AS129/AT129</f>
        <v>-1.3634265064512892</v>
      </c>
      <c r="AX129" s="20">
        <f>((AS129)^2)/AT129</f>
        <v>0.37867337025007003</v>
      </c>
      <c r="AY129" s="14"/>
      <c r="AZ129" s="14"/>
      <c r="BA129" s="1" t="s">
        <v>270</v>
      </c>
      <c r="BB129" s="2"/>
    </row>
    <row r="130" spans="1:54" ht="14.25" customHeight="1">
      <c r="A130" s="2">
        <v>474</v>
      </c>
      <c r="B130" s="2" t="s">
        <v>61</v>
      </c>
      <c r="C130" s="1" t="s">
        <v>85</v>
      </c>
      <c r="D130" s="1">
        <v>2023</v>
      </c>
      <c r="E130" s="1">
        <v>2020</v>
      </c>
      <c r="F130" s="1" t="s">
        <v>120</v>
      </c>
      <c r="G130" s="1" t="s">
        <v>109</v>
      </c>
      <c r="H130" s="1">
        <v>37.020277999999998</v>
      </c>
      <c r="I130" s="1">
        <v>-6.48</v>
      </c>
      <c r="J130" s="1" t="s">
        <v>128</v>
      </c>
      <c r="K130" s="1" t="s">
        <v>302</v>
      </c>
      <c r="M130" s="1" t="s">
        <v>237</v>
      </c>
      <c r="N130" s="1" t="s">
        <v>238</v>
      </c>
      <c r="O130" s="1" t="s">
        <v>121</v>
      </c>
      <c r="P130" s="16" t="s">
        <v>146</v>
      </c>
      <c r="Q130" s="1" t="s">
        <v>115</v>
      </c>
      <c r="R130" s="1">
        <v>2020</v>
      </c>
      <c r="S130" s="1">
        <v>1</v>
      </c>
      <c r="T130" s="1">
        <f>S130*12</f>
        <v>12</v>
      </c>
      <c r="W130" s="16">
        <v>9</v>
      </c>
      <c r="X130" s="16">
        <v>9</v>
      </c>
      <c r="Y130" s="1" t="s">
        <v>97</v>
      </c>
      <c r="AA130" s="1" t="s">
        <v>1</v>
      </c>
      <c r="AB130" s="1" t="s">
        <v>98</v>
      </c>
      <c r="AC130" s="1" t="s">
        <v>202</v>
      </c>
      <c r="AD130" s="1" t="s">
        <v>99</v>
      </c>
      <c r="AE130" s="1" t="s">
        <v>102</v>
      </c>
      <c r="AF130" s="16" t="s">
        <v>303</v>
      </c>
      <c r="AG130" s="12" t="s">
        <v>334</v>
      </c>
      <c r="AH130" s="1">
        <v>23.88</v>
      </c>
      <c r="AI130" s="12">
        <f>27.11-21.15</f>
        <v>5.9600000000000009</v>
      </c>
      <c r="AJ130" s="16"/>
      <c r="AK130" s="16">
        <v>21.77</v>
      </c>
      <c r="AL130" s="16">
        <f>23.88-20.16</f>
        <v>3.7199999999999989</v>
      </c>
      <c r="AM130" s="16"/>
      <c r="AN130" s="12">
        <f>AH130-AK130</f>
        <v>2.1099999999999994</v>
      </c>
      <c r="AO130" s="1">
        <f>SQRT((((X130-1)*AI130^2)+((W130-1)*AL130^2))/(X130+W130-2))</f>
        <v>4.9678969393496883</v>
      </c>
      <c r="AP130" s="1">
        <f>AN130/AO130</f>
        <v>0.42472700737552022</v>
      </c>
      <c r="AQ130" s="1">
        <f>1/X130+1/W130+(AP130^2)/(2*(X130+W130))</f>
        <v>0.22723313974428236</v>
      </c>
      <c r="AR130" s="1">
        <f>1-(3/(4*(X130+W130-2)-1))</f>
        <v>0.95238095238095233</v>
      </c>
      <c r="AS130" s="21">
        <f>AP130*AR130</f>
        <v>0.4045019117862097</v>
      </c>
      <c r="AT130" s="21">
        <f>AQ130*(AR130^2)</f>
        <v>0.20610715623064157</v>
      </c>
      <c r="AU130" s="21">
        <f>SQRT(AQ130*AR130^2)</f>
        <v>0.4539902600614264</v>
      </c>
      <c r="AV130" s="20">
        <f>1/AT130</f>
        <v>4.8518451192493419</v>
      </c>
      <c r="AW130" s="20">
        <f>AS130/AT130</f>
        <v>1.9625806264269496</v>
      </c>
      <c r="AX130" s="20">
        <f>((AS130)^2)/AT130</f>
        <v>0.79386761542427819</v>
      </c>
      <c r="AY130" s="14"/>
      <c r="AZ130" s="14"/>
      <c r="BA130" s="1" t="s">
        <v>270</v>
      </c>
      <c r="BB130" s="2"/>
    </row>
    <row r="131" spans="1:54" ht="14.25" customHeight="1">
      <c r="A131" s="2">
        <v>474</v>
      </c>
      <c r="B131" s="2" t="s">
        <v>61</v>
      </c>
      <c r="C131" s="1" t="s">
        <v>85</v>
      </c>
      <c r="D131" s="1">
        <v>2023</v>
      </c>
      <c r="E131" s="1">
        <v>2020</v>
      </c>
      <c r="F131" s="1" t="s">
        <v>120</v>
      </c>
      <c r="G131" s="1" t="s">
        <v>109</v>
      </c>
      <c r="H131" s="1">
        <v>37.020277999999998</v>
      </c>
      <c r="I131" s="1">
        <v>-6.48</v>
      </c>
      <c r="J131" s="1" t="s">
        <v>128</v>
      </c>
      <c r="K131" s="1" t="s">
        <v>302</v>
      </c>
      <c r="M131" s="1" t="s">
        <v>237</v>
      </c>
      <c r="N131" s="1" t="s">
        <v>238</v>
      </c>
      <c r="O131" s="1" t="s">
        <v>121</v>
      </c>
      <c r="P131" s="16" t="s">
        <v>146</v>
      </c>
      <c r="Q131" s="1" t="s">
        <v>115</v>
      </c>
      <c r="R131" s="1">
        <v>2020</v>
      </c>
      <c r="S131" s="1">
        <v>1</v>
      </c>
      <c r="T131" s="1">
        <f>S131*12</f>
        <v>12</v>
      </c>
      <c r="W131" s="16">
        <v>9</v>
      </c>
      <c r="X131" s="16">
        <v>9</v>
      </c>
      <c r="Y131" s="1" t="s">
        <v>97</v>
      </c>
      <c r="AA131" s="1" t="s">
        <v>1</v>
      </c>
      <c r="AB131" s="1" t="s">
        <v>98</v>
      </c>
      <c r="AC131" s="1" t="s">
        <v>202</v>
      </c>
      <c r="AD131" s="1" t="s">
        <v>99</v>
      </c>
      <c r="AE131" s="1" t="s">
        <v>102</v>
      </c>
      <c r="AF131" s="16" t="s">
        <v>304</v>
      </c>
      <c r="AG131" s="12" t="s">
        <v>334</v>
      </c>
      <c r="AH131" s="16">
        <v>17.3</v>
      </c>
      <c r="AI131" s="12">
        <f>25.3-13.5</f>
        <v>11.8</v>
      </c>
      <c r="AJ131" s="16"/>
      <c r="AK131" s="16">
        <v>23</v>
      </c>
      <c r="AL131" s="16">
        <f>25.4-19.4</f>
        <v>6</v>
      </c>
      <c r="AM131" s="16"/>
      <c r="AN131" s="12">
        <f>AH131-AK131</f>
        <v>-5.6999999999999993</v>
      </c>
      <c r="AO131" s="1">
        <f>SQRT((((X131-1)*AI131^2)+((W131-1)*AL131^2))/(X131+W131-2))</f>
        <v>9.3605555390692494</v>
      </c>
      <c r="AP131" s="1">
        <f>AN131/AO131</f>
        <v>-0.60893821699035278</v>
      </c>
      <c r="AQ131" s="1">
        <f>1/X131+1/W131+(AP131^2)/(2*(X131+W131))</f>
        <v>0.23252238200309416</v>
      </c>
      <c r="AR131" s="1">
        <f>1-(3/(4*(X131+W131-2)-1))</f>
        <v>0.95238095238095233</v>
      </c>
      <c r="AS131" s="21">
        <f>AP131*AR131</f>
        <v>-0.57994115903843113</v>
      </c>
      <c r="AT131" s="21">
        <f>AQ131*(AR131^2)</f>
        <v>0.21090465487808993</v>
      </c>
      <c r="AU131" s="21">
        <f>SQRT(AQ131*AR131^2)</f>
        <v>0.45924356814014272</v>
      </c>
      <c r="AV131" s="20">
        <f>1/AT131</f>
        <v>4.7414790374258642</v>
      </c>
      <c r="AW131" s="20">
        <f>AS131/AT131</f>
        <v>-2.7497788485211805</v>
      </c>
      <c r="AX131" s="20">
        <f>((AS131)^2)/AT131</f>
        <v>1.5947099325107359</v>
      </c>
      <c r="AY131" s="14"/>
      <c r="AZ131" s="14"/>
      <c r="BA131" s="1" t="s">
        <v>270</v>
      </c>
      <c r="BB131" s="2"/>
    </row>
    <row r="132" spans="1:54" ht="15" customHeight="1">
      <c r="A132" s="2">
        <v>474</v>
      </c>
      <c r="B132" s="2" t="s">
        <v>61</v>
      </c>
      <c r="C132" s="1" t="s">
        <v>85</v>
      </c>
      <c r="D132" s="1">
        <v>2023</v>
      </c>
      <c r="E132" s="1">
        <v>2020</v>
      </c>
      <c r="F132" s="1" t="s">
        <v>120</v>
      </c>
      <c r="G132" s="1" t="s">
        <v>109</v>
      </c>
      <c r="H132" s="1">
        <v>37.020277999999998</v>
      </c>
      <c r="I132" s="1">
        <v>-6.48</v>
      </c>
      <c r="J132" s="1" t="s">
        <v>128</v>
      </c>
      <c r="K132" s="1" t="s">
        <v>302</v>
      </c>
      <c r="M132" s="1" t="s">
        <v>237</v>
      </c>
      <c r="N132" s="1" t="s">
        <v>238</v>
      </c>
      <c r="O132" s="1" t="s">
        <v>121</v>
      </c>
      <c r="P132" s="16" t="s">
        <v>146</v>
      </c>
      <c r="Q132" s="1" t="s">
        <v>115</v>
      </c>
      <c r="R132" s="1">
        <v>2020</v>
      </c>
      <c r="S132" s="1">
        <v>1</v>
      </c>
      <c r="T132" s="1">
        <v>12</v>
      </c>
      <c r="W132" s="16">
        <v>9</v>
      </c>
      <c r="X132" s="16">
        <v>9</v>
      </c>
      <c r="Y132" s="1" t="s">
        <v>97</v>
      </c>
      <c r="AA132" s="1" t="s">
        <v>1</v>
      </c>
      <c r="AB132" s="1" t="s">
        <v>98</v>
      </c>
      <c r="AC132" s="1" t="s">
        <v>202</v>
      </c>
      <c r="AD132" s="1" t="s">
        <v>99</v>
      </c>
      <c r="AE132" s="1" t="s">
        <v>102</v>
      </c>
      <c r="AF132" s="16" t="s">
        <v>256</v>
      </c>
      <c r="AG132" s="16" t="s">
        <v>333</v>
      </c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4"/>
      <c r="AZ132" s="14"/>
      <c r="BA132" s="16" t="s">
        <v>285</v>
      </c>
    </row>
    <row r="133" spans="1:54" ht="14.25" customHeight="1">
      <c r="A133" s="2">
        <v>133</v>
      </c>
      <c r="B133" s="2" t="s">
        <v>18</v>
      </c>
      <c r="C133" s="1" t="s">
        <v>85</v>
      </c>
      <c r="D133" s="1">
        <v>2004</v>
      </c>
      <c r="E133" s="1">
        <v>1996</v>
      </c>
      <c r="F133" s="1" t="s">
        <v>143</v>
      </c>
      <c r="G133" s="1" t="s">
        <v>142</v>
      </c>
      <c r="H133" s="1">
        <v>39.833232000000002</v>
      </c>
      <c r="I133" s="1">
        <v>-74.387434999999996</v>
      </c>
      <c r="J133" s="1" t="s">
        <v>135</v>
      </c>
      <c r="K133" s="1" t="s">
        <v>176</v>
      </c>
      <c r="L133" s="1" t="s">
        <v>198</v>
      </c>
      <c r="M133" s="1" t="s">
        <v>236</v>
      </c>
      <c r="N133" s="1" t="s">
        <v>238</v>
      </c>
      <c r="O133" s="1" t="s">
        <v>121</v>
      </c>
      <c r="P133" s="1" t="s">
        <v>146</v>
      </c>
      <c r="Q133" s="1" t="s">
        <v>93</v>
      </c>
      <c r="R133" s="1">
        <v>1996</v>
      </c>
      <c r="S133" s="1" t="s">
        <v>156</v>
      </c>
      <c r="T133" s="1">
        <v>11</v>
      </c>
      <c r="V133" s="1" t="s">
        <v>2</v>
      </c>
      <c r="W133" s="1">
        <v>3</v>
      </c>
      <c r="X133" s="1">
        <v>3</v>
      </c>
      <c r="Y133" s="1" t="s">
        <v>134</v>
      </c>
      <c r="Z133" s="1" t="s">
        <v>220</v>
      </c>
      <c r="AA133" s="1" t="s">
        <v>0</v>
      </c>
      <c r="AB133" s="1" t="s">
        <v>148</v>
      </c>
      <c r="AC133" s="1" t="s">
        <v>2</v>
      </c>
      <c r="AD133" s="1" t="s">
        <v>2</v>
      </c>
      <c r="AE133" s="1" t="s">
        <v>2</v>
      </c>
      <c r="AF133" s="1" t="s">
        <v>222</v>
      </c>
      <c r="AG133" s="1" t="s">
        <v>318</v>
      </c>
      <c r="AH133" s="1">
        <v>2.66</v>
      </c>
      <c r="AI133" s="1">
        <f>AJ133*(SQRT(X133))</f>
        <v>0.71014083110323911</v>
      </c>
      <c r="AJ133" s="1">
        <f>3.07-AH133</f>
        <v>0.4099999999999997</v>
      </c>
      <c r="AK133" s="1">
        <v>3.99</v>
      </c>
      <c r="AL133" s="1">
        <f>AM133*(SQRT(W133))</f>
        <v>0.9353074360871938</v>
      </c>
      <c r="AM133" s="1">
        <f>4.53-AK133</f>
        <v>0.54</v>
      </c>
      <c r="AN133" s="12">
        <f>AH133-AK133</f>
        <v>-1.33</v>
      </c>
      <c r="AO133" s="1">
        <f>SQRT((((X133-1)*AI133^2)+((W133-1)*AL133^2))/(X133+W133-2))</f>
        <v>0.83039147394466883</v>
      </c>
      <c r="AP133" s="1">
        <f>AN133/AO133</f>
        <v>-1.6016542097692847</v>
      </c>
      <c r="AQ133" s="1">
        <f>1/X133+1/W133+(AP133^2)/(2*(X133+W133))</f>
        <v>0.88044135063930595</v>
      </c>
      <c r="AR133" s="1">
        <f>1-(3/(4*(X133+W133-2)-1))</f>
        <v>0.8</v>
      </c>
      <c r="AS133" s="21">
        <f>AP133*AR133</f>
        <v>-1.2813233678154279</v>
      </c>
      <c r="AT133" s="21">
        <f>AQ133*(AR133^2)</f>
        <v>0.56348246440915595</v>
      </c>
      <c r="AU133" s="21">
        <f>SQRT(AQ133*AR133^2)</f>
        <v>0.75065469052631384</v>
      </c>
      <c r="AV133" s="20">
        <f>1/AT133</f>
        <v>1.7746781189518612</v>
      </c>
      <c r="AW133" s="20">
        <f>AS133/AT133</f>
        <v>-2.2739365441637474</v>
      </c>
      <c r="AX133" s="20">
        <f>((AS133)^2)/AT133</f>
        <v>2.9136480309664683</v>
      </c>
      <c r="AY133" s="14"/>
      <c r="AZ133" s="14"/>
      <c r="BA133" s="1" t="s">
        <v>270</v>
      </c>
      <c r="BB133" s="2"/>
    </row>
    <row r="134" spans="1:54" ht="14.25" customHeight="1">
      <c r="A134" s="2">
        <v>102</v>
      </c>
      <c r="B134" s="2" t="s">
        <v>14</v>
      </c>
      <c r="C134" s="1" t="s">
        <v>85</v>
      </c>
      <c r="D134" s="1">
        <v>2024</v>
      </c>
      <c r="E134" s="1">
        <v>2020</v>
      </c>
      <c r="F134" s="1" t="s">
        <v>143</v>
      </c>
      <c r="G134" s="1" t="s">
        <v>166</v>
      </c>
      <c r="H134" s="1">
        <v>44.798842</v>
      </c>
      <c r="I134" s="1">
        <v>-111.290696</v>
      </c>
      <c r="J134" s="1" t="s">
        <v>128</v>
      </c>
      <c r="K134" s="1" t="s">
        <v>176</v>
      </c>
      <c r="L134" s="1" t="s">
        <v>186</v>
      </c>
      <c r="M134" s="16" t="s">
        <v>236</v>
      </c>
      <c r="N134" s="16" t="s">
        <v>238</v>
      </c>
      <c r="O134" s="1" t="s">
        <v>121</v>
      </c>
      <c r="Q134" s="1" t="s">
        <v>93</v>
      </c>
      <c r="R134" s="1">
        <v>2019</v>
      </c>
      <c r="S134" s="1" t="s">
        <v>165</v>
      </c>
      <c r="T134" s="1">
        <v>8</v>
      </c>
      <c r="W134" s="1">
        <v>7</v>
      </c>
      <c r="X134" s="1">
        <v>15</v>
      </c>
      <c r="Y134" s="1" t="s">
        <v>97</v>
      </c>
      <c r="Z134" s="1" t="s">
        <v>130</v>
      </c>
      <c r="AA134" s="1" t="s">
        <v>1</v>
      </c>
      <c r="AB134" s="1" t="s">
        <v>98</v>
      </c>
      <c r="AC134" s="1" t="s">
        <v>202</v>
      </c>
      <c r="AD134" s="1" t="s">
        <v>99</v>
      </c>
      <c r="AE134" s="1" t="s">
        <v>111</v>
      </c>
      <c r="AF134" s="16" t="s">
        <v>149</v>
      </c>
      <c r="AG134" s="16" t="s">
        <v>336</v>
      </c>
      <c r="AH134" s="16">
        <v>2.1</v>
      </c>
      <c r="AI134" s="12">
        <f>2.68-1.9</f>
        <v>0.78000000000000025</v>
      </c>
      <c r="AJ134" s="16"/>
      <c r="AK134" s="16">
        <v>4.07</v>
      </c>
      <c r="AL134" s="16">
        <f>4.41-3.54</f>
        <v>0.87000000000000011</v>
      </c>
      <c r="AM134" s="16"/>
      <c r="AN134" s="12">
        <f>AH134-AK134</f>
        <v>-1.9700000000000002</v>
      </c>
      <c r="AO134" s="1">
        <f>SQRT((((X134-1)*AI134^2)+((W134-1)*AL134^2))/(X134+W134-2))</f>
        <v>0.80805321606933811</v>
      </c>
      <c r="AP134" s="1">
        <f>AN134/AO134</f>
        <v>-2.4379582443626546</v>
      </c>
      <c r="AQ134" s="1">
        <f>1/X134+1/W134+(AP134^2)/(2*(X134+W134))</f>
        <v>0.34460654591598761</v>
      </c>
      <c r="AR134" s="1">
        <f>1-(3/(4*(X134+W134-2)-1))</f>
        <v>0.96202531645569622</v>
      </c>
      <c r="AS134" s="21">
        <f>AP134*AR134</f>
        <v>-2.3453775515387565</v>
      </c>
      <c r="AT134" s="21">
        <f>AQ134*(AR134^2)</f>
        <v>0.31893084589180332</v>
      </c>
      <c r="AU134" s="21">
        <f>SQRT(AQ134*AR134^2)</f>
        <v>0.56473962663496824</v>
      </c>
      <c r="AV134" s="20">
        <f>1/AT134</f>
        <v>3.1354759593847756</v>
      </c>
      <c r="AW134" s="20">
        <f>AS134/AT134</f>
        <v>-7.3538749285304981</v>
      </c>
      <c r="AX134" s="20">
        <f>((AS134)^2)/AT134</f>
        <v>17.247613174199106</v>
      </c>
      <c r="AY134" s="14"/>
      <c r="AZ134" s="14"/>
      <c r="BA134" s="1" t="s">
        <v>270</v>
      </c>
      <c r="BB134" s="2"/>
    </row>
    <row r="135" spans="1:54" ht="14.25" customHeight="1">
      <c r="A135" s="2">
        <v>102</v>
      </c>
      <c r="B135" s="2" t="s">
        <v>14</v>
      </c>
      <c r="C135" s="1" t="s">
        <v>85</v>
      </c>
      <c r="D135" s="1">
        <v>2024</v>
      </c>
      <c r="E135" s="1">
        <v>2020</v>
      </c>
      <c r="F135" s="1" t="s">
        <v>143</v>
      </c>
      <c r="G135" s="1" t="s">
        <v>166</v>
      </c>
      <c r="H135" s="1">
        <v>44.798842</v>
      </c>
      <c r="I135" s="1">
        <v>-111.290696</v>
      </c>
      <c r="J135" s="1" t="s">
        <v>128</v>
      </c>
      <c r="K135" s="1" t="s">
        <v>176</v>
      </c>
      <c r="L135" s="1" t="s">
        <v>186</v>
      </c>
      <c r="M135" s="16" t="s">
        <v>236</v>
      </c>
      <c r="N135" s="16" t="s">
        <v>238</v>
      </c>
      <c r="O135" s="1" t="s">
        <v>121</v>
      </c>
      <c r="Q135" s="1" t="s">
        <v>93</v>
      </c>
      <c r="R135" s="1">
        <v>2019</v>
      </c>
      <c r="S135" s="1" t="s">
        <v>165</v>
      </c>
      <c r="T135" s="1">
        <v>8</v>
      </c>
      <c r="W135" s="1">
        <v>7</v>
      </c>
      <c r="X135" s="1">
        <v>15</v>
      </c>
      <c r="Y135" s="1" t="s">
        <v>97</v>
      </c>
      <c r="Z135" s="1" t="s">
        <v>130</v>
      </c>
      <c r="AA135" s="1" t="s">
        <v>1</v>
      </c>
      <c r="AB135" s="1" t="s">
        <v>98</v>
      </c>
      <c r="AC135" s="1" t="s">
        <v>202</v>
      </c>
      <c r="AD135" s="1" t="s">
        <v>99</v>
      </c>
      <c r="AE135" s="1" t="s">
        <v>111</v>
      </c>
      <c r="AF135" s="16" t="s">
        <v>256</v>
      </c>
      <c r="AG135" s="16" t="s">
        <v>321</v>
      </c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4"/>
      <c r="AZ135" s="14"/>
      <c r="BA135" s="16" t="s">
        <v>285</v>
      </c>
    </row>
    <row r="136" spans="1:54" ht="14.25" customHeight="1">
      <c r="A136" s="2">
        <v>497</v>
      </c>
      <c r="B136" s="2" t="s">
        <v>66</v>
      </c>
      <c r="C136" s="1" t="s">
        <v>85</v>
      </c>
      <c r="D136" s="1">
        <v>2023</v>
      </c>
      <c r="E136" s="1">
        <v>2020</v>
      </c>
      <c r="F136" s="1" t="s">
        <v>96</v>
      </c>
      <c r="G136" s="1" t="s">
        <v>109</v>
      </c>
      <c r="H136" s="1">
        <v>-35.136108</v>
      </c>
      <c r="I136" s="1">
        <v>150.68715700000001</v>
      </c>
      <c r="J136" s="1" t="s">
        <v>128</v>
      </c>
      <c r="K136" s="1" t="s">
        <v>112</v>
      </c>
      <c r="L136" s="1" t="s">
        <v>257</v>
      </c>
      <c r="M136" s="1" t="s">
        <v>237</v>
      </c>
      <c r="N136" s="1" t="s">
        <v>238</v>
      </c>
      <c r="O136" s="1" t="s">
        <v>86</v>
      </c>
      <c r="P136" s="1" t="s">
        <v>2</v>
      </c>
      <c r="Q136" s="1" t="s">
        <v>255</v>
      </c>
      <c r="R136" s="1">
        <v>2017</v>
      </c>
      <c r="S136" s="1">
        <v>3</v>
      </c>
      <c r="T136" s="12">
        <f>S136*12</f>
        <v>36</v>
      </c>
      <c r="V136" s="1" t="s">
        <v>2</v>
      </c>
      <c r="W136" s="1">
        <v>6</v>
      </c>
      <c r="X136" s="1">
        <v>18</v>
      </c>
      <c r="Y136" s="1" t="s">
        <v>97</v>
      </c>
      <c r="Z136" s="1" t="s">
        <v>133</v>
      </c>
      <c r="AA136" s="1" t="s">
        <v>1</v>
      </c>
      <c r="AB136" s="1" t="s">
        <v>98</v>
      </c>
      <c r="AC136" s="1" t="s">
        <v>202</v>
      </c>
      <c r="AD136" s="1" t="s">
        <v>99</v>
      </c>
      <c r="AE136" s="1" t="s">
        <v>102</v>
      </c>
      <c r="AF136" s="1" t="s">
        <v>222</v>
      </c>
      <c r="AG136" s="1" t="s">
        <v>326</v>
      </c>
      <c r="AH136" s="12">
        <v>261.49</v>
      </c>
      <c r="AI136" s="12">
        <v>92.17</v>
      </c>
      <c r="AJ136" s="12"/>
      <c r="AK136" s="12">
        <v>392.83</v>
      </c>
      <c r="AL136" s="12">
        <v>131.32</v>
      </c>
      <c r="AM136" s="12"/>
      <c r="AN136" s="12">
        <f>AH136-AK136</f>
        <v>-131.33999999999997</v>
      </c>
      <c r="AO136" s="1">
        <f>SQRT((((X136-1)*AI136^2)+((W136-1)*AL136^2))/(X136+W136-2))</f>
        <v>102.39073184708575</v>
      </c>
      <c r="AP136" s="1">
        <f>AN136/AO136</f>
        <v>-1.2827332867993186</v>
      </c>
      <c r="AQ136" s="1">
        <f>1/X136+1/W136+(AP136^2)/(2*(X136+W136))</f>
        <v>0.25650148649436771</v>
      </c>
      <c r="AR136" s="1">
        <f>1-(3/(4*(X136+W136-2)-1))</f>
        <v>0.96551724137931039</v>
      </c>
      <c r="AS136" s="21">
        <f>AP136*AR136</f>
        <v>-1.238501104495894</v>
      </c>
      <c r="AT136" s="21">
        <f>AQ136*(AR136^2)</f>
        <v>0.23911672462732975</v>
      </c>
      <c r="AU136" s="21">
        <f>SQRT(AQ136*AR136^2)</f>
        <v>0.48899562843376193</v>
      </c>
      <c r="AV136" s="20">
        <f>1/AT136</f>
        <v>4.1820579533218707</v>
      </c>
      <c r="AW136" s="20">
        <f>AS136/AT136</f>
        <v>-5.1794833942549747</v>
      </c>
      <c r="AX136" s="20">
        <f>((AS136)^2)/AT136</f>
        <v>6.4147959045029284</v>
      </c>
      <c r="AY136" s="14"/>
      <c r="AZ136" s="14"/>
      <c r="BA136" s="1" t="s">
        <v>270</v>
      </c>
      <c r="BB136" s="2"/>
    </row>
    <row r="137" spans="1:54" ht="14.25" customHeight="1">
      <c r="A137" s="2">
        <v>297</v>
      </c>
      <c r="B137" s="2" t="s">
        <v>45</v>
      </c>
      <c r="C137" s="1" t="s">
        <v>85</v>
      </c>
      <c r="D137" s="1">
        <v>2024</v>
      </c>
      <c r="E137" s="1">
        <v>2018</v>
      </c>
      <c r="F137" s="1" t="s">
        <v>143</v>
      </c>
      <c r="G137" s="1" t="s">
        <v>142</v>
      </c>
      <c r="H137" s="1">
        <v>30.238056</v>
      </c>
      <c r="I137" s="1">
        <v>-82.411389</v>
      </c>
      <c r="J137" s="1" t="s">
        <v>128</v>
      </c>
      <c r="K137" s="1" t="s">
        <v>176</v>
      </c>
      <c r="L137" s="1" t="s">
        <v>189</v>
      </c>
      <c r="M137" s="16" t="s">
        <v>236</v>
      </c>
      <c r="N137" s="16" t="s">
        <v>238</v>
      </c>
      <c r="O137" s="1" t="s">
        <v>121</v>
      </c>
      <c r="Q137" s="1" t="s">
        <v>93</v>
      </c>
      <c r="R137" s="1">
        <v>2018</v>
      </c>
      <c r="S137" s="1">
        <v>1</v>
      </c>
      <c r="T137" s="1">
        <f>S137*12</f>
        <v>12</v>
      </c>
      <c r="U137" s="1" t="s">
        <v>341</v>
      </c>
      <c r="W137" s="1">
        <v>6</v>
      </c>
      <c r="X137" s="1">
        <v>6</v>
      </c>
      <c r="Y137" s="1" t="s">
        <v>97</v>
      </c>
      <c r="Z137" s="1" t="s">
        <v>133</v>
      </c>
      <c r="AA137" s="1" t="s">
        <v>1</v>
      </c>
      <c r="AB137" s="1" t="s">
        <v>98</v>
      </c>
      <c r="AC137" s="1" t="s">
        <v>202</v>
      </c>
      <c r="AD137" s="1" t="s">
        <v>99</v>
      </c>
      <c r="AE137" s="1" t="s">
        <v>102</v>
      </c>
      <c r="AF137" s="16" t="s">
        <v>261</v>
      </c>
      <c r="AG137" s="16" t="s">
        <v>338</v>
      </c>
      <c r="AH137" s="16">
        <v>604.69000000000005</v>
      </c>
      <c r="AI137" s="12">
        <f>679.69-584</f>
        <v>95.690000000000055</v>
      </c>
      <c r="AJ137" s="16"/>
      <c r="AK137" s="16">
        <v>445.31</v>
      </c>
      <c r="AL137" s="16">
        <f>464.06-367.19</f>
        <v>96.87</v>
      </c>
      <c r="AM137" s="16"/>
      <c r="AN137" s="12">
        <f>AH137-AK137</f>
        <v>159.38000000000005</v>
      </c>
      <c r="AO137" s="1">
        <f>SQRT((((X137-1)*AI137^2)+((W137-1)*AL137^2))/(X137+W137-2))</f>
        <v>96.281807731263584</v>
      </c>
      <c r="AP137" s="1">
        <f>AN137/AO137</f>
        <v>1.6553490607992387</v>
      </c>
      <c r="AQ137" s="1">
        <f>1/X137+1/W137+(AP137^2)/(2*(X137+W137))</f>
        <v>0.44750752137870503</v>
      </c>
      <c r="AR137" s="1">
        <f>1-(3/(4*(X137+W137-2)-1))</f>
        <v>0.92307692307692313</v>
      </c>
      <c r="AS137" s="21">
        <f>AP137*AR137</f>
        <v>1.5280145176608357</v>
      </c>
      <c r="AT137" s="21">
        <f>AQ137*(AR137^2)</f>
        <v>0.38130818389664811</v>
      </c>
      <c r="AU137" s="21">
        <f>SQRT(AQ137*AR137^2)</f>
        <v>0.61750156590623162</v>
      </c>
      <c r="AV137" s="20">
        <f>1/AT137</f>
        <v>2.6225505830502853</v>
      </c>
      <c r="AW137" s="20">
        <f>AS137/AT137</f>
        <v>4.0072953642007256</v>
      </c>
      <c r="AX137" s="20">
        <f>((AS137)^2)/AT137</f>
        <v>6.1232054930536748</v>
      </c>
      <c r="AY137" s="14"/>
      <c r="AZ137" s="14"/>
      <c r="BA137" s="1" t="s">
        <v>270</v>
      </c>
      <c r="BB137" s="2"/>
    </row>
    <row r="138" spans="1:54" ht="14.25" customHeight="1">
      <c r="A138" s="2">
        <v>297</v>
      </c>
      <c r="B138" s="2" t="s">
        <v>45</v>
      </c>
      <c r="C138" s="1" t="s">
        <v>85</v>
      </c>
      <c r="D138" s="1">
        <v>2024</v>
      </c>
      <c r="E138" s="1">
        <v>2018</v>
      </c>
      <c r="F138" s="1" t="s">
        <v>143</v>
      </c>
      <c r="G138" s="1" t="s">
        <v>142</v>
      </c>
      <c r="H138" s="1">
        <v>30.238056</v>
      </c>
      <c r="I138" s="1">
        <v>-82.411389</v>
      </c>
      <c r="J138" s="1" t="s">
        <v>128</v>
      </c>
      <c r="K138" s="1" t="s">
        <v>176</v>
      </c>
      <c r="L138" s="1" t="s">
        <v>189</v>
      </c>
      <c r="M138" s="16" t="s">
        <v>236</v>
      </c>
      <c r="N138" s="16" t="s">
        <v>238</v>
      </c>
      <c r="O138" s="1" t="s">
        <v>121</v>
      </c>
      <c r="Q138" s="1" t="s">
        <v>93</v>
      </c>
      <c r="R138" s="1">
        <v>2018</v>
      </c>
      <c r="S138" s="1">
        <v>1</v>
      </c>
      <c r="T138" s="1">
        <f>S138*12</f>
        <v>12</v>
      </c>
      <c r="U138" s="1" t="s">
        <v>341</v>
      </c>
      <c r="W138" s="1">
        <v>6</v>
      </c>
      <c r="X138" s="1">
        <v>6</v>
      </c>
      <c r="Y138" s="1" t="s">
        <v>97</v>
      </c>
      <c r="Z138" s="1" t="s">
        <v>133</v>
      </c>
      <c r="AA138" s="1" t="s">
        <v>1</v>
      </c>
      <c r="AB138" s="1" t="s">
        <v>98</v>
      </c>
      <c r="AC138" s="1" t="s">
        <v>202</v>
      </c>
      <c r="AD138" s="1" t="s">
        <v>99</v>
      </c>
      <c r="AE138" s="1" t="s">
        <v>102</v>
      </c>
      <c r="AF138" s="16" t="s">
        <v>149</v>
      </c>
      <c r="AG138" s="12" t="s">
        <v>339</v>
      </c>
      <c r="AH138" s="12">
        <v>3.36</v>
      </c>
      <c r="AI138" s="12">
        <f>3.6-3.02</f>
        <v>0.58000000000000007</v>
      </c>
      <c r="AJ138" s="12"/>
      <c r="AK138" s="12">
        <v>3.04</v>
      </c>
      <c r="AL138" s="12">
        <f>3.36-2.76</f>
        <v>0.60000000000000009</v>
      </c>
      <c r="AM138" s="12"/>
      <c r="AN138" s="12">
        <f>AH138-AK138</f>
        <v>0.31999999999999984</v>
      </c>
      <c r="AO138" s="1">
        <f>SQRT((((X138-1)*AI138^2)+((W138-1)*AL138^2))/(X138+W138-2))</f>
        <v>0.59008473967727726</v>
      </c>
      <c r="AP138" s="1">
        <f>AN138/AO138</f>
        <v>0.54229499338520559</v>
      </c>
      <c r="AQ138" s="1">
        <f>1/X138+1/W138+(AP138^2)/(2*(X138+W138))</f>
        <v>0.3455868274937775</v>
      </c>
      <c r="AR138" s="1">
        <f>1-(3/(4*(X138+W138-2)-1))</f>
        <v>0.92307692307692313</v>
      </c>
      <c r="AS138" s="21">
        <f>AP138*AR138</f>
        <v>0.50057999389403596</v>
      </c>
      <c r="AT138" s="21">
        <f>AQ138*(AR138^2)</f>
        <v>0.29446451573434301</v>
      </c>
      <c r="AU138" s="21">
        <f>SQRT(AQ138*AR138^2)</f>
        <v>0.54264584743121647</v>
      </c>
      <c r="AV138" s="20">
        <f>1/AT138</f>
        <v>3.3959949215143115</v>
      </c>
      <c r="AW138" s="20">
        <f>AS138/AT138</f>
        <v>1.6999671170758113</v>
      </c>
      <c r="AX138" s="20">
        <f>((AS138)^2)/AT138</f>
        <v>0.85096952908587153</v>
      </c>
      <c r="AY138" s="14"/>
      <c r="AZ138" s="14"/>
      <c r="BA138" s="1" t="s">
        <v>270</v>
      </c>
      <c r="BB138" s="2"/>
    </row>
    <row r="139" spans="1:54" ht="14.25" customHeight="1">
      <c r="A139" s="2">
        <v>297</v>
      </c>
      <c r="B139" s="2" t="s">
        <v>45</v>
      </c>
      <c r="C139" s="1" t="s">
        <v>85</v>
      </c>
      <c r="D139" s="1">
        <v>2024</v>
      </c>
      <c r="E139" s="1">
        <v>2018</v>
      </c>
      <c r="F139" s="1" t="s">
        <v>143</v>
      </c>
      <c r="G139" s="1" t="s">
        <v>142</v>
      </c>
      <c r="H139" s="1">
        <v>30.238056</v>
      </c>
      <c r="I139" s="1">
        <v>-82.411389</v>
      </c>
      <c r="J139" s="1" t="s">
        <v>128</v>
      </c>
      <c r="K139" s="1" t="s">
        <v>176</v>
      </c>
      <c r="L139" s="1" t="s">
        <v>189</v>
      </c>
      <c r="M139" s="16" t="s">
        <v>236</v>
      </c>
      <c r="N139" s="16" t="s">
        <v>238</v>
      </c>
      <c r="O139" s="1" t="s">
        <v>121</v>
      </c>
      <c r="Q139" s="1" t="s">
        <v>93</v>
      </c>
      <c r="R139" s="1">
        <v>2018</v>
      </c>
      <c r="S139" s="1">
        <v>1</v>
      </c>
      <c r="T139" s="1">
        <f>S139*12</f>
        <v>12</v>
      </c>
      <c r="U139" s="1" t="s">
        <v>341</v>
      </c>
      <c r="W139" s="1">
        <v>6</v>
      </c>
      <c r="X139" s="1">
        <v>6</v>
      </c>
      <c r="Y139" s="1" t="s">
        <v>97</v>
      </c>
      <c r="Z139" s="1" t="s">
        <v>133</v>
      </c>
      <c r="AA139" s="1" t="s">
        <v>1</v>
      </c>
      <c r="AB139" s="1" t="s">
        <v>98</v>
      </c>
      <c r="AC139" s="1" t="s">
        <v>202</v>
      </c>
      <c r="AD139" s="1" t="s">
        <v>99</v>
      </c>
      <c r="AE139" s="1" t="s">
        <v>102</v>
      </c>
      <c r="AF139" s="1" t="s">
        <v>348</v>
      </c>
      <c r="AG139" s="12" t="s">
        <v>340</v>
      </c>
      <c r="AH139" s="12">
        <v>0.55000000000000004</v>
      </c>
      <c r="AI139" s="12">
        <f>0.57-0.49</f>
        <v>7.999999999999996E-2</v>
      </c>
      <c r="AJ139" s="12"/>
      <c r="AK139" s="12">
        <v>0.5</v>
      </c>
      <c r="AL139" s="12">
        <f>0.56-0.47</f>
        <v>9.000000000000008E-2</v>
      </c>
      <c r="AM139" s="12"/>
      <c r="AN139" s="12">
        <f>AH139-AK139</f>
        <v>5.0000000000000044E-2</v>
      </c>
      <c r="AO139" s="1">
        <f>SQRT((((X139-1)*AI139^2)+((W139-1)*AL139^2))/(X139+W139-2))</f>
        <v>8.5146931829632025E-2</v>
      </c>
      <c r="AP139" s="1">
        <f>AN139/AO139</f>
        <v>0.58722021951470393</v>
      </c>
      <c r="AQ139" s="1">
        <f>1/X139+1/W139+(AP139^2)/(2*(X139+W139))</f>
        <v>0.34770114942528735</v>
      </c>
      <c r="AR139" s="1">
        <f>1-(3/(4*(X139+W139-2)-1))</f>
        <v>0.92307692307692313</v>
      </c>
      <c r="AS139" s="21">
        <f>AP139*AR139</f>
        <v>0.54204943339818823</v>
      </c>
      <c r="AT139" s="21">
        <f>AQ139*(AR139^2)</f>
        <v>0.2962660681493573</v>
      </c>
      <c r="AU139" s="21">
        <f>SQRT(AQ139*AR139^2)</f>
        <v>0.54430328691764973</v>
      </c>
      <c r="AV139" s="20">
        <f>1/AT139</f>
        <v>3.3753443526170797</v>
      </c>
      <c r="AW139" s="20">
        <f>AS139/AT139</f>
        <v>1.8296034938598624</v>
      </c>
      <c r="AX139" s="20">
        <f>((AS139)^2)/AT139</f>
        <v>0.99173553719008412</v>
      </c>
      <c r="AY139" s="14"/>
      <c r="AZ139" s="14"/>
      <c r="BA139" s="1" t="s">
        <v>270</v>
      </c>
      <c r="BB139" s="2"/>
    </row>
    <row r="140" spans="1:54" ht="14.25" customHeight="1">
      <c r="A140" s="2">
        <v>297</v>
      </c>
      <c r="B140" s="2" t="s">
        <v>45</v>
      </c>
      <c r="C140" s="1" t="s">
        <v>85</v>
      </c>
      <c r="D140" s="1">
        <v>2024</v>
      </c>
      <c r="E140" s="1">
        <v>2018</v>
      </c>
      <c r="F140" s="1" t="s">
        <v>143</v>
      </c>
      <c r="G140" s="1" t="s">
        <v>142</v>
      </c>
      <c r="H140" s="1">
        <v>30.238056</v>
      </c>
      <c r="I140" s="1">
        <v>-82.411389</v>
      </c>
      <c r="J140" s="1" t="s">
        <v>128</v>
      </c>
      <c r="K140" s="1" t="s">
        <v>176</v>
      </c>
      <c r="L140" s="1" t="s">
        <v>189</v>
      </c>
      <c r="M140" s="16" t="s">
        <v>236</v>
      </c>
      <c r="N140" s="16" t="s">
        <v>238</v>
      </c>
      <c r="O140" s="1" t="s">
        <v>121</v>
      </c>
      <c r="Q140" s="1" t="s">
        <v>93</v>
      </c>
      <c r="R140" s="1">
        <v>2018</v>
      </c>
      <c r="S140" s="1">
        <v>1</v>
      </c>
      <c r="T140" s="1">
        <f>S140*12</f>
        <v>12</v>
      </c>
      <c r="U140" s="1" t="s">
        <v>341</v>
      </c>
      <c r="W140" s="1">
        <v>6</v>
      </c>
      <c r="X140" s="1">
        <v>6</v>
      </c>
      <c r="Y140" s="1" t="s">
        <v>97</v>
      </c>
      <c r="Z140" s="1" t="s">
        <v>133</v>
      </c>
      <c r="AA140" s="1" t="s">
        <v>1</v>
      </c>
      <c r="AB140" s="1" t="s">
        <v>98</v>
      </c>
      <c r="AC140" s="1" t="s">
        <v>202</v>
      </c>
      <c r="AD140" s="1" t="s">
        <v>99</v>
      </c>
      <c r="AE140" s="1" t="s">
        <v>102</v>
      </c>
      <c r="AF140" s="1" t="s">
        <v>256</v>
      </c>
      <c r="AG140" s="1" t="s">
        <v>316</v>
      </c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4"/>
      <c r="AZ140" s="14"/>
      <c r="BA140" s="16" t="s">
        <v>285</v>
      </c>
    </row>
    <row r="141" spans="1:54" s="12" customFormat="1" ht="14.25" customHeight="1">
      <c r="A141" s="2">
        <v>111</v>
      </c>
      <c r="B141" s="2" t="s">
        <v>16</v>
      </c>
      <c r="C141" s="12" t="s">
        <v>85</v>
      </c>
      <c r="D141" s="12">
        <v>2019</v>
      </c>
      <c r="F141" s="12" t="s">
        <v>120</v>
      </c>
      <c r="G141" s="12" t="s">
        <v>109</v>
      </c>
      <c r="H141" s="12">
        <v>41.831111</v>
      </c>
      <c r="I141" s="12">
        <v>-6.5036110000000003</v>
      </c>
      <c r="J141" s="12" t="s">
        <v>126</v>
      </c>
      <c r="K141" s="12" t="s">
        <v>176</v>
      </c>
      <c r="L141" s="12" t="s">
        <v>177</v>
      </c>
      <c r="M141" s="16" t="s">
        <v>236</v>
      </c>
      <c r="N141" s="16" t="s">
        <v>238</v>
      </c>
      <c r="O141" s="12" t="s">
        <v>86</v>
      </c>
      <c r="P141" s="12" t="s">
        <v>129</v>
      </c>
      <c r="Q141" s="12" t="s">
        <v>93</v>
      </c>
      <c r="R141" s="12">
        <v>2002</v>
      </c>
      <c r="S141" s="12">
        <v>1</v>
      </c>
      <c r="T141" s="1">
        <f t="shared" ref="T141:T144" si="29">S141*12</f>
        <v>12</v>
      </c>
      <c r="V141" s="12">
        <v>1427</v>
      </c>
      <c r="W141" s="12">
        <v>1</v>
      </c>
      <c r="X141" s="12">
        <v>1</v>
      </c>
      <c r="Y141" s="12" t="s">
        <v>114</v>
      </c>
      <c r="Z141" s="12" t="s">
        <v>2</v>
      </c>
      <c r="AA141" s="12" t="s">
        <v>0</v>
      </c>
      <c r="AB141" s="12" t="s">
        <v>113</v>
      </c>
      <c r="AC141" s="12" t="s">
        <v>2</v>
      </c>
      <c r="AD141" s="12" t="s">
        <v>2</v>
      </c>
      <c r="AE141" s="12" t="s">
        <v>2</v>
      </c>
      <c r="AF141" s="12" t="s">
        <v>385</v>
      </c>
      <c r="AG141" s="12" t="s">
        <v>345</v>
      </c>
      <c r="AH141" s="12">
        <f>((4*100)/13)/100</f>
        <v>0.30769230769230771</v>
      </c>
      <c r="AI141" s="14"/>
      <c r="AJ141" s="14"/>
      <c r="AK141" s="12">
        <f>((20*100)/31)/100</f>
        <v>0.64516129032258063</v>
      </c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2">
        <f>LOG(AH141/AK141)</f>
        <v>-0.32155166280858288</v>
      </c>
      <c r="AZ141" s="12">
        <f>((1-AH141)/(AH141*X141))+((1-AK141)/(W141*AK141))</f>
        <v>2.8</v>
      </c>
      <c r="BA141" s="12" t="s">
        <v>283</v>
      </c>
    </row>
    <row r="142" spans="1:54" s="12" customFormat="1" ht="14.25" customHeight="1">
      <c r="A142" s="2">
        <v>111</v>
      </c>
      <c r="B142" s="2" t="s">
        <v>16</v>
      </c>
      <c r="C142" s="12" t="s">
        <v>85</v>
      </c>
      <c r="D142" s="12">
        <v>2019</v>
      </c>
      <c r="F142" s="12" t="s">
        <v>120</v>
      </c>
      <c r="G142" s="12" t="s">
        <v>109</v>
      </c>
      <c r="H142" s="12">
        <v>41.831111</v>
      </c>
      <c r="I142" s="12">
        <v>-6.5036110000000003</v>
      </c>
      <c r="J142" s="12" t="s">
        <v>126</v>
      </c>
      <c r="K142" s="12" t="s">
        <v>176</v>
      </c>
      <c r="L142" s="12" t="s">
        <v>177</v>
      </c>
      <c r="M142" s="16" t="s">
        <v>236</v>
      </c>
      <c r="N142" s="16" t="s">
        <v>238</v>
      </c>
      <c r="O142" s="12" t="s">
        <v>86</v>
      </c>
      <c r="P142" s="12" t="s">
        <v>129</v>
      </c>
      <c r="Q142" s="12" t="s">
        <v>93</v>
      </c>
      <c r="R142" s="12">
        <v>2002</v>
      </c>
      <c r="S142" s="12">
        <v>1</v>
      </c>
      <c r="T142" s="1">
        <f t="shared" si="29"/>
        <v>12</v>
      </c>
      <c r="V142" s="12">
        <v>1427</v>
      </c>
      <c r="W142" s="12">
        <v>1</v>
      </c>
      <c r="X142" s="12">
        <v>1</v>
      </c>
      <c r="Y142" s="12" t="s">
        <v>114</v>
      </c>
      <c r="Z142" s="12" t="s">
        <v>2</v>
      </c>
      <c r="AA142" s="12" t="s">
        <v>0</v>
      </c>
      <c r="AB142" s="12" t="s">
        <v>113</v>
      </c>
      <c r="AC142" s="12" t="s">
        <v>2</v>
      </c>
      <c r="AD142" s="12" t="s">
        <v>2</v>
      </c>
      <c r="AE142" s="12" t="s">
        <v>2</v>
      </c>
      <c r="AF142" s="12" t="s">
        <v>306</v>
      </c>
      <c r="AG142" s="12" t="s">
        <v>345</v>
      </c>
      <c r="AH142" s="12">
        <f>((9*100)/13)/100</f>
        <v>0.69230769230769229</v>
      </c>
      <c r="AI142" s="14"/>
      <c r="AJ142" s="14"/>
      <c r="AK142" s="12">
        <f>((11*100)/31)/100</f>
        <v>0.35483870967741937</v>
      </c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2">
        <f>LOG(AH142/AK142)</f>
        <v>0.29026816580853571</v>
      </c>
      <c r="AZ142" s="12">
        <f>((1-AH142)/(AH142*X142))+((1-AK142)/(W142*AK142))</f>
        <v>2.2626262626262625</v>
      </c>
      <c r="BA142" s="12" t="s">
        <v>283</v>
      </c>
    </row>
    <row r="143" spans="1:54" s="12" customFormat="1" ht="14.25" customHeight="1">
      <c r="A143" s="2">
        <v>111</v>
      </c>
      <c r="B143" s="2" t="s">
        <v>16</v>
      </c>
      <c r="C143" s="12" t="s">
        <v>85</v>
      </c>
      <c r="D143" s="12">
        <v>2019</v>
      </c>
      <c r="F143" s="12" t="s">
        <v>120</v>
      </c>
      <c r="G143" s="12" t="s">
        <v>109</v>
      </c>
      <c r="H143" s="12">
        <v>41.831111</v>
      </c>
      <c r="I143" s="12">
        <v>-6.5036110000000003</v>
      </c>
      <c r="J143" s="12" t="s">
        <v>126</v>
      </c>
      <c r="K143" s="12" t="s">
        <v>176</v>
      </c>
      <c r="L143" s="12" t="s">
        <v>177</v>
      </c>
      <c r="M143" s="16" t="s">
        <v>236</v>
      </c>
      <c r="N143" s="16" t="s">
        <v>238</v>
      </c>
      <c r="O143" s="12" t="s">
        <v>86</v>
      </c>
      <c r="P143" s="12" t="s">
        <v>129</v>
      </c>
      <c r="Q143" s="12" t="s">
        <v>93</v>
      </c>
      <c r="R143" s="12">
        <v>2002</v>
      </c>
      <c r="S143" s="12">
        <v>5</v>
      </c>
      <c r="T143" s="1">
        <f t="shared" si="29"/>
        <v>60</v>
      </c>
      <c r="V143" s="12">
        <v>1427</v>
      </c>
      <c r="W143" s="12">
        <v>1</v>
      </c>
      <c r="X143" s="12">
        <v>1</v>
      </c>
      <c r="Y143" s="12" t="s">
        <v>114</v>
      </c>
      <c r="Z143" s="12" t="s">
        <v>2</v>
      </c>
      <c r="AA143" s="12" t="s">
        <v>0</v>
      </c>
      <c r="AB143" s="12" t="s">
        <v>113</v>
      </c>
      <c r="AC143" s="12" t="s">
        <v>2</v>
      </c>
      <c r="AD143" s="12" t="s">
        <v>2</v>
      </c>
      <c r="AE143" s="12" t="s">
        <v>2</v>
      </c>
      <c r="AF143" s="12" t="s">
        <v>385</v>
      </c>
      <c r="AG143" s="12" t="s">
        <v>345</v>
      </c>
      <c r="AH143" s="12">
        <f>((10*100)/32)/100</f>
        <v>0.3125</v>
      </c>
      <c r="AI143" s="14"/>
      <c r="AJ143" s="14"/>
      <c r="AK143" s="12">
        <f>((20*100)/31)/100</f>
        <v>0.64516129032258063</v>
      </c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2">
        <f>LOG(AH143/AK143)</f>
        <v>-0.31481828014961449</v>
      </c>
      <c r="AZ143" s="12">
        <f>((1-AH143)/(AH143*X143))+((1-AK143)/(W143*AK143))</f>
        <v>2.75</v>
      </c>
      <c r="BA143" s="12" t="s">
        <v>283</v>
      </c>
    </row>
    <row r="144" spans="1:54" s="12" customFormat="1" ht="14.25" customHeight="1">
      <c r="A144" s="2">
        <v>111</v>
      </c>
      <c r="B144" s="2" t="s">
        <v>16</v>
      </c>
      <c r="C144" s="12" t="s">
        <v>85</v>
      </c>
      <c r="D144" s="12">
        <v>2019</v>
      </c>
      <c r="F144" s="12" t="s">
        <v>120</v>
      </c>
      <c r="G144" s="12" t="s">
        <v>109</v>
      </c>
      <c r="H144" s="12">
        <v>41.831111</v>
      </c>
      <c r="I144" s="12">
        <v>-6.5036110000000003</v>
      </c>
      <c r="J144" s="12" t="s">
        <v>126</v>
      </c>
      <c r="K144" s="12" t="s">
        <v>176</v>
      </c>
      <c r="L144" s="12" t="s">
        <v>177</v>
      </c>
      <c r="M144" s="16" t="s">
        <v>236</v>
      </c>
      <c r="N144" s="16" t="s">
        <v>238</v>
      </c>
      <c r="O144" s="12" t="s">
        <v>86</v>
      </c>
      <c r="P144" s="12" t="s">
        <v>129</v>
      </c>
      <c r="Q144" s="12" t="s">
        <v>93</v>
      </c>
      <c r="R144" s="12">
        <v>2002</v>
      </c>
      <c r="S144" s="12">
        <v>5</v>
      </c>
      <c r="T144" s="1">
        <f t="shared" si="29"/>
        <v>60</v>
      </c>
      <c r="V144" s="12">
        <v>1427</v>
      </c>
      <c r="W144" s="12">
        <v>1</v>
      </c>
      <c r="X144" s="12">
        <v>1</v>
      </c>
      <c r="Y144" s="12" t="s">
        <v>114</v>
      </c>
      <c r="Z144" s="12" t="s">
        <v>2</v>
      </c>
      <c r="AA144" s="12" t="s">
        <v>0</v>
      </c>
      <c r="AB144" s="12" t="s">
        <v>113</v>
      </c>
      <c r="AC144" s="12" t="s">
        <v>2</v>
      </c>
      <c r="AD144" s="12" t="s">
        <v>2</v>
      </c>
      <c r="AE144" s="12" t="s">
        <v>2</v>
      </c>
      <c r="AF144" s="12" t="s">
        <v>306</v>
      </c>
      <c r="AG144" s="12" t="s">
        <v>345</v>
      </c>
      <c r="AH144" s="12">
        <f>((22*100)/32)/100</f>
        <v>0.6875</v>
      </c>
      <c r="AI144" s="14"/>
      <c r="AJ144" s="14"/>
      <c r="AK144" s="12">
        <f>((11*100)/31)/100</f>
        <v>0.35483870967741937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2">
        <f>LOG(AH144/AK144)</f>
        <v>0.2872417111783479</v>
      </c>
      <c r="AZ144" s="12">
        <f>((1-AH144)/(AH144*X144))+((1-AK144)/(W144*AK144))</f>
        <v>2.2727272727272725</v>
      </c>
      <c r="BA144" s="12" t="s">
        <v>283</v>
      </c>
    </row>
    <row r="145" spans="1:63" ht="14.25" customHeight="1">
      <c r="A145" s="17">
        <v>224</v>
      </c>
      <c r="B145" s="17" t="s">
        <v>241</v>
      </c>
      <c r="C145" s="16" t="s">
        <v>85</v>
      </c>
      <c r="D145" s="16">
        <v>2025</v>
      </c>
      <c r="E145" s="16">
        <v>2023</v>
      </c>
      <c r="F145" s="16" t="s">
        <v>120</v>
      </c>
      <c r="G145" s="16" t="s">
        <v>109</v>
      </c>
      <c r="H145" s="16">
        <v>41.897781999999999</v>
      </c>
      <c r="I145" s="16">
        <v>-6.3337250000000003</v>
      </c>
      <c r="J145" s="16" t="s">
        <v>128</v>
      </c>
      <c r="K145" s="16" t="s">
        <v>176</v>
      </c>
      <c r="L145" s="16" t="s">
        <v>177</v>
      </c>
      <c r="M145" s="16" t="s">
        <v>236</v>
      </c>
      <c r="N145" s="16" t="s">
        <v>238</v>
      </c>
      <c r="O145" s="16" t="s">
        <v>86</v>
      </c>
      <c r="P145" s="16" t="s">
        <v>129</v>
      </c>
      <c r="Q145" s="16" t="s">
        <v>93</v>
      </c>
      <c r="R145" s="16">
        <v>2022</v>
      </c>
      <c r="S145" s="16">
        <v>1</v>
      </c>
      <c r="T145" s="12">
        <f>S145*12</f>
        <v>12</v>
      </c>
      <c r="U145" s="16"/>
      <c r="V145" s="16">
        <v>56000</v>
      </c>
      <c r="W145" s="16">
        <v>9</v>
      </c>
      <c r="X145" s="16">
        <v>9</v>
      </c>
      <c r="Y145" s="16" t="s">
        <v>97</v>
      </c>
      <c r="Z145" s="16" t="s">
        <v>133</v>
      </c>
      <c r="AA145" s="16" t="s">
        <v>0</v>
      </c>
      <c r="AB145" s="16" t="s">
        <v>98</v>
      </c>
      <c r="AC145" s="16" t="s">
        <v>202</v>
      </c>
      <c r="AD145" s="16" t="s">
        <v>99</v>
      </c>
      <c r="AE145" s="16" t="s">
        <v>111</v>
      </c>
      <c r="AF145" s="16" t="s">
        <v>222</v>
      </c>
      <c r="AG145" s="16" t="s">
        <v>319</v>
      </c>
      <c r="AH145" s="16">
        <v>506.3</v>
      </c>
      <c r="AI145" s="16">
        <f>540.67-503.17</f>
        <v>37.499999999999943</v>
      </c>
      <c r="AJ145" s="16"/>
      <c r="AK145" s="16">
        <v>616.72</v>
      </c>
      <c r="AL145" s="16">
        <f>676.41-548.06</f>
        <v>128.35000000000002</v>
      </c>
      <c r="AM145" s="16"/>
      <c r="AN145" s="12">
        <f>AH145-AK145</f>
        <v>-110.42000000000002</v>
      </c>
      <c r="AO145" s="1">
        <f>SQRT((((X145-1)*AI145^2)+((W145-1)*AL145^2))/(X145+W145-2))</f>
        <v>94.551500516914075</v>
      </c>
      <c r="AP145" s="1">
        <f>AN145/AO145</f>
        <v>-1.1678291660770341</v>
      </c>
      <c r="AQ145" s="1">
        <f>1/X145+1/W145+(AP145^2)/(2*(X145+W145))</f>
        <v>0.26010624892056056</v>
      </c>
      <c r="AR145" s="1">
        <f>1-(3/(4*(X145+W145-2)-1))</f>
        <v>0.95238095238095233</v>
      </c>
      <c r="AS145" s="21">
        <f>AP145*AR145</f>
        <v>-1.1122182534066991</v>
      </c>
      <c r="AT145" s="21">
        <f>AQ145*(AR145^2)</f>
        <v>0.23592403530209571</v>
      </c>
      <c r="AU145" s="21">
        <f>SQRT(AQ145*AR145^2)</f>
        <v>0.485720120338962</v>
      </c>
      <c r="AV145" s="20">
        <f>1/AT145</f>
        <v>4.2386524913390922</v>
      </c>
      <c r="AW145" s="20">
        <f>AS145/AT145</f>
        <v>-4.7143066707151196</v>
      </c>
      <c r="AX145" s="20">
        <f>((AS145)^2)/AT145</f>
        <v>5.2433379313263213</v>
      </c>
      <c r="AY145" s="14"/>
      <c r="AZ145" s="14"/>
      <c r="BA145" s="1" t="s">
        <v>270</v>
      </c>
      <c r="BB145" s="17"/>
      <c r="BC145" s="16"/>
      <c r="BD145" s="16"/>
      <c r="BE145" s="16"/>
      <c r="BF145" s="16"/>
      <c r="BG145" s="16"/>
      <c r="BH145" s="16"/>
      <c r="BI145" s="16"/>
      <c r="BJ145" s="16"/>
      <c r="BK145" s="16"/>
    </row>
    <row r="146" spans="1:63" ht="14.25" customHeight="1">
      <c r="A146" s="2">
        <v>562</v>
      </c>
      <c r="B146" s="2" t="s">
        <v>71</v>
      </c>
      <c r="C146" s="1" t="s">
        <v>85</v>
      </c>
      <c r="D146" s="1">
        <v>2023</v>
      </c>
      <c r="E146" s="1">
        <v>2021</v>
      </c>
      <c r="F146" s="1" t="s">
        <v>96</v>
      </c>
      <c r="G146" s="1" t="s">
        <v>119</v>
      </c>
      <c r="H146" s="1">
        <v>-36.537121999999997</v>
      </c>
      <c r="I146" s="1">
        <v>142.010153</v>
      </c>
      <c r="J146" s="1" t="s">
        <v>128</v>
      </c>
      <c r="K146" s="1" t="s">
        <v>112</v>
      </c>
      <c r="M146" s="1" t="s">
        <v>237</v>
      </c>
      <c r="N146" s="16" t="s">
        <v>238</v>
      </c>
      <c r="O146" s="1" t="s">
        <v>86</v>
      </c>
      <c r="Q146" s="1" t="s">
        <v>93</v>
      </c>
      <c r="S146" s="1">
        <v>1</v>
      </c>
      <c r="T146" s="1">
        <f>S146*12</f>
        <v>12</v>
      </c>
      <c r="W146" s="1">
        <v>18</v>
      </c>
      <c r="X146" s="1">
        <v>11</v>
      </c>
      <c r="Y146" s="1" t="s">
        <v>97</v>
      </c>
      <c r="Z146" s="1" t="s">
        <v>133</v>
      </c>
      <c r="AA146" s="1" t="s">
        <v>1</v>
      </c>
      <c r="AB146" s="1" t="s">
        <v>98</v>
      </c>
      <c r="AC146" s="1" t="s">
        <v>202</v>
      </c>
      <c r="AD146" s="1" t="s">
        <v>99</v>
      </c>
      <c r="AE146" s="1" t="s">
        <v>102</v>
      </c>
      <c r="AF146" s="12" t="s">
        <v>384</v>
      </c>
      <c r="AG146" s="16" t="s">
        <v>315</v>
      </c>
      <c r="AH146" s="12">
        <v>5.99</v>
      </c>
      <c r="AI146" s="12">
        <f>7.79-5.04</f>
        <v>2.75</v>
      </c>
      <c r="AJ146" s="12"/>
      <c r="AK146" s="12">
        <v>6.54</v>
      </c>
      <c r="AL146" s="12">
        <f>9.01-4.24</f>
        <v>4.7699999999999996</v>
      </c>
      <c r="AM146" s="12"/>
      <c r="AN146" s="12">
        <f>AH146-AK146</f>
        <v>-0.54999999999999982</v>
      </c>
      <c r="AO146" s="1">
        <f>SQRT((((X146-1)*AI146^2)+((W146-1)*AL146^2))/(X146+W146-2))</f>
        <v>4.1384569498698331</v>
      </c>
      <c r="AP146" s="1">
        <f>AN146/AO146</f>
        <v>-0.13289977560774166</v>
      </c>
      <c r="AQ146" s="1">
        <f>1/X146+1/W146+(AP146^2)/(2*(X146+W146))</f>
        <v>0.1467691697466566</v>
      </c>
      <c r="AR146" s="1">
        <f>1-(3/(4*(X146+W146-2)-1))</f>
        <v>0.9719626168224299</v>
      </c>
      <c r="AS146" s="21">
        <f>AP146*AR146</f>
        <v>-0.12917361367481434</v>
      </c>
      <c r="AT146" s="21">
        <f>AQ146*(AR146^2)</f>
        <v>0.13865449733425084</v>
      </c>
      <c r="AU146" s="21">
        <f>SQRT(AQ146*AR146^2)</f>
        <v>0.37236339419208603</v>
      </c>
      <c r="AV146" s="20">
        <f>1/AT146</f>
        <v>7.2121713988787945</v>
      </c>
      <c r="AW146" s="20">
        <f>AS146/AT146</f>
        <v>-0.93162224203531474</v>
      </c>
      <c r="AX146" s="20">
        <f>((AS146)^2)/AT146</f>
        <v>0.12034101158353411</v>
      </c>
      <c r="AY146" s="14"/>
      <c r="AZ146" s="14"/>
      <c r="BA146" s="1" t="s">
        <v>270</v>
      </c>
      <c r="BB146" s="2"/>
    </row>
    <row r="147" spans="1:63" ht="14.25" customHeight="1">
      <c r="A147" s="2">
        <v>562</v>
      </c>
      <c r="B147" s="2" t="s">
        <v>71</v>
      </c>
      <c r="C147" s="1" t="s">
        <v>85</v>
      </c>
      <c r="D147" s="1">
        <v>2023</v>
      </c>
      <c r="E147" s="1">
        <v>2021</v>
      </c>
      <c r="F147" s="1" t="s">
        <v>96</v>
      </c>
      <c r="G147" s="1" t="s">
        <v>119</v>
      </c>
      <c r="H147" s="1">
        <v>-36.537121999999997</v>
      </c>
      <c r="I147" s="1">
        <v>142.010153</v>
      </c>
      <c r="J147" s="1" t="s">
        <v>128</v>
      </c>
      <c r="K147" s="1" t="s">
        <v>112</v>
      </c>
      <c r="M147" s="1" t="s">
        <v>237</v>
      </c>
      <c r="N147" s="16" t="s">
        <v>238</v>
      </c>
      <c r="O147" s="1" t="s">
        <v>86</v>
      </c>
      <c r="Q147" s="1" t="s">
        <v>93</v>
      </c>
      <c r="S147" s="1">
        <v>1</v>
      </c>
      <c r="T147" s="1">
        <f>S147*12</f>
        <v>12</v>
      </c>
      <c r="W147" s="1">
        <v>18</v>
      </c>
      <c r="X147" s="1">
        <v>11</v>
      </c>
      <c r="Y147" s="1" t="s">
        <v>97</v>
      </c>
      <c r="Z147" s="1" t="s">
        <v>133</v>
      </c>
      <c r="AA147" s="1" t="s">
        <v>1</v>
      </c>
      <c r="AB147" s="1" t="s">
        <v>98</v>
      </c>
      <c r="AC147" s="1" t="s">
        <v>202</v>
      </c>
      <c r="AD147" s="1" t="s">
        <v>99</v>
      </c>
      <c r="AE147" s="1" t="s">
        <v>102</v>
      </c>
      <c r="AF147" s="12" t="s">
        <v>150</v>
      </c>
      <c r="AG147" s="16" t="s">
        <v>315</v>
      </c>
      <c r="AH147" s="12">
        <v>86.79</v>
      </c>
      <c r="AI147" s="12">
        <f>93.86-77.57</f>
        <v>16.290000000000006</v>
      </c>
      <c r="AJ147" s="12"/>
      <c r="AK147" s="12">
        <v>94.5</v>
      </c>
      <c r="AL147" s="12">
        <f>99.21-85.29</f>
        <v>13.919999999999987</v>
      </c>
      <c r="AM147" s="12"/>
      <c r="AN147" s="12">
        <f>AH147-AK147</f>
        <v>-7.7099999999999937</v>
      </c>
      <c r="AO147" s="1">
        <f>SQRT((((X147-1)*AI147^2)+((W147-1)*AL147^2))/(X147+W147-2))</f>
        <v>14.841969770440395</v>
      </c>
      <c r="AP147" s="1">
        <f>AN147/AO147</f>
        <v>-0.51947282734367273</v>
      </c>
      <c r="AQ147" s="1">
        <f>1/X147+1/W147+(AP147^2)/(2*(X147+W147))</f>
        <v>0.15111726747065388</v>
      </c>
      <c r="AR147" s="1">
        <f>1-(3/(4*(X147+W147-2)-1))</f>
        <v>0.9719626168224299</v>
      </c>
      <c r="AS147" s="21">
        <f>AP147*AR147</f>
        <v>-0.50490816863310251</v>
      </c>
      <c r="AT147" s="21">
        <f>AQ147*(AR147^2)</f>
        <v>0.14276219451153746</v>
      </c>
      <c r="AU147" s="21">
        <f>SQRT(AQ147*AR147^2)</f>
        <v>0.3778388472769012</v>
      </c>
      <c r="AV147" s="20">
        <f>1/AT147</f>
        <v>7.0046555632008305</v>
      </c>
      <c r="AW147" s="20">
        <f>AS147/AT147</f>
        <v>-3.5367078123214046</v>
      </c>
      <c r="AX147" s="20">
        <f>((AS147)^2)/AT147</f>
        <v>1.7857126645095869</v>
      </c>
      <c r="AY147" s="14"/>
      <c r="AZ147" s="14"/>
      <c r="BA147" s="1" t="s">
        <v>270</v>
      </c>
      <c r="BB147" s="2"/>
    </row>
    <row r="148" spans="1:63" ht="14.25" customHeight="1">
      <c r="A148" s="2">
        <v>562</v>
      </c>
      <c r="B148" s="2" t="s">
        <v>71</v>
      </c>
      <c r="C148" s="1" t="s">
        <v>85</v>
      </c>
      <c r="D148" s="1">
        <v>2023</v>
      </c>
      <c r="E148" s="1">
        <v>2021</v>
      </c>
      <c r="F148" s="1" t="s">
        <v>96</v>
      </c>
      <c r="G148" s="1" t="s">
        <v>119</v>
      </c>
      <c r="H148" s="1">
        <v>-36.537121999999997</v>
      </c>
      <c r="I148" s="1">
        <v>142.010153</v>
      </c>
      <c r="J148" s="1" t="s">
        <v>128</v>
      </c>
      <c r="K148" s="1" t="s">
        <v>112</v>
      </c>
      <c r="M148" s="1" t="s">
        <v>237</v>
      </c>
      <c r="N148" s="16" t="s">
        <v>238</v>
      </c>
      <c r="O148" s="1" t="s">
        <v>86</v>
      </c>
      <c r="Q148" s="1" t="s">
        <v>93</v>
      </c>
      <c r="S148" s="1">
        <v>1</v>
      </c>
      <c r="T148" s="1">
        <f>S148*12</f>
        <v>12</v>
      </c>
      <c r="W148" s="1">
        <v>18</v>
      </c>
      <c r="X148" s="1">
        <v>11</v>
      </c>
      <c r="Y148" s="1" t="s">
        <v>97</v>
      </c>
      <c r="Z148" s="1" t="s">
        <v>133</v>
      </c>
      <c r="AA148" s="1" t="s">
        <v>1</v>
      </c>
      <c r="AB148" s="1" t="s">
        <v>98</v>
      </c>
      <c r="AC148" s="1" t="s">
        <v>202</v>
      </c>
      <c r="AD148" s="1" t="s">
        <v>99</v>
      </c>
      <c r="AE148" s="1" t="s">
        <v>102</v>
      </c>
      <c r="AF148" s="12" t="s">
        <v>312</v>
      </c>
      <c r="AG148" s="16" t="s">
        <v>315</v>
      </c>
      <c r="AH148" s="12">
        <v>15.54</v>
      </c>
      <c r="AI148" s="12">
        <f>18.56-12.35</f>
        <v>6.2099999999999991</v>
      </c>
      <c r="AJ148" s="12"/>
      <c r="AK148" s="12">
        <v>17.05</v>
      </c>
      <c r="AL148" s="12">
        <f>19.1-15.36</f>
        <v>3.740000000000002</v>
      </c>
      <c r="AM148" s="12"/>
      <c r="AN148" s="12">
        <f>AH148-AK148</f>
        <v>-1.5100000000000016</v>
      </c>
      <c r="AO148" s="1">
        <f>SQRT((((X148-1)*AI148^2)+((W148-1)*AL148^2))/(X148+W148-2))</f>
        <v>4.8052062814625778</v>
      </c>
      <c r="AP148" s="1">
        <f>AN148/AO148</f>
        <v>-0.3142424927365236</v>
      </c>
      <c r="AQ148" s="1">
        <f>1/X148+1/W148+(AP148^2)/(2*(X148+W148))</f>
        <v>0.1481672041239786</v>
      </c>
      <c r="AR148" s="1">
        <f>1-(3/(4*(X148+W148-2)-1))</f>
        <v>0.9719626168224299</v>
      </c>
      <c r="AS148" s="21">
        <f>AP148*AR148</f>
        <v>-0.30543195555699493</v>
      </c>
      <c r="AT148" s="21">
        <f>AQ148*(AR148^2)</f>
        <v>0.13997523624813979</v>
      </c>
      <c r="AU148" s="21">
        <f>SQRT(AQ148*AR148^2)</f>
        <v>0.37413264525852297</v>
      </c>
      <c r="AV148" s="20">
        <f>1/AT148</f>
        <v>7.1441208231094491</v>
      </c>
      <c r="AW148" s="20">
        <f>AS148/AT148</f>
        <v>-2.1820427937377671</v>
      </c>
      <c r="AX148" s="20">
        <f>((AS148)^2)/AT148</f>
        <v>0.66646559760037472</v>
      </c>
      <c r="AY148" s="14"/>
      <c r="AZ148" s="14"/>
      <c r="BA148" s="1" t="s">
        <v>270</v>
      </c>
      <c r="BB148" s="2"/>
    </row>
    <row r="149" spans="1:63" ht="14.25" customHeight="1">
      <c r="A149" s="2">
        <v>562</v>
      </c>
      <c r="B149" s="2" t="s">
        <v>71</v>
      </c>
      <c r="C149" s="1" t="s">
        <v>85</v>
      </c>
      <c r="D149" s="1">
        <v>2023</v>
      </c>
      <c r="E149" s="1">
        <v>2021</v>
      </c>
      <c r="F149" s="1" t="s">
        <v>96</v>
      </c>
      <c r="G149" s="1" t="s">
        <v>119</v>
      </c>
      <c r="H149" s="1">
        <v>-36.537121999999997</v>
      </c>
      <c r="I149" s="1">
        <v>142.010153</v>
      </c>
      <c r="J149" s="1" t="s">
        <v>128</v>
      </c>
      <c r="K149" s="1" t="s">
        <v>112</v>
      </c>
      <c r="M149" s="1" t="s">
        <v>237</v>
      </c>
      <c r="N149" s="16" t="s">
        <v>238</v>
      </c>
      <c r="O149" s="1" t="s">
        <v>86</v>
      </c>
      <c r="Q149" s="1" t="s">
        <v>93</v>
      </c>
      <c r="S149" s="1">
        <v>1</v>
      </c>
      <c r="T149" s="1">
        <f>S149*12</f>
        <v>12</v>
      </c>
      <c r="W149" s="1">
        <v>18</v>
      </c>
      <c r="X149" s="1">
        <v>11</v>
      </c>
      <c r="Y149" s="1" t="s">
        <v>97</v>
      </c>
      <c r="Z149" s="1" t="s">
        <v>133</v>
      </c>
      <c r="AA149" s="1" t="s">
        <v>1</v>
      </c>
      <c r="AB149" s="1" t="s">
        <v>98</v>
      </c>
      <c r="AC149" s="1" t="s">
        <v>202</v>
      </c>
      <c r="AD149" s="1" t="s">
        <v>99</v>
      </c>
      <c r="AE149" s="1" t="s">
        <v>102</v>
      </c>
      <c r="AF149" s="1" t="s">
        <v>256</v>
      </c>
      <c r="AG149" s="1" t="s">
        <v>316</v>
      </c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4"/>
      <c r="AZ149" s="14"/>
      <c r="BA149" s="16" t="s">
        <v>285</v>
      </c>
    </row>
    <row r="150" spans="1:63" ht="14.25" customHeight="1">
      <c r="A150" s="2">
        <v>170</v>
      </c>
      <c r="B150" s="2" t="s">
        <v>23</v>
      </c>
      <c r="C150" s="1" t="s">
        <v>85</v>
      </c>
      <c r="D150" s="1">
        <v>2021</v>
      </c>
      <c r="E150" s="1">
        <v>2017</v>
      </c>
      <c r="F150" s="1" t="s">
        <v>143</v>
      </c>
      <c r="G150" s="1" t="s">
        <v>109</v>
      </c>
      <c r="H150" s="1">
        <v>38.460099999999997</v>
      </c>
      <c r="I150" s="1">
        <v>-122.5515</v>
      </c>
      <c r="J150" s="1" t="s">
        <v>128</v>
      </c>
      <c r="K150" s="1" t="s">
        <v>174</v>
      </c>
      <c r="L150" s="1" t="s">
        <v>175</v>
      </c>
      <c r="M150" s="1" t="s">
        <v>236</v>
      </c>
      <c r="N150" s="1" t="s">
        <v>238</v>
      </c>
      <c r="O150" s="1" t="s">
        <v>86</v>
      </c>
      <c r="P150" s="1" t="s">
        <v>129</v>
      </c>
      <c r="Q150" s="1" t="s">
        <v>93</v>
      </c>
      <c r="R150" s="1">
        <v>2017</v>
      </c>
      <c r="S150" s="1" t="s">
        <v>151</v>
      </c>
      <c r="T150" s="1">
        <v>2</v>
      </c>
      <c r="V150" s="1">
        <v>90000</v>
      </c>
      <c r="W150" s="1">
        <v>45</v>
      </c>
      <c r="X150" s="1">
        <v>45</v>
      </c>
      <c r="Y150" s="1" t="s">
        <v>97</v>
      </c>
      <c r="Z150" s="1" t="s">
        <v>133</v>
      </c>
      <c r="AA150" s="1" t="s">
        <v>1</v>
      </c>
      <c r="AB150" s="1" t="s">
        <v>98</v>
      </c>
      <c r="AC150" s="1" t="s">
        <v>202</v>
      </c>
      <c r="AD150" s="1" t="s">
        <v>99</v>
      </c>
      <c r="AE150" s="1" t="s">
        <v>100</v>
      </c>
      <c r="AF150" s="1" t="s">
        <v>222</v>
      </c>
      <c r="AG150" s="1" t="s">
        <v>319</v>
      </c>
      <c r="AH150" s="1">
        <v>222.85</v>
      </c>
      <c r="AI150" s="1">
        <f>325.47-120.9</f>
        <v>204.57000000000002</v>
      </c>
      <c r="AK150" s="1">
        <v>383.9</v>
      </c>
      <c r="AL150" s="1">
        <f>487.27-280.6</f>
        <v>206.66999999999996</v>
      </c>
      <c r="AN150" s="12">
        <f>AH150-AK150</f>
        <v>-161.04999999999998</v>
      </c>
      <c r="AO150" s="1">
        <f>SQRT((((X150-1)*AI150^2)+((W150-1)*AL150^2))/(X150+W150-2))</f>
        <v>205.62268089877631</v>
      </c>
      <c r="AP150" s="1">
        <f>AN150/AO150</f>
        <v>-0.78323071801248179</v>
      </c>
      <c r="AQ150" s="1">
        <f>1/X150+1/W150+(AP150^2)/(2*(X150+W150))</f>
        <v>4.7852501986879709E-2</v>
      </c>
      <c r="AR150" s="1">
        <f>1-(3/(4*(X150+W150-2)-1))</f>
        <v>0.99145299145299148</v>
      </c>
      <c r="AS150" s="21">
        <f>AP150*AR150</f>
        <v>-0.77653643837134945</v>
      </c>
      <c r="AT150" s="21">
        <f>AQ150*(AR150^2)</f>
        <v>4.7038006190039693E-2</v>
      </c>
      <c r="AU150" s="21">
        <f>SQRT(AQ150*AR150^2)</f>
        <v>0.21688247091464005</v>
      </c>
      <c r="AV150" s="20">
        <f>1/AT150</f>
        <v>21.259404490060003</v>
      </c>
      <c r="AW150" s="20">
        <f>AS150/AT150</f>
        <v>-16.508702244607068</v>
      </c>
      <c r="AX150" s="20">
        <f>((AS150)^2)/AT150</f>
        <v>12.819608843160275</v>
      </c>
      <c r="AY150" s="14"/>
      <c r="AZ150" s="14"/>
      <c r="BA150" s="1" t="s">
        <v>270</v>
      </c>
      <c r="BB150" s="2"/>
    </row>
    <row r="151" spans="1:63" ht="14.25" customHeight="1">
      <c r="A151" s="2">
        <v>562</v>
      </c>
      <c r="B151" s="2" t="s">
        <v>71</v>
      </c>
      <c r="C151" s="1" t="s">
        <v>85</v>
      </c>
      <c r="D151" s="1">
        <v>2023</v>
      </c>
      <c r="E151" s="1">
        <v>2021</v>
      </c>
      <c r="F151" s="1" t="s">
        <v>96</v>
      </c>
      <c r="G151" s="1" t="s">
        <v>119</v>
      </c>
      <c r="H151" s="1">
        <v>-36.537121999999997</v>
      </c>
      <c r="I151" s="1">
        <v>142.010153</v>
      </c>
      <c r="J151" s="1" t="s">
        <v>128</v>
      </c>
      <c r="K151" s="1" t="s">
        <v>112</v>
      </c>
      <c r="M151" s="1" t="s">
        <v>237</v>
      </c>
      <c r="N151" s="16" t="s">
        <v>238</v>
      </c>
      <c r="O151" s="1" t="s">
        <v>86</v>
      </c>
      <c r="Q151" s="1" t="s">
        <v>93</v>
      </c>
      <c r="S151" s="1">
        <v>5</v>
      </c>
      <c r="T151" s="1">
        <f>S151*12</f>
        <v>60</v>
      </c>
      <c r="W151" s="1">
        <v>18</v>
      </c>
      <c r="X151" s="1">
        <v>17</v>
      </c>
      <c r="Y151" s="1" t="s">
        <v>97</v>
      </c>
      <c r="Z151" s="1" t="s">
        <v>133</v>
      </c>
      <c r="AA151" s="1" t="s">
        <v>1</v>
      </c>
      <c r="AB151" s="1" t="s">
        <v>98</v>
      </c>
      <c r="AC151" s="1" t="s">
        <v>202</v>
      </c>
      <c r="AD151" s="1" t="s">
        <v>99</v>
      </c>
      <c r="AE151" s="1" t="s">
        <v>102</v>
      </c>
      <c r="AF151" s="12" t="s">
        <v>384</v>
      </c>
      <c r="AG151" s="16" t="s">
        <v>315</v>
      </c>
      <c r="AH151" s="1">
        <v>7</v>
      </c>
      <c r="AI151" s="1">
        <f>8.07-6.05</f>
        <v>2.0200000000000005</v>
      </c>
      <c r="AJ151" s="12"/>
      <c r="AK151" s="12">
        <v>6.54</v>
      </c>
      <c r="AL151" s="12">
        <f>9.01-4.24</f>
        <v>4.7699999999999996</v>
      </c>
      <c r="AM151" s="12"/>
      <c r="AN151" s="12">
        <f>AH151-AK151</f>
        <v>0.45999999999999996</v>
      </c>
      <c r="AO151" s="1">
        <f>SQRT((((X151-1)*AI151^2)+((W151-1)*AL151^2))/(X151+W151-2))</f>
        <v>3.7012925670185362</v>
      </c>
      <c r="AP151" s="1">
        <f>AN151/AO151</f>
        <v>0.1242809077290907</v>
      </c>
      <c r="AQ151" s="1">
        <f>1/X151+1/W151+(AP151^2)/(2*(X151+W151))</f>
        <v>0.1145997384534055</v>
      </c>
      <c r="AR151" s="1">
        <f>1-(3/(4*(X151+W151-2)-1))</f>
        <v>0.97709923664122134</v>
      </c>
      <c r="AS151" s="21">
        <f>AP151*AR151</f>
        <v>0.12143478007117259</v>
      </c>
      <c r="AT151" s="21">
        <f>AQ151*(AR151^2)</f>
        <v>0.1094109967263327</v>
      </c>
      <c r="AU151" s="21">
        <f>SQRT(AQ151*AR151^2)</f>
        <v>0.33077333134086356</v>
      </c>
      <c r="AV151" s="20">
        <f>1/AT151</f>
        <v>9.1398491003722224</v>
      </c>
      <c r="AW151" s="20">
        <f>AS151/AT151</f>
        <v>1.1098955653874054</v>
      </c>
      <c r="AX151" s="20">
        <f>((AS151)^2)/AT151</f>
        <v>0.13477992388478932</v>
      </c>
      <c r="AY151" s="14"/>
      <c r="AZ151" s="14"/>
      <c r="BA151" s="1" t="s">
        <v>270</v>
      </c>
      <c r="BB151" s="2"/>
    </row>
    <row r="152" spans="1:63" ht="14.25" customHeight="1">
      <c r="A152" s="2">
        <v>562</v>
      </c>
      <c r="B152" s="2" t="s">
        <v>71</v>
      </c>
      <c r="C152" s="1" t="s">
        <v>85</v>
      </c>
      <c r="D152" s="1">
        <v>2023</v>
      </c>
      <c r="E152" s="1">
        <v>2021</v>
      </c>
      <c r="F152" s="1" t="s">
        <v>96</v>
      </c>
      <c r="G152" s="1" t="s">
        <v>119</v>
      </c>
      <c r="H152" s="1">
        <v>-36.537121999999997</v>
      </c>
      <c r="I152" s="1">
        <v>142.010153</v>
      </c>
      <c r="J152" s="1" t="s">
        <v>128</v>
      </c>
      <c r="K152" s="1" t="s">
        <v>112</v>
      </c>
      <c r="M152" s="1" t="s">
        <v>237</v>
      </c>
      <c r="N152" s="16" t="s">
        <v>238</v>
      </c>
      <c r="O152" s="1" t="s">
        <v>86</v>
      </c>
      <c r="Q152" s="1" t="s">
        <v>93</v>
      </c>
      <c r="S152" s="1">
        <v>5</v>
      </c>
      <c r="T152" s="1">
        <f>S152*12</f>
        <v>60</v>
      </c>
      <c r="W152" s="1">
        <v>18</v>
      </c>
      <c r="X152" s="1">
        <v>17</v>
      </c>
      <c r="Y152" s="1" t="s">
        <v>97</v>
      </c>
      <c r="Z152" s="1" t="s">
        <v>133</v>
      </c>
      <c r="AA152" s="1" t="s">
        <v>1</v>
      </c>
      <c r="AB152" s="1" t="s">
        <v>98</v>
      </c>
      <c r="AC152" s="1" t="s">
        <v>202</v>
      </c>
      <c r="AD152" s="1" t="s">
        <v>99</v>
      </c>
      <c r="AE152" s="1" t="s">
        <v>102</v>
      </c>
      <c r="AF152" s="12" t="s">
        <v>150</v>
      </c>
      <c r="AG152" s="16" t="s">
        <v>315</v>
      </c>
      <c r="AH152" s="12">
        <v>82.5</v>
      </c>
      <c r="AI152" s="12">
        <f>91.29-67.07</f>
        <v>24.220000000000013</v>
      </c>
      <c r="AJ152" s="12"/>
      <c r="AK152" s="12">
        <v>94.5</v>
      </c>
      <c r="AL152" s="12">
        <f>99.21-85.29</f>
        <v>13.919999999999987</v>
      </c>
      <c r="AM152" s="12"/>
      <c r="AN152" s="12">
        <f>AH152-AK152</f>
        <v>-12</v>
      </c>
      <c r="AO152" s="1">
        <f>SQRT((((X152-1)*AI152^2)+((W152-1)*AL152^2))/(X152+W152-2))</f>
        <v>19.601919510212479</v>
      </c>
      <c r="AP152" s="1">
        <f>AN152/AO152</f>
        <v>-0.61218494411978752</v>
      </c>
      <c r="AQ152" s="1">
        <f>1/X152+1/W152+(AP152^2)/(2*(X152+W152))</f>
        <v>0.11973294790741951</v>
      </c>
      <c r="AR152" s="1">
        <f>1-(3/(4*(X152+W152-2)-1))</f>
        <v>0.97709923664122134</v>
      </c>
      <c r="AS152" s="21">
        <f>AP152*AR152</f>
        <v>-0.59816544158269314</v>
      </c>
      <c r="AT152" s="21">
        <f>AQ152*(AR152^2)</f>
        <v>0.11431178943623105</v>
      </c>
      <c r="AU152" s="21">
        <f>SQRT(AQ152*AR152^2)</f>
        <v>0.3381002653595987</v>
      </c>
      <c r="AV152" s="20">
        <f>1/AT152</f>
        <v>8.7480040766735705</v>
      </c>
      <c r="AW152" s="20">
        <f>AS152/AT152</f>
        <v>-5.2327537214906457</v>
      </c>
      <c r="AX152" s="20">
        <f>((AS152)^2)/AT152</f>
        <v>3.1300524405089334</v>
      </c>
      <c r="AY152" s="14"/>
      <c r="AZ152" s="14"/>
      <c r="BA152" s="1" t="s">
        <v>270</v>
      </c>
      <c r="BB152" s="2"/>
    </row>
    <row r="153" spans="1:63" ht="14.25" customHeight="1">
      <c r="A153" s="2">
        <v>562</v>
      </c>
      <c r="B153" s="2" t="s">
        <v>71</v>
      </c>
      <c r="C153" s="1" t="s">
        <v>85</v>
      </c>
      <c r="D153" s="1">
        <v>2023</v>
      </c>
      <c r="E153" s="1">
        <v>2021</v>
      </c>
      <c r="F153" s="1" t="s">
        <v>96</v>
      </c>
      <c r="G153" s="1" t="s">
        <v>119</v>
      </c>
      <c r="H153" s="1">
        <v>-36.537121999999997</v>
      </c>
      <c r="I153" s="1">
        <v>142.010153</v>
      </c>
      <c r="J153" s="1" t="s">
        <v>128</v>
      </c>
      <c r="K153" s="1" t="s">
        <v>112</v>
      </c>
      <c r="M153" s="1" t="s">
        <v>237</v>
      </c>
      <c r="N153" s="16" t="s">
        <v>238</v>
      </c>
      <c r="O153" s="1" t="s">
        <v>86</v>
      </c>
      <c r="Q153" s="1" t="s">
        <v>93</v>
      </c>
      <c r="S153" s="1">
        <v>5</v>
      </c>
      <c r="T153" s="1">
        <f>S153*12</f>
        <v>60</v>
      </c>
      <c r="W153" s="1">
        <v>18</v>
      </c>
      <c r="X153" s="1">
        <v>17</v>
      </c>
      <c r="Y153" s="1" t="s">
        <v>97</v>
      </c>
      <c r="Z153" s="1" t="s">
        <v>133</v>
      </c>
      <c r="AA153" s="1" t="s">
        <v>1</v>
      </c>
      <c r="AB153" s="1" t="s">
        <v>98</v>
      </c>
      <c r="AC153" s="1" t="s">
        <v>202</v>
      </c>
      <c r="AD153" s="1" t="s">
        <v>99</v>
      </c>
      <c r="AE153" s="1" t="s">
        <v>102</v>
      </c>
      <c r="AF153" s="12" t="s">
        <v>312</v>
      </c>
      <c r="AG153" s="16" t="s">
        <v>315</v>
      </c>
      <c r="AH153" s="12">
        <v>16.079999999999998</v>
      </c>
      <c r="AI153" s="12">
        <f>21.08-12.29</f>
        <v>8.7899999999999991</v>
      </c>
      <c r="AJ153" s="12"/>
      <c r="AK153" s="12">
        <v>17.05</v>
      </c>
      <c r="AL153" s="12">
        <f>19.1-15.36</f>
        <v>3.740000000000002</v>
      </c>
      <c r="AM153" s="12"/>
      <c r="AN153" s="12">
        <f>AH153-AK153</f>
        <v>-0.97000000000000242</v>
      </c>
      <c r="AO153" s="1">
        <f>SQRT((((X153-1)*AI153^2)+((W153-1)*AL153^2))/(X153+W153-2))</f>
        <v>6.6833461044236779</v>
      </c>
      <c r="AP153" s="1">
        <f>AN153/AO153</f>
        <v>-0.14513687976715189</v>
      </c>
      <c r="AQ153" s="1">
        <f>1/X153+1/W153+(AP153^2)/(2*(X153+W153))</f>
        <v>0.11468000945115661</v>
      </c>
      <c r="AR153" s="1">
        <f>1-(3/(4*(X153+W153-2)-1))</f>
        <v>0.97709923664122134</v>
      </c>
      <c r="AS153" s="21">
        <f>AP153*AR153</f>
        <v>-0.14181313442897284</v>
      </c>
      <c r="AT153" s="21">
        <f>AQ153*(AR153^2)</f>
        <v>0.10948763328755608</v>
      </c>
      <c r="AU153" s="21">
        <f>SQRT(AQ153*AR153^2)</f>
        <v>0.33088915559074472</v>
      </c>
      <c r="AV153" s="20">
        <f>1/AT153</f>
        <v>9.133451605202028</v>
      </c>
      <c r="AW153" s="20">
        <f>AS153/AT153</f>
        <v>-1.295243400289033</v>
      </c>
      <c r="AX153" s="20">
        <f>((AS153)^2)/AT153</f>
        <v>0.1836825264434285</v>
      </c>
      <c r="AY153" s="14"/>
      <c r="AZ153" s="14"/>
      <c r="BA153" s="1" t="s">
        <v>270</v>
      </c>
      <c r="BB153" s="2"/>
    </row>
    <row r="154" spans="1:63" ht="14.25" customHeight="1">
      <c r="A154" s="2">
        <v>562</v>
      </c>
      <c r="B154" s="2" t="s">
        <v>71</v>
      </c>
      <c r="C154" s="1" t="s">
        <v>85</v>
      </c>
      <c r="D154" s="1">
        <v>2023</v>
      </c>
      <c r="E154" s="1">
        <v>2021</v>
      </c>
      <c r="F154" s="1" t="s">
        <v>96</v>
      </c>
      <c r="G154" s="1" t="s">
        <v>119</v>
      </c>
      <c r="H154" s="1">
        <v>-36.537121999999997</v>
      </c>
      <c r="I154" s="1">
        <v>142.010153</v>
      </c>
      <c r="J154" s="1" t="s">
        <v>128</v>
      </c>
      <c r="K154" s="1" t="s">
        <v>112</v>
      </c>
      <c r="M154" s="1" t="s">
        <v>237</v>
      </c>
      <c r="N154" s="16" t="s">
        <v>238</v>
      </c>
      <c r="O154" s="1" t="s">
        <v>86</v>
      </c>
      <c r="Q154" s="1" t="s">
        <v>93</v>
      </c>
      <c r="S154" s="1">
        <v>5</v>
      </c>
      <c r="T154" s="1">
        <f>S154*12</f>
        <v>60</v>
      </c>
      <c r="W154" s="1">
        <v>18</v>
      </c>
      <c r="X154" s="1">
        <v>17</v>
      </c>
      <c r="Y154" s="1" t="s">
        <v>97</v>
      </c>
      <c r="Z154" s="1" t="s">
        <v>133</v>
      </c>
      <c r="AA154" s="1" t="s">
        <v>1</v>
      </c>
      <c r="AB154" s="1" t="s">
        <v>98</v>
      </c>
      <c r="AC154" s="1" t="s">
        <v>202</v>
      </c>
      <c r="AD154" s="12" t="s">
        <v>99</v>
      </c>
      <c r="AE154" s="1" t="s">
        <v>102</v>
      </c>
      <c r="AF154" s="1" t="s">
        <v>256</v>
      </c>
      <c r="AG154" s="1" t="s">
        <v>316</v>
      </c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4"/>
      <c r="AZ154" s="14"/>
      <c r="BA154" s="16" t="s">
        <v>285</v>
      </c>
    </row>
    <row r="155" spans="1:63" ht="14.25" customHeight="1">
      <c r="A155" s="2">
        <v>174</v>
      </c>
      <c r="B155" s="2" t="s">
        <v>24</v>
      </c>
      <c r="C155" s="1" t="s">
        <v>85</v>
      </c>
      <c r="D155" s="1">
        <v>2018</v>
      </c>
      <c r="E155" s="1">
        <v>2014</v>
      </c>
      <c r="F155" s="1" t="s">
        <v>143</v>
      </c>
      <c r="G155" s="1" t="s">
        <v>119</v>
      </c>
      <c r="H155" s="1">
        <v>45.633378</v>
      </c>
      <c r="I155" s="1">
        <v>-117.217235</v>
      </c>
      <c r="J155" s="1" t="s">
        <v>382</v>
      </c>
      <c r="K155" s="1" t="s">
        <v>176</v>
      </c>
      <c r="L155" s="1" t="s">
        <v>192</v>
      </c>
      <c r="M155" s="1" t="s">
        <v>236</v>
      </c>
      <c r="N155" s="16" t="s">
        <v>238</v>
      </c>
      <c r="O155" s="1" t="s">
        <v>121</v>
      </c>
      <c r="Q155" s="1" t="s">
        <v>93</v>
      </c>
      <c r="R155" s="1">
        <v>2000</v>
      </c>
      <c r="S155" s="1">
        <v>14</v>
      </c>
      <c r="T155" s="1">
        <f>S155*12</f>
        <v>168</v>
      </c>
      <c r="W155" s="1">
        <v>4</v>
      </c>
      <c r="X155" s="1">
        <v>4</v>
      </c>
      <c r="Y155" s="1" t="s">
        <v>134</v>
      </c>
      <c r="Z155" s="1" t="s">
        <v>133</v>
      </c>
      <c r="AA155" s="1" t="s">
        <v>1</v>
      </c>
      <c r="AB155" s="1" t="s">
        <v>98</v>
      </c>
      <c r="AC155" s="1" t="s">
        <v>158</v>
      </c>
      <c r="AD155" s="12" t="s">
        <v>203</v>
      </c>
      <c r="AE155" s="1" t="s">
        <v>100</v>
      </c>
      <c r="AF155" s="12" t="str">
        <f>J155&amp;"_"&amp;"Richness"</f>
        <v>ECM_Richness</v>
      </c>
      <c r="AG155" s="1" t="s">
        <v>317</v>
      </c>
      <c r="AH155" s="1">
        <v>2.75</v>
      </c>
      <c r="AI155" s="1">
        <f>AJ155*SQRT(X155)</f>
        <v>1.84</v>
      </c>
      <c r="AJ155" s="1">
        <v>0.92</v>
      </c>
      <c r="AK155" s="1">
        <v>3.13</v>
      </c>
      <c r="AL155" s="1">
        <f>AM155*SQRT(W155)</f>
        <v>1.58</v>
      </c>
      <c r="AM155" s="1">
        <v>0.79</v>
      </c>
      <c r="AN155" s="12">
        <f>AH155-AK155</f>
        <v>-0.37999999999999989</v>
      </c>
      <c r="AO155" s="1">
        <f>SQRT((((X155-1)*AI155^2)+((W155-1)*AL155^2))/(X155+W155-2))</f>
        <v>1.7149344010777789</v>
      </c>
      <c r="AP155" s="1">
        <f>AN155/AO155</f>
        <v>-0.22158281958842427</v>
      </c>
      <c r="AQ155" s="1">
        <f>1/X155+1/W155+(AP155^2)/(2*(X155+W155))</f>
        <v>0.50306868412104722</v>
      </c>
      <c r="AR155" s="1">
        <f>1-(3/(4*(X155+W155-2)-1))</f>
        <v>0.86956521739130432</v>
      </c>
      <c r="AS155" s="21">
        <f>AP155*AR155</f>
        <v>-0.19268071268558631</v>
      </c>
      <c r="AT155" s="21">
        <f>AQ155*(AR155^2)</f>
        <v>0.38039219971345728</v>
      </c>
      <c r="AU155" s="21">
        <f>SQRT(AQ155*AR155^2)</f>
        <v>0.61675943423141677</v>
      </c>
      <c r="AV155" s="20">
        <f>1/AT155</f>
        <v>2.6288656832429327</v>
      </c>
      <c r="AW155" s="20">
        <f>AS155/AT155</f>
        <v>-0.50653171340192904</v>
      </c>
      <c r="AX155" s="20">
        <f>((AS155)^2)/AT155</f>
        <v>9.7598891536134852E-2</v>
      </c>
      <c r="AY155" s="14"/>
      <c r="AZ155" s="14"/>
      <c r="BA155" s="1" t="s">
        <v>270</v>
      </c>
      <c r="BB155" s="2"/>
    </row>
    <row r="156" spans="1:63" s="12" customFormat="1" ht="14.25" customHeight="1">
      <c r="A156" s="2">
        <v>442</v>
      </c>
      <c r="B156" s="2" t="s">
        <v>54</v>
      </c>
      <c r="C156" s="12" t="s">
        <v>85</v>
      </c>
      <c r="D156" s="12">
        <v>2015</v>
      </c>
      <c r="E156" s="12" t="s">
        <v>217</v>
      </c>
      <c r="F156" s="12" t="s">
        <v>120</v>
      </c>
      <c r="G156" s="12" t="s">
        <v>109</v>
      </c>
      <c r="H156" s="12">
        <v>41.696944000000002</v>
      </c>
      <c r="I156" s="12">
        <v>-6.2241109999999997</v>
      </c>
      <c r="J156" s="12" t="s">
        <v>126</v>
      </c>
      <c r="K156" s="12" t="s">
        <v>184</v>
      </c>
      <c r="L156" s="12" t="s">
        <v>185</v>
      </c>
      <c r="M156" s="12" t="s">
        <v>237</v>
      </c>
      <c r="N156" s="12" t="s">
        <v>238</v>
      </c>
      <c r="O156" s="12" t="s">
        <v>86</v>
      </c>
      <c r="Q156" s="12" t="s">
        <v>93</v>
      </c>
      <c r="R156" s="12">
        <v>2002</v>
      </c>
      <c r="S156" s="12">
        <v>8</v>
      </c>
      <c r="T156" s="1">
        <f>S156*12</f>
        <v>96</v>
      </c>
      <c r="W156" s="12">
        <v>3</v>
      </c>
      <c r="X156" s="12">
        <v>3</v>
      </c>
      <c r="Y156" s="12" t="s">
        <v>114</v>
      </c>
      <c r="Z156" s="12" t="s">
        <v>2</v>
      </c>
      <c r="AA156" s="12" t="s">
        <v>0</v>
      </c>
      <c r="AB156" s="12" t="s">
        <v>113</v>
      </c>
      <c r="AC156" s="12" t="s">
        <v>2</v>
      </c>
      <c r="AD156" s="12" t="s">
        <v>2</v>
      </c>
      <c r="AE156" s="12" t="s">
        <v>2</v>
      </c>
      <c r="AF156" s="12" t="s">
        <v>384</v>
      </c>
      <c r="AG156" s="12" t="s">
        <v>319</v>
      </c>
      <c r="AH156" s="12">
        <v>19.98</v>
      </c>
      <c r="AI156" s="12">
        <f>AJ156*SQRT(W156)</f>
        <v>4.2435244785437476</v>
      </c>
      <c r="AJ156" s="12">
        <f>22.43-AH156</f>
        <v>2.4499999999999993</v>
      </c>
      <c r="AK156" s="12">
        <v>10.4</v>
      </c>
      <c r="AL156" s="12">
        <f>AM156*SQRT(X156)</f>
        <v>4.4513705754520148</v>
      </c>
      <c r="AM156" s="12">
        <f>12.97-AK156</f>
        <v>2.5700000000000003</v>
      </c>
      <c r="AN156" s="12">
        <f>AH156-AK156</f>
        <v>9.58</v>
      </c>
      <c r="AO156" s="12">
        <f>SQRT((((X156-1)*AI156^2)+((W156-1)*AL156^2))/(X156+W156-2))</f>
        <v>4.3486894577562092</v>
      </c>
      <c r="AP156" s="12">
        <f>AN156/AO156</f>
        <v>2.202962546086928</v>
      </c>
      <c r="AQ156" s="12">
        <f>1/X156+1/W156+(AP156^2)/(2*(X156+W156))</f>
        <v>1.0710869982884832</v>
      </c>
      <c r="AR156" s="12">
        <f>1-(3/(4*(X156+W156-2)-1))</f>
        <v>0.8</v>
      </c>
      <c r="AS156" s="21">
        <f>AP156*AR156</f>
        <v>1.7623700368695425</v>
      </c>
      <c r="AT156" s="21">
        <f>AQ156*(AR156^2)</f>
        <v>0.68549567890462937</v>
      </c>
      <c r="AU156" s="21">
        <f>SQRT(AQ156*AR156^2)</f>
        <v>0.82794666428739805</v>
      </c>
      <c r="AV156" s="20">
        <f>1/AT156</f>
        <v>1.4587984005937498</v>
      </c>
      <c r="AW156" s="20">
        <f>AS156/AT156</f>
        <v>2.5709425910396364</v>
      </c>
      <c r="AX156" s="20">
        <f>((AS156)^2)/AT156</f>
        <v>4.5309521889600015</v>
      </c>
      <c r="AY156" s="14"/>
      <c r="AZ156" s="14"/>
      <c r="BA156" s="12" t="s">
        <v>270</v>
      </c>
      <c r="BB156" s="2"/>
    </row>
    <row r="157" spans="1:63" s="12" customFormat="1" ht="14.25" customHeight="1">
      <c r="A157" s="2">
        <v>442</v>
      </c>
      <c r="B157" s="2" t="s">
        <v>54</v>
      </c>
      <c r="C157" s="12" t="s">
        <v>85</v>
      </c>
      <c r="D157" s="12">
        <v>2015</v>
      </c>
      <c r="E157" s="12" t="s">
        <v>217</v>
      </c>
      <c r="F157" s="12" t="s">
        <v>120</v>
      </c>
      <c r="G157" s="12" t="s">
        <v>109</v>
      </c>
      <c r="H157" s="12">
        <v>41.696944000000002</v>
      </c>
      <c r="I157" s="12">
        <v>-6.2241109999999997</v>
      </c>
      <c r="J157" s="12" t="s">
        <v>126</v>
      </c>
      <c r="K157" s="12" t="s">
        <v>184</v>
      </c>
      <c r="L157" s="12" t="s">
        <v>185</v>
      </c>
      <c r="M157" s="12" t="s">
        <v>237</v>
      </c>
      <c r="N157" s="12" t="s">
        <v>238</v>
      </c>
      <c r="O157" s="12" t="s">
        <v>86</v>
      </c>
      <c r="Q157" s="12" t="s">
        <v>93</v>
      </c>
      <c r="R157" s="12">
        <v>2002</v>
      </c>
      <c r="S157" s="12">
        <v>8</v>
      </c>
      <c r="T157" s="1">
        <f>S157*12</f>
        <v>96</v>
      </c>
      <c r="W157" s="12">
        <v>3</v>
      </c>
      <c r="X157" s="12">
        <v>3</v>
      </c>
      <c r="Y157" s="12" t="s">
        <v>114</v>
      </c>
      <c r="Z157" s="12" t="s">
        <v>2</v>
      </c>
      <c r="AA157" s="12" t="s">
        <v>0</v>
      </c>
      <c r="AB157" s="12" t="s">
        <v>113</v>
      </c>
      <c r="AC157" s="12" t="s">
        <v>2</v>
      </c>
      <c r="AD157" s="12" t="s">
        <v>2</v>
      </c>
      <c r="AE157" s="12" t="s">
        <v>2</v>
      </c>
      <c r="AF157" s="12" t="s">
        <v>386</v>
      </c>
      <c r="AG157" s="12" t="s">
        <v>315</v>
      </c>
      <c r="AH157" s="12">
        <v>2.44</v>
      </c>
      <c r="AI157" s="12">
        <f>AJ157*SQRT(W157)</f>
        <v>0.4676537180435969</v>
      </c>
      <c r="AJ157" s="12">
        <f>2.71-AH157</f>
        <v>0.27</v>
      </c>
      <c r="AK157" s="12">
        <v>1.56</v>
      </c>
      <c r="AL157" s="12">
        <f>AM157*SQRT(X157)</f>
        <v>0.5542562584220404</v>
      </c>
      <c r="AM157" s="12">
        <f>1.88-AK157</f>
        <v>0.31999999999999984</v>
      </c>
      <c r="AN157" s="12">
        <f>AH157-AK157</f>
        <v>0.87999999999999989</v>
      </c>
      <c r="AO157" s="12">
        <f>SQRT((((X157-1)*AI157^2)+((W157-1)*AL157^2))/(X157+W157-2))</f>
        <v>0.51278650528265646</v>
      </c>
      <c r="AP157" s="12">
        <f>AN157/AO157</f>
        <v>1.7161138035700243</v>
      </c>
      <c r="AQ157" s="12">
        <f>1/X157+1/W157+(AP157^2)/(2*(X157+W157))</f>
        <v>0.91208721556696459</v>
      </c>
      <c r="AR157" s="12">
        <f>1-(3/(4*(X157+W157-2)-1))</f>
        <v>0.8</v>
      </c>
      <c r="AS157" s="21">
        <f>AP157*AR157</f>
        <v>1.3728910428560195</v>
      </c>
      <c r="AT157" s="21">
        <f>AQ157*(AR157^2)</f>
        <v>0.58373581796285745</v>
      </c>
      <c r="AU157" s="21">
        <f>SQRT(AQ157*AR157^2)</f>
        <v>0.76402605843181648</v>
      </c>
      <c r="AV157" s="20">
        <f>1/AT157</f>
        <v>1.7131037178596245</v>
      </c>
      <c r="AW157" s="20">
        <f>AS157/AT157</f>
        <v>2.351904749732824</v>
      </c>
      <c r="AX157" s="20">
        <f>((AS157)^2)/AT157</f>
        <v>3.2289089645587219</v>
      </c>
      <c r="AY157" s="14"/>
      <c r="AZ157" s="14"/>
      <c r="BA157" s="12" t="s">
        <v>270</v>
      </c>
      <c r="BB157" s="2"/>
    </row>
    <row r="158" spans="1:63" s="12" customFormat="1" ht="14.25" customHeight="1">
      <c r="A158" s="2">
        <v>442</v>
      </c>
      <c r="B158" s="2" t="s">
        <v>54</v>
      </c>
      <c r="C158" s="12" t="s">
        <v>85</v>
      </c>
      <c r="D158" s="12">
        <v>2015</v>
      </c>
      <c r="E158" s="12" t="s">
        <v>217</v>
      </c>
      <c r="F158" s="12" t="s">
        <v>120</v>
      </c>
      <c r="G158" s="12" t="s">
        <v>109</v>
      </c>
      <c r="H158" s="12">
        <v>41.696944000000002</v>
      </c>
      <c r="I158" s="12">
        <v>-6.2241109999999997</v>
      </c>
      <c r="J158" s="12" t="s">
        <v>126</v>
      </c>
      <c r="K158" s="12" t="s">
        <v>184</v>
      </c>
      <c r="L158" s="12" t="s">
        <v>185</v>
      </c>
      <c r="M158" s="12" t="s">
        <v>237</v>
      </c>
      <c r="N158" s="12" t="s">
        <v>238</v>
      </c>
      <c r="O158" s="12" t="s">
        <v>86</v>
      </c>
      <c r="Q158" s="12" t="s">
        <v>93</v>
      </c>
      <c r="R158" s="12">
        <v>2002</v>
      </c>
      <c r="S158" s="12">
        <v>8</v>
      </c>
      <c r="T158" s="1">
        <f>S158*12</f>
        <v>96</v>
      </c>
      <c r="W158" s="12">
        <v>3</v>
      </c>
      <c r="X158" s="12">
        <v>3</v>
      </c>
      <c r="Y158" s="12" t="s">
        <v>114</v>
      </c>
      <c r="Z158" s="12" t="s">
        <v>2</v>
      </c>
      <c r="AA158" s="12" t="s">
        <v>0</v>
      </c>
      <c r="AB158" s="12" t="s">
        <v>113</v>
      </c>
      <c r="AC158" s="12" t="s">
        <v>2</v>
      </c>
      <c r="AD158" s="12" t="s">
        <v>2</v>
      </c>
      <c r="AE158" s="12" t="s">
        <v>2</v>
      </c>
      <c r="AF158" s="12" t="s">
        <v>385</v>
      </c>
      <c r="AG158" s="12" t="s">
        <v>317</v>
      </c>
      <c r="AH158" s="12">
        <f>((37*100)/74)/100</f>
        <v>0.5</v>
      </c>
      <c r="AI158" s="14"/>
      <c r="AJ158" s="14"/>
      <c r="AK158" s="12">
        <f>((35*100)/83)/100</f>
        <v>0.42168674698795178</v>
      </c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">
        <f>LOG(AH158/AK158)</f>
        <v>7.3980052361817081E-2</v>
      </c>
      <c r="AZ158" s="12">
        <f>((1-AH158)/(AH158*X158))+((1-AK158)/(W158*AK158))</f>
        <v>0.79047619047619055</v>
      </c>
      <c r="BA158" s="12" t="s">
        <v>283</v>
      </c>
    </row>
    <row r="159" spans="1:63" s="12" customFormat="1" ht="14.25" customHeight="1">
      <c r="A159" s="2">
        <v>442</v>
      </c>
      <c r="B159" s="2" t="s">
        <v>54</v>
      </c>
      <c r="C159" s="12" t="s">
        <v>85</v>
      </c>
      <c r="D159" s="12">
        <v>2015</v>
      </c>
      <c r="E159" s="12" t="s">
        <v>217</v>
      </c>
      <c r="F159" s="12" t="s">
        <v>120</v>
      </c>
      <c r="G159" s="12" t="s">
        <v>109</v>
      </c>
      <c r="H159" s="12">
        <v>41.696944000000002</v>
      </c>
      <c r="I159" s="12">
        <v>-6.2241109999999997</v>
      </c>
      <c r="J159" s="12" t="s">
        <v>126</v>
      </c>
      <c r="K159" s="12" t="s">
        <v>184</v>
      </c>
      <c r="L159" s="12" t="s">
        <v>185</v>
      </c>
      <c r="M159" s="12" t="s">
        <v>237</v>
      </c>
      <c r="N159" s="12" t="s">
        <v>238</v>
      </c>
      <c r="O159" s="12" t="s">
        <v>86</v>
      </c>
      <c r="Q159" s="12" t="s">
        <v>93</v>
      </c>
      <c r="R159" s="12">
        <v>2002</v>
      </c>
      <c r="S159" s="12">
        <v>8</v>
      </c>
      <c r="T159" s="1">
        <f>S159*12</f>
        <v>96</v>
      </c>
      <c r="W159" s="12">
        <v>3</v>
      </c>
      <c r="X159" s="12">
        <v>3</v>
      </c>
      <c r="Y159" s="12" t="s">
        <v>114</v>
      </c>
      <c r="Z159" s="12" t="s">
        <v>2</v>
      </c>
      <c r="AA159" s="12" t="s">
        <v>0</v>
      </c>
      <c r="AB159" s="12" t="s">
        <v>113</v>
      </c>
      <c r="AC159" s="12" t="s">
        <v>2</v>
      </c>
      <c r="AD159" s="12" t="s">
        <v>2</v>
      </c>
      <c r="AE159" s="12" t="s">
        <v>2</v>
      </c>
      <c r="AF159" s="12" t="s">
        <v>150</v>
      </c>
      <c r="AG159" s="12" t="s">
        <v>319</v>
      </c>
      <c r="AH159" s="12">
        <v>11.55</v>
      </c>
      <c r="AI159" s="12">
        <f>AJ159*SQRT(W159)</f>
        <v>4.1222809220139256</v>
      </c>
      <c r="AJ159" s="12">
        <f>13.93-AH159</f>
        <v>2.379999999999999</v>
      </c>
      <c r="AK159" s="12">
        <v>12.62</v>
      </c>
      <c r="AL159" s="12">
        <f>AM159*SQRT(X159)</f>
        <v>4.3301270189221928</v>
      </c>
      <c r="AM159" s="12">
        <f>15.12-AK159</f>
        <v>2.5</v>
      </c>
      <c r="AN159" s="12">
        <f>AH159-AK159</f>
        <v>-1.0699999999999985</v>
      </c>
      <c r="AO159" s="12">
        <f>SQRT((((X159-1)*AI159^2)+((W159-1)*AL159^2))/(X159+W159-2))</f>
        <v>4.227481519770369</v>
      </c>
      <c r="AP159" s="12">
        <f>AN159/AO159</f>
        <v>-0.25310577822658809</v>
      </c>
      <c r="AQ159" s="12">
        <f>1/X159+1/W159+(AP159^2)/(2*(X159+W159))</f>
        <v>0.67200521124764057</v>
      </c>
      <c r="AR159" s="12">
        <f>1-(3/(4*(X159+W159-2)-1))</f>
        <v>0.8</v>
      </c>
      <c r="AS159" s="21">
        <f>AP159*AR159</f>
        <v>-0.20248462258127048</v>
      </c>
      <c r="AT159" s="21">
        <f>AQ159*(AR159^2)</f>
        <v>0.43008333519849007</v>
      </c>
      <c r="AU159" s="21">
        <f>SQRT(AQ159*AR159^2)</f>
        <v>0.65580739184496084</v>
      </c>
      <c r="AV159" s="20">
        <f>1/AT159</f>
        <v>2.3251307785233868</v>
      </c>
      <c r="AW159" s="20">
        <f>AS159/AT159</f>
        <v>-0.47080322814140363</v>
      </c>
      <c r="AX159" s="20">
        <f>((AS159)^2)/AT159</f>
        <v>9.5330413960255891E-2</v>
      </c>
      <c r="AY159" s="14"/>
      <c r="AZ159" s="14"/>
      <c r="BA159" s="12" t="s">
        <v>270</v>
      </c>
      <c r="BB159" s="2"/>
    </row>
    <row r="160" spans="1:63" s="12" customFormat="1" ht="14.25" customHeight="1">
      <c r="A160" s="2">
        <v>442</v>
      </c>
      <c r="B160" s="2" t="s">
        <v>54</v>
      </c>
      <c r="C160" s="12" t="s">
        <v>85</v>
      </c>
      <c r="D160" s="12">
        <v>2015</v>
      </c>
      <c r="E160" s="12" t="s">
        <v>217</v>
      </c>
      <c r="F160" s="12" t="s">
        <v>120</v>
      </c>
      <c r="G160" s="12" t="s">
        <v>109</v>
      </c>
      <c r="H160" s="12">
        <v>41.696944000000002</v>
      </c>
      <c r="I160" s="12">
        <v>-6.2241109999999997</v>
      </c>
      <c r="J160" s="12" t="s">
        <v>126</v>
      </c>
      <c r="K160" s="12" t="s">
        <v>184</v>
      </c>
      <c r="L160" s="12" t="s">
        <v>185</v>
      </c>
      <c r="M160" s="12" t="s">
        <v>237</v>
      </c>
      <c r="N160" s="12" t="s">
        <v>238</v>
      </c>
      <c r="O160" s="12" t="s">
        <v>86</v>
      </c>
      <c r="Q160" s="12" t="s">
        <v>93</v>
      </c>
      <c r="R160" s="12">
        <v>2002</v>
      </c>
      <c r="S160" s="12">
        <v>8</v>
      </c>
      <c r="T160" s="1">
        <f>S160*12</f>
        <v>96</v>
      </c>
      <c r="W160" s="12">
        <v>3</v>
      </c>
      <c r="X160" s="12">
        <v>3</v>
      </c>
      <c r="Y160" s="12" t="s">
        <v>114</v>
      </c>
      <c r="Z160" s="12" t="s">
        <v>2</v>
      </c>
      <c r="AA160" s="12" t="s">
        <v>0</v>
      </c>
      <c r="AB160" s="12" t="s">
        <v>113</v>
      </c>
      <c r="AC160" s="12" t="s">
        <v>2</v>
      </c>
      <c r="AD160" s="12" t="s">
        <v>2</v>
      </c>
      <c r="AE160" s="12" t="s">
        <v>2</v>
      </c>
      <c r="AF160" s="12" t="s">
        <v>295</v>
      </c>
      <c r="AG160" s="12" t="s">
        <v>315</v>
      </c>
      <c r="AH160" s="12">
        <v>1.17</v>
      </c>
      <c r="AI160" s="12">
        <f>AJ160*SQRT(W160)</f>
        <v>0.48497422611928565</v>
      </c>
      <c r="AJ160" s="12">
        <f>1.45-AH160</f>
        <v>0.28000000000000003</v>
      </c>
      <c r="AK160" s="12">
        <v>1.49</v>
      </c>
      <c r="AL160" s="12">
        <f>AM160*SQRT(X160)</f>
        <v>0.57157676649772959</v>
      </c>
      <c r="AM160" s="12">
        <f>1.82-AK160</f>
        <v>0.33000000000000007</v>
      </c>
      <c r="AN160" s="12">
        <f>AH160-AK160</f>
        <v>-0.32000000000000006</v>
      </c>
      <c r="AO160" s="12">
        <f>SQRT((((X160-1)*AI160^2)+((W160-1)*AL160^2))/(X160+W160-2))</f>
        <v>0.53004716771245941</v>
      </c>
      <c r="AP160" s="12">
        <f>AN160/AO160</f>
        <v>-0.60371985644416093</v>
      </c>
      <c r="AQ160" s="12">
        <f>1/X160+1/W160+(AP160^2)/(2*(X160+W160))</f>
        <v>0.69703980542207977</v>
      </c>
      <c r="AR160" s="12">
        <f>1-(3/(4*(X160+W160-2)-1))</f>
        <v>0.8</v>
      </c>
      <c r="AS160" s="21">
        <f>AP160*AR160</f>
        <v>-0.48297588515532874</v>
      </c>
      <c r="AT160" s="21">
        <f>AQ160*(AR160^2)</f>
        <v>0.44610547547013113</v>
      </c>
      <c r="AU160" s="21">
        <f>SQRT(AQ160*AR160^2)</f>
        <v>0.66791127814263707</v>
      </c>
      <c r="AV160" s="20">
        <f>1/AT160</f>
        <v>2.2416223404255318</v>
      </c>
      <c r="AW160" s="20">
        <f>AS160/AT160</f>
        <v>-1.082649534050981</v>
      </c>
      <c r="AX160" s="20">
        <f>((AS160)^2)/AT160</f>
        <v>0.52289361702127679</v>
      </c>
      <c r="AY160" s="14"/>
      <c r="AZ160" s="14"/>
      <c r="BA160" s="12" t="s">
        <v>270</v>
      </c>
      <c r="BB160" s="2"/>
    </row>
    <row r="161" spans="1:63" s="12" customFormat="1" ht="14.25" customHeight="1">
      <c r="A161" s="2">
        <v>442</v>
      </c>
      <c r="B161" s="2" t="s">
        <v>54</v>
      </c>
      <c r="C161" s="12" t="s">
        <v>85</v>
      </c>
      <c r="D161" s="12">
        <v>2015</v>
      </c>
      <c r="E161" s="12" t="s">
        <v>217</v>
      </c>
      <c r="F161" s="12" t="s">
        <v>120</v>
      </c>
      <c r="G161" s="12" t="s">
        <v>109</v>
      </c>
      <c r="H161" s="12">
        <v>41.696944000000002</v>
      </c>
      <c r="I161" s="12">
        <v>-6.2241109999999997</v>
      </c>
      <c r="J161" s="12" t="s">
        <v>126</v>
      </c>
      <c r="K161" s="12" t="s">
        <v>184</v>
      </c>
      <c r="L161" s="12" t="s">
        <v>185</v>
      </c>
      <c r="M161" s="12" t="s">
        <v>237</v>
      </c>
      <c r="N161" s="12" t="s">
        <v>238</v>
      </c>
      <c r="O161" s="12" t="s">
        <v>86</v>
      </c>
      <c r="Q161" s="12" t="s">
        <v>93</v>
      </c>
      <c r="R161" s="12">
        <v>2002</v>
      </c>
      <c r="S161" s="12">
        <v>8</v>
      </c>
      <c r="T161" s="1">
        <f>S161*12</f>
        <v>96</v>
      </c>
      <c r="W161" s="12">
        <v>3</v>
      </c>
      <c r="X161" s="12">
        <v>3</v>
      </c>
      <c r="Y161" s="12" t="s">
        <v>114</v>
      </c>
      <c r="Z161" s="12" t="s">
        <v>2</v>
      </c>
      <c r="AA161" s="12" t="s">
        <v>0</v>
      </c>
      <c r="AB161" s="12" t="s">
        <v>113</v>
      </c>
      <c r="AC161" s="12" t="s">
        <v>2</v>
      </c>
      <c r="AD161" s="12" t="s">
        <v>2</v>
      </c>
      <c r="AE161" s="12" t="s">
        <v>2</v>
      </c>
      <c r="AF161" s="12" t="s">
        <v>344</v>
      </c>
      <c r="AG161" s="12" t="s">
        <v>317</v>
      </c>
      <c r="AH161" s="12">
        <f>((37*100)/74)/100</f>
        <v>0.5</v>
      </c>
      <c r="AI161" s="14"/>
      <c r="AJ161" s="14"/>
      <c r="AK161" s="12">
        <f>((48*100)/83)/100</f>
        <v>0.57831325301204817</v>
      </c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">
        <f>LOG(AH161/AK161)</f>
        <v>-6.319314066349449E-2</v>
      </c>
      <c r="AZ161" s="12">
        <f>((1-AH161)/(AH161*X161))+((1-AK161)/(W161*AK161))</f>
        <v>0.57638888888888895</v>
      </c>
      <c r="BA161" s="12" t="s">
        <v>283</v>
      </c>
    </row>
    <row r="162" spans="1:63" s="12" customFormat="1" ht="14.25" customHeight="1">
      <c r="A162" s="2">
        <v>442</v>
      </c>
      <c r="B162" s="2" t="s">
        <v>54</v>
      </c>
      <c r="C162" s="12" t="s">
        <v>85</v>
      </c>
      <c r="D162" s="12">
        <v>2015</v>
      </c>
      <c r="E162" s="12" t="s">
        <v>217</v>
      </c>
      <c r="F162" s="12" t="s">
        <v>120</v>
      </c>
      <c r="G162" s="12" t="s">
        <v>109</v>
      </c>
      <c r="H162" s="12">
        <v>41.696944000000002</v>
      </c>
      <c r="I162" s="12">
        <v>-6.2241109999999997</v>
      </c>
      <c r="J162" s="12" t="s">
        <v>126</v>
      </c>
      <c r="K162" s="12" t="s">
        <v>184</v>
      </c>
      <c r="L162" s="12" t="s">
        <v>185</v>
      </c>
      <c r="M162" s="12" t="s">
        <v>237</v>
      </c>
      <c r="N162" s="12" t="s">
        <v>238</v>
      </c>
      <c r="O162" s="12" t="s">
        <v>86</v>
      </c>
      <c r="Q162" s="12" t="s">
        <v>93</v>
      </c>
      <c r="R162" s="12">
        <v>2002</v>
      </c>
      <c r="S162" s="12">
        <v>8</v>
      </c>
      <c r="T162" s="1">
        <f>S162*12</f>
        <v>96</v>
      </c>
      <c r="W162" s="12">
        <v>3</v>
      </c>
      <c r="X162" s="12">
        <v>3</v>
      </c>
      <c r="Y162" s="12" t="s">
        <v>114</v>
      </c>
      <c r="Z162" s="12" t="s">
        <v>2</v>
      </c>
      <c r="AA162" s="12" t="s">
        <v>0</v>
      </c>
      <c r="AB162" s="12" t="s">
        <v>113</v>
      </c>
      <c r="AC162" s="12" t="s">
        <v>2</v>
      </c>
      <c r="AD162" s="12" t="s">
        <v>2</v>
      </c>
      <c r="AE162" s="12" t="s">
        <v>2</v>
      </c>
      <c r="AF162" s="12" t="s">
        <v>256</v>
      </c>
      <c r="AG162" s="12" t="s">
        <v>330</v>
      </c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2" t="s">
        <v>285</v>
      </c>
    </row>
    <row r="163" spans="1:63" s="12" customFormat="1" ht="14.25" customHeight="1">
      <c r="A163" s="2">
        <v>442</v>
      </c>
      <c r="B163" s="2" t="s">
        <v>54</v>
      </c>
      <c r="C163" s="12" t="s">
        <v>85</v>
      </c>
      <c r="D163" s="12">
        <v>2015</v>
      </c>
      <c r="E163" s="12" t="s">
        <v>217</v>
      </c>
      <c r="F163" s="12" t="s">
        <v>120</v>
      </c>
      <c r="G163" s="12" t="s">
        <v>109</v>
      </c>
      <c r="H163" s="12">
        <v>41.696944000000002</v>
      </c>
      <c r="I163" s="12">
        <v>-6.2241109999999997</v>
      </c>
      <c r="J163" s="12" t="s">
        <v>126</v>
      </c>
      <c r="K163" s="12" t="s">
        <v>184</v>
      </c>
      <c r="L163" s="12" t="s">
        <v>185</v>
      </c>
      <c r="M163" s="12" t="s">
        <v>237</v>
      </c>
      <c r="N163" s="12" t="s">
        <v>238</v>
      </c>
      <c r="O163" s="12" t="s">
        <v>121</v>
      </c>
      <c r="Q163" s="12" t="s">
        <v>93</v>
      </c>
      <c r="R163" s="12">
        <v>2010</v>
      </c>
      <c r="S163" s="12">
        <v>1.5</v>
      </c>
      <c r="T163" s="1">
        <f>S163*12</f>
        <v>18</v>
      </c>
      <c r="W163" s="12">
        <v>3</v>
      </c>
      <c r="X163" s="12">
        <v>3</v>
      </c>
      <c r="Y163" s="12" t="s">
        <v>114</v>
      </c>
      <c r="Z163" s="12" t="s">
        <v>2</v>
      </c>
      <c r="AA163" s="12" t="s">
        <v>0</v>
      </c>
      <c r="AB163" s="12" t="s">
        <v>113</v>
      </c>
      <c r="AC163" s="12" t="s">
        <v>2</v>
      </c>
      <c r="AD163" s="12" t="s">
        <v>2</v>
      </c>
      <c r="AE163" s="12" t="s">
        <v>2</v>
      </c>
      <c r="AF163" s="12" t="s">
        <v>384</v>
      </c>
      <c r="AG163" s="12" t="s">
        <v>319</v>
      </c>
      <c r="AH163" s="12">
        <v>4.5599999999999996</v>
      </c>
      <c r="AI163" s="12">
        <f>AJ163*SQRT(X163)</f>
        <v>4.2262039704680614</v>
      </c>
      <c r="AJ163" s="12">
        <f>7-AH163</f>
        <v>2.4400000000000004</v>
      </c>
      <c r="AK163" s="12">
        <v>10.4</v>
      </c>
      <c r="AL163" s="12">
        <f>AM163*SQRT(X163)</f>
        <v>4.4513705754520148</v>
      </c>
      <c r="AM163" s="12">
        <f>12.97-AK163</f>
        <v>2.5700000000000003</v>
      </c>
      <c r="AN163" s="12">
        <f>AH163-AK163</f>
        <v>-5.8400000000000007</v>
      </c>
      <c r="AO163" s="12">
        <f>SQRT((((X163-1)*AI163^2)+((W163-1)*AL163^2))/(X163+W163-2))</f>
        <v>4.3402476887845935</v>
      </c>
      <c r="AP163" s="12">
        <f>AN163/AO163</f>
        <v>-1.3455453279984086</v>
      </c>
      <c r="AQ163" s="12">
        <f>1/X163+1/W163+(AP163^2)/(2*(X163+W163))</f>
        <v>0.81754101914152866</v>
      </c>
      <c r="AR163" s="12">
        <f>1-(3/(4*(X163+W163-2)-1))</f>
        <v>0.8</v>
      </c>
      <c r="AS163" s="21">
        <f>AP163*AR163</f>
        <v>-1.0764362623987269</v>
      </c>
      <c r="AT163" s="21">
        <f>AQ163*(AR163^2)</f>
        <v>0.52322625225057839</v>
      </c>
      <c r="AU163" s="21">
        <f>SQRT(AQ163*AR163^2)</f>
        <v>0.7233437994830525</v>
      </c>
      <c r="AV163" s="20">
        <f>1/AT163</f>
        <v>1.911219086769159</v>
      </c>
      <c r="AW163" s="20">
        <f>AS163/AT163</f>
        <v>-2.0573055303869014</v>
      </c>
      <c r="AX163" s="20">
        <f>((AS163)^2)/AT163</f>
        <v>2.2145582757419069</v>
      </c>
      <c r="AY163" s="14"/>
      <c r="AZ163" s="14"/>
      <c r="BA163" s="12" t="s">
        <v>270</v>
      </c>
      <c r="BB163" s="2"/>
    </row>
    <row r="164" spans="1:63" s="12" customFormat="1" ht="14.25" customHeight="1">
      <c r="A164" s="2">
        <v>442</v>
      </c>
      <c r="B164" s="2" t="s">
        <v>54</v>
      </c>
      <c r="C164" s="12" t="s">
        <v>85</v>
      </c>
      <c r="D164" s="12">
        <v>2015</v>
      </c>
      <c r="E164" s="12" t="s">
        <v>217</v>
      </c>
      <c r="F164" s="12" t="s">
        <v>120</v>
      </c>
      <c r="G164" s="12" t="s">
        <v>109</v>
      </c>
      <c r="H164" s="12">
        <v>41.696944000000002</v>
      </c>
      <c r="I164" s="12">
        <v>-6.2241109999999997</v>
      </c>
      <c r="J164" s="12" t="s">
        <v>126</v>
      </c>
      <c r="K164" s="12" t="s">
        <v>184</v>
      </c>
      <c r="L164" s="12" t="s">
        <v>185</v>
      </c>
      <c r="M164" s="12" t="s">
        <v>237</v>
      </c>
      <c r="N164" s="12" t="s">
        <v>238</v>
      </c>
      <c r="O164" s="12" t="s">
        <v>121</v>
      </c>
      <c r="Q164" s="12" t="s">
        <v>93</v>
      </c>
      <c r="R164" s="12">
        <v>2010</v>
      </c>
      <c r="S164" s="12">
        <v>1.5</v>
      </c>
      <c r="T164" s="1">
        <f>S164*12</f>
        <v>18</v>
      </c>
      <c r="W164" s="12">
        <v>3</v>
      </c>
      <c r="X164" s="12">
        <v>3</v>
      </c>
      <c r="Y164" s="12" t="s">
        <v>114</v>
      </c>
      <c r="Z164" s="12" t="s">
        <v>2</v>
      </c>
      <c r="AA164" s="12" t="s">
        <v>0</v>
      </c>
      <c r="AB164" s="12" t="s">
        <v>113</v>
      </c>
      <c r="AC164" s="12" t="s">
        <v>2</v>
      </c>
      <c r="AD164" s="12" t="s">
        <v>2</v>
      </c>
      <c r="AE164" s="12" t="s">
        <v>2</v>
      </c>
      <c r="AF164" s="12" t="s">
        <v>386</v>
      </c>
      <c r="AG164" s="12" t="s">
        <v>315</v>
      </c>
      <c r="AH164" s="12">
        <v>0.78</v>
      </c>
      <c r="AI164" s="12">
        <f>AJ164*SQRT(X164)</f>
        <v>0.51961524227066325</v>
      </c>
      <c r="AJ164" s="12">
        <f>1.08-AH164</f>
        <v>0.30000000000000004</v>
      </c>
      <c r="AK164" s="12">
        <v>1.56</v>
      </c>
      <c r="AL164" s="12">
        <f>AM164*SQRT(X164)</f>
        <v>0.5542562584220404</v>
      </c>
      <c r="AM164" s="12">
        <f>1.88-AK164</f>
        <v>0.31999999999999984</v>
      </c>
      <c r="AN164" s="12">
        <f>AH164-AK164</f>
        <v>-0.78</v>
      </c>
      <c r="AO164" s="12">
        <f>SQRT((((X164-1)*AI164^2)+((W164-1)*AL164^2))/(X164+W164-2))</f>
        <v>0.53721504074253157</v>
      </c>
      <c r="AP164" s="12">
        <f>AN164/AO164</f>
        <v>-1.4519325425473835</v>
      </c>
      <c r="AQ164" s="12">
        <f>1/X164+1/W164+(AP164^2)/(2*(X164+W164))</f>
        <v>0.8423423423423424</v>
      </c>
      <c r="AR164" s="12">
        <f>1-(3/(4*(X164+W164-2)-1))</f>
        <v>0.8</v>
      </c>
      <c r="AS164" s="21">
        <f>AP164*AR164</f>
        <v>-1.1615460340379069</v>
      </c>
      <c r="AT164" s="21">
        <f>AQ164*(AR164^2)</f>
        <v>0.53909909909909925</v>
      </c>
      <c r="AU164" s="21">
        <f>SQRT(AQ164*AR164^2)</f>
        <v>0.73423368153408708</v>
      </c>
      <c r="AV164" s="20">
        <f>1/AT164</f>
        <v>1.8549465240641705</v>
      </c>
      <c r="AW164" s="20">
        <f>AS164/AT164</f>
        <v>-2.1546057783791381</v>
      </c>
      <c r="AX164" s="20">
        <f>((AS164)^2)/AT164</f>
        <v>2.502673796791445</v>
      </c>
      <c r="AY164" s="14"/>
      <c r="AZ164" s="14"/>
      <c r="BA164" s="12" t="s">
        <v>270</v>
      </c>
      <c r="BB164" s="2"/>
    </row>
    <row r="165" spans="1:63" s="12" customFormat="1" ht="14.25" customHeight="1">
      <c r="A165" s="2">
        <v>442</v>
      </c>
      <c r="B165" s="2" t="s">
        <v>54</v>
      </c>
      <c r="C165" s="12" t="s">
        <v>85</v>
      </c>
      <c r="D165" s="12">
        <v>2015</v>
      </c>
      <c r="E165" s="12" t="s">
        <v>217</v>
      </c>
      <c r="F165" s="12" t="s">
        <v>120</v>
      </c>
      <c r="G165" s="12" t="s">
        <v>109</v>
      </c>
      <c r="H165" s="12">
        <v>41.696944000000002</v>
      </c>
      <c r="I165" s="12">
        <v>-6.2241109999999997</v>
      </c>
      <c r="J165" s="12" t="s">
        <v>126</v>
      </c>
      <c r="K165" s="12" t="s">
        <v>184</v>
      </c>
      <c r="L165" s="12" t="s">
        <v>185</v>
      </c>
      <c r="M165" s="12" t="s">
        <v>237</v>
      </c>
      <c r="N165" s="12" t="s">
        <v>238</v>
      </c>
      <c r="O165" s="12" t="s">
        <v>121</v>
      </c>
      <c r="P165" s="12" t="s">
        <v>146</v>
      </c>
      <c r="Q165" s="12" t="s">
        <v>93</v>
      </c>
      <c r="R165" s="12">
        <v>2010</v>
      </c>
      <c r="S165" s="12">
        <v>1.5</v>
      </c>
      <c r="T165" s="1">
        <f>S165*12</f>
        <v>18</v>
      </c>
      <c r="W165" s="12">
        <v>3</v>
      </c>
      <c r="X165" s="12">
        <v>3</v>
      </c>
      <c r="Y165" s="12" t="s">
        <v>114</v>
      </c>
      <c r="Z165" s="12" t="s">
        <v>2</v>
      </c>
      <c r="AA165" s="12" t="s">
        <v>0</v>
      </c>
      <c r="AB165" s="12" t="s">
        <v>113</v>
      </c>
      <c r="AC165" s="12" t="s">
        <v>2</v>
      </c>
      <c r="AD165" s="12" t="s">
        <v>2</v>
      </c>
      <c r="AE165" s="12" t="s">
        <v>2</v>
      </c>
      <c r="AF165" s="12" t="s">
        <v>385</v>
      </c>
      <c r="AG165" s="12" t="s">
        <v>317</v>
      </c>
      <c r="AH165" s="12">
        <f>((24*100)/59)/100</f>
        <v>0.40677966101694912</v>
      </c>
      <c r="AI165" s="14"/>
      <c r="AJ165" s="14"/>
      <c r="AK165" s="12">
        <f>((35*100)/83)/100</f>
        <v>0.42168674698795178</v>
      </c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">
        <f>LOG(AH165/AK165)</f>
        <v>-1.5630721904739905E-2</v>
      </c>
      <c r="AZ165" s="12">
        <f>((1-AH165)/(AH165*X165))+((1-AK165)/(W165*AK165))</f>
        <v>0.94325396825396846</v>
      </c>
      <c r="BA165" s="12" t="s">
        <v>283</v>
      </c>
    </row>
    <row r="166" spans="1:63" s="12" customFormat="1" ht="14.25" customHeight="1">
      <c r="A166" s="2">
        <v>442</v>
      </c>
      <c r="B166" s="2" t="s">
        <v>54</v>
      </c>
      <c r="C166" s="12" t="s">
        <v>85</v>
      </c>
      <c r="D166" s="12">
        <v>2015</v>
      </c>
      <c r="E166" s="12" t="s">
        <v>217</v>
      </c>
      <c r="F166" s="12" t="s">
        <v>120</v>
      </c>
      <c r="G166" s="12" t="s">
        <v>109</v>
      </c>
      <c r="H166" s="12">
        <v>41.696944000000002</v>
      </c>
      <c r="I166" s="12">
        <v>-6.2241109999999997</v>
      </c>
      <c r="J166" s="12" t="s">
        <v>126</v>
      </c>
      <c r="K166" s="12" t="s">
        <v>184</v>
      </c>
      <c r="L166" s="12" t="s">
        <v>185</v>
      </c>
      <c r="M166" s="12" t="s">
        <v>237</v>
      </c>
      <c r="N166" s="12" t="s">
        <v>238</v>
      </c>
      <c r="O166" s="12" t="s">
        <v>121</v>
      </c>
      <c r="Q166" s="12" t="s">
        <v>93</v>
      </c>
      <c r="R166" s="12">
        <v>2010</v>
      </c>
      <c r="S166" s="12">
        <v>1.5</v>
      </c>
      <c r="T166" s="1">
        <f>S166*12</f>
        <v>18</v>
      </c>
      <c r="W166" s="12">
        <v>3</v>
      </c>
      <c r="X166" s="12">
        <v>3</v>
      </c>
      <c r="Y166" s="12" t="s">
        <v>114</v>
      </c>
      <c r="Z166" s="12" t="s">
        <v>2</v>
      </c>
      <c r="AA166" s="12" t="s">
        <v>0</v>
      </c>
      <c r="AB166" s="12" t="s">
        <v>113</v>
      </c>
      <c r="AC166" s="12" t="s">
        <v>2</v>
      </c>
      <c r="AD166" s="12" t="s">
        <v>2</v>
      </c>
      <c r="AE166" s="12" t="s">
        <v>2</v>
      </c>
      <c r="AF166" s="12" t="s">
        <v>150</v>
      </c>
      <c r="AG166" s="12" t="s">
        <v>319</v>
      </c>
      <c r="AH166" s="12">
        <v>5.6</v>
      </c>
      <c r="AI166" s="12">
        <f>AJ166*SQRT(X166)</f>
        <v>4.7284987046630356</v>
      </c>
      <c r="AJ166" s="12">
        <f>8.33-AH166</f>
        <v>2.7300000000000004</v>
      </c>
      <c r="AK166" s="12">
        <v>12.62</v>
      </c>
      <c r="AL166" s="12">
        <f>AM166*SQRT(X166)</f>
        <v>4.3301270189221928</v>
      </c>
      <c r="AM166" s="12">
        <f>15.12-AK166</f>
        <v>2.5</v>
      </c>
      <c r="AN166" s="12">
        <f>AH166-AK166</f>
        <v>-7.02</v>
      </c>
      <c r="AO166" s="12">
        <f>SQRT((((X166-1)*AI166^2)+((W166-1)*AL166^2))/(X166+W166-2))</f>
        <v>4.5336905496515749</v>
      </c>
      <c r="AP166" s="12">
        <f>AN166/AO166</f>
        <v>-1.5484074007961359</v>
      </c>
      <c r="AQ166" s="12">
        <f>1/X166+1/W166+(AP166^2)/(2*(X166+W166))</f>
        <v>0.86646378990335371</v>
      </c>
      <c r="AR166" s="12">
        <f>1-(3/(4*(X166+W166-2)-1))</f>
        <v>0.8</v>
      </c>
      <c r="AS166" s="21">
        <f>AP166*AR166</f>
        <v>-1.2387259206369088</v>
      </c>
      <c r="AT166" s="21">
        <f>AQ166*(AR166^2)</f>
        <v>0.55453682553814643</v>
      </c>
      <c r="AU166" s="21">
        <f>SQRT(AQ166*AR166^2)</f>
        <v>0.74467229405836388</v>
      </c>
      <c r="AV166" s="20">
        <f>1/AT166</f>
        <v>1.8033067488882399</v>
      </c>
      <c r="AW166" s="20">
        <f>AS166/AT166</f>
        <v>-2.2338028127073359</v>
      </c>
      <c r="AX166" s="20">
        <f>((AS166)^2)/AT166</f>
        <v>2.7670694456922114</v>
      </c>
      <c r="AY166" s="14"/>
      <c r="AZ166" s="14"/>
      <c r="BA166" s="12" t="s">
        <v>270</v>
      </c>
      <c r="BB166" s="2"/>
    </row>
    <row r="167" spans="1:63" s="12" customFormat="1" ht="14.25" customHeight="1">
      <c r="A167" s="2">
        <v>442</v>
      </c>
      <c r="B167" s="2" t="s">
        <v>54</v>
      </c>
      <c r="C167" s="12" t="s">
        <v>85</v>
      </c>
      <c r="D167" s="12">
        <v>2015</v>
      </c>
      <c r="E167" s="12" t="s">
        <v>217</v>
      </c>
      <c r="F167" s="12" t="s">
        <v>120</v>
      </c>
      <c r="G167" s="12" t="s">
        <v>109</v>
      </c>
      <c r="H167" s="12">
        <v>41.696944000000002</v>
      </c>
      <c r="I167" s="12">
        <v>-6.2241109999999997</v>
      </c>
      <c r="J167" s="12" t="s">
        <v>126</v>
      </c>
      <c r="K167" s="12" t="s">
        <v>184</v>
      </c>
      <c r="L167" s="12" t="s">
        <v>185</v>
      </c>
      <c r="M167" s="12" t="s">
        <v>237</v>
      </c>
      <c r="N167" s="12" t="s">
        <v>238</v>
      </c>
      <c r="O167" s="12" t="s">
        <v>121</v>
      </c>
      <c r="Q167" s="12" t="s">
        <v>93</v>
      </c>
      <c r="R167" s="12">
        <v>2010</v>
      </c>
      <c r="S167" s="12">
        <v>1.5</v>
      </c>
      <c r="T167" s="1">
        <f>S167*12</f>
        <v>18</v>
      </c>
      <c r="W167" s="12">
        <v>3</v>
      </c>
      <c r="X167" s="12">
        <v>3</v>
      </c>
      <c r="Y167" s="12" t="s">
        <v>114</v>
      </c>
      <c r="Z167" s="12" t="s">
        <v>2</v>
      </c>
      <c r="AA167" s="12" t="s">
        <v>0</v>
      </c>
      <c r="AB167" s="12" t="s">
        <v>113</v>
      </c>
      <c r="AC167" s="12" t="s">
        <v>2</v>
      </c>
      <c r="AD167" s="12" t="s">
        <v>2</v>
      </c>
      <c r="AE167" s="12" t="s">
        <v>2</v>
      </c>
      <c r="AF167" s="12" t="s">
        <v>295</v>
      </c>
      <c r="AG167" s="12" t="s">
        <v>315</v>
      </c>
      <c r="AH167" s="12">
        <v>0.77</v>
      </c>
      <c r="AI167" s="12">
        <f>AJ167*SQRT(X167)</f>
        <v>0.53693575034635199</v>
      </c>
      <c r="AJ167" s="12">
        <f>1.08-AH167</f>
        <v>0.31000000000000005</v>
      </c>
      <c r="AK167" s="12">
        <v>1.49</v>
      </c>
      <c r="AL167" s="12">
        <f>AM167*SQRT(X167)</f>
        <v>0.57157676649772959</v>
      </c>
      <c r="AM167" s="12">
        <f>1.82-AK167</f>
        <v>0.33000000000000007</v>
      </c>
      <c r="AN167" s="12">
        <f>AH167-AK167</f>
        <v>-0.72</v>
      </c>
      <c r="AO167" s="12">
        <f>SQRT((((X167-1)*AI167^2)+((W167-1)*AL167^2))/(X167+W167-2))</f>
        <v>0.55452682532047093</v>
      </c>
      <c r="AP167" s="12">
        <f>AN167/AO167</f>
        <v>-1.2984042739211024</v>
      </c>
      <c r="AQ167" s="12">
        <f>1/X167+1/W167+(AP167^2)/(2*(X167+W167))</f>
        <v>0.80715447154471542</v>
      </c>
      <c r="AR167" s="12">
        <f>1-(3/(4*(X167+W167-2)-1))</f>
        <v>0.8</v>
      </c>
      <c r="AS167" s="21">
        <f>AP167*AR167</f>
        <v>-1.0387234191368819</v>
      </c>
      <c r="AT167" s="21">
        <f>AQ167*(AR167^2)</f>
        <v>0.516578861788618</v>
      </c>
      <c r="AU167" s="21">
        <f>SQRT(AQ167*AR167^2)</f>
        <v>0.7187342080272916</v>
      </c>
      <c r="AV167" s="20">
        <f>1/AT167</f>
        <v>1.9358128525382752</v>
      </c>
      <c r="AW167" s="20">
        <f>AS167/AT167</f>
        <v>-2.0107741449976779</v>
      </c>
      <c r="AX167" s="20">
        <f>((AS167)^2)/AT167</f>
        <v>2.088638195004028</v>
      </c>
      <c r="AY167" s="14"/>
      <c r="AZ167" s="14"/>
      <c r="BA167" s="12" t="s">
        <v>270</v>
      </c>
      <c r="BB167" s="2"/>
    </row>
    <row r="168" spans="1:63" s="12" customFormat="1" ht="14.25" customHeight="1">
      <c r="A168" s="2">
        <v>442</v>
      </c>
      <c r="B168" s="2" t="s">
        <v>54</v>
      </c>
      <c r="C168" s="12" t="s">
        <v>85</v>
      </c>
      <c r="D168" s="12">
        <v>2015</v>
      </c>
      <c r="E168" s="12" t="s">
        <v>217</v>
      </c>
      <c r="F168" s="12" t="s">
        <v>120</v>
      </c>
      <c r="G168" s="12" t="s">
        <v>109</v>
      </c>
      <c r="H168" s="12">
        <v>41.696944000000002</v>
      </c>
      <c r="I168" s="12">
        <v>-6.2241109999999997</v>
      </c>
      <c r="J168" s="12" t="s">
        <v>126</v>
      </c>
      <c r="K168" s="12" t="s">
        <v>184</v>
      </c>
      <c r="L168" s="12" t="s">
        <v>185</v>
      </c>
      <c r="M168" s="12" t="s">
        <v>237</v>
      </c>
      <c r="N168" s="12" t="s">
        <v>238</v>
      </c>
      <c r="O168" s="12" t="s">
        <v>121</v>
      </c>
      <c r="P168" s="12" t="s">
        <v>146</v>
      </c>
      <c r="Q168" s="12" t="s">
        <v>93</v>
      </c>
      <c r="R168" s="12">
        <v>2010</v>
      </c>
      <c r="S168" s="12">
        <v>1.5</v>
      </c>
      <c r="T168" s="1">
        <f>S168*12</f>
        <v>18</v>
      </c>
      <c r="W168" s="12">
        <v>3</v>
      </c>
      <c r="X168" s="12">
        <v>3</v>
      </c>
      <c r="Y168" s="12" t="s">
        <v>114</v>
      </c>
      <c r="Z168" s="12" t="s">
        <v>2</v>
      </c>
      <c r="AA168" s="12" t="s">
        <v>0</v>
      </c>
      <c r="AB168" s="12" t="s">
        <v>113</v>
      </c>
      <c r="AC168" s="12" t="s">
        <v>2</v>
      </c>
      <c r="AD168" s="12" t="s">
        <v>2</v>
      </c>
      <c r="AE168" s="12" t="s">
        <v>2</v>
      </c>
      <c r="AF168" s="12" t="s">
        <v>344</v>
      </c>
      <c r="AG168" s="12" t="s">
        <v>317</v>
      </c>
      <c r="AH168" s="12">
        <f>((24*100)/59)/100</f>
        <v>0.40677966101694912</v>
      </c>
      <c r="AI168" s="14"/>
      <c r="AJ168" s="14"/>
      <c r="AK168" s="12">
        <f>((48*100)/83)/100</f>
        <v>0.57831325301204817</v>
      </c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">
        <f>LOG(AH168/AK168)</f>
        <v>-0.15280391493005147</v>
      </c>
      <c r="AZ168" s="12">
        <f>((1-AH168)/(AH168*X168))+((1-AK168)/(W168*AK168))</f>
        <v>0.72916666666666674</v>
      </c>
      <c r="BA168" s="12" t="s">
        <v>283</v>
      </c>
    </row>
    <row r="169" spans="1:63" s="12" customFormat="1" ht="14.25" customHeight="1">
      <c r="A169" s="2">
        <v>442</v>
      </c>
      <c r="B169" s="2" t="s">
        <v>54</v>
      </c>
      <c r="C169" s="12" t="s">
        <v>85</v>
      </c>
      <c r="D169" s="12">
        <v>2015</v>
      </c>
      <c r="E169" s="12" t="s">
        <v>217</v>
      </c>
      <c r="F169" s="12" t="s">
        <v>120</v>
      </c>
      <c r="G169" s="12" t="s">
        <v>109</v>
      </c>
      <c r="H169" s="12">
        <v>41.696944000000002</v>
      </c>
      <c r="I169" s="12">
        <v>-6.2241109999999997</v>
      </c>
      <c r="J169" s="12" t="s">
        <v>126</v>
      </c>
      <c r="K169" s="12" t="s">
        <v>184</v>
      </c>
      <c r="L169" s="12" t="s">
        <v>185</v>
      </c>
      <c r="M169" s="12" t="s">
        <v>237</v>
      </c>
      <c r="N169" s="12" t="s">
        <v>238</v>
      </c>
      <c r="O169" s="12" t="s">
        <v>121</v>
      </c>
      <c r="Q169" s="12" t="s">
        <v>93</v>
      </c>
      <c r="R169" s="12">
        <v>2010</v>
      </c>
      <c r="S169" s="12">
        <v>1.5</v>
      </c>
      <c r="T169" s="1">
        <f>S169*12</f>
        <v>18</v>
      </c>
      <c r="W169" s="12">
        <v>3</v>
      </c>
      <c r="X169" s="12">
        <v>3</v>
      </c>
      <c r="Y169" s="12" t="s">
        <v>114</v>
      </c>
      <c r="Z169" s="12" t="s">
        <v>2</v>
      </c>
      <c r="AA169" s="12" t="s">
        <v>0</v>
      </c>
      <c r="AB169" s="12" t="s">
        <v>113</v>
      </c>
      <c r="AC169" s="12" t="s">
        <v>2</v>
      </c>
      <c r="AD169" s="12" t="s">
        <v>2</v>
      </c>
      <c r="AE169" s="12" t="s">
        <v>2</v>
      </c>
      <c r="AF169" s="12" t="s">
        <v>256</v>
      </c>
      <c r="AG169" s="12" t="s">
        <v>330</v>
      </c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2" t="s">
        <v>285</v>
      </c>
    </row>
    <row r="170" spans="1:63" ht="14.25" customHeight="1">
      <c r="A170" s="2">
        <v>180</v>
      </c>
      <c r="B170" s="2" t="s">
        <v>25</v>
      </c>
      <c r="C170" s="12" t="s">
        <v>85</v>
      </c>
      <c r="D170" s="12">
        <v>2015</v>
      </c>
      <c r="E170" s="12">
        <v>2009</v>
      </c>
      <c r="F170" s="12" t="s">
        <v>92</v>
      </c>
      <c r="G170" s="12" t="s">
        <v>109</v>
      </c>
      <c r="H170" s="12">
        <v>39.831530000000001</v>
      </c>
      <c r="I170" s="12">
        <v>-7.8358790000000003</v>
      </c>
      <c r="J170" s="12" t="s">
        <v>128</v>
      </c>
      <c r="K170" s="12" t="s">
        <v>176</v>
      </c>
      <c r="L170" s="12" t="s">
        <v>177</v>
      </c>
      <c r="M170" s="12" t="s">
        <v>236</v>
      </c>
      <c r="N170" s="12" t="s">
        <v>238</v>
      </c>
      <c r="O170" s="12" t="s">
        <v>86</v>
      </c>
      <c r="P170" s="12"/>
      <c r="Q170" s="12" t="s">
        <v>93</v>
      </c>
      <c r="R170" s="12">
        <v>2003</v>
      </c>
      <c r="S170" s="12">
        <v>6</v>
      </c>
      <c r="T170" s="12">
        <f>S170*12</f>
        <v>72</v>
      </c>
      <c r="U170" s="12"/>
      <c r="V170" s="12"/>
      <c r="W170" s="12">
        <v>3</v>
      </c>
      <c r="X170" s="12">
        <v>3</v>
      </c>
      <c r="Y170" s="12" t="s">
        <v>97</v>
      </c>
      <c r="Z170" s="12" t="s">
        <v>147</v>
      </c>
      <c r="AA170" s="12" t="s">
        <v>0</v>
      </c>
      <c r="AB170" s="12" t="s">
        <v>98</v>
      </c>
      <c r="AC170" s="12" t="s">
        <v>202</v>
      </c>
      <c r="AD170" s="12" t="s">
        <v>228</v>
      </c>
      <c r="AE170" s="12" t="s">
        <v>111</v>
      </c>
      <c r="AF170" s="12" t="s">
        <v>222</v>
      </c>
      <c r="AG170" s="12" t="s">
        <v>317</v>
      </c>
      <c r="AH170" s="12">
        <v>242</v>
      </c>
      <c r="AI170" s="12">
        <v>40</v>
      </c>
      <c r="AJ170" s="12"/>
      <c r="AK170" s="12">
        <v>288</v>
      </c>
      <c r="AL170" s="12">
        <v>59</v>
      </c>
      <c r="AM170" s="12"/>
      <c r="AN170" s="12">
        <f>AH170-AK170</f>
        <v>-46</v>
      </c>
      <c r="AO170" s="12">
        <f>SQRT((((X170-1)*AI170^2)+((W170-1)*AL170^2))/(X170+W170-2))</f>
        <v>50.40337290301116</v>
      </c>
      <c r="AP170" s="12">
        <f>AN170/AO170</f>
        <v>-0.91263733656308355</v>
      </c>
      <c r="AQ170" s="12">
        <f>1/X170+1/W170+(AP170^2)/(2*(X170+W170))</f>
        <v>0.73607557567407988</v>
      </c>
      <c r="AR170" s="12">
        <f>1-(3/(4*(X170+W170-2)-1))</f>
        <v>0.8</v>
      </c>
      <c r="AS170" s="21">
        <f>AP170*AR170</f>
        <v>-0.73010986925046684</v>
      </c>
      <c r="AT170" s="21">
        <f>AQ170*(AR170^2)</f>
        <v>0.47108836843141122</v>
      </c>
      <c r="AU170" s="21">
        <f>SQRT(AQ170*AR170^2)</f>
        <v>0.6863587753000695</v>
      </c>
      <c r="AV170" s="20">
        <f>1/AT170</f>
        <v>2.1227439839572191</v>
      </c>
      <c r="AW170" s="20">
        <f>AS170/AT170</f>
        <v>-1.5498363325792202</v>
      </c>
      <c r="AX170" s="20">
        <f>((AS170)^2)/AT170</f>
        <v>1.1315508021390375</v>
      </c>
      <c r="AY170" s="14"/>
      <c r="AZ170" s="14"/>
      <c r="BA170" s="12" t="s">
        <v>270</v>
      </c>
      <c r="BB170" s="2"/>
      <c r="BC170" s="12"/>
      <c r="BD170" s="12"/>
      <c r="BE170" s="12"/>
      <c r="BF170" s="12"/>
      <c r="BG170" s="12"/>
      <c r="BH170" s="12"/>
      <c r="BI170" s="12"/>
      <c r="BJ170" s="12"/>
      <c r="BK170" s="12"/>
    </row>
    <row r="171" spans="1:63" ht="14.25" customHeight="1">
      <c r="A171" s="2">
        <v>152</v>
      </c>
      <c r="B171" s="2" t="s">
        <v>22</v>
      </c>
      <c r="C171" s="1" t="s">
        <v>85</v>
      </c>
      <c r="D171" s="1">
        <v>2013</v>
      </c>
      <c r="E171" s="1">
        <v>2010</v>
      </c>
      <c r="F171" s="1" t="s">
        <v>143</v>
      </c>
      <c r="G171" s="1" t="s">
        <v>117</v>
      </c>
      <c r="H171" s="1">
        <v>63.826408000000001</v>
      </c>
      <c r="I171" s="1">
        <v>-145.86067399999999</v>
      </c>
      <c r="J171" s="1" t="s">
        <v>128</v>
      </c>
      <c r="K171" s="1" t="s">
        <v>103</v>
      </c>
      <c r="L171" s="1" t="s">
        <v>187</v>
      </c>
      <c r="M171" s="1" t="s">
        <v>236</v>
      </c>
      <c r="N171" s="16" t="s">
        <v>238</v>
      </c>
      <c r="O171" s="1" t="s">
        <v>86</v>
      </c>
      <c r="Q171" s="1" t="s">
        <v>93</v>
      </c>
      <c r="R171" s="1">
        <v>2010</v>
      </c>
      <c r="S171" s="1" t="s">
        <v>156</v>
      </c>
      <c r="T171" s="1">
        <v>11</v>
      </c>
      <c r="W171" s="1">
        <v>2</v>
      </c>
      <c r="X171" s="1">
        <v>2</v>
      </c>
      <c r="Y171" s="1" t="s">
        <v>97</v>
      </c>
      <c r="Z171" s="1" t="s">
        <v>133</v>
      </c>
      <c r="AA171" s="1" t="s">
        <v>1</v>
      </c>
      <c r="AB171" s="1" t="s">
        <v>98</v>
      </c>
      <c r="AC171" s="1" t="s">
        <v>202</v>
      </c>
      <c r="AD171" s="1" t="s">
        <v>228</v>
      </c>
      <c r="AE171" s="1" t="s">
        <v>131</v>
      </c>
      <c r="AF171" s="1" t="s">
        <v>261</v>
      </c>
      <c r="AG171" s="1" t="s">
        <v>331</v>
      </c>
      <c r="AH171" s="1">
        <v>212.2</v>
      </c>
      <c r="AI171" s="1">
        <f>AJ171*SQRT(X171)</f>
        <v>65.478087937874307</v>
      </c>
      <c r="AJ171" s="1">
        <v>46.3</v>
      </c>
      <c r="AK171" s="1">
        <v>256.10000000000002</v>
      </c>
      <c r="AL171" s="1">
        <f>AM171*SQRT(W171)</f>
        <v>30.547012947258857</v>
      </c>
      <c r="AM171" s="1">
        <v>21.6</v>
      </c>
      <c r="AN171" s="12">
        <f>AH171-AK171</f>
        <v>-43.900000000000034</v>
      </c>
      <c r="AO171" s="1">
        <f>SQRT((((X171-1)*AJ171^2)+((W171-1)*AL171^2))/(X171+W171-2))</f>
        <v>39.222506294218377</v>
      </c>
      <c r="AP171" s="1">
        <f>AN171/AO171</f>
        <v>-1.1192553497396251</v>
      </c>
      <c r="AQ171" s="1">
        <f>1/X171+1/W171+(AP171^2)/(2*(X171+W171))</f>
        <v>1.1565915672400964</v>
      </c>
      <c r="AR171" s="1">
        <f>1-(3/(4*(X171+W171-2)-1))</f>
        <v>0.5714285714285714</v>
      </c>
      <c r="AS171" s="21">
        <f>AP171*AR171</f>
        <v>-0.63957448556550001</v>
      </c>
      <c r="AT171" s="21">
        <f>AQ171*(AR171^2)</f>
        <v>0.3776625525681947</v>
      </c>
      <c r="AU171" s="21">
        <f>SQRT(AQ171*AR171^2)</f>
        <v>0.61454255553882897</v>
      </c>
      <c r="AV171" s="20">
        <f>1/AT171</f>
        <v>2.6478664437333368</v>
      </c>
      <c r="AW171" s="20">
        <f>AS171/AT171</f>
        <v>-1.6935078185968988</v>
      </c>
      <c r="AX171" s="20">
        <f>((AS171)^2)/AT171</f>
        <v>1.0831243918802635</v>
      </c>
      <c r="AY171" s="14"/>
      <c r="AZ171" s="14"/>
      <c r="BA171" s="1" t="s">
        <v>270</v>
      </c>
      <c r="BB171" s="2"/>
    </row>
    <row r="172" spans="1:63" ht="14.25" customHeight="1">
      <c r="A172" s="2">
        <v>152</v>
      </c>
      <c r="B172" s="2" t="s">
        <v>22</v>
      </c>
      <c r="C172" s="1" t="s">
        <v>85</v>
      </c>
      <c r="D172" s="1">
        <v>2013</v>
      </c>
      <c r="E172" s="1">
        <v>2010</v>
      </c>
      <c r="F172" s="1" t="s">
        <v>143</v>
      </c>
      <c r="G172" s="1" t="s">
        <v>117</v>
      </c>
      <c r="H172" s="1">
        <v>63.826408000000001</v>
      </c>
      <c r="I172" s="1">
        <v>-145.86067399999999</v>
      </c>
      <c r="J172" s="1" t="s">
        <v>128</v>
      </c>
      <c r="K172" s="1" t="s">
        <v>103</v>
      </c>
      <c r="L172" s="1" t="s">
        <v>187</v>
      </c>
      <c r="M172" s="1" t="s">
        <v>236</v>
      </c>
      <c r="N172" s="16" t="s">
        <v>238</v>
      </c>
      <c r="O172" s="1" t="s">
        <v>86</v>
      </c>
      <c r="Q172" s="1" t="s">
        <v>93</v>
      </c>
      <c r="R172" s="1">
        <v>2010</v>
      </c>
      <c r="S172" s="1" t="s">
        <v>156</v>
      </c>
      <c r="T172" s="1">
        <v>11</v>
      </c>
      <c r="W172" s="1">
        <v>2</v>
      </c>
      <c r="X172" s="1">
        <v>2</v>
      </c>
      <c r="Y172" s="1" t="s">
        <v>97</v>
      </c>
      <c r="Z172" s="1" t="s">
        <v>133</v>
      </c>
      <c r="AA172" s="1" t="s">
        <v>1</v>
      </c>
      <c r="AB172" s="1" t="s">
        <v>98</v>
      </c>
      <c r="AC172" s="1" t="s">
        <v>202</v>
      </c>
      <c r="AD172" s="1" t="s">
        <v>228</v>
      </c>
      <c r="AE172" s="1" t="s">
        <v>131</v>
      </c>
      <c r="AF172" s="1" t="s">
        <v>149</v>
      </c>
      <c r="AG172" s="1" t="s">
        <v>331</v>
      </c>
      <c r="AH172" s="1">
        <v>4.2</v>
      </c>
      <c r="AI172" s="1">
        <f>AJ172*SQRT(X172)</f>
        <v>0.14142135623730953</v>
      </c>
      <c r="AJ172" s="1">
        <v>0.1</v>
      </c>
      <c r="AK172" s="1">
        <v>2.8</v>
      </c>
      <c r="AL172" s="1">
        <f>AM172*SQRT(W172)</f>
        <v>0.84852813742385702</v>
      </c>
      <c r="AM172" s="1">
        <v>0.6</v>
      </c>
      <c r="AN172" s="12">
        <f>AH172-AK172</f>
        <v>1.4000000000000004</v>
      </c>
      <c r="AO172" s="1">
        <f>SQRT((((X172-1)*AI172^2)+((W172-1)*AL172^2))/(X172+W172-2))</f>
        <v>0.60827625302982191</v>
      </c>
      <c r="AP172" s="1">
        <f>AN172/AO172</f>
        <v>2.301585822275003</v>
      </c>
      <c r="AQ172" s="1">
        <f>1/X172+1/W172+(AP172^2)/(2*(X172+W172))</f>
        <v>1.6621621621621627</v>
      </c>
      <c r="AR172" s="1">
        <f>1-(3/(4*(X172+W172-2)-1))</f>
        <v>0.5714285714285714</v>
      </c>
      <c r="AS172" s="21">
        <f>AP172*AR172</f>
        <v>1.3151918984428588</v>
      </c>
      <c r="AT172" s="21">
        <f>AQ172*(AR172^2)</f>
        <v>0.54274682846111433</v>
      </c>
      <c r="AU172" s="21">
        <f>SQRT(AQ172*AR172^2)</f>
        <v>0.73671353215555524</v>
      </c>
      <c r="AV172" s="20">
        <f>1/AT172</f>
        <v>1.8424796747967473</v>
      </c>
      <c r="AW172" s="20">
        <f>AS172/AT172</f>
        <v>2.4232143413383151</v>
      </c>
      <c r="AX172" s="20">
        <f>((AS172)^2)/AT172</f>
        <v>3.1869918699187005</v>
      </c>
      <c r="AY172" s="14"/>
      <c r="AZ172" s="14"/>
      <c r="BA172" s="1" t="s">
        <v>270</v>
      </c>
      <c r="BB172" s="2"/>
    </row>
    <row r="173" spans="1:63" ht="14.25" customHeight="1">
      <c r="A173" s="2">
        <v>521</v>
      </c>
      <c r="B173" s="2" t="s">
        <v>67</v>
      </c>
      <c r="C173" s="12" t="s">
        <v>85</v>
      </c>
      <c r="D173" s="12">
        <v>2020</v>
      </c>
      <c r="E173" s="12">
        <v>2014</v>
      </c>
      <c r="F173" s="12" t="s">
        <v>120</v>
      </c>
      <c r="G173" s="12" t="s">
        <v>109</v>
      </c>
      <c r="H173" s="12">
        <v>41.696944000000002</v>
      </c>
      <c r="I173" s="12">
        <v>-6.2241109999999997</v>
      </c>
      <c r="J173" s="12" t="s">
        <v>128</v>
      </c>
      <c r="K173" s="12" t="s">
        <v>184</v>
      </c>
      <c r="L173" s="12" t="s">
        <v>185</v>
      </c>
      <c r="M173" s="12" t="s">
        <v>237</v>
      </c>
      <c r="N173" s="12" t="s">
        <v>238</v>
      </c>
      <c r="O173" s="12" t="s">
        <v>86</v>
      </c>
      <c r="P173" s="12"/>
      <c r="Q173" s="12" t="s">
        <v>93</v>
      </c>
      <c r="R173" s="12">
        <v>2002</v>
      </c>
      <c r="S173" s="12">
        <v>8</v>
      </c>
      <c r="T173" s="12">
        <f>S173*12</f>
        <v>96</v>
      </c>
      <c r="U173" s="12"/>
      <c r="V173" s="12"/>
      <c r="W173" s="12">
        <v>15</v>
      </c>
      <c r="X173" s="12">
        <v>15</v>
      </c>
      <c r="Y173" s="12" t="s">
        <v>97</v>
      </c>
      <c r="Z173" s="1" t="s">
        <v>147</v>
      </c>
      <c r="AA173" s="12" t="s">
        <v>0</v>
      </c>
      <c r="AB173" s="12" t="s">
        <v>98</v>
      </c>
      <c r="AC173" s="12" t="s">
        <v>202</v>
      </c>
      <c r="AD173" s="12" t="s">
        <v>99</v>
      </c>
      <c r="AE173" s="12" t="s">
        <v>111</v>
      </c>
      <c r="AF173" s="12" t="s">
        <v>222</v>
      </c>
      <c r="AG173" s="12" t="s">
        <v>330</v>
      </c>
      <c r="AH173" s="12">
        <v>57.53</v>
      </c>
      <c r="AI173" s="12">
        <f>60.57-55.06</f>
        <v>5.509999999999998</v>
      </c>
      <c r="AJ173" s="12"/>
      <c r="AK173" s="12">
        <v>67.599999999999994</v>
      </c>
      <c r="AL173" s="12">
        <f>84.55-65.25</f>
        <v>19.299999999999997</v>
      </c>
      <c r="AM173" s="12"/>
      <c r="AN173" s="12">
        <f>AH173-AK173</f>
        <v>-10.069999999999993</v>
      </c>
      <c r="AO173" s="12">
        <f>SQRT((((X173-1)*AI173^2)+((W173-1)*AL173^2))/(X173+W173-2))</f>
        <v>14.192429319887415</v>
      </c>
      <c r="AP173" s="12">
        <f>AN173/AO173</f>
        <v>-0.70953321471816044</v>
      </c>
      <c r="AQ173" s="12">
        <f>1/X173+1/W173+(AP173^2)/(2*(X173+W173))</f>
        <v>0.14172395637980478</v>
      </c>
      <c r="AR173" s="12">
        <f>1-(3/(4*(X173+W173-2)-1))</f>
        <v>0.97297297297297303</v>
      </c>
      <c r="AS173" s="21">
        <f>AP173*AR173</f>
        <v>-0.69035664134739938</v>
      </c>
      <c r="AT173" s="21">
        <f>AQ173*(AR173^2)</f>
        <v>0.1341667256889898</v>
      </c>
      <c r="AU173" s="21">
        <f>SQRT(AQ173*AR173^2)</f>
        <v>0.36628776349885045</v>
      </c>
      <c r="AV173" s="20">
        <f>1/AT173</f>
        <v>7.4534128701783144</v>
      </c>
      <c r="AW173" s="20">
        <f>AS173/AT173</f>
        <v>-5.1455130756317811</v>
      </c>
      <c r="AX173" s="20">
        <f>((AS173)^2)/AT173</f>
        <v>3.5522391249022833</v>
      </c>
      <c r="AY173" s="14"/>
      <c r="AZ173" s="14"/>
      <c r="BA173" s="12" t="s">
        <v>270</v>
      </c>
      <c r="BB173" s="2"/>
      <c r="BC173" s="12"/>
      <c r="BD173" s="12"/>
      <c r="BE173" s="12"/>
      <c r="BF173" s="12"/>
      <c r="BG173" s="12"/>
      <c r="BH173" s="12"/>
      <c r="BI173" s="12"/>
      <c r="BJ173" s="12"/>
      <c r="BK173" s="12"/>
    </row>
    <row r="174" spans="1:63" ht="14.25" customHeight="1">
      <c r="A174" s="2">
        <v>152</v>
      </c>
      <c r="B174" s="2" t="s">
        <v>22</v>
      </c>
      <c r="C174" s="1" t="s">
        <v>85</v>
      </c>
      <c r="D174" s="1">
        <v>2013</v>
      </c>
      <c r="E174" s="1">
        <v>2010</v>
      </c>
      <c r="F174" s="1" t="s">
        <v>143</v>
      </c>
      <c r="G174" s="1" t="s">
        <v>117</v>
      </c>
      <c r="H174" s="1">
        <v>63.826408000000001</v>
      </c>
      <c r="I174" s="1">
        <v>-145.86067399999999</v>
      </c>
      <c r="J174" s="1" t="s">
        <v>128</v>
      </c>
      <c r="K174" s="1" t="s">
        <v>103</v>
      </c>
      <c r="L174" s="1" t="s">
        <v>187</v>
      </c>
      <c r="M174" s="1" t="s">
        <v>236</v>
      </c>
      <c r="N174" s="16" t="s">
        <v>238</v>
      </c>
      <c r="O174" s="1" t="s">
        <v>86</v>
      </c>
      <c r="Q174" s="1" t="s">
        <v>93</v>
      </c>
      <c r="R174" s="1">
        <v>2004</v>
      </c>
      <c r="S174" s="1">
        <v>6</v>
      </c>
      <c r="T174" s="1">
        <f>S174*12</f>
        <v>72</v>
      </c>
      <c r="W174" s="1">
        <v>2</v>
      </c>
      <c r="X174" s="1">
        <v>2</v>
      </c>
      <c r="Y174" s="1" t="s">
        <v>97</v>
      </c>
      <c r="Z174" s="1" t="s">
        <v>133</v>
      </c>
      <c r="AA174" s="1" t="s">
        <v>1</v>
      </c>
      <c r="AB174" s="1" t="s">
        <v>98</v>
      </c>
      <c r="AC174" s="1" t="s">
        <v>202</v>
      </c>
      <c r="AD174" s="1" t="s">
        <v>228</v>
      </c>
      <c r="AE174" s="1" t="s">
        <v>131</v>
      </c>
      <c r="AF174" s="1" t="s">
        <v>261</v>
      </c>
      <c r="AG174" s="1" t="s">
        <v>331</v>
      </c>
      <c r="AH174" s="1">
        <v>247.2</v>
      </c>
      <c r="AI174" s="1">
        <f>AJ174*SQRT(X174)</f>
        <v>16.546298679765211</v>
      </c>
      <c r="AJ174" s="1">
        <v>11.7</v>
      </c>
      <c r="AK174" s="1">
        <v>256.10000000000002</v>
      </c>
      <c r="AL174" s="1">
        <f>AM174*SQRT(W174)</f>
        <v>30.547012947258857</v>
      </c>
      <c r="AM174" s="1">
        <v>21.6</v>
      </c>
      <c r="AN174" s="12">
        <f>AH174-AK174</f>
        <v>-8.9000000000000341</v>
      </c>
      <c r="AO174" s="1">
        <f>SQRT((((X174-1)*AI174^2)+((W174-1)*AL174^2))/(X174+W174-2))</f>
        <v>24.565219315121126</v>
      </c>
      <c r="AP174" s="1">
        <f>AN174/AO174</f>
        <v>-0.36230085658228328</v>
      </c>
      <c r="AQ174" s="1">
        <f>1/X174+1/W174+(AP174^2)/(2*(X174+W174))</f>
        <v>1.0164077388350321</v>
      </c>
      <c r="AR174" s="1">
        <f>1-(3/(4*(X174+W174-2)-1))</f>
        <v>0.5714285714285714</v>
      </c>
      <c r="AS174" s="21">
        <f>AP174*AR174</f>
        <v>-0.20702906090416187</v>
      </c>
      <c r="AT174" s="21">
        <f>AQ174*(AR174^2)</f>
        <v>0.33188824125225536</v>
      </c>
      <c r="AU174" s="21">
        <f>SQRT(AQ174*AR174^2)</f>
        <v>0.57609742340359005</v>
      </c>
      <c r="AV174" s="20">
        <f>1/AT174</f>
        <v>3.0130624580939549</v>
      </c>
      <c r="AW174" s="20">
        <f>AS174/AT174</f>
        <v>-0.62379149114477705</v>
      </c>
      <c r="AX174" s="20">
        <f>((AS174)^2)/AT174</f>
        <v>0.12914296661171001</v>
      </c>
      <c r="AY174" s="14"/>
      <c r="AZ174" s="14"/>
      <c r="BA174" s="1" t="s">
        <v>270</v>
      </c>
      <c r="BB174" s="2"/>
    </row>
    <row r="175" spans="1:63" ht="14.25" customHeight="1">
      <c r="A175" s="2">
        <v>152</v>
      </c>
      <c r="B175" s="2" t="s">
        <v>22</v>
      </c>
      <c r="C175" s="1" t="s">
        <v>85</v>
      </c>
      <c r="D175" s="1">
        <v>2013</v>
      </c>
      <c r="E175" s="1">
        <v>2010</v>
      </c>
      <c r="F175" s="1" t="s">
        <v>143</v>
      </c>
      <c r="G175" s="1" t="s">
        <v>117</v>
      </c>
      <c r="H175" s="1">
        <v>63.826408000000001</v>
      </c>
      <c r="I175" s="1">
        <v>-145.86067399999999</v>
      </c>
      <c r="J175" s="1" t="s">
        <v>128</v>
      </c>
      <c r="K175" s="1" t="s">
        <v>103</v>
      </c>
      <c r="L175" s="1" t="s">
        <v>187</v>
      </c>
      <c r="M175" s="1" t="s">
        <v>236</v>
      </c>
      <c r="N175" s="16" t="s">
        <v>238</v>
      </c>
      <c r="O175" s="1" t="s">
        <v>86</v>
      </c>
      <c r="Q175" s="1" t="s">
        <v>93</v>
      </c>
      <c r="R175" s="1">
        <v>2004</v>
      </c>
      <c r="S175" s="1">
        <v>6</v>
      </c>
      <c r="T175" s="1">
        <f>S175*12</f>
        <v>72</v>
      </c>
      <c r="W175" s="1">
        <v>2</v>
      </c>
      <c r="X175" s="1">
        <v>2</v>
      </c>
      <c r="Y175" s="1" t="s">
        <v>97</v>
      </c>
      <c r="Z175" s="1" t="s">
        <v>133</v>
      </c>
      <c r="AA175" s="1" t="s">
        <v>1</v>
      </c>
      <c r="AB175" s="1" t="s">
        <v>98</v>
      </c>
      <c r="AC175" s="1" t="s">
        <v>202</v>
      </c>
      <c r="AD175" s="1" t="s">
        <v>228</v>
      </c>
      <c r="AE175" s="1" t="s">
        <v>131</v>
      </c>
      <c r="AF175" s="1" t="s">
        <v>149</v>
      </c>
      <c r="AG175" s="1" t="s">
        <v>331</v>
      </c>
      <c r="AH175" s="1">
        <v>4.8</v>
      </c>
      <c r="AI175" s="1">
        <f>AJ175*SQRT(X175)</f>
        <v>0.14142135623730953</v>
      </c>
      <c r="AJ175" s="1">
        <v>0.1</v>
      </c>
      <c r="AK175" s="1">
        <v>2.8</v>
      </c>
      <c r="AL175" s="1">
        <f>AM175*SQRT(W175)</f>
        <v>0.84852813742385702</v>
      </c>
      <c r="AM175" s="1">
        <v>0.6</v>
      </c>
      <c r="AN175" s="12">
        <f>AH175-AK175</f>
        <v>2</v>
      </c>
      <c r="AO175" s="1">
        <f>SQRT((((X175-1)*AI175^2)+((W175-1)*AL175^2))/(X175+W175-2))</f>
        <v>0.60827625302982191</v>
      </c>
      <c r="AP175" s="1">
        <f>AN175/AO175</f>
        <v>3.2879797461071463</v>
      </c>
      <c r="AQ175" s="1">
        <f>1/X175+1/W175+(AP175^2)/(2*(X175+W175))</f>
        <v>2.3513513513513518</v>
      </c>
      <c r="AR175" s="1">
        <f>1-(3/(4*(X175+W175-2)-1))</f>
        <v>0.5714285714285714</v>
      </c>
      <c r="AS175" s="21">
        <f>AP175*AR175</f>
        <v>1.8788455692040835</v>
      </c>
      <c r="AT175" s="21">
        <f>AQ175*(AR175^2)</f>
        <v>0.76778819635962503</v>
      </c>
      <c r="AU175" s="21">
        <f>SQRT(AQ175*AR175^2)</f>
        <v>0.87623524030914501</v>
      </c>
      <c r="AV175" s="20">
        <f>1/AT175</f>
        <v>1.302442528735632</v>
      </c>
      <c r="AW175" s="20">
        <f>AS175/AT175</f>
        <v>2.4470883742579046</v>
      </c>
      <c r="AX175" s="20">
        <f>((AS175)^2)/AT175</f>
        <v>4.597701149425288</v>
      </c>
      <c r="AY175" s="14"/>
      <c r="AZ175" s="14"/>
      <c r="BA175" s="1" t="s">
        <v>270</v>
      </c>
      <c r="BB175" s="2"/>
    </row>
    <row r="176" spans="1:63" ht="14.25" customHeight="1">
      <c r="A176" s="2">
        <v>188</v>
      </c>
      <c r="B176" s="2" t="s">
        <v>28</v>
      </c>
      <c r="C176" s="1" t="s">
        <v>85</v>
      </c>
      <c r="D176" s="1">
        <v>2008</v>
      </c>
      <c r="E176" s="1">
        <v>1998</v>
      </c>
      <c r="F176" s="1" t="s">
        <v>96</v>
      </c>
      <c r="H176" s="1">
        <v>-34.461578000000003</v>
      </c>
      <c r="I176" s="1">
        <v>116.173176</v>
      </c>
      <c r="J176" s="1" t="s">
        <v>126</v>
      </c>
      <c r="K176" s="1" t="s">
        <v>112</v>
      </c>
      <c r="L176" s="1" t="s">
        <v>181</v>
      </c>
      <c r="M176" s="1" t="s">
        <v>237</v>
      </c>
      <c r="O176" s="1" t="s">
        <v>86</v>
      </c>
      <c r="Q176" s="1" t="s">
        <v>93</v>
      </c>
      <c r="R176" s="1">
        <v>1997</v>
      </c>
      <c r="S176" s="1">
        <v>1</v>
      </c>
      <c r="T176" s="1">
        <f>S176*12</f>
        <v>12</v>
      </c>
      <c r="V176" s="1">
        <v>1600</v>
      </c>
      <c r="W176" s="1">
        <v>5</v>
      </c>
      <c r="X176" s="1">
        <v>5</v>
      </c>
      <c r="Y176" s="1" t="s">
        <v>114</v>
      </c>
      <c r="Z176" s="1" t="s">
        <v>2</v>
      </c>
      <c r="AB176" s="1" t="s">
        <v>113</v>
      </c>
      <c r="AE176" s="1" t="s">
        <v>2</v>
      </c>
      <c r="AF176" s="1" t="s">
        <v>222</v>
      </c>
      <c r="AG176" s="1" t="s">
        <v>337</v>
      </c>
      <c r="AH176" s="1">
        <v>29.2</v>
      </c>
      <c r="AI176" s="1">
        <f>AJ176*SQRT(X176)</f>
        <v>1.3416407864998772</v>
      </c>
      <c r="AJ176" s="1">
        <f>29.8-AH176</f>
        <v>0.60000000000000142</v>
      </c>
      <c r="AK176" s="1">
        <v>39.58</v>
      </c>
      <c r="AL176" s="1">
        <f>AM176*SQRT(W176)</f>
        <v>20.392939954798095</v>
      </c>
      <c r="AM176" s="1">
        <f>48.7-AK176</f>
        <v>9.1200000000000045</v>
      </c>
      <c r="AN176" s="12">
        <f>AH176-AK176</f>
        <v>-10.379999999999999</v>
      </c>
      <c r="AO176" s="1">
        <f>SQRT((((X176-1)*AI176^2)+((W176-1)*AL176^2))/(X176+W176-2))</f>
        <v>14.45115912306</v>
      </c>
      <c r="AP176" s="1">
        <f>AN176/AO176</f>
        <v>-0.71828148258615654</v>
      </c>
      <c r="AQ176" s="1">
        <f>1/X176+1/W176+(AP176^2)/(2*(X176+W176))</f>
        <v>0.42579641441130839</v>
      </c>
      <c r="AR176" s="1">
        <f>1-(3/(4*(X176+W176-2)-1))</f>
        <v>0.90322580645161288</v>
      </c>
      <c r="AS176" s="21">
        <f>AP176*AR176</f>
        <v>-0.64877037136814142</v>
      </c>
      <c r="AT176" s="21">
        <f>AQ176*(AR176^2)</f>
        <v>0.34737189271432439</v>
      </c>
      <c r="AU176" s="21">
        <f>SQRT(AQ176*AR176^2)</f>
        <v>0.58938263692979997</v>
      </c>
      <c r="AV176" s="20">
        <f>1/AT176</f>
        <v>2.8787591079580848</v>
      </c>
      <c r="AW176" s="20">
        <f>AS176/AT176</f>
        <v>-1.8676536155493861</v>
      </c>
      <c r="AX176" s="20">
        <f>((AS176)^2)/AT176</f>
        <v>1.2116783297470273</v>
      </c>
      <c r="AY176" s="14"/>
      <c r="AZ176" s="14"/>
      <c r="BA176" s="1" t="s">
        <v>270</v>
      </c>
      <c r="BB176" s="2"/>
    </row>
    <row r="177" spans="1:54" ht="14.25" customHeight="1">
      <c r="A177" s="2">
        <v>152</v>
      </c>
      <c r="B177" s="2" t="s">
        <v>22</v>
      </c>
      <c r="C177" s="1" t="s">
        <v>85</v>
      </c>
      <c r="D177" s="1">
        <v>2013</v>
      </c>
      <c r="E177" s="1">
        <v>2010</v>
      </c>
      <c r="F177" s="1" t="s">
        <v>143</v>
      </c>
      <c r="G177" s="1" t="s">
        <v>117</v>
      </c>
      <c r="H177" s="1">
        <v>63.826408000000001</v>
      </c>
      <c r="I177" s="1">
        <v>-145.86067399999999</v>
      </c>
      <c r="J177" s="1" t="s">
        <v>128</v>
      </c>
      <c r="K177" s="1" t="s">
        <v>103</v>
      </c>
      <c r="L177" s="1" t="s">
        <v>187</v>
      </c>
      <c r="M177" s="1" t="s">
        <v>236</v>
      </c>
      <c r="N177" s="16" t="s">
        <v>238</v>
      </c>
      <c r="O177" s="1" t="s">
        <v>86</v>
      </c>
      <c r="Q177" s="1" t="s">
        <v>93</v>
      </c>
      <c r="R177" s="1">
        <v>1999</v>
      </c>
      <c r="S177" s="1">
        <v>11</v>
      </c>
      <c r="T177" s="1">
        <f>S177*12</f>
        <v>132</v>
      </c>
      <c r="W177" s="1">
        <v>2</v>
      </c>
      <c r="X177" s="1">
        <v>2</v>
      </c>
      <c r="Y177" s="1" t="s">
        <v>97</v>
      </c>
      <c r="Z177" s="1" t="s">
        <v>133</v>
      </c>
      <c r="AA177" s="1" t="s">
        <v>1</v>
      </c>
      <c r="AB177" s="1" t="s">
        <v>98</v>
      </c>
      <c r="AC177" s="1" t="s">
        <v>202</v>
      </c>
      <c r="AD177" s="1" t="s">
        <v>228</v>
      </c>
      <c r="AE177" s="1" t="s">
        <v>131</v>
      </c>
      <c r="AF177" s="1" t="s">
        <v>261</v>
      </c>
      <c r="AG177" s="1" t="s">
        <v>331</v>
      </c>
      <c r="AH177" s="1">
        <v>277</v>
      </c>
      <c r="AI177" s="1">
        <f>AJ177*SQRT(X177)</f>
        <v>82.024386617639522</v>
      </c>
      <c r="AJ177" s="1">
        <v>58</v>
      </c>
      <c r="AK177" s="1">
        <v>256.10000000000002</v>
      </c>
      <c r="AL177" s="1">
        <f>AM177*SQRT(W177)</f>
        <v>30.547012947258857</v>
      </c>
      <c r="AM177" s="1">
        <v>21.6</v>
      </c>
      <c r="AN177" s="12">
        <f>AH177-AK177</f>
        <v>20.899999999999977</v>
      </c>
      <c r="AO177" s="1">
        <f>SQRT((((X177-1)*AI177^2)+((W177-1)*AL177^2))/(X177+W177-2))</f>
        <v>61.891517997218337</v>
      </c>
      <c r="AP177" s="1">
        <f>AN177/AO177</f>
        <v>0.33768762952201803</v>
      </c>
      <c r="AQ177" s="1">
        <f>1/X177+1/W177+(AP177^2)/(2*(X177+W177))</f>
        <v>1.0142541168915249</v>
      </c>
      <c r="AR177" s="1">
        <f>1-(3/(4*(X177+W177-2)-1))</f>
        <v>0.5714285714285714</v>
      </c>
      <c r="AS177" s="21">
        <f>AP177*AR177</f>
        <v>0.19296435972686743</v>
      </c>
      <c r="AT177" s="21">
        <f>AQ177*(AR177^2)</f>
        <v>0.33118501776049791</v>
      </c>
      <c r="AU177" s="21">
        <f>SQRT(AQ177*AR177^2)</f>
        <v>0.57548676592993686</v>
      </c>
      <c r="AV177" s="20">
        <f>1/AT177</f>
        <v>3.0194602604975538</v>
      </c>
      <c r="AW177" s="20">
        <f>AS177/AT177</f>
        <v>0.58264821588763083</v>
      </c>
      <c r="AX177" s="20">
        <f>((AS177)^2)/AT177</f>
        <v>0.11243033992475829</v>
      </c>
      <c r="AY177" s="14"/>
      <c r="AZ177" s="14"/>
      <c r="BA177" s="1" t="s">
        <v>270</v>
      </c>
      <c r="BB177" s="2"/>
    </row>
    <row r="178" spans="1:54" ht="14.25" customHeight="1">
      <c r="A178" s="2">
        <v>152</v>
      </c>
      <c r="B178" s="2" t="s">
        <v>22</v>
      </c>
      <c r="C178" s="1" t="s">
        <v>85</v>
      </c>
      <c r="D178" s="1">
        <v>2013</v>
      </c>
      <c r="E178" s="1">
        <v>2010</v>
      </c>
      <c r="F178" s="1" t="s">
        <v>143</v>
      </c>
      <c r="G178" s="1" t="s">
        <v>117</v>
      </c>
      <c r="H178" s="1">
        <v>63.826408000000001</v>
      </c>
      <c r="I178" s="1">
        <v>-145.86067399999999</v>
      </c>
      <c r="J178" s="1" t="s">
        <v>128</v>
      </c>
      <c r="K178" s="1" t="s">
        <v>103</v>
      </c>
      <c r="L178" s="1" t="s">
        <v>187</v>
      </c>
      <c r="M178" s="1" t="s">
        <v>236</v>
      </c>
      <c r="N178" s="16" t="s">
        <v>238</v>
      </c>
      <c r="O178" s="1" t="s">
        <v>86</v>
      </c>
      <c r="Q178" s="1" t="s">
        <v>93</v>
      </c>
      <c r="R178" s="1">
        <v>1999</v>
      </c>
      <c r="S178" s="1">
        <v>11</v>
      </c>
      <c r="T178" s="1">
        <f>S178*12</f>
        <v>132</v>
      </c>
      <c r="W178" s="1">
        <v>2</v>
      </c>
      <c r="X178" s="1">
        <v>2</v>
      </c>
      <c r="Y178" s="1" t="s">
        <v>97</v>
      </c>
      <c r="Z178" s="1" t="s">
        <v>133</v>
      </c>
      <c r="AA178" s="1" t="s">
        <v>1</v>
      </c>
      <c r="AB178" s="1" t="s">
        <v>98</v>
      </c>
      <c r="AC178" s="1" t="s">
        <v>202</v>
      </c>
      <c r="AD178" s="1" t="s">
        <v>228</v>
      </c>
      <c r="AE178" s="1" t="s">
        <v>131</v>
      </c>
      <c r="AF178" s="1" t="s">
        <v>149</v>
      </c>
      <c r="AG178" s="1" t="s">
        <v>331</v>
      </c>
      <c r="AH178" s="1">
        <v>4.3</v>
      </c>
      <c r="AI178" s="1">
        <f>AJ178*SQRT(X178)</f>
        <v>0.14142135623730953</v>
      </c>
      <c r="AJ178" s="1">
        <v>0.1</v>
      </c>
      <c r="AK178" s="1">
        <v>2.8</v>
      </c>
      <c r="AL178" s="1">
        <f>AM178*SQRT(W178)</f>
        <v>0.84852813742385702</v>
      </c>
      <c r="AM178" s="1">
        <v>0.6</v>
      </c>
      <c r="AN178" s="12">
        <f>AH178-AK178</f>
        <v>1.5</v>
      </c>
      <c r="AO178" s="1">
        <f>SQRT((((X178-1)*AI178^2)+((W178-1)*AL178^2))/(X178+W178-2))</f>
        <v>0.60827625302982191</v>
      </c>
      <c r="AP178" s="1">
        <f>AN178/AO178</f>
        <v>2.4659848095803594</v>
      </c>
      <c r="AQ178" s="1">
        <f>1/X178+1/W178+(AP178^2)/(2*(X178+W178))</f>
        <v>1.7601351351351351</v>
      </c>
      <c r="AR178" s="1">
        <f>1-(3/(4*(X178+W178-2)-1))</f>
        <v>0.5714285714285714</v>
      </c>
      <c r="AS178" s="21">
        <f>AP178*AR178</f>
        <v>1.4091341769030625</v>
      </c>
      <c r="AT178" s="21">
        <f>AQ178*(AR178^2)</f>
        <v>0.57473800330943181</v>
      </c>
      <c r="AU178" s="21">
        <f>SQRT(AQ178*AR178^2)</f>
        <v>0.75811476921995913</v>
      </c>
      <c r="AV178" s="20">
        <f>1/AT178</f>
        <v>1.7399232245681384</v>
      </c>
      <c r="AW178" s="20">
        <f>AS178/AT178</f>
        <v>2.4517852809263463</v>
      </c>
      <c r="AX178" s="20">
        <f>((AS178)^2)/AT178</f>
        <v>3.4548944337811904</v>
      </c>
      <c r="AY178" s="14"/>
      <c r="AZ178" s="14"/>
      <c r="BA178" s="1" t="s">
        <v>270</v>
      </c>
      <c r="BB178" s="2"/>
    </row>
    <row r="179" spans="1:54" ht="14.25" customHeight="1">
      <c r="A179" s="2">
        <v>58</v>
      </c>
      <c r="B179" s="2" t="s">
        <v>11</v>
      </c>
      <c r="C179" s="1" t="s">
        <v>89</v>
      </c>
      <c r="D179" s="1">
        <v>2013</v>
      </c>
      <c r="E179" s="1">
        <v>2004</v>
      </c>
      <c r="F179" s="1" t="s">
        <v>152</v>
      </c>
      <c r="G179" s="1" t="s">
        <v>159</v>
      </c>
      <c r="H179" s="1">
        <v>51</v>
      </c>
      <c r="I179" s="1">
        <v>-120</v>
      </c>
      <c r="J179" s="1" t="s">
        <v>135</v>
      </c>
      <c r="K179" s="1" t="s">
        <v>174</v>
      </c>
      <c r="L179" s="1" t="s">
        <v>175</v>
      </c>
      <c r="M179" s="1" t="s">
        <v>236</v>
      </c>
      <c r="N179" s="1" t="s">
        <v>238</v>
      </c>
      <c r="O179" s="1" t="s">
        <v>86</v>
      </c>
      <c r="P179" s="1" t="s">
        <v>146</v>
      </c>
      <c r="Q179" s="1" t="s">
        <v>93</v>
      </c>
      <c r="R179" s="1">
        <v>2003</v>
      </c>
      <c r="S179" s="7"/>
      <c r="T179" s="7"/>
      <c r="V179" s="1">
        <v>26420</v>
      </c>
      <c r="W179" s="1">
        <v>4</v>
      </c>
      <c r="X179" s="1">
        <v>4</v>
      </c>
      <c r="Y179" s="1" t="s">
        <v>134</v>
      </c>
      <c r="Z179" s="1" t="s">
        <v>2</v>
      </c>
      <c r="AA179" s="1" t="s">
        <v>0</v>
      </c>
      <c r="AB179" s="1" t="s">
        <v>98</v>
      </c>
      <c r="AC179" s="1" t="s">
        <v>158</v>
      </c>
      <c r="AD179" s="1" t="s">
        <v>2</v>
      </c>
      <c r="AE179" s="1" t="s">
        <v>100</v>
      </c>
      <c r="AF179" s="1" t="s">
        <v>222</v>
      </c>
      <c r="AG179" s="1" t="s">
        <v>325</v>
      </c>
      <c r="AH179" s="1">
        <v>4</v>
      </c>
      <c r="AI179" s="1">
        <f>AJ179*(SQRT(X179))</f>
        <v>6.2</v>
      </c>
      <c r="AJ179" s="1">
        <v>3.1</v>
      </c>
      <c r="AK179" s="1">
        <v>8</v>
      </c>
      <c r="AL179" s="1">
        <f>AM179*(SQRT(W179))</f>
        <v>5</v>
      </c>
      <c r="AM179" s="1">
        <v>2.5</v>
      </c>
      <c r="AN179" s="12">
        <f>AH179-AK179</f>
        <v>-4</v>
      </c>
      <c r="AO179" s="1">
        <f>SQRT((((X179-1)*AI179^2)+((W179-1)*AL179^2))/(X179+W179-2))</f>
        <v>5.6320511361314898</v>
      </c>
      <c r="AP179" s="1">
        <f>AN179/AO179</f>
        <v>-0.71022082422843491</v>
      </c>
      <c r="AQ179" s="1">
        <f>1/X179+1/W179+(AP179^2)/(2*(X179+W179))</f>
        <v>0.53152585119798235</v>
      </c>
      <c r="AR179" s="1">
        <f>1-(3/(4*(X179+W179-2)-1))</f>
        <v>0.86956521739130432</v>
      </c>
      <c r="AS179" s="21">
        <f>AP179*AR179</f>
        <v>-0.61758332541603034</v>
      </c>
      <c r="AT179" s="21">
        <f>AQ179*(AR179^2)</f>
        <v>0.40190990638788837</v>
      </c>
      <c r="AU179" s="21">
        <f>SQRT(AQ179*AR179^2)</f>
        <v>0.63396364752869572</v>
      </c>
      <c r="AV179" s="20">
        <f>1/AT179</f>
        <v>2.4881198102016606</v>
      </c>
      <c r="AW179" s="20">
        <f>AS179/AT179</f>
        <v>-1.5366213064178438</v>
      </c>
      <c r="AX179" s="20">
        <f>((AS179)^2)/AT179</f>
        <v>0.9489916963226569</v>
      </c>
      <c r="AY179" s="14"/>
      <c r="AZ179" s="14"/>
      <c r="BA179" s="1" t="s">
        <v>270</v>
      </c>
      <c r="BB179" s="2"/>
    </row>
    <row r="180" spans="1:54" ht="14.25" customHeight="1">
      <c r="A180" s="2">
        <v>425</v>
      </c>
      <c r="B180" s="2" t="s">
        <v>53</v>
      </c>
      <c r="C180" s="1" t="s">
        <v>85</v>
      </c>
      <c r="D180" s="1">
        <v>2021</v>
      </c>
      <c r="F180" s="1" t="s">
        <v>143</v>
      </c>
      <c r="G180" s="1" t="s">
        <v>142</v>
      </c>
      <c r="H180" s="1">
        <v>30.75</v>
      </c>
      <c r="I180" s="1">
        <v>-84</v>
      </c>
      <c r="J180" s="1" t="s">
        <v>128</v>
      </c>
      <c r="K180" s="1" t="s">
        <v>176</v>
      </c>
      <c r="L180" s="1" t="s">
        <v>189</v>
      </c>
      <c r="M180" s="1" t="s">
        <v>236</v>
      </c>
      <c r="N180" s="16" t="s">
        <v>238</v>
      </c>
      <c r="O180" s="1" t="s">
        <v>121</v>
      </c>
      <c r="Q180" s="1" t="s">
        <v>115</v>
      </c>
      <c r="R180" s="1">
        <v>2017</v>
      </c>
      <c r="S180" s="1" t="s">
        <v>156</v>
      </c>
      <c r="T180" s="1">
        <v>11</v>
      </c>
      <c r="W180" s="1">
        <v>9</v>
      </c>
      <c r="X180" s="1">
        <v>15</v>
      </c>
      <c r="Y180" s="1" t="s">
        <v>97</v>
      </c>
      <c r="Z180" s="1" t="s">
        <v>132</v>
      </c>
      <c r="AA180" s="1" t="s">
        <v>1</v>
      </c>
      <c r="AB180" s="1" t="s">
        <v>98</v>
      </c>
      <c r="AC180" s="1" t="s">
        <v>202</v>
      </c>
      <c r="AD180" s="1" t="s">
        <v>99</v>
      </c>
      <c r="AE180" s="1" t="s">
        <v>102</v>
      </c>
      <c r="AF180" s="12" t="s">
        <v>307</v>
      </c>
      <c r="AG180" s="12" t="s">
        <v>343</v>
      </c>
      <c r="AH180" s="12">
        <v>6.35</v>
      </c>
      <c r="AI180" s="12">
        <f>6.6-6.06</f>
        <v>0.54</v>
      </c>
      <c r="AJ180" s="12"/>
      <c r="AK180" s="12">
        <v>6.31</v>
      </c>
      <c r="AL180" s="12">
        <f>6.51-6.11</f>
        <v>0.39999999999999947</v>
      </c>
      <c r="AM180" s="12"/>
      <c r="AN180" s="12">
        <f>AH180-AK180</f>
        <v>4.0000000000000036E-2</v>
      </c>
      <c r="AO180" s="1">
        <f>SQRT((((X180-1)*AI180^2)+((W180-1)*AL180^2))/(X180+W180-2))</f>
        <v>0.49370583807106683</v>
      </c>
      <c r="AP180" s="1">
        <f>AN180/AO180</f>
        <v>8.1019904800563064E-2</v>
      </c>
      <c r="AQ180" s="1">
        <f>1/X180+1/W180+(AP180^2)/(2*(X180+W180))</f>
        <v>0.17791453246473385</v>
      </c>
      <c r="AR180" s="1">
        <f>1-(3/(4*(X180+W180-2)-1))</f>
        <v>0.96551724137931039</v>
      </c>
      <c r="AS180" s="21">
        <f>AP180*AR180</f>
        <v>7.8226114979854003E-2</v>
      </c>
      <c r="AT180" s="21">
        <f>AQ180*(AR180^2)</f>
        <v>0.16585611587675547</v>
      </c>
      <c r="AU180" s="21">
        <f>SQRT(AQ180*AR180^2)</f>
        <v>0.40725436262458314</v>
      </c>
      <c r="AV180" s="20">
        <f>1/AT180</f>
        <v>6.0293224323610772</v>
      </c>
      <c r="AW180" s="20">
        <f>AS180/AT180</f>
        <v>0.47165046984449066</v>
      </c>
      <c r="AX180" s="20">
        <f>((AS180)^2)/AT180</f>
        <v>3.6895383884357293E-2</v>
      </c>
      <c r="AY180" s="14"/>
      <c r="AZ180" s="14"/>
      <c r="BA180" s="1" t="s">
        <v>270</v>
      </c>
      <c r="BB180" s="2"/>
    </row>
    <row r="181" spans="1:54" ht="14.25" customHeight="1">
      <c r="A181" s="2">
        <v>425</v>
      </c>
      <c r="B181" s="2" t="s">
        <v>53</v>
      </c>
      <c r="C181" s="1" t="s">
        <v>85</v>
      </c>
      <c r="D181" s="1">
        <v>2021</v>
      </c>
      <c r="F181" s="1" t="s">
        <v>143</v>
      </c>
      <c r="G181" s="1" t="s">
        <v>142</v>
      </c>
      <c r="H181" s="1">
        <v>30.75</v>
      </c>
      <c r="I181" s="1">
        <v>-84</v>
      </c>
      <c r="J181" s="1" t="s">
        <v>128</v>
      </c>
      <c r="K181" s="1" t="s">
        <v>176</v>
      </c>
      <c r="L181" s="1" t="s">
        <v>189</v>
      </c>
      <c r="M181" s="1" t="s">
        <v>236</v>
      </c>
      <c r="N181" s="16" t="s">
        <v>238</v>
      </c>
      <c r="O181" s="1" t="s">
        <v>121</v>
      </c>
      <c r="Q181" s="1" t="s">
        <v>115</v>
      </c>
      <c r="R181" s="1">
        <v>2017</v>
      </c>
      <c r="S181" s="1" t="s">
        <v>156</v>
      </c>
      <c r="T181" s="1">
        <v>11</v>
      </c>
      <c r="W181" s="1">
        <v>9</v>
      </c>
      <c r="X181" s="1">
        <v>15</v>
      </c>
      <c r="Y181" s="1" t="s">
        <v>97</v>
      </c>
      <c r="Z181" s="1" t="s">
        <v>132</v>
      </c>
      <c r="AA181" s="1" t="s">
        <v>1</v>
      </c>
      <c r="AB181" s="1" t="s">
        <v>98</v>
      </c>
      <c r="AC181" s="1" t="s">
        <v>202</v>
      </c>
      <c r="AD181" s="1" t="s">
        <v>99</v>
      </c>
      <c r="AE181" s="1" t="s">
        <v>102</v>
      </c>
      <c r="AF181" s="1" t="s">
        <v>256</v>
      </c>
      <c r="AG181" s="1" t="s">
        <v>342</v>
      </c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" t="s">
        <v>285</v>
      </c>
    </row>
    <row r="182" spans="1:54" ht="14.25" customHeight="1">
      <c r="A182" s="2">
        <v>545</v>
      </c>
      <c r="B182" s="2" t="s">
        <v>69</v>
      </c>
      <c r="C182" s="1" t="s">
        <v>85</v>
      </c>
      <c r="D182" s="1">
        <v>2024</v>
      </c>
      <c r="F182" s="1" t="s">
        <v>96</v>
      </c>
      <c r="G182" s="1" t="s">
        <v>109</v>
      </c>
      <c r="H182" s="1">
        <v>-38.46</v>
      </c>
      <c r="I182" s="1">
        <v>144.09</v>
      </c>
      <c r="J182" s="1" t="s">
        <v>128</v>
      </c>
      <c r="K182" s="1" t="s">
        <v>112</v>
      </c>
      <c r="M182" s="1" t="s">
        <v>237</v>
      </c>
      <c r="N182" s="1" t="s">
        <v>238</v>
      </c>
      <c r="O182" s="1" t="s">
        <v>121</v>
      </c>
      <c r="P182" s="1" t="s">
        <v>146</v>
      </c>
      <c r="Q182" s="1" t="s">
        <v>93</v>
      </c>
      <c r="S182" s="12">
        <v>1.5</v>
      </c>
      <c r="T182" s="12">
        <f>S182*12</f>
        <v>18</v>
      </c>
      <c r="U182" s="9"/>
      <c r="W182" s="1">
        <v>6</v>
      </c>
      <c r="X182" s="1">
        <v>6</v>
      </c>
      <c r="Y182" s="1" t="s">
        <v>97</v>
      </c>
      <c r="Z182" s="1" t="s">
        <v>133</v>
      </c>
      <c r="AA182" s="1" t="s">
        <v>0</v>
      </c>
      <c r="AB182" s="1" t="s">
        <v>98</v>
      </c>
      <c r="AC182" s="1" t="s">
        <v>202</v>
      </c>
      <c r="AD182" s="12" t="s">
        <v>99</v>
      </c>
      <c r="AE182" s="12" t="s">
        <v>100</v>
      </c>
      <c r="AF182" s="12" t="s">
        <v>149</v>
      </c>
      <c r="AG182" s="12" t="s">
        <v>315</v>
      </c>
      <c r="AH182" s="1">
        <v>2.79</v>
      </c>
      <c r="AI182" s="1">
        <f>2.93-AH182</f>
        <v>0.14000000000000012</v>
      </c>
      <c r="AJ182" s="12"/>
      <c r="AK182" s="12">
        <v>2.89</v>
      </c>
      <c r="AL182" s="12">
        <f>AK182-2.85</f>
        <v>4.0000000000000036E-2</v>
      </c>
      <c r="AM182" s="12"/>
      <c r="AN182" s="12">
        <f>AH182-AK182</f>
        <v>-0.10000000000000009</v>
      </c>
      <c r="AO182" s="1">
        <f>SQRT((((X182-1)*AI182^2)+((W182-1)*AL182^2))/(X182+W182-2))</f>
        <v>0.10295630140987008</v>
      </c>
      <c r="AP182" s="1">
        <f>AN182/AO182</f>
        <v>-0.97128586235726433</v>
      </c>
      <c r="AQ182" s="1">
        <f>1/X182+1/W182+(AP182^2)/(2*(X182+W182))</f>
        <v>0.37264150943396224</v>
      </c>
      <c r="AR182" s="1">
        <f>1-(3/(4*(X182+W182-2)-1))</f>
        <v>0.92307692307692313</v>
      </c>
      <c r="AS182" s="21">
        <f>AP182*AR182</f>
        <v>-0.89657156525285941</v>
      </c>
      <c r="AT182" s="21">
        <f>AQ182*(AR182^2)</f>
        <v>0.31751702578988505</v>
      </c>
      <c r="AU182" s="21">
        <f>SQRT(AQ182*AR182^2)</f>
        <v>0.56348649122218097</v>
      </c>
      <c r="AV182" s="20">
        <f>1/AT182</f>
        <v>3.1494374120956397</v>
      </c>
      <c r="AW182" s="20">
        <f>AS182/AT182</f>
        <v>-2.8236960302285024</v>
      </c>
      <c r="AX182" s="20">
        <f>((AS182)^2)/AT182</f>
        <v>2.5316455696202538</v>
      </c>
      <c r="AY182" s="14"/>
      <c r="AZ182" s="14"/>
      <c r="BA182" s="1" t="s">
        <v>270</v>
      </c>
      <c r="BB182" s="2"/>
    </row>
    <row r="183" spans="1:54" ht="14.25" customHeight="1">
      <c r="A183" s="2">
        <v>545</v>
      </c>
      <c r="B183" s="2" t="s">
        <v>69</v>
      </c>
      <c r="C183" s="1" t="s">
        <v>85</v>
      </c>
      <c r="D183" s="1">
        <v>2024</v>
      </c>
      <c r="F183" s="1" t="s">
        <v>96</v>
      </c>
      <c r="G183" s="1" t="s">
        <v>109</v>
      </c>
      <c r="H183" s="1">
        <v>-38.46</v>
      </c>
      <c r="I183" s="1">
        <v>144.09</v>
      </c>
      <c r="J183" s="1" t="s">
        <v>128</v>
      </c>
      <c r="K183" s="1" t="s">
        <v>112</v>
      </c>
      <c r="M183" s="1" t="s">
        <v>237</v>
      </c>
      <c r="N183" s="1" t="s">
        <v>238</v>
      </c>
      <c r="O183" s="1" t="s">
        <v>121</v>
      </c>
      <c r="P183" s="1" t="s">
        <v>146</v>
      </c>
      <c r="Q183" s="1" t="s">
        <v>93</v>
      </c>
      <c r="S183" s="12">
        <v>6.5</v>
      </c>
      <c r="T183" s="12">
        <f>S183*12</f>
        <v>78</v>
      </c>
      <c r="U183" s="9"/>
      <c r="W183" s="1">
        <v>6</v>
      </c>
      <c r="X183" s="1">
        <v>7</v>
      </c>
      <c r="Y183" s="1" t="s">
        <v>97</v>
      </c>
      <c r="Z183" s="1" t="s">
        <v>133</v>
      </c>
      <c r="AA183" s="1" t="s">
        <v>0</v>
      </c>
      <c r="AB183" s="1" t="s">
        <v>98</v>
      </c>
      <c r="AC183" s="1" t="s">
        <v>202</v>
      </c>
      <c r="AD183" s="12" t="s">
        <v>99</v>
      </c>
      <c r="AE183" s="12" t="s">
        <v>100</v>
      </c>
      <c r="AF183" s="12" t="s">
        <v>149</v>
      </c>
      <c r="AG183" s="12" t="s">
        <v>315</v>
      </c>
      <c r="AH183" s="12">
        <v>2.95</v>
      </c>
      <c r="AI183" s="12">
        <f>2.98-2.92</f>
        <v>6.0000000000000053E-2</v>
      </c>
      <c r="AJ183" s="12"/>
      <c r="AK183" s="12">
        <v>2.89</v>
      </c>
      <c r="AL183" s="12">
        <f>AK183-2.85</f>
        <v>4.0000000000000036E-2</v>
      </c>
      <c r="AM183" s="12"/>
      <c r="AN183" s="12">
        <f>AH183-AK183</f>
        <v>6.0000000000000053E-2</v>
      </c>
      <c r="AO183" s="1">
        <f>SQRT((((X183-1)*AI183^2)+((W183-1)*AL183^2))/(X183+W183-2))</f>
        <v>5.1873973155225885E-2</v>
      </c>
      <c r="AP183" s="1">
        <f>AN183/AO183</f>
        <v>1.1566494014340896</v>
      </c>
      <c r="AQ183" s="1">
        <f>1/X183+1/W183+(AP183^2)/(2*(X183+W183))</f>
        <v>0.36097911097911101</v>
      </c>
      <c r="AR183" s="1">
        <f>1-(3/(4*(X183+W183-2)-1))</f>
        <v>0.93023255813953487</v>
      </c>
      <c r="AS183" s="21">
        <f>AP183*AR183</f>
        <v>1.075952931566595</v>
      </c>
      <c r="AT183" s="21">
        <f>AQ183*(AR183^2)</f>
        <v>0.31236699706142651</v>
      </c>
      <c r="AU183" s="21">
        <f>SQRT(AQ183*AR183^2)</f>
        <v>0.55889802026973268</v>
      </c>
      <c r="AV183" s="20">
        <f>1/AT183</f>
        <v>3.2013625299965716</v>
      </c>
      <c r="AW183" s="20">
        <f>AS183/AT183</f>
        <v>3.4445153991572623</v>
      </c>
      <c r="AX183" s="20">
        <f>((AS183)^2)/AT183</f>
        <v>3.7061364415495364</v>
      </c>
      <c r="AY183" s="14"/>
      <c r="AZ183" s="14"/>
      <c r="BA183" s="1" t="s">
        <v>270</v>
      </c>
      <c r="BB183" s="2"/>
    </row>
    <row r="184" spans="1:54" ht="14.25" customHeight="1">
      <c r="A184" s="2">
        <v>545</v>
      </c>
      <c r="B184" s="2" t="s">
        <v>69</v>
      </c>
      <c r="C184" s="1" t="s">
        <v>85</v>
      </c>
      <c r="D184" s="1">
        <v>2024</v>
      </c>
      <c r="F184" s="1" t="s">
        <v>96</v>
      </c>
      <c r="G184" s="1" t="s">
        <v>109</v>
      </c>
      <c r="H184" s="1">
        <v>-38.46</v>
      </c>
      <c r="I184" s="1">
        <v>144.09</v>
      </c>
      <c r="J184" s="1" t="s">
        <v>128</v>
      </c>
      <c r="K184" s="1" t="s">
        <v>112</v>
      </c>
      <c r="M184" s="1" t="s">
        <v>237</v>
      </c>
      <c r="N184" s="1" t="s">
        <v>238</v>
      </c>
      <c r="O184" s="1" t="s">
        <v>121</v>
      </c>
      <c r="P184" s="1" t="s">
        <v>146</v>
      </c>
      <c r="Q184" s="1" t="s">
        <v>93</v>
      </c>
      <c r="S184" s="12">
        <v>10</v>
      </c>
      <c r="T184" s="12">
        <f>S184*12</f>
        <v>120</v>
      </c>
      <c r="U184" s="9"/>
      <c r="W184" s="1">
        <v>6</v>
      </c>
      <c r="X184" s="1">
        <v>6</v>
      </c>
      <c r="Y184" s="1" t="s">
        <v>97</v>
      </c>
      <c r="Z184" s="1" t="s">
        <v>133</v>
      </c>
      <c r="AA184" s="1" t="s">
        <v>0</v>
      </c>
      <c r="AB184" s="1" t="s">
        <v>98</v>
      </c>
      <c r="AC184" s="1" t="s">
        <v>202</v>
      </c>
      <c r="AD184" s="12" t="s">
        <v>99</v>
      </c>
      <c r="AE184" s="12" t="s">
        <v>100</v>
      </c>
      <c r="AF184" s="12" t="s">
        <v>149</v>
      </c>
      <c r="AG184" s="12" t="s">
        <v>315</v>
      </c>
      <c r="AH184" s="12">
        <v>2.89</v>
      </c>
      <c r="AI184" s="12">
        <f>2.91-2.86</f>
        <v>5.0000000000000266E-2</v>
      </c>
      <c r="AJ184" s="12"/>
      <c r="AK184" s="12">
        <v>2.89</v>
      </c>
      <c r="AL184" s="12">
        <f>AK184-2.85</f>
        <v>4.0000000000000036E-2</v>
      </c>
      <c r="AM184" s="12"/>
      <c r="AN184" s="12">
        <f>AH184-AK184</f>
        <v>0</v>
      </c>
      <c r="AO184" s="1">
        <f>SQRT((((X184-1)*AI184^2)+((W184-1)*AL184^2))/(X184+W184-2))</f>
        <v>4.5276925690687246E-2</v>
      </c>
      <c r="AP184" s="1">
        <f>AN184/AO184</f>
        <v>0</v>
      </c>
      <c r="AQ184" s="1">
        <f>1/X184+1/W184+(AP184^2)/(2*(X184+W184))</f>
        <v>0.33333333333333331</v>
      </c>
      <c r="AR184" s="1">
        <f>1-(3/(4*(X184+W184-2)-1))</f>
        <v>0.92307692307692313</v>
      </c>
      <c r="AS184" s="21">
        <f>AP184*AR184</f>
        <v>0</v>
      </c>
      <c r="AT184" s="21">
        <f>AQ184*(AR184^2)</f>
        <v>0.28402366863905326</v>
      </c>
      <c r="AU184" s="21">
        <f>SQRT(AQ184*AR184^2)</f>
        <v>0.53293871002119297</v>
      </c>
      <c r="AV184" s="20">
        <f>1/AT184</f>
        <v>3.520833333333333</v>
      </c>
      <c r="AW184" s="20">
        <f>AS184/AT184</f>
        <v>0</v>
      </c>
      <c r="AX184" s="20">
        <f>((AS184)^2)/AT184</f>
        <v>0</v>
      </c>
      <c r="AY184" s="14"/>
      <c r="AZ184" s="14"/>
      <c r="BA184" s="1" t="s">
        <v>270</v>
      </c>
      <c r="BB184" s="2"/>
    </row>
    <row r="185" spans="1:54" ht="14.25" customHeight="1">
      <c r="A185" s="2">
        <v>545</v>
      </c>
      <c r="B185" s="2" t="s">
        <v>69</v>
      </c>
      <c r="C185" s="1" t="s">
        <v>85</v>
      </c>
      <c r="D185" s="1">
        <v>2024</v>
      </c>
      <c r="F185" s="1" t="s">
        <v>96</v>
      </c>
      <c r="G185" s="1" t="s">
        <v>109</v>
      </c>
      <c r="H185" s="1">
        <v>-38.46</v>
      </c>
      <c r="I185" s="1">
        <v>144.09</v>
      </c>
      <c r="J185" s="1" t="s">
        <v>128</v>
      </c>
      <c r="K185" s="1" t="s">
        <v>112</v>
      </c>
      <c r="M185" s="1" t="s">
        <v>237</v>
      </c>
      <c r="N185" s="1" t="s">
        <v>238</v>
      </c>
      <c r="O185" s="1" t="s">
        <v>121</v>
      </c>
      <c r="P185" s="1" t="s">
        <v>146</v>
      </c>
      <c r="Q185" s="1" t="s">
        <v>93</v>
      </c>
      <c r="S185" s="12">
        <v>1.5</v>
      </c>
      <c r="T185" s="12">
        <f>S185*12</f>
        <v>18</v>
      </c>
      <c r="U185" s="9"/>
      <c r="W185" s="1">
        <v>6</v>
      </c>
      <c r="X185" s="1">
        <v>6</v>
      </c>
      <c r="Y185" s="1" t="s">
        <v>97</v>
      </c>
      <c r="Z185" s="1" t="s">
        <v>133</v>
      </c>
      <c r="AA185" s="1" t="s">
        <v>0</v>
      </c>
      <c r="AB185" s="1" t="s">
        <v>98</v>
      </c>
      <c r="AC185" s="1" t="s">
        <v>202</v>
      </c>
      <c r="AD185" s="12" t="s">
        <v>99</v>
      </c>
      <c r="AE185" s="12" t="s">
        <v>100</v>
      </c>
      <c r="AF185" s="12" t="s">
        <v>256</v>
      </c>
      <c r="AG185" s="12" t="s">
        <v>319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" t="s">
        <v>285</v>
      </c>
    </row>
    <row r="186" spans="1:54" ht="14.25" customHeight="1">
      <c r="A186" s="2">
        <v>545</v>
      </c>
      <c r="B186" s="2" t="s">
        <v>69</v>
      </c>
      <c r="C186" s="1" t="s">
        <v>85</v>
      </c>
      <c r="D186" s="1">
        <v>2024</v>
      </c>
      <c r="F186" s="1" t="s">
        <v>96</v>
      </c>
      <c r="G186" s="1" t="s">
        <v>109</v>
      </c>
      <c r="H186" s="1">
        <v>-38.46</v>
      </c>
      <c r="I186" s="1">
        <v>144.09</v>
      </c>
      <c r="J186" s="1" t="s">
        <v>128</v>
      </c>
      <c r="K186" s="1" t="s">
        <v>112</v>
      </c>
      <c r="M186" s="1" t="s">
        <v>237</v>
      </c>
      <c r="N186" s="1" t="s">
        <v>238</v>
      </c>
      <c r="O186" s="1" t="s">
        <v>121</v>
      </c>
      <c r="P186" s="1" t="s">
        <v>146</v>
      </c>
      <c r="Q186" s="1" t="s">
        <v>93</v>
      </c>
      <c r="S186" s="12">
        <v>6.5</v>
      </c>
      <c r="T186" s="12">
        <f t="shared" ref="T186:T187" si="30">S186*12</f>
        <v>78</v>
      </c>
      <c r="U186" s="9"/>
      <c r="W186" s="1">
        <v>6</v>
      </c>
      <c r="X186" s="1">
        <v>7</v>
      </c>
      <c r="Y186" s="1" t="s">
        <v>97</v>
      </c>
      <c r="Z186" s="1" t="s">
        <v>133</v>
      </c>
      <c r="AA186" s="1" t="s">
        <v>0</v>
      </c>
      <c r="AB186" s="1" t="s">
        <v>98</v>
      </c>
      <c r="AC186" s="1" t="s">
        <v>202</v>
      </c>
      <c r="AD186" s="12" t="s">
        <v>99</v>
      </c>
      <c r="AE186" s="12" t="s">
        <v>100</v>
      </c>
      <c r="AF186" s="12" t="s">
        <v>256</v>
      </c>
      <c r="AG186" s="12" t="s">
        <v>319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" t="s">
        <v>285</v>
      </c>
    </row>
    <row r="187" spans="1:54" ht="14.25" customHeight="1">
      <c r="A187" s="2">
        <v>545</v>
      </c>
      <c r="B187" s="2" t="s">
        <v>69</v>
      </c>
      <c r="C187" s="1" t="s">
        <v>85</v>
      </c>
      <c r="D187" s="1">
        <v>2024</v>
      </c>
      <c r="F187" s="1" t="s">
        <v>96</v>
      </c>
      <c r="G187" s="1" t="s">
        <v>109</v>
      </c>
      <c r="H187" s="1">
        <v>-38.46</v>
      </c>
      <c r="I187" s="1">
        <v>144.09</v>
      </c>
      <c r="J187" s="1" t="s">
        <v>128</v>
      </c>
      <c r="K187" s="1" t="s">
        <v>112</v>
      </c>
      <c r="M187" s="1" t="s">
        <v>237</v>
      </c>
      <c r="N187" s="1" t="s">
        <v>238</v>
      </c>
      <c r="O187" s="1" t="s">
        <v>121</v>
      </c>
      <c r="P187" s="1" t="s">
        <v>146</v>
      </c>
      <c r="Q187" s="1" t="s">
        <v>93</v>
      </c>
      <c r="S187" s="12">
        <v>10</v>
      </c>
      <c r="T187" s="12">
        <f t="shared" si="30"/>
        <v>120</v>
      </c>
      <c r="U187" s="9"/>
      <c r="W187" s="1">
        <v>6</v>
      </c>
      <c r="X187" s="1">
        <v>6</v>
      </c>
      <c r="Y187" s="1" t="s">
        <v>97</v>
      </c>
      <c r="Z187" s="1" t="s">
        <v>133</v>
      </c>
      <c r="AA187" s="1" t="s">
        <v>0</v>
      </c>
      <c r="AB187" s="1" t="s">
        <v>98</v>
      </c>
      <c r="AC187" s="1" t="s">
        <v>202</v>
      </c>
      <c r="AD187" s="12" t="s">
        <v>99</v>
      </c>
      <c r="AE187" s="12" t="s">
        <v>100</v>
      </c>
      <c r="AF187" s="12" t="s">
        <v>256</v>
      </c>
      <c r="AG187" s="12" t="s">
        <v>319</v>
      </c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" t="s">
        <v>285</v>
      </c>
    </row>
    <row r="188" spans="1:54" ht="14.25" customHeight="1">
      <c r="A188" s="2">
        <v>29</v>
      </c>
      <c r="B188" s="2" t="s">
        <v>5</v>
      </c>
      <c r="C188" s="1" t="s">
        <v>85</v>
      </c>
      <c r="D188" s="1">
        <v>1999</v>
      </c>
      <c r="E188" s="1">
        <v>1995</v>
      </c>
      <c r="F188" s="1" t="s">
        <v>116</v>
      </c>
      <c r="G188" s="1" t="s">
        <v>117</v>
      </c>
      <c r="H188" s="1">
        <v>64.700007999999997</v>
      </c>
      <c r="I188" s="1">
        <v>14.549446</v>
      </c>
      <c r="J188" s="1" t="s">
        <v>135</v>
      </c>
      <c r="K188" s="1" t="s">
        <v>176</v>
      </c>
      <c r="L188" s="1" t="s">
        <v>182</v>
      </c>
      <c r="M188" s="1" t="s">
        <v>236</v>
      </c>
      <c r="N188" s="1" t="s">
        <v>238</v>
      </c>
      <c r="O188" s="1" t="s">
        <v>86</v>
      </c>
      <c r="Q188" s="1" t="s">
        <v>93</v>
      </c>
      <c r="R188" s="1">
        <v>1995</v>
      </c>
      <c r="S188" s="1">
        <v>1</v>
      </c>
      <c r="T188" s="12">
        <f>S188*12</f>
        <v>12</v>
      </c>
      <c r="W188" s="1">
        <v>10</v>
      </c>
      <c r="X188" s="1">
        <v>10</v>
      </c>
      <c r="Y188" s="1" t="s">
        <v>134</v>
      </c>
      <c r="Z188" s="1" t="s">
        <v>2</v>
      </c>
      <c r="AB188" s="1" t="s">
        <v>98</v>
      </c>
      <c r="AC188" s="1" t="s">
        <v>221</v>
      </c>
      <c r="AD188" s="12"/>
      <c r="AE188" s="12" t="s">
        <v>100</v>
      </c>
      <c r="AF188" s="12" t="s">
        <v>385</v>
      </c>
      <c r="AG188" s="12" t="s">
        <v>317</v>
      </c>
      <c r="AH188" s="12">
        <v>12</v>
      </c>
      <c r="AI188" s="12">
        <f>AJ188*SQRT(X188)</f>
        <v>10.75174404457249</v>
      </c>
      <c r="AJ188" s="12">
        <v>3.4</v>
      </c>
      <c r="AK188" s="12">
        <v>20.2</v>
      </c>
      <c r="AL188" s="12">
        <f>AM188*SQRT(W188)</f>
        <v>13.597793938724031</v>
      </c>
      <c r="AM188" s="12">
        <v>4.3</v>
      </c>
      <c r="AN188" s="12">
        <f>AH188-AK188</f>
        <v>-8.1999999999999993</v>
      </c>
      <c r="AO188" s="1">
        <f>SQRT((((X188-1)*AI188^2)+((W188-1)*AL188^2))/(X188+W188-2))</f>
        <v>12.257650672131263</v>
      </c>
      <c r="AP188" s="1">
        <f>AN188/AO188</f>
        <v>-0.66896995348736343</v>
      </c>
      <c r="AQ188" s="1">
        <f>1/X188+1/W188+(AP188^2)/(2*(X188+W188))</f>
        <v>0.21118801996672215</v>
      </c>
      <c r="AR188" s="1">
        <f>1-(3/(4*(X188+W188-2)-1))</f>
        <v>0.95774647887323949</v>
      </c>
      <c r="AS188" s="21">
        <f>AP188*AR188</f>
        <v>-0.64070361742451709</v>
      </c>
      <c r="AT188" s="21">
        <f>AQ188*(AR188^2)</f>
        <v>0.19371819169333929</v>
      </c>
      <c r="AU188" s="21">
        <f>SQRT(AQ188*AR188^2)</f>
        <v>0.44013428825000589</v>
      </c>
      <c r="AV188" s="20">
        <f>1/AT188</f>
        <v>5.1621378005790231</v>
      </c>
      <c r="AW188" s="20">
        <f>AS188/AT188</f>
        <v>-3.3074003624748203</v>
      </c>
      <c r="AX188" s="20">
        <f>((AS188)^2)/AT188</f>
        <v>2.1190633765087767</v>
      </c>
      <c r="AY188" s="14"/>
      <c r="AZ188" s="14"/>
      <c r="BA188" s="1" t="s">
        <v>270</v>
      </c>
      <c r="BB188" s="2"/>
    </row>
    <row r="189" spans="1:54" ht="14.25" customHeight="1">
      <c r="A189" s="2">
        <v>562</v>
      </c>
      <c r="B189" s="2" t="s">
        <v>71</v>
      </c>
      <c r="C189" s="1" t="s">
        <v>85</v>
      </c>
      <c r="D189" s="1">
        <v>2023</v>
      </c>
      <c r="E189" s="1">
        <v>2021</v>
      </c>
      <c r="F189" s="1" t="s">
        <v>96</v>
      </c>
      <c r="G189" s="1" t="s">
        <v>119</v>
      </c>
      <c r="H189" s="1">
        <v>-36.537121999999997</v>
      </c>
      <c r="I189" s="1">
        <v>142.010153</v>
      </c>
      <c r="J189" s="1" t="s">
        <v>128</v>
      </c>
      <c r="K189" s="1" t="s">
        <v>112</v>
      </c>
      <c r="M189" s="1" t="s">
        <v>237</v>
      </c>
      <c r="N189" s="16" t="s">
        <v>238</v>
      </c>
      <c r="O189" s="1" t="s">
        <v>86</v>
      </c>
      <c r="Q189" s="1" t="s">
        <v>93</v>
      </c>
      <c r="S189" s="1">
        <v>5</v>
      </c>
      <c r="T189" s="1">
        <f>S189*12</f>
        <v>60</v>
      </c>
      <c r="W189" s="1">
        <v>18</v>
      </c>
      <c r="X189" s="1">
        <v>17</v>
      </c>
      <c r="Y189" s="1" t="s">
        <v>97</v>
      </c>
      <c r="Z189" s="1" t="s">
        <v>133</v>
      </c>
      <c r="AA189" s="1" t="s">
        <v>1</v>
      </c>
      <c r="AB189" s="1" t="s">
        <v>98</v>
      </c>
      <c r="AC189" s="1" t="s">
        <v>202</v>
      </c>
      <c r="AD189" s="1" t="s">
        <v>99</v>
      </c>
      <c r="AE189" s="1" t="s">
        <v>102</v>
      </c>
      <c r="AF189" s="16" t="s">
        <v>222</v>
      </c>
      <c r="AG189" s="16" t="s">
        <v>315</v>
      </c>
      <c r="AH189" s="16">
        <v>361.68</v>
      </c>
      <c r="AI189" s="12">
        <f>424.3-328.04</f>
        <v>96.259999999999991</v>
      </c>
      <c r="AJ189" s="16"/>
      <c r="AK189" s="16">
        <v>414.95</v>
      </c>
      <c r="AL189" s="16">
        <f>425.23-352.34</f>
        <v>72.890000000000043</v>
      </c>
      <c r="AM189" s="16"/>
      <c r="AN189" s="12">
        <f>AH189-AK189</f>
        <v>-53.269999999999982</v>
      </c>
      <c r="AO189" s="1">
        <f>SQRT((((X189-1)*AI189^2)+((W189-1)*AL189^2))/(X189+W189-2))</f>
        <v>85.026909697620297</v>
      </c>
      <c r="AP189" s="1">
        <f>AN189/AO189</f>
        <v>-0.62650753966530293</v>
      </c>
      <c r="AQ189" s="1">
        <f>1/X189+1/W189+(AP189^2)/(2*(X189+W189))</f>
        <v>0.11998639492814127</v>
      </c>
      <c r="AR189" s="1">
        <f>1-(3/(4*(X189+W189-2)-1))</f>
        <v>0.97709923664122134</v>
      </c>
      <c r="AS189" s="21">
        <f>AP189*AR189</f>
        <v>-0.61216003875693714</v>
      </c>
      <c r="AT189" s="21">
        <f>AQ189*(AR189^2)</f>
        <v>0.11455376111547499</v>
      </c>
      <c r="AU189" s="21">
        <f>SQRT(AQ189*AR189^2)</f>
        <v>0.33845791631379374</v>
      </c>
      <c r="AV189" s="20">
        <f>1/AT189</f>
        <v>8.7295256852540888</v>
      </c>
      <c r="AW189" s="20">
        <f>AS189/AT189</f>
        <v>-5.3438667818148211</v>
      </c>
      <c r="AX189" s="20">
        <f>((AS189)^2)/AT189</f>
        <v>3.2713016962676695</v>
      </c>
      <c r="AY189" s="14"/>
      <c r="AZ189" s="14"/>
      <c r="BA189" s="1" t="s">
        <v>270</v>
      </c>
      <c r="BB189" s="2"/>
    </row>
    <row r="190" spans="1:54" ht="14.25" customHeight="1">
      <c r="A190" s="2">
        <v>29</v>
      </c>
      <c r="B190" s="2" t="s">
        <v>5</v>
      </c>
      <c r="C190" s="1" t="s">
        <v>85</v>
      </c>
      <c r="D190" s="1">
        <v>1999</v>
      </c>
      <c r="E190" s="1">
        <v>1995</v>
      </c>
      <c r="F190" s="1" t="s">
        <v>116</v>
      </c>
      <c r="G190" s="1" t="s">
        <v>117</v>
      </c>
      <c r="H190" s="1">
        <v>64.700007999999997</v>
      </c>
      <c r="I190" s="1">
        <v>14.549446</v>
      </c>
      <c r="J190" s="1" t="s">
        <v>135</v>
      </c>
      <c r="K190" s="1" t="s">
        <v>176</v>
      </c>
      <c r="L190" s="1" t="s">
        <v>182</v>
      </c>
      <c r="M190" s="1" t="s">
        <v>236</v>
      </c>
      <c r="N190" s="1" t="s">
        <v>238</v>
      </c>
      <c r="O190" s="1" t="s">
        <v>86</v>
      </c>
      <c r="Q190" s="1" t="s">
        <v>93</v>
      </c>
      <c r="R190" s="1">
        <v>1995</v>
      </c>
      <c r="S190" s="1">
        <v>1</v>
      </c>
      <c r="T190" s="12">
        <f>S190*12</f>
        <v>12</v>
      </c>
      <c r="W190" s="1">
        <v>10</v>
      </c>
      <c r="X190" s="1">
        <v>10</v>
      </c>
      <c r="Y190" s="1" t="s">
        <v>134</v>
      </c>
      <c r="Z190" s="1" t="s">
        <v>2</v>
      </c>
      <c r="AB190" s="1" t="s">
        <v>98</v>
      </c>
      <c r="AC190" s="1" t="s">
        <v>221</v>
      </c>
      <c r="AD190" s="12"/>
      <c r="AE190" s="12" t="s">
        <v>100</v>
      </c>
      <c r="AF190" s="12" t="s">
        <v>253</v>
      </c>
      <c r="AG190" s="12" t="s">
        <v>325</v>
      </c>
      <c r="AH190" s="12">
        <v>14</v>
      </c>
      <c r="AI190" s="7" t="s">
        <v>2</v>
      </c>
      <c r="AJ190" s="7" t="s">
        <v>2</v>
      </c>
      <c r="AK190" s="12">
        <v>21</v>
      </c>
      <c r="AL190" s="7" t="s">
        <v>2</v>
      </c>
      <c r="AM190" s="7" t="s">
        <v>2</v>
      </c>
      <c r="AN190" s="12">
        <f>AH190-AK190</f>
        <v>-7</v>
      </c>
      <c r="AO190" s="1" t="e">
        <f>SQRT((((X190-1)*AI190^2)+((W190-1)*AL190^2))/(X190+W190-2))</f>
        <v>#VALUE!</v>
      </c>
      <c r="AP190" s="1" t="e">
        <f>AN190/AO190</f>
        <v>#VALUE!</v>
      </c>
      <c r="AQ190" s="1" t="e">
        <f>1/X190+1/W190+(AP190^2)/(2*(X190+W190))</f>
        <v>#VALUE!</v>
      </c>
      <c r="AR190" s="1">
        <f>1-(3/(4*(X190+W190-2)-1))</f>
        <v>0.95774647887323949</v>
      </c>
      <c r="AS190" s="1" t="e">
        <f>AP190*AR190</f>
        <v>#VALUE!</v>
      </c>
      <c r="AU190" s="1" t="e">
        <f>SQRT(AQ190*AR190^2)</f>
        <v>#VALUE!</v>
      </c>
      <c r="AY190" s="14"/>
      <c r="AZ190" s="14"/>
      <c r="BA190" s="1" t="s">
        <v>270</v>
      </c>
      <c r="BB190" s="2"/>
    </row>
    <row r="191" spans="1:54" ht="14.25" customHeight="1">
      <c r="A191" s="2">
        <v>29</v>
      </c>
      <c r="B191" s="2" t="s">
        <v>5</v>
      </c>
      <c r="C191" s="1" t="s">
        <v>85</v>
      </c>
      <c r="D191" s="1">
        <v>1999</v>
      </c>
      <c r="E191" s="1">
        <v>1995</v>
      </c>
      <c r="F191" s="1" t="s">
        <v>116</v>
      </c>
      <c r="G191" s="1" t="s">
        <v>117</v>
      </c>
      <c r="H191" s="1">
        <v>64.700007999999997</v>
      </c>
      <c r="I191" s="1">
        <v>14.549446</v>
      </c>
      <c r="J191" s="1" t="s">
        <v>135</v>
      </c>
      <c r="K191" s="1" t="s">
        <v>176</v>
      </c>
      <c r="L191" s="1" t="s">
        <v>182</v>
      </c>
      <c r="M191" s="1" t="s">
        <v>236</v>
      </c>
      <c r="N191" s="1" t="s">
        <v>238</v>
      </c>
      <c r="O191" s="1" t="s">
        <v>86</v>
      </c>
      <c r="Q191" s="1" t="s">
        <v>93</v>
      </c>
      <c r="R191" s="1">
        <v>1982</v>
      </c>
      <c r="S191" s="1">
        <v>13</v>
      </c>
      <c r="T191" s="12">
        <f>S191*12</f>
        <v>156</v>
      </c>
      <c r="W191" s="1">
        <v>10</v>
      </c>
      <c r="X191" s="1">
        <v>10</v>
      </c>
      <c r="Y191" s="1" t="s">
        <v>134</v>
      </c>
      <c r="Z191" s="1" t="s">
        <v>2</v>
      </c>
      <c r="AB191" s="1" t="s">
        <v>98</v>
      </c>
      <c r="AC191" s="1" t="s">
        <v>221</v>
      </c>
      <c r="AD191" s="12"/>
      <c r="AE191" s="12" t="s">
        <v>100</v>
      </c>
      <c r="AF191" s="12" t="s">
        <v>385</v>
      </c>
      <c r="AG191" s="12" t="s">
        <v>317</v>
      </c>
      <c r="AH191" s="12">
        <v>17.3</v>
      </c>
      <c r="AI191" s="12">
        <f>AJ191*SQRT(X191)</f>
        <v>23.40085468524601</v>
      </c>
      <c r="AJ191" s="12">
        <v>7.4</v>
      </c>
      <c r="AK191" s="12">
        <v>17.2</v>
      </c>
      <c r="AL191" s="12">
        <f>AM191*SQRT(W191)</f>
        <v>12.332882874656679</v>
      </c>
      <c r="AM191" s="12">
        <v>3.9</v>
      </c>
      <c r="AN191" s="12">
        <f>AH191-AK191</f>
        <v>0.10000000000000142</v>
      </c>
      <c r="AO191" s="1">
        <f>SQRT((((X191-1)*AI191^2)+((W191-1)*AL191^2))/(X191+W191-2))</f>
        <v>18.704277585621959</v>
      </c>
      <c r="AP191" s="1">
        <f>AN191/AO191</f>
        <v>5.3463706118685788E-3</v>
      </c>
      <c r="AQ191" s="1">
        <f>1/X191+1/W191+(AP191^2)/(2*(X191+W191))</f>
        <v>0.200000714591968</v>
      </c>
      <c r="AR191" s="1">
        <f>1-(3/(4*(X191+W191-2)-1))</f>
        <v>0.95774647887323949</v>
      </c>
      <c r="AS191" s="21">
        <f>AP191*AR191</f>
        <v>5.1204676282684981E-3</v>
      </c>
      <c r="AT191" s="21">
        <f>AQ191*(AR191^2)</f>
        <v>0.18345631903853601</v>
      </c>
      <c r="AU191" s="21">
        <f>SQRT(AQ191*AR191^2)</f>
        <v>0.4283180115738025</v>
      </c>
      <c r="AV191" s="20">
        <f>1/AT191</f>
        <v>5.4508888286913928</v>
      </c>
      <c r="AW191" s="20">
        <f>AS191/AT191</f>
        <v>2.7911099792604668E-2</v>
      </c>
      <c r="AX191" s="20">
        <f>((AS191)^2)/AT191</f>
        <v>1.4291788295740378E-4</v>
      </c>
      <c r="AY191" s="14"/>
      <c r="AZ191" s="14"/>
      <c r="BA191" s="1" t="s">
        <v>270</v>
      </c>
      <c r="BB191" s="2"/>
    </row>
    <row r="192" spans="1:54" ht="14.25" customHeight="1">
      <c r="A192" s="2">
        <v>474</v>
      </c>
      <c r="B192" s="2" t="s">
        <v>61</v>
      </c>
      <c r="C192" s="1" t="s">
        <v>85</v>
      </c>
      <c r="D192" s="1">
        <v>2023</v>
      </c>
      <c r="E192" s="1">
        <v>2020</v>
      </c>
      <c r="F192" s="1" t="s">
        <v>120</v>
      </c>
      <c r="G192" s="1" t="s">
        <v>109</v>
      </c>
      <c r="H192" s="1">
        <v>37.020277999999998</v>
      </c>
      <c r="I192" s="1">
        <v>-6.48</v>
      </c>
      <c r="J192" s="1" t="s">
        <v>128</v>
      </c>
      <c r="K192" s="1" t="s">
        <v>302</v>
      </c>
      <c r="M192" s="1" t="s">
        <v>237</v>
      </c>
      <c r="N192" s="1" t="s">
        <v>238</v>
      </c>
      <c r="O192" s="1" t="s">
        <v>121</v>
      </c>
      <c r="P192" s="16" t="s">
        <v>146</v>
      </c>
      <c r="Q192" s="1" t="s">
        <v>115</v>
      </c>
      <c r="R192" s="1">
        <v>2020</v>
      </c>
      <c r="S192" s="1" t="s">
        <v>305</v>
      </c>
      <c r="T192" s="23">
        <f>0.2/4.345</f>
        <v>4.6029919447640968E-2</v>
      </c>
      <c r="W192" s="16">
        <v>9</v>
      </c>
      <c r="X192" s="16">
        <v>9</v>
      </c>
      <c r="Y192" s="1" t="s">
        <v>97</v>
      </c>
      <c r="AA192" s="1" t="s">
        <v>1</v>
      </c>
      <c r="AB192" s="1" t="s">
        <v>98</v>
      </c>
      <c r="AC192" s="1" t="s">
        <v>202</v>
      </c>
      <c r="AD192" s="1" t="s">
        <v>99</v>
      </c>
      <c r="AE192" s="1" t="s">
        <v>102</v>
      </c>
      <c r="AF192" s="16" t="s">
        <v>222</v>
      </c>
      <c r="AG192" s="16" t="s">
        <v>330</v>
      </c>
      <c r="AH192" s="16">
        <v>321.72000000000003</v>
      </c>
      <c r="AI192" s="12">
        <f>337.15-283.55</f>
        <v>53.599999999999966</v>
      </c>
      <c r="AJ192" s="16"/>
      <c r="AK192" s="16">
        <v>352.18</v>
      </c>
      <c r="AL192" s="16">
        <f>363.75-320.57</f>
        <v>43.180000000000007</v>
      </c>
      <c r="AM192" s="16"/>
      <c r="AN192" s="12">
        <f>AH192-AK192</f>
        <v>-30.45999999999998</v>
      </c>
      <c r="AO192" s="1">
        <f>SQRT((((X192-1)*AI192^2)+((W192-1)*AL192^2))/(X192+W192-2))</f>
        <v>48.669664062945806</v>
      </c>
      <c r="AP192" s="1">
        <f>AN192/AO192</f>
        <v>-0.62585186453321784</v>
      </c>
      <c r="AQ192" s="1">
        <f>1/X192+1/W192+(AP192^2)/(2*(X192+W192))</f>
        <v>0.23310251545388069</v>
      </c>
      <c r="AR192" s="1">
        <f>1-(3/(4*(X192+W192-2)-1))</f>
        <v>0.95238095238095233</v>
      </c>
      <c r="AS192" s="21">
        <f>AP192*AR192</f>
        <v>-0.5960493947935408</v>
      </c>
      <c r="AT192" s="21">
        <f>AQ192*(AR192^2)</f>
        <v>0.21143085301939291</v>
      </c>
      <c r="AU192" s="21">
        <f>SQRT(AQ192*AR192^2)</f>
        <v>0.45981610782941579</v>
      </c>
      <c r="AV192" s="20">
        <f>1/AT192</f>
        <v>4.7296786903105277</v>
      </c>
      <c r="AW192" s="20">
        <f>AS192/AT192</f>
        <v>-2.819122120927497</v>
      </c>
      <c r="AX192" s="20">
        <f>((AS192)^2)/AT192</f>
        <v>1.6803360340279176</v>
      </c>
      <c r="AY192" s="14"/>
      <c r="AZ192" s="14"/>
      <c r="BA192" s="1" t="s">
        <v>270</v>
      </c>
      <c r="BB192" s="2"/>
    </row>
    <row r="193" spans="1:63" ht="14.25" customHeight="1">
      <c r="A193" s="2">
        <v>29</v>
      </c>
      <c r="B193" s="2" t="s">
        <v>5</v>
      </c>
      <c r="C193" s="1" t="s">
        <v>85</v>
      </c>
      <c r="D193" s="1">
        <v>1999</v>
      </c>
      <c r="E193" s="1">
        <v>1995</v>
      </c>
      <c r="F193" s="1" t="s">
        <v>116</v>
      </c>
      <c r="G193" s="1" t="s">
        <v>117</v>
      </c>
      <c r="H193" s="1">
        <v>64.700007999999997</v>
      </c>
      <c r="I193" s="1">
        <v>14.549446</v>
      </c>
      <c r="J193" s="1" t="s">
        <v>135</v>
      </c>
      <c r="K193" s="1" t="s">
        <v>176</v>
      </c>
      <c r="L193" s="1" t="s">
        <v>182</v>
      </c>
      <c r="M193" s="1" t="s">
        <v>236</v>
      </c>
      <c r="N193" s="1" t="s">
        <v>238</v>
      </c>
      <c r="O193" s="1" t="s">
        <v>86</v>
      </c>
      <c r="Q193" s="1" t="s">
        <v>93</v>
      </c>
      <c r="R193" s="1">
        <v>1982</v>
      </c>
      <c r="S193" s="1">
        <v>13</v>
      </c>
      <c r="T193" s="12">
        <f>S193*12</f>
        <v>156</v>
      </c>
      <c r="W193" s="1">
        <v>10</v>
      </c>
      <c r="X193" s="1">
        <v>10</v>
      </c>
      <c r="Y193" s="1" t="s">
        <v>134</v>
      </c>
      <c r="Z193" s="1" t="s">
        <v>2</v>
      </c>
      <c r="AA193" s="1" t="s">
        <v>2</v>
      </c>
      <c r="AB193" s="1" t="s">
        <v>98</v>
      </c>
      <c r="AC193" s="1" t="s">
        <v>221</v>
      </c>
      <c r="AD193" s="12"/>
      <c r="AE193" s="12" t="s">
        <v>100</v>
      </c>
      <c r="AF193" s="12" t="s">
        <v>253</v>
      </c>
      <c r="AG193" s="12" t="s">
        <v>325</v>
      </c>
      <c r="AH193" s="12">
        <v>18</v>
      </c>
      <c r="AI193" s="7" t="s">
        <v>2</v>
      </c>
      <c r="AJ193" s="7" t="s">
        <v>2</v>
      </c>
      <c r="AK193" s="12">
        <v>20</v>
      </c>
      <c r="AL193" s="7" t="s">
        <v>2</v>
      </c>
      <c r="AM193" s="7" t="s">
        <v>2</v>
      </c>
      <c r="AN193" s="12">
        <f>AH193-AK193</f>
        <v>-2</v>
      </c>
      <c r="AO193" s="1" t="e">
        <f>SQRT((((X193-1)*AI193^2)+((W193-1)*AL193^2))/(X193+W193-2))</f>
        <v>#VALUE!</v>
      </c>
      <c r="AP193" s="1" t="e">
        <f>AN193/AO193</f>
        <v>#VALUE!</v>
      </c>
      <c r="AQ193" s="1" t="e">
        <f>1/X193+1/W193+(AP193^2)/(2*(X193+W193))</f>
        <v>#VALUE!</v>
      </c>
      <c r="AR193" s="1">
        <f>1-(3/(4*(X193+W193-2)-1))</f>
        <v>0.95774647887323949</v>
      </c>
      <c r="AS193" s="1" t="e">
        <f>AP193*AR193</f>
        <v>#VALUE!</v>
      </c>
      <c r="AU193" s="1" t="e">
        <f>SQRT(AQ193*AR193^2)</f>
        <v>#VALUE!</v>
      </c>
      <c r="AY193" s="14"/>
      <c r="AZ193" s="14"/>
      <c r="BA193" s="1" t="s">
        <v>270</v>
      </c>
      <c r="BB193" s="2"/>
    </row>
    <row r="194" spans="1:63" ht="14.25" customHeight="1">
      <c r="A194" s="2">
        <v>208</v>
      </c>
      <c r="B194" s="2" t="s">
        <v>32</v>
      </c>
      <c r="C194" s="1" t="s">
        <v>85</v>
      </c>
      <c r="D194" s="1">
        <v>2020</v>
      </c>
      <c r="E194" s="1">
        <v>2003</v>
      </c>
      <c r="F194" s="1" t="s">
        <v>153</v>
      </c>
      <c r="G194" s="1" t="s">
        <v>117</v>
      </c>
      <c r="H194" s="1">
        <v>63.166666999999997</v>
      </c>
      <c r="I194" s="1">
        <v>30.694683999999999</v>
      </c>
      <c r="J194" s="1" t="s">
        <v>126</v>
      </c>
      <c r="K194" s="1" t="s">
        <v>176</v>
      </c>
      <c r="L194" s="1" t="s">
        <v>182</v>
      </c>
      <c r="M194" s="12" t="s">
        <v>236</v>
      </c>
      <c r="N194" s="1" t="s">
        <v>238</v>
      </c>
      <c r="O194" s="1" t="s">
        <v>121</v>
      </c>
      <c r="Q194" s="1" t="s">
        <v>93</v>
      </c>
      <c r="R194" s="1">
        <v>2001</v>
      </c>
      <c r="S194" s="1">
        <v>3</v>
      </c>
      <c r="T194" s="12">
        <f>S194*12</f>
        <v>36</v>
      </c>
      <c r="W194" s="1">
        <v>8</v>
      </c>
      <c r="X194" s="1">
        <v>8</v>
      </c>
      <c r="Y194" s="1" t="s">
        <v>114</v>
      </c>
      <c r="Z194" s="1" t="s">
        <v>2</v>
      </c>
      <c r="AA194" s="1" t="s">
        <v>2</v>
      </c>
      <c r="AB194" s="1" t="s">
        <v>113</v>
      </c>
      <c r="AC194" s="12" t="s">
        <v>2</v>
      </c>
      <c r="AD194" s="12" t="s">
        <v>2</v>
      </c>
      <c r="AE194" s="12" t="s">
        <v>2</v>
      </c>
      <c r="AF194" s="1" t="s">
        <v>384</v>
      </c>
      <c r="AG194" s="1" t="s">
        <v>318</v>
      </c>
      <c r="AH194" s="12">
        <v>11.93</v>
      </c>
      <c r="AI194" s="12">
        <f>AJ194*SQRT(X194)</f>
        <v>5.6002857069974583</v>
      </c>
      <c r="AJ194" s="12">
        <f>13.91-AH194</f>
        <v>1.9800000000000004</v>
      </c>
      <c r="AK194" s="12">
        <v>13.42</v>
      </c>
      <c r="AL194" s="12">
        <f>AM194*SQRT(W194)</f>
        <v>7.0144992693705532</v>
      </c>
      <c r="AM194" s="12">
        <f>15.9-AK194</f>
        <v>2.4800000000000004</v>
      </c>
      <c r="AN194" s="12">
        <f>AH194-AK194</f>
        <v>-1.4900000000000002</v>
      </c>
      <c r="AO194" s="1">
        <f>SQRT((((X194-1)*AI194^2)+((W194-1)*AL194^2))/(X194+W194-2))</f>
        <v>6.3469047574388586</v>
      </c>
      <c r="AP194" s="1">
        <f>AN194/AO194</f>
        <v>-0.23476010070162989</v>
      </c>
      <c r="AQ194" s="1">
        <f>1/X194+1/W194+(AP194^2)/(2*(X194+W194))</f>
        <v>0.25172225952754496</v>
      </c>
      <c r="AR194" s="1">
        <f>1-(3/(4*(X194+W194-2)-1))</f>
        <v>0.94545454545454544</v>
      </c>
      <c r="AS194" s="21">
        <f>AP194*AR194</f>
        <v>-0.22195500429972281</v>
      </c>
      <c r="AT194" s="21">
        <f>AQ194*(AR194^2)</f>
        <v>0.22501057512809308</v>
      </c>
      <c r="AU194" s="21">
        <f>SQRT(AQ194*AR194^2)</f>
        <v>0.47435279605805325</v>
      </c>
      <c r="AV194" s="20">
        <f>1/AT194</f>
        <v>4.4442355628428762</v>
      </c>
      <c r="AW194" s="20">
        <f>AS194/AT194</f>
        <v>-0.9864203234597716</v>
      </c>
      <c r="AX194" s="20">
        <f>((AS194)^2)/AT194</f>
        <v>0.21894092713484756</v>
      </c>
      <c r="AY194" s="14"/>
      <c r="AZ194" s="14"/>
      <c r="BA194" s="1" t="s">
        <v>270</v>
      </c>
      <c r="BB194" s="2"/>
    </row>
    <row r="195" spans="1:63" ht="14.25" customHeight="1">
      <c r="A195" s="2">
        <v>208</v>
      </c>
      <c r="B195" s="2" t="s">
        <v>32</v>
      </c>
      <c r="C195" s="1" t="s">
        <v>85</v>
      </c>
      <c r="D195" s="1">
        <v>2020</v>
      </c>
      <c r="E195" s="1">
        <v>2003</v>
      </c>
      <c r="F195" s="1" t="s">
        <v>153</v>
      </c>
      <c r="G195" s="1" t="s">
        <v>117</v>
      </c>
      <c r="H195" s="1">
        <v>63.166666999999997</v>
      </c>
      <c r="I195" s="1">
        <v>30.694683999999999</v>
      </c>
      <c r="J195" s="1" t="s">
        <v>126</v>
      </c>
      <c r="K195" s="1" t="s">
        <v>176</v>
      </c>
      <c r="L195" s="1" t="s">
        <v>182</v>
      </c>
      <c r="M195" s="12" t="s">
        <v>236</v>
      </c>
      <c r="N195" s="1" t="s">
        <v>238</v>
      </c>
      <c r="O195" s="1" t="s">
        <v>121</v>
      </c>
      <c r="Q195" s="1" t="s">
        <v>93</v>
      </c>
      <c r="R195" s="1">
        <v>2001</v>
      </c>
      <c r="S195" s="1">
        <v>3</v>
      </c>
      <c r="T195" s="12">
        <f>S195*12</f>
        <v>36</v>
      </c>
      <c r="W195" s="1">
        <v>8</v>
      </c>
      <c r="X195" s="1">
        <v>8</v>
      </c>
      <c r="Y195" s="1" t="s">
        <v>114</v>
      </c>
      <c r="Z195" s="1" t="s">
        <v>2</v>
      </c>
      <c r="AA195" s="1" t="s">
        <v>2</v>
      </c>
      <c r="AB195" s="1" t="s">
        <v>113</v>
      </c>
      <c r="AC195" s="12" t="s">
        <v>2</v>
      </c>
      <c r="AD195" s="12" t="s">
        <v>2</v>
      </c>
      <c r="AE195" s="12" t="s">
        <v>2</v>
      </c>
      <c r="AF195" s="1" t="s">
        <v>150</v>
      </c>
      <c r="AG195" s="1" t="s">
        <v>318</v>
      </c>
      <c r="AH195" s="12">
        <v>8.41</v>
      </c>
      <c r="AI195" s="12">
        <f>AJ195*SQRT(X195)</f>
        <v>1.5556349186104066</v>
      </c>
      <c r="AJ195" s="12">
        <f>8.96-AH195</f>
        <v>0.55000000000000071</v>
      </c>
      <c r="AK195" s="12">
        <v>22.68</v>
      </c>
      <c r="AL195" s="12">
        <f>AM195*SQRT(W195)</f>
        <v>10.804591616530448</v>
      </c>
      <c r="AM195" s="12">
        <f>26.5-AK195</f>
        <v>3.8200000000000003</v>
      </c>
      <c r="AN195" s="12">
        <f>AH195-AK195</f>
        <v>-14.27</v>
      </c>
      <c r="AO195" s="1">
        <f>SQRT((((X195-1)*AI195^2)+((W195-1)*AL195^2))/(X195+W195-2))</f>
        <v>7.7187822873818659</v>
      </c>
      <c r="AP195" s="1">
        <f>AN195/AO195</f>
        <v>-1.8487372060393015</v>
      </c>
      <c r="AQ195" s="1">
        <f>1/X195+1/W195+(AP195^2)/(2*(X195+W195))</f>
        <v>0.35680716428106257</v>
      </c>
      <c r="AR195" s="1">
        <f>1-(3/(4*(X195+W195-2)-1))</f>
        <v>0.94545454545454544</v>
      </c>
      <c r="AS195" s="21">
        <f>AP195*AR195</f>
        <v>-1.7478969948007941</v>
      </c>
      <c r="AT195" s="21">
        <f>AQ195*(AR195^2)</f>
        <v>0.31894432139371676</v>
      </c>
      <c r="AU195" s="21">
        <f>SQRT(AQ195*AR195^2)</f>
        <v>0.56475155723000603</v>
      </c>
      <c r="AV195" s="20">
        <f>1/AT195</f>
        <v>3.1353434844998</v>
      </c>
      <c r="AW195" s="20">
        <f>AS195/AT195</f>
        <v>-5.4802574542254501</v>
      </c>
      <c r="AX195" s="20">
        <f>((AS195)^2)/AT195</f>
        <v>9.5789255349753155</v>
      </c>
      <c r="AY195" s="14"/>
      <c r="AZ195" s="14"/>
      <c r="BA195" s="1" t="s">
        <v>270</v>
      </c>
      <c r="BB195" s="2"/>
    </row>
    <row r="196" spans="1:63" ht="14.25" customHeight="1">
      <c r="A196" s="2">
        <v>208</v>
      </c>
      <c r="B196" s="2" t="s">
        <v>32</v>
      </c>
      <c r="C196" s="1" t="s">
        <v>85</v>
      </c>
      <c r="D196" s="1">
        <v>2020</v>
      </c>
      <c r="E196" s="1">
        <v>2003</v>
      </c>
      <c r="F196" s="1" t="s">
        <v>153</v>
      </c>
      <c r="G196" s="1" t="s">
        <v>117</v>
      </c>
      <c r="H196" s="1">
        <v>63.166666999999997</v>
      </c>
      <c r="I196" s="1">
        <v>30.694683999999999</v>
      </c>
      <c r="J196" s="1" t="s">
        <v>126</v>
      </c>
      <c r="K196" s="1" t="s">
        <v>176</v>
      </c>
      <c r="L196" s="1" t="s">
        <v>182</v>
      </c>
      <c r="M196" s="12" t="s">
        <v>236</v>
      </c>
      <c r="N196" s="1" t="s">
        <v>238</v>
      </c>
      <c r="O196" s="1" t="s">
        <v>121</v>
      </c>
      <c r="Q196" s="1" t="s">
        <v>93</v>
      </c>
      <c r="R196" s="1">
        <v>2002</v>
      </c>
      <c r="S196" s="1">
        <v>2</v>
      </c>
      <c r="T196" s="12">
        <f>S196*12</f>
        <v>24</v>
      </c>
      <c r="W196" s="1">
        <v>8</v>
      </c>
      <c r="X196" s="1">
        <v>8</v>
      </c>
      <c r="Y196" s="1" t="s">
        <v>114</v>
      </c>
      <c r="Z196" s="1" t="s">
        <v>2</v>
      </c>
      <c r="AA196" s="1" t="s">
        <v>2</v>
      </c>
      <c r="AB196" s="1" t="s">
        <v>113</v>
      </c>
      <c r="AC196" s="12" t="s">
        <v>2</v>
      </c>
      <c r="AD196" s="12" t="s">
        <v>2</v>
      </c>
      <c r="AE196" s="12" t="s">
        <v>2</v>
      </c>
      <c r="AF196" s="1" t="s">
        <v>384</v>
      </c>
      <c r="AG196" s="1" t="s">
        <v>318</v>
      </c>
      <c r="AH196" s="12">
        <v>19.5</v>
      </c>
      <c r="AI196" s="12">
        <f>AJ196*SQRT(X196)</f>
        <v>4.8931789258109104</v>
      </c>
      <c r="AJ196" s="12">
        <f>21.23-AH196</f>
        <v>1.7300000000000004</v>
      </c>
      <c r="AK196" s="12">
        <v>7.65</v>
      </c>
      <c r="AL196" s="12">
        <f>AM196*SQRT(W196)</f>
        <v>4.2143564158718245</v>
      </c>
      <c r="AM196" s="12">
        <f>9.14-AK196</f>
        <v>1.4900000000000002</v>
      </c>
      <c r="AN196" s="12">
        <f>AH196-AK196</f>
        <v>11.85</v>
      </c>
      <c r="AO196" s="1">
        <f>SQRT((((X196-1)*AI196^2)+((W196-1)*AL196^2))/(X196+W196-2))</f>
        <v>4.5663990189207091</v>
      </c>
      <c r="AP196" s="1">
        <f>AN196/AO196</f>
        <v>2.5950426037891026</v>
      </c>
      <c r="AQ196" s="1">
        <f>1/X196+1/W196+(AP196^2)/(2*(X196+W196))</f>
        <v>0.46044519110876642</v>
      </c>
      <c r="AR196" s="1">
        <f>1-(3/(4*(X196+W196-2)-1))</f>
        <v>0.94545454545454544</v>
      </c>
      <c r="AS196" s="21">
        <f>AP196*AR196</f>
        <v>2.4534948254006061</v>
      </c>
      <c r="AT196" s="21">
        <f>AQ196*(AR196^2)</f>
        <v>0.41158472620102621</v>
      </c>
      <c r="AU196" s="21">
        <f>SQRT(AQ196*AR196^2)</f>
        <v>0.6415486935541419</v>
      </c>
      <c r="AV196" s="20">
        <f>1/AT196</f>
        <v>2.4296334055690396</v>
      </c>
      <c r="AW196" s="20">
        <f>AS196/AT196</f>
        <v>5.9610929881840908</v>
      </c>
      <c r="AX196" s="20">
        <f>((AS196)^2)/AT196</f>
        <v>14.625510800241504</v>
      </c>
      <c r="AY196" s="14"/>
      <c r="AZ196" s="14"/>
      <c r="BA196" s="1" t="s">
        <v>270</v>
      </c>
      <c r="BB196" s="2"/>
    </row>
    <row r="197" spans="1:63" ht="14.25" customHeight="1">
      <c r="A197" s="2">
        <v>208</v>
      </c>
      <c r="B197" s="2" t="s">
        <v>32</v>
      </c>
      <c r="C197" s="1" t="s">
        <v>85</v>
      </c>
      <c r="D197" s="1">
        <v>2020</v>
      </c>
      <c r="E197" s="1">
        <v>2003</v>
      </c>
      <c r="F197" s="1" t="s">
        <v>153</v>
      </c>
      <c r="G197" s="1" t="s">
        <v>117</v>
      </c>
      <c r="H197" s="1">
        <v>63.166666999999997</v>
      </c>
      <c r="I197" s="1">
        <v>30.694683999999999</v>
      </c>
      <c r="J197" s="1" t="s">
        <v>126</v>
      </c>
      <c r="K197" s="1" t="s">
        <v>176</v>
      </c>
      <c r="L197" s="1" t="s">
        <v>182</v>
      </c>
      <c r="M197" s="12" t="s">
        <v>236</v>
      </c>
      <c r="N197" s="1" t="s">
        <v>238</v>
      </c>
      <c r="O197" s="1" t="s">
        <v>121</v>
      </c>
      <c r="Q197" s="1" t="s">
        <v>93</v>
      </c>
      <c r="R197" s="1">
        <v>2002</v>
      </c>
      <c r="S197" s="1">
        <v>2</v>
      </c>
      <c r="T197" s="12">
        <f>S197*12</f>
        <v>24</v>
      </c>
      <c r="W197" s="1">
        <v>8</v>
      </c>
      <c r="X197" s="1">
        <v>8</v>
      </c>
      <c r="Y197" s="1" t="s">
        <v>114</v>
      </c>
      <c r="Z197" s="1" t="s">
        <v>2</v>
      </c>
      <c r="AA197" s="1" t="s">
        <v>2</v>
      </c>
      <c r="AB197" s="1" t="s">
        <v>113</v>
      </c>
      <c r="AC197" s="12" t="s">
        <v>2</v>
      </c>
      <c r="AD197" s="12" t="s">
        <v>2</v>
      </c>
      <c r="AE197" s="12" t="s">
        <v>2</v>
      </c>
      <c r="AF197" s="1" t="s">
        <v>150</v>
      </c>
      <c r="AG197" s="1" t="s">
        <v>318</v>
      </c>
      <c r="AH197" s="12">
        <v>7.59</v>
      </c>
      <c r="AI197" s="12">
        <f>AJ197*SQRT(X197)</f>
        <v>4.1860721446243625</v>
      </c>
      <c r="AJ197" s="12">
        <f>9.07-AH197</f>
        <v>1.4800000000000004</v>
      </c>
      <c r="AK197" s="12">
        <v>1.85</v>
      </c>
      <c r="AL197" s="12">
        <f>AM197*SQRT(W197)</f>
        <v>4.1860721446243616</v>
      </c>
      <c r="AM197" s="12">
        <f>3.33-AK197</f>
        <v>1.48</v>
      </c>
      <c r="AN197" s="12">
        <f>AH197-AK197</f>
        <v>5.74</v>
      </c>
      <c r="AO197" s="1">
        <f>SQRT((((X197-1)*AI197^2)+((W197-1)*AL197^2))/(X197+W197-2))</f>
        <v>4.1860721446243625</v>
      </c>
      <c r="AP197" s="1">
        <f>AN197/AO197</f>
        <v>1.3712138256793183</v>
      </c>
      <c r="AQ197" s="1">
        <f>1/X197+1/W197+(AP197^2)/(2*(X197+W197))</f>
        <v>0.308757104866691</v>
      </c>
      <c r="AR197" s="1">
        <f>1-(3/(4*(X197+W197-2)-1))</f>
        <v>0.94545454545454544</v>
      </c>
      <c r="AS197" s="21">
        <f>AP197*AR197</f>
        <v>1.2964203442786282</v>
      </c>
      <c r="AT197" s="21">
        <f>AQ197*(AR197^2)</f>
        <v>0.27599312778827517</v>
      </c>
      <c r="AU197" s="21">
        <f>SQRT(AQ197*AR197^2)</f>
        <v>0.52535048090610437</v>
      </c>
      <c r="AV197" s="20">
        <f>1/AT197</f>
        <v>3.6232786229631704</v>
      </c>
      <c r="AW197" s="20">
        <f>AS197/AT197</f>
        <v>4.6972921197993074</v>
      </c>
      <c r="AX197" s="20">
        <f>((AS197)^2)/AT197</f>
        <v>6.0896650671275045</v>
      </c>
      <c r="AY197" s="14"/>
      <c r="AZ197" s="14"/>
      <c r="BA197" s="1" t="s">
        <v>270</v>
      </c>
      <c r="BB197" s="2"/>
    </row>
    <row r="198" spans="1:63" ht="14.25" customHeight="1">
      <c r="A198" s="2">
        <v>208</v>
      </c>
      <c r="B198" s="2" t="s">
        <v>32</v>
      </c>
      <c r="C198" s="1" t="s">
        <v>85</v>
      </c>
      <c r="D198" s="1">
        <v>2020</v>
      </c>
      <c r="E198" s="1">
        <v>2003</v>
      </c>
      <c r="F198" s="1" t="s">
        <v>153</v>
      </c>
      <c r="G198" s="1" t="s">
        <v>117</v>
      </c>
      <c r="H198" s="1">
        <v>63.166666999999997</v>
      </c>
      <c r="I198" s="1">
        <v>30.694683999999999</v>
      </c>
      <c r="J198" s="1" t="s">
        <v>126</v>
      </c>
      <c r="K198" s="1" t="s">
        <v>176</v>
      </c>
      <c r="L198" s="1" t="s">
        <v>182</v>
      </c>
      <c r="M198" s="12" t="s">
        <v>236</v>
      </c>
      <c r="N198" s="1" t="s">
        <v>238</v>
      </c>
      <c r="O198" s="1" t="s">
        <v>121</v>
      </c>
      <c r="Q198" s="1" t="s">
        <v>93</v>
      </c>
      <c r="R198" s="1">
        <v>2003</v>
      </c>
      <c r="S198" s="1">
        <v>1</v>
      </c>
      <c r="T198" s="12">
        <f>S198*12</f>
        <v>12</v>
      </c>
      <c r="W198" s="1">
        <v>8</v>
      </c>
      <c r="X198" s="1">
        <v>8</v>
      </c>
      <c r="Y198" s="1" t="s">
        <v>114</v>
      </c>
      <c r="Z198" s="1" t="s">
        <v>2</v>
      </c>
      <c r="AA198" s="1" t="s">
        <v>2</v>
      </c>
      <c r="AB198" s="1" t="s">
        <v>113</v>
      </c>
      <c r="AC198" s="12" t="s">
        <v>2</v>
      </c>
      <c r="AD198" s="12" t="s">
        <v>2</v>
      </c>
      <c r="AE198" s="12" t="s">
        <v>2</v>
      </c>
      <c r="AF198" s="1" t="s">
        <v>384</v>
      </c>
      <c r="AG198" s="1" t="s">
        <v>318</v>
      </c>
      <c r="AH198" s="12">
        <v>33.299999999999997</v>
      </c>
      <c r="AI198" s="12">
        <f>AJ198*SQRT(X198)</f>
        <v>13.293607486307103</v>
      </c>
      <c r="AJ198" s="12">
        <f>38-AH198</f>
        <v>4.7000000000000028</v>
      </c>
      <c r="AK198" s="12">
        <v>23.7</v>
      </c>
      <c r="AL198" s="12">
        <f>AM198*SQRT(W198)</f>
        <v>46.103362133362907</v>
      </c>
      <c r="AM198" s="12">
        <f>40-AK198</f>
        <v>16.3</v>
      </c>
      <c r="AN198" s="12">
        <f>AH198-AK198</f>
        <v>9.5999999999999979</v>
      </c>
      <c r="AO198" s="1">
        <f>SQRT((((X198-1)*AI198^2)+((W198-1)*AL198^2))/(X198+W198-2))</f>
        <v>33.928159395994363</v>
      </c>
      <c r="AP198" s="1">
        <f>AN198/AO198</f>
        <v>0.28295080460902916</v>
      </c>
      <c r="AQ198" s="1">
        <f>1/X198+1/W198+(AP198^2)/(2*(X198+W198))</f>
        <v>0.25250191118215304</v>
      </c>
      <c r="AR198" s="1">
        <f>1-(3/(4*(X198+W198-2)-1))</f>
        <v>0.94545454545454544</v>
      </c>
      <c r="AS198" s="21">
        <f>AP198*AR198</f>
        <v>0.26751712435762759</v>
      </c>
      <c r="AT198" s="21">
        <f>AQ198*(AR198^2)</f>
        <v>0.22570749349968325</v>
      </c>
      <c r="AU198" s="21">
        <f>SQRT(AQ198*AR198^2)</f>
        <v>0.4750868273270511</v>
      </c>
      <c r="AV198" s="20">
        <f>1/AT198</f>
        <v>4.4305130702335473</v>
      </c>
      <c r="AW198" s="20">
        <f>AS198/AT198</f>
        <v>1.1852381159777623</v>
      </c>
      <c r="AX198" s="20">
        <f>((AS198)^2)/AT198</f>
        <v>0.31707149246542327</v>
      </c>
      <c r="AY198" s="14"/>
      <c r="AZ198" s="14"/>
      <c r="BA198" s="1" t="s">
        <v>270</v>
      </c>
      <c r="BB198" s="2"/>
    </row>
    <row r="199" spans="1:63" ht="14.25" customHeight="1">
      <c r="A199" s="2">
        <v>208</v>
      </c>
      <c r="B199" s="2" t="s">
        <v>32</v>
      </c>
      <c r="C199" s="1" t="s">
        <v>85</v>
      </c>
      <c r="D199" s="1">
        <v>2020</v>
      </c>
      <c r="E199" s="1">
        <v>2003</v>
      </c>
      <c r="F199" s="1" t="s">
        <v>153</v>
      </c>
      <c r="G199" s="1" t="s">
        <v>117</v>
      </c>
      <c r="H199" s="1">
        <v>63.166666999999997</v>
      </c>
      <c r="I199" s="1">
        <v>30.694683999999999</v>
      </c>
      <c r="J199" s="1" t="s">
        <v>126</v>
      </c>
      <c r="K199" s="1" t="s">
        <v>176</v>
      </c>
      <c r="L199" s="1" t="s">
        <v>182</v>
      </c>
      <c r="M199" s="12" t="s">
        <v>236</v>
      </c>
      <c r="N199" s="1" t="s">
        <v>238</v>
      </c>
      <c r="O199" s="1" t="s">
        <v>121</v>
      </c>
      <c r="Q199" s="1" t="s">
        <v>93</v>
      </c>
      <c r="R199" s="1">
        <v>2003</v>
      </c>
      <c r="S199" s="1">
        <v>1</v>
      </c>
      <c r="T199" s="12">
        <f>S199*12</f>
        <v>12</v>
      </c>
      <c r="W199" s="1">
        <v>8</v>
      </c>
      <c r="X199" s="1">
        <v>8</v>
      </c>
      <c r="Y199" s="1" t="s">
        <v>114</v>
      </c>
      <c r="Z199" s="1" t="s">
        <v>2</v>
      </c>
      <c r="AA199" s="1" t="s">
        <v>2</v>
      </c>
      <c r="AB199" s="1" t="s">
        <v>113</v>
      </c>
      <c r="AC199" s="12" t="s">
        <v>2</v>
      </c>
      <c r="AD199" s="12" t="s">
        <v>2</v>
      </c>
      <c r="AE199" s="12" t="s">
        <v>2</v>
      </c>
      <c r="AF199" s="1" t="s">
        <v>150</v>
      </c>
      <c r="AG199" s="1" t="s">
        <v>318</v>
      </c>
      <c r="AH199" s="12">
        <v>23.1</v>
      </c>
      <c r="AI199" s="12">
        <f>AJ199*SQRT(X199)</f>
        <v>8.4569971029911049</v>
      </c>
      <c r="AJ199" s="12">
        <f>26.09-AH199</f>
        <v>2.9899999999999984</v>
      </c>
      <c r="AK199" s="12">
        <v>14.9</v>
      </c>
      <c r="AL199" s="12">
        <f>AM199*SQRT(W199)</f>
        <v>3.1112698372208083</v>
      </c>
      <c r="AM199" s="12">
        <f>16-AK199</f>
        <v>1.0999999999999996</v>
      </c>
      <c r="AN199" s="12">
        <f>AH199-AK199</f>
        <v>8.2000000000000011</v>
      </c>
      <c r="AO199" s="1">
        <f>SQRT((((X199-1)*AI199^2)+((W199-1)*AL199^2))/(X199+W199-2))</f>
        <v>6.3718443169933119</v>
      </c>
      <c r="AP199" s="1">
        <f>AN199/AO199</f>
        <v>1.2869115427272935</v>
      </c>
      <c r="AQ199" s="1">
        <f>1/X199+1/W199+(AP199^2)/(2*(X199+W199))</f>
        <v>0.3017544162126482</v>
      </c>
      <c r="AR199" s="1">
        <f>1-(3/(4*(X199+W199-2)-1))</f>
        <v>0.94545454545454544</v>
      </c>
      <c r="AS199" s="21">
        <f>AP199*AR199</f>
        <v>1.216716367669441</v>
      </c>
      <c r="AT199" s="21">
        <f>AQ199*(AR199^2)</f>
        <v>0.26973353436000025</v>
      </c>
      <c r="AU199" s="21">
        <f>SQRT(AQ199*AR199^2)</f>
        <v>0.51935877229522198</v>
      </c>
      <c r="AV199" s="20">
        <f>1/AT199</f>
        <v>3.7073625360402853</v>
      </c>
      <c r="AW199" s="20">
        <f>AS199/AT199</f>
        <v>4.510808678484703</v>
      </c>
      <c r="AX199" s="20">
        <f>((AS199)^2)/AT199</f>
        <v>5.4883747505376999</v>
      </c>
      <c r="AY199" s="14"/>
      <c r="AZ199" s="14"/>
      <c r="BA199" s="1" t="s">
        <v>270</v>
      </c>
      <c r="BB199" s="2"/>
    </row>
    <row r="200" spans="1:63" s="12" customFormat="1" ht="14.25" customHeight="1">
      <c r="A200" s="2">
        <v>188</v>
      </c>
      <c r="B200" s="2" t="s">
        <v>28</v>
      </c>
      <c r="C200" s="1" t="s">
        <v>85</v>
      </c>
      <c r="D200" s="1">
        <v>2008</v>
      </c>
      <c r="E200" s="1">
        <v>1998</v>
      </c>
      <c r="F200" s="1" t="s">
        <v>96</v>
      </c>
      <c r="G200" s="1"/>
      <c r="H200" s="1">
        <v>-34.461578000000003</v>
      </c>
      <c r="I200" s="1">
        <v>116.173176</v>
      </c>
      <c r="J200" s="1" t="s">
        <v>126</v>
      </c>
      <c r="K200" s="1" t="s">
        <v>112</v>
      </c>
      <c r="L200" s="1" t="s">
        <v>181</v>
      </c>
      <c r="M200" s="1" t="s">
        <v>237</v>
      </c>
      <c r="N200" s="1"/>
      <c r="O200" s="1" t="s">
        <v>86</v>
      </c>
      <c r="P200" s="1"/>
      <c r="Q200" s="1" t="s">
        <v>93</v>
      </c>
      <c r="R200" s="1">
        <v>1997</v>
      </c>
      <c r="S200" s="1">
        <v>5</v>
      </c>
      <c r="T200" s="1">
        <f>S200*12</f>
        <v>60</v>
      </c>
      <c r="U200" s="1"/>
      <c r="V200" s="1">
        <v>1600</v>
      </c>
      <c r="W200" s="1">
        <v>5</v>
      </c>
      <c r="X200" s="1">
        <v>5</v>
      </c>
      <c r="Y200" s="1" t="s">
        <v>114</v>
      </c>
      <c r="Z200" s="1" t="s">
        <v>2</v>
      </c>
      <c r="AA200" s="1"/>
      <c r="AB200" s="1" t="s">
        <v>113</v>
      </c>
      <c r="AC200" s="1"/>
      <c r="AD200" s="1"/>
      <c r="AE200" s="1" t="s">
        <v>2</v>
      </c>
      <c r="AF200" s="1" t="s">
        <v>222</v>
      </c>
      <c r="AG200" s="1" t="s">
        <v>337</v>
      </c>
      <c r="AH200" s="1">
        <v>44.6</v>
      </c>
      <c r="AI200" s="1">
        <f>AJ200*SQRT(X200)</f>
        <v>11.85116028074888</v>
      </c>
      <c r="AJ200" s="1">
        <f>49.9-AH200</f>
        <v>5.2999999999999972</v>
      </c>
      <c r="AK200" s="1">
        <v>50.5</v>
      </c>
      <c r="AL200" s="1">
        <f>AM200*SQRT(W200)</f>
        <v>11.895881640298882</v>
      </c>
      <c r="AM200" s="1">
        <f>55.82-AK200</f>
        <v>5.32</v>
      </c>
      <c r="AN200" s="12">
        <f>AH200-AK200</f>
        <v>-5.8999999999999986</v>
      </c>
      <c r="AO200" s="1">
        <f>SQRT((((X200-1)*AI200^2)+((W200-1)*AL200^2))/(X200+W200-2))</f>
        <v>11.873542015759238</v>
      </c>
      <c r="AP200" s="1">
        <f>AN200/AO200</f>
        <v>-0.49690311384498276</v>
      </c>
      <c r="AQ200" s="1">
        <f>1/X200+1/W200+(AP200^2)/(2*(X200+W200))</f>
        <v>0.412345635227442</v>
      </c>
      <c r="AR200" s="1">
        <f>1-(3/(4*(X200+W200-2)-1))</f>
        <v>0.90322580645161288</v>
      </c>
      <c r="AS200" s="21">
        <f>AP200*AR200</f>
        <v>-0.44881571573095214</v>
      </c>
      <c r="AT200" s="21">
        <f>AQ200*(AR200^2)</f>
        <v>0.33639852031042089</v>
      </c>
      <c r="AU200" s="21">
        <f>SQRT(AQ200*AR200^2)</f>
        <v>0.57999872440413258</v>
      </c>
      <c r="AV200" s="20">
        <f>1/AT200</f>
        <v>2.9726646807994959</v>
      </c>
      <c r="AW200" s="20">
        <f>AS200/AT200</f>
        <v>-1.3341786263411481</v>
      </c>
      <c r="AX200" s="20">
        <f>((AS200)^2)/AT200</f>
        <v>0.59880033509424091</v>
      </c>
      <c r="AY200" s="14"/>
      <c r="AZ200" s="14"/>
      <c r="BA200" s="1" t="s">
        <v>270</v>
      </c>
      <c r="BB200" s="2"/>
      <c r="BC200" s="1"/>
      <c r="BD200" s="1"/>
      <c r="BE200" s="1"/>
      <c r="BF200" s="1"/>
      <c r="BG200" s="1"/>
      <c r="BH200" s="1"/>
      <c r="BI200" s="1"/>
      <c r="BJ200" s="1"/>
      <c r="BK200" s="1"/>
    </row>
    <row r="201" spans="1:63" s="12" customFormat="1" ht="14.25" customHeight="1">
      <c r="A201" s="2">
        <v>271</v>
      </c>
      <c r="B201" s="2" t="s">
        <v>42</v>
      </c>
      <c r="C201" s="12" t="s">
        <v>85</v>
      </c>
      <c r="D201" s="12">
        <v>2012</v>
      </c>
      <c r="E201" s="12">
        <v>2009</v>
      </c>
      <c r="F201" s="12" t="s">
        <v>136</v>
      </c>
      <c r="G201" s="12" t="s">
        <v>161</v>
      </c>
      <c r="H201" s="12">
        <v>55.345132999999997</v>
      </c>
      <c r="I201" s="12">
        <v>21.021471999999999</v>
      </c>
      <c r="J201" s="12" t="s">
        <v>126</v>
      </c>
      <c r="K201" s="12" t="s">
        <v>176</v>
      </c>
      <c r="L201" s="12" t="s">
        <v>193</v>
      </c>
      <c r="M201" s="12" t="s">
        <v>236</v>
      </c>
      <c r="N201" s="12" t="s">
        <v>311</v>
      </c>
      <c r="O201" s="12" t="s">
        <v>86</v>
      </c>
      <c r="P201" s="12" t="s">
        <v>129</v>
      </c>
      <c r="Q201" s="12" t="s">
        <v>93</v>
      </c>
      <c r="R201" s="12">
        <v>2006</v>
      </c>
      <c r="S201" s="12">
        <v>3</v>
      </c>
      <c r="T201" s="12">
        <f>S201*12</f>
        <v>36</v>
      </c>
      <c r="V201" s="12">
        <v>230</v>
      </c>
      <c r="W201" s="12">
        <v>3</v>
      </c>
      <c r="X201" s="12">
        <v>3</v>
      </c>
      <c r="Y201" s="12" t="s">
        <v>114</v>
      </c>
      <c r="Z201" s="12" t="s">
        <v>2</v>
      </c>
      <c r="AA201" s="12" t="s">
        <v>1</v>
      </c>
      <c r="AB201" s="12" t="s">
        <v>113</v>
      </c>
      <c r="AC201" s="12" t="s">
        <v>2</v>
      </c>
      <c r="AD201" s="12" t="s">
        <v>2</v>
      </c>
      <c r="AE201" s="12" t="s">
        <v>2</v>
      </c>
      <c r="AF201" s="12" t="s">
        <v>256</v>
      </c>
      <c r="AG201" s="12" t="s">
        <v>315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2" t="s">
        <v>285</v>
      </c>
    </row>
    <row r="202" spans="1:63" ht="14.25" customHeight="1">
      <c r="A202" s="2">
        <v>562</v>
      </c>
      <c r="B202" s="2" t="s">
        <v>71</v>
      </c>
      <c r="C202" s="1" t="s">
        <v>85</v>
      </c>
      <c r="D202" s="1">
        <v>2023</v>
      </c>
      <c r="E202" s="1">
        <v>2021</v>
      </c>
      <c r="F202" s="1" t="s">
        <v>96</v>
      </c>
      <c r="G202" s="1" t="s">
        <v>119</v>
      </c>
      <c r="H202" s="1">
        <v>-36.537121999999997</v>
      </c>
      <c r="I202" s="1">
        <v>142.010153</v>
      </c>
      <c r="J202" s="1" t="s">
        <v>128</v>
      </c>
      <c r="K202" s="1" t="s">
        <v>112</v>
      </c>
      <c r="M202" s="1" t="s">
        <v>237</v>
      </c>
      <c r="N202" s="16" t="s">
        <v>238</v>
      </c>
      <c r="O202" s="1" t="s">
        <v>86</v>
      </c>
      <c r="Q202" s="1" t="s">
        <v>93</v>
      </c>
      <c r="S202" s="1">
        <v>1</v>
      </c>
      <c r="T202" s="1">
        <f>S202*12</f>
        <v>12</v>
      </c>
      <c r="W202" s="1">
        <v>18</v>
      </c>
      <c r="X202" s="1">
        <v>11</v>
      </c>
      <c r="Y202" s="1" t="s">
        <v>97</v>
      </c>
      <c r="Z202" s="1" t="s">
        <v>133</v>
      </c>
      <c r="AA202" s="1" t="s">
        <v>1</v>
      </c>
      <c r="AB202" s="1" t="s">
        <v>98</v>
      </c>
      <c r="AC202" s="1" t="s">
        <v>202</v>
      </c>
      <c r="AD202" s="1" t="s">
        <v>99</v>
      </c>
      <c r="AE202" s="1" t="s">
        <v>102</v>
      </c>
      <c r="AF202" s="16" t="s">
        <v>222</v>
      </c>
      <c r="AG202" s="16" t="s">
        <v>315</v>
      </c>
      <c r="AH202" s="16">
        <v>376.64</v>
      </c>
      <c r="AI202" s="12">
        <f>438.32-319.63</f>
        <v>118.69</v>
      </c>
      <c r="AJ202" s="16"/>
      <c r="AK202" s="16">
        <v>414.95</v>
      </c>
      <c r="AL202" s="16">
        <f>425.23-352.34</f>
        <v>72.890000000000043</v>
      </c>
      <c r="AM202" s="16"/>
      <c r="AN202" s="12">
        <f>AH202-AK202</f>
        <v>-38.31</v>
      </c>
      <c r="AO202" s="1">
        <f>SQRT((((X202-1)*AI202^2)+((W202-1)*AL202^2))/(X202+W202-2))</f>
        <v>92.534947692449947</v>
      </c>
      <c r="AP202" s="1">
        <f>AN202/AO202</f>
        <v>-0.41400574545443619</v>
      </c>
      <c r="AQ202" s="1">
        <f>1/X202+1/W202+(AP202^2)/(2*(X202+W202))</f>
        <v>0.14941983193480651</v>
      </c>
      <c r="AR202" s="1">
        <f>1-(3/(4*(X202+W202-2)-1))</f>
        <v>0.9719626168224299</v>
      </c>
      <c r="AS202" s="21">
        <f>AP202*AR202</f>
        <v>-0.4023981077314146</v>
      </c>
      <c r="AT202" s="21">
        <f>AQ202*(AR202^2)</f>
        <v>0.14115860793142346</v>
      </c>
      <c r="AU202" s="21">
        <f>SQRT(AQ202*AR202^2)</f>
        <v>0.37571080358624698</v>
      </c>
      <c r="AV202" s="20">
        <f>1/AT202</f>
        <v>7.084229680741907</v>
      </c>
      <c r="AW202" s="20">
        <f>AS202/AT202</f>
        <v>-2.8506806182652666</v>
      </c>
      <c r="AX202" s="20">
        <f>((AS202)^2)/AT202</f>
        <v>1.1471084865365624</v>
      </c>
      <c r="AY202" s="14"/>
      <c r="AZ202" s="14"/>
      <c r="BA202" s="1" t="s">
        <v>270</v>
      </c>
      <c r="BB202" s="2"/>
    </row>
    <row r="203" spans="1:63" ht="14.25" customHeight="1">
      <c r="A203" s="2">
        <v>35</v>
      </c>
      <c r="B203" s="2" t="s">
        <v>6</v>
      </c>
      <c r="C203" s="1" t="s">
        <v>85</v>
      </c>
      <c r="D203" s="1">
        <v>2005</v>
      </c>
      <c r="E203" s="1">
        <v>2000</v>
      </c>
      <c r="F203" s="1" t="s">
        <v>152</v>
      </c>
      <c r="G203" s="1" t="s">
        <v>117</v>
      </c>
      <c r="H203" s="1">
        <v>56.733333000000002</v>
      </c>
      <c r="I203" s="1">
        <v>-118.333333</v>
      </c>
      <c r="J203" s="1" t="s">
        <v>135</v>
      </c>
      <c r="K203" s="1" t="s">
        <v>103</v>
      </c>
      <c r="L203" s="1" t="s">
        <v>195</v>
      </c>
      <c r="M203" s="1" t="s">
        <v>236</v>
      </c>
      <c r="N203" s="16" t="s">
        <v>238</v>
      </c>
      <c r="O203" s="1" t="s">
        <v>121</v>
      </c>
      <c r="P203" s="1" t="s">
        <v>2</v>
      </c>
      <c r="Q203" s="1" t="s">
        <v>93</v>
      </c>
      <c r="R203" s="1">
        <v>1999</v>
      </c>
      <c r="S203" s="1">
        <v>1</v>
      </c>
      <c r="T203" s="12">
        <f>S203*12</f>
        <v>12</v>
      </c>
      <c r="V203" s="1" t="s">
        <v>2</v>
      </c>
      <c r="W203" s="1">
        <v>15</v>
      </c>
      <c r="X203" s="1">
        <v>15</v>
      </c>
      <c r="Y203" s="1" t="s">
        <v>134</v>
      </c>
      <c r="Z203" s="1" t="s">
        <v>154</v>
      </c>
      <c r="AA203" s="1" t="s">
        <v>0</v>
      </c>
      <c r="AB203" s="1" t="s">
        <v>148</v>
      </c>
      <c r="AC203" s="1" t="s">
        <v>2</v>
      </c>
      <c r="AD203" s="12" t="s">
        <v>2</v>
      </c>
      <c r="AE203" s="12" t="s">
        <v>2</v>
      </c>
      <c r="AF203" s="12" t="s">
        <v>149</v>
      </c>
      <c r="AG203" s="12" t="s">
        <v>319</v>
      </c>
      <c r="AH203" s="12">
        <v>0.15</v>
      </c>
      <c r="AI203" s="12">
        <f>AJ203*SQRT(X203)</f>
        <v>0.6196773353931867</v>
      </c>
      <c r="AJ203" s="12">
        <f>0.31-AH203</f>
        <v>0.16</v>
      </c>
      <c r="AK203" s="12">
        <v>1.78</v>
      </c>
      <c r="AL203" s="12">
        <f>AM203*SQRT(W203)</f>
        <v>0.58094750193111222</v>
      </c>
      <c r="AM203" s="12">
        <f>1.93-AK203</f>
        <v>0.14999999999999991</v>
      </c>
      <c r="AN203" s="12">
        <f>AH203-AK203</f>
        <v>-1.6300000000000001</v>
      </c>
      <c r="AO203" s="1">
        <f>SQRT((((X203-1)*AI203^2)+((W203-1)*AL203^2))/(X203+W203-2))</f>
        <v>0.6006246748178099</v>
      </c>
      <c r="AP203" s="1">
        <f>AN203/AO203</f>
        <v>-2.71384121955102</v>
      </c>
      <c r="AQ203" s="1">
        <f>1/X203+1/W203+(AP203^2)/(2*(X203+W203))</f>
        <v>0.25608223608223613</v>
      </c>
      <c r="AR203" s="1">
        <f>1-(3/(4*(X203+W203-2)-1))</f>
        <v>0.97297297297297303</v>
      </c>
      <c r="AS203" s="21">
        <f>AP203*AR203</f>
        <v>-2.6404941595631546</v>
      </c>
      <c r="AT203" s="21">
        <f>AQ203*(AR203^2)</f>
        <v>0.24242701092956762</v>
      </c>
      <c r="AU203" s="21">
        <f>SQRT(AQ203*AR203^2)</f>
        <v>0.49236877533975243</v>
      </c>
      <c r="AV203" s="20">
        <f>1/AT203</f>
        <v>4.1249528926895458</v>
      </c>
      <c r="AW203" s="20">
        <f>AS203/AT203</f>
        <v>-10.891914021619884</v>
      </c>
      <c r="AX203" s="20">
        <f>((AS203)^2)/AT203</f>
        <v>28.760035360551335</v>
      </c>
      <c r="AY203" s="14"/>
      <c r="AZ203" s="14"/>
      <c r="BA203" s="1" t="s">
        <v>270</v>
      </c>
      <c r="BB203" s="2"/>
    </row>
    <row r="204" spans="1:63" ht="14.25" customHeight="1">
      <c r="A204" s="2">
        <v>35</v>
      </c>
      <c r="B204" s="2" t="s">
        <v>6</v>
      </c>
      <c r="C204" s="1" t="s">
        <v>85</v>
      </c>
      <c r="D204" s="1">
        <v>2005</v>
      </c>
      <c r="E204" s="1">
        <v>2000</v>
      </c>
      <c r="F204" s="1" t="s">
        <v>152</v>
      </c>
      <c r="G204" s="1" t="s">
        <v>117</v>
      </c>
      <c r="H204" s="1">
        <v>56.733333000000002</v>
      </c>
      <c r="I204" s="1">
        <v>-118.333333</v>
      </c>
      <c r="J204" s="1" t="s">
        <v>135</v>
      </c>
      <c r="K204" s="1" t="s">
        <v>103</v>
      </c>
      <c r="L204" s="1" t="s">
        <v>195</v>
      </c>
      <c r="M204" s="1" t="s">
        <v>236</v>
      </c>
      <c r="N204" s="16" t="s">
        <v>238</v>
      </c>
      <c r="O204" s="1" t="s">
        <v>121</v>
      </c>
      <c r="P204" s="1" t="s">
        <v>2</v>
      </c>
      <c r="Q204" s="1" t="s">
        <v>93</v>
      </c>
      <c r="R204" s="1">
        <v>1999</v>
      </c>
      <c r="S204" s="1">
        <v>1</v>
      </c>
      <c r="T204" s="12">
        <f>S204*12</f>
        <v>12</v>
      </c>
      <c r="V204" s="1" t="s">
        <v>2</v>
      </c>
      <c r="W204" s="1">
        <v>15</v>
      </c>
      <c r="X204" s="1">
        <v>15</v>
      </c>
      <c r="Y204" s="1" t="s">
        <v>134</v>
      </c>
      <c r="Z204" s="1" t="s">
        <v>154</v>
      </c>
      <c r="AA204" s="1" t="s">
        <v>0</v>
      </c>
      <c r="AB204" s="1" t="s">
        <v>148</v>
      </c>
      <c r="AC204" s="1" t="s">
        <v>2</v>
      </c>
      <c r="AD204" s="12" t="s">
        <v>2</v>
      </c>
      <c r="AE204" s="12" t="s">
        <v>2</v>
      </c>
      <c r="AF204" s="12" t="s">
        <v>250</v>
      </c>
      <c r="AG204" s="12" t="s">
        <v>315</v>
      </c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4"/>
      <c r="AZ204" s="14"/>
      <c r="BA204" s="1" t="s">
        <v>285</v>
      </c>
    </row>
    <row r="205" spans="1:63" ht="14.25" customHeight="1">
      <c r="A205" s="2">
        <v>96</v>
      </c>
      <c r="B205" s="2" t="s">
        <v>13</v>
      </c>
      <c r="C205" s="1" t="s">
        <v>85</v>
      </c>
      <c r="D205" s="1">
        <v>2011</v>
      </c>
      <c r="E205" s="1">
        <v>2006</v>
      </c>
      <c r="F205" s="1" t="s">
        <v>164</v>
      </c>
      <c r="G205" s="1" t="s">
        <v>161</v>
      </c>
      <c r="H205" s="1">
        <v>-41.255277999999997</v>
      </c>
      <c r="I205" s="1">
        <v>-71.281389000000004</v>
      </c>
      <c r="J205" s="1" t="s">
        <v>135</v>
      </c>
      <c r="K205" s="1" t="s">
        <v>196</v>
      </c>
      <c r="L205" s="1" t="s">
        <v>197</v>
      </c>
      <c r="M205" s="1" t="s">
        <v>237</v>
      </c>
      <c r="N205" s="1" t="s">
        <v>238</v>
      </c>
      <c r="O205" s="1" t="s">
        <v>86</v>
      </c>
      <c r="Q205" s="1" t="s">
        <v>93</v>
      </c>
      <c r="R205" s="1">
        <v>1996</v>
      </c>
      <c r="S205" s="19">
        <v>10</v>
      </c>
      <c r="T205" s="12">
        <f>S205*12</f>
        <v>120</v>
      </c>
      <c r="U205" s="9"/>
      <c r="W205" s="1">
        <v>30</v>
      </c>
      <c r="X205" s="1">
        <v>30</v>
      </c>
      <c r="Y205" s="1" t="s">
        <v>134</v>
      </c>
      <c r="Z205" s="1" t="s">
        <v>154</v>
      </c>
      <c r="AA205" s="1" t="s">
        <v>1</v>
      </c>
      <c r="AB205" s="1" t="s">
        <v>148</v>
      </c>
      <c r="AC205" s="1" t="s">
        <v>2</v>
      </c>
      <c r="AD205" s="12" t="s">
        <v>2</v>
      </c>
      <c r="AE205" s="12" t="s">
        <v>2</v>
      </c>
      <c r="AF205" s="12" t="s">
        <v>346</v>
      </c>
      <c r="AG205" s="12" t="s">
        <v>318</v>
      </c>
      <c r="AH205" s="12">
        <v>52.8</v>
      </c>
      <c r="AI205" s="12">
        <f>AJ205*SQRT(X205)</f>
        <v>7.1203932475671827</v>
      </c>
      <c r="AJ205" s="12">
        <f>54.1-AH205</f>
        <v>1.3000000000000043</v>
      </c>
      <c r="AK205" s="12">
        <v>54.4</v>
      </c>
      <c r="AL205" s="12">
        <f>AM205*SQRT(W205)</f>
        <v>7.1203932475671827</v>
      </c>
      <c r="AM205" s="12">
        <f>55.7-AK205</f>
        <v>1.3000000000000043</v>
      </c>
      <c r="AN205" s="12">
        <f>AH205-AK205</f>
        <v>-1.6000000000000014</v>
      </c>
      <c r="AO205" s="1">
        <f>SQRT((((X205-1)*AI205^2)+((W205-1)*AL205^2))/(X205+W205-2))</f>
        <v>7.1203932475671827</v>
      </c>
      <c r="AP205" s="1">
        <f>AN205/AO205</f>
        <v>-0.22470669025852916</v>
      </c>
      <c r="AQ205" s="1">
        <f>1/X205+1/W205+(AP205^2)/(2*(X205+W205))</f>
        <v>6.7087442472057848E-2</v>
      </c>
      <c r="AR205" s="1">
        <f>1-(3/(4*(X205+W205-2)-1))</f>
        <v>0.98701298701298701</v>
      </c>
      <c r="AS205" s="21">
        <f>AP205*AR205</f>
        <v>-0.22178842155387293</v>
      </c>
      <c r="AT205" s="21">
        <f>AQ205*(AR205^2)</f>
        <v>6.5356226634947903E-2</v>
      </c>
      <c r="AU205" s="21">
        <f>SQRT(AQ205*AR205^2)</f>
        <v>0.2556486390242434</v>
      </c>
      <c r="AV205" s="20">
        <f>1/AT205</f>
        <v>15.300760944868724</v>
      </c>
      <c r="AW205" s="20">
        <f>AS205/AT205</f>
        <v>-3.3935316185355799</v>
      </c>
      <c r="AX205" s="20">
        <f>((AS205)^2)/AT205</f>
        <v>0.75264602116816592</v>
      </c>
      <c r="AY205" s="14"/>
      <c r="AZ205" s="14"/>
      <c r="BA205" s="1" t="s">
        <v>270</v>
      </c>
      <c r="BB205" s="2"/>
    </row>
    <row r="206" spans="1:63" ht="14.25" customHeight="1">
      <c r="A206" s="2">
        <v>96</v>
      </c>
      <c r="B206" s="2" t="s">
        <v>13</v>
      </c>
      <c r="C206" s="1" t="s">
        <v>85</v>
      </c>
      <c r="D206" s="1">
        <v>2011</v>
      </c>
      <c r="E206" s="1">
        <v>2006</v>
      </c>
      <c r="F206" s="1" t="s">
        <v>164</v>
      </c>
      <c r="G206" s="1" t="s">
        <v>161</v>
      </c>
      <c r="H206" s="1">
        <v>-41.255277999999997</v>
      </c>
      <c r="I206" s="1">
        <v>-71.281389000000004</v>
      </c>
      <c r="J206" s="1" t="s">
        <v>135</v>
      </c>
      <c r="K206" s="1" t="s">
        <v>196</v>
      </c>
      <c r="L206" s="1" t="s">
        <v>197</v>
      </c>
      <c r="M206" s="1" t="s">
        <v>237</v>
      </c>
      <c r="N206" s="1" t="s">
        <v>238</v>
      </c>
      <c r="O206" s="1" t="s">
        <v>86</v>
      </c>
      <c r="Q206" s="1" t="s">
        <v>93</v>
      </c>
      <c r="R206" s="1">
        <v>1996</v>
      </c>
      <c r="S206" s="19">
        <v>10</v>
      </c>
      <c r="T206" s="12">
        <f>S206*12</f>
        <v>120</v>
      </c>
      <c r="U206" s="9"/>
      <c r="W206" s="1">
        <v>30</v>
      </c>
      <c r="X206" s="1">
        <v>30</v>
      </c>
      <c r="Y206" s="1" t="s">
        <v>134</v>
      </c>
      <c r="Z206" s="1" t="s">
        <v>154</v>
      </c>
      <c r="AA206" s="1" t="s">
        <v>1</v>
      </c>
      <c r="AB206" s="1" t="s">
        <v>148</v>
      </c>
      <c r="AC206" s="1" t="s">
        <v>2</v>
      </c>
      <c r="AD206" s="12" t="s">
        <v>2</v>
      </c>
      <c r="AE206" s="12" t="s">
        <v>2</v>
      </c>
      <c r="AF206" s="12" t="s">
        <v>149</v>
      </c>
      <c r="AG206" s="12" t="s">
        <v>318</v>
      </c>
      <c r="AH206" s="12">
        <v>3.2</v>
      </c>
      <c r="AI206" s="12">
        <f>AJ206*SQRT(X206)</f>
        <v>1.0954451150103308</v>
      </c>
      <c r="AJ206" s="12">
        <f>3.4-AH206</f>
        <v>0.19999999999999973</v>
      </c>
      <c r="AK206" s="12">
        <v>3.7</v>
      </c>
      <c r="AL206" s="12">
        <f>AM206*SQRT(W206)</f>
        <v>0.54772255750516419</v>
      </c>
      <c r="AM206" s="12">
        <f>3.8-AK206</f>
        <v>9.9999999999999645E-2</v>
      </c>
      <c r="AN206" s="12">
        <f>AH206-AK206</f>
        <v>-0.5</v>
      </c>
      <c r="AO206" s="1">
        <f>SQRT((((X206-1)*AI206^2)+((W206-1)*AL206^2))/(X206+W206-2))</f>
        <v>0.86602540378443715</v>
      </c>
      <c r="AP206" s="1">
        <f>AN206/AO206</f>
        <v>-0.57735026918962673</v>
      </c>
      <c r="AQ206" s="1">
        <f>1/X206+1/W206+(AP206^2)/(2*(X206+W206))</f>
        <v>6.9444444444444448E-2</v>
      </c>
      <c r="AR206" s="1">
        <f>1-(3/(4*(X206+W206-2)-1))</f>
        <v>0.98701298701298701</v>
      </c>
      <c r="AS206" s="21">
        <f>AP206*AR206</f>
        <v>-0.56985221374560557</v>
      </c>
      <c r="AT206" s="21">
        <f>AQ206*(AR206^2)</f>
        <v>6.765240531474298E-2</v>
      </c>
      <c r="AU206" s="21">
        <f>SQRT(AQ206*AR206^2)</f>
        <v>0.26010075992726928</v>
      </c>
      <c r="AV206" s="20">
        <f>1/AT206</f>
        <v>14.781440443213295</v>
      </c>
      <c r="AW206" s="20">
        <f>AS206/AT206</f>
        <v>-8.4232365589139224</v>
      </c>
      <c r="AX206" s="20">
        <f>((AS206)^2)/AT206</f>
        <v>4.8000000000000149</v>
      </c>
      <c r="AY206" s="14"/>
      <c r="AZ206" s="14"/>
      <c r="BA206" s="1" t="s">
        <v>270</v>
      </c>
      <c r="BB206" s="2"/>
    </row>
    <row r="207" spans="1:63" ht="14.25" customHeight="1">
      <c r="A207" s="2">
        <v>96</v>
      </c>
      <c r="B207" s="2" t="s">
        <v>13</v>
      </c>
      <c r="C207" s="1" t="s">
        <v>85</v>
      </c>
      <c r="D207" s="1">
        <v>2011</v>
      </c>
      <c r="E207" s="1">
        <v>2006</v>
      </c>
      <c r="F207" s="1" t="s">
        <v>164</v>
      </c>
      <c r="G207" s="1" t="s">
        <v>161</v>
      </c>
      <c r="H207" s="1">
        <v>-41.255277999999997</v>
      </c>
      <c r="I207" s="1">
        <v>-71.281389000000004</v>
      </c>
      <c r="J207" s="1" t="s">
        <v>135</v>
      </c>
      <c r="K207" s="1" t="s">
        <v>196</v>
      </c>
      <c r="L207" s="1" t="s">
        <v>197</v>
      </c>
      <c r="M207" s="1" t="s">
        <v>237</v>
      </c>
      <c r="N207" s="1" t="s">
        <v>238</v>
      </c>
      <c r="O207" s="1" t="s">
        <v>86</v>
      </c>
      <c r="Q207" s="1" t="s">
        <v>93</v>
      </c>
      <c r="R207" s="1">
        <v>1996</v>
      </c>
      <c r="S207" s="19">
        <v>10</v>
      </c>
      <c r="T207" s="12">
        <f>S207*12</f>
        <v>120</v>
      </c>
      <c r="U207" s="9"/>
      <c r="W207" s="1">
        <v>30</v>
      </c>
      <c r="X207" s="1">
        <v>30</v>
      </c>
      <c r="Y207" s="1" t="s">
        <v>134</v>
      </c>
      <c r="Z207" s="1" t="s">
        <v>154</v>
      </c>
      <c r="AA207" s="1" t="s">
        <v>1</v>
      </c>
      <c r="AB207" s="1" t="s">
        <v>148</v>
      </c>
      <c r="AC207" s="1" t="s">
        <v>2</v>
      </c>
      <c r="AD207" s="12" t="s">
        <v>2</v>
      </c>
      <c r="AE207" s="12" t="s">
        <v>2</v>
      </c>
      <c r="AF207" s="12" t="s">
        <v>253</v>
      </c>
      <c r="AG207" s="12" t="s">
        <v>318</v>
      </c>
      <c r="AH207" s="12">
        <v>0.28999999999999998</v>
      </c>
      <c r="AI207" s="12">
        <f>AJ207*SQRT(X207)</f>
        <v>0.54772255750516619</v>
      </c>
      <c r="AJ207" s="12">
        <v>0.1</v>
      </c>
      <c r="AK207" s="12">
        <v>0.25</v>
      </c>
      <c r="AL207" s="12">
        <f>AM207*SQRT(W207)</f>
        <v>0.27386127875258309</v>
      </c>
      <c r="AM207" s="12">
        <v>0.05</v>
      </c>
      <c r="AN207" s="12">
        <f>AH207-AK207</f>
        <v>3.999999999999998E-2</v>
      </c>
      <c r="AO207" s="1">
        <f>SQRT((((X207-1)*AI207^2)+((W207-1)*AL207^2))/(X207+W207-2))</f>
        <v>0.43301270189221941</v>
      </c>
      <c r="AP207" s="1">
        <f>AN207/AO207</f>
        <v>9.2376043070340058E-2</v>
      </c>
      <c r="AQ207" s="1">
        <f>1/X207+1/W207+(AP207^2)/(2*(X207+W207))</f>
        <v>6.6737777777777771E-2</v>
      </c>
      <c r="AR207" s="1">
        <f>1-(3/(4*(X207+W207-2)-1))</f>
        <v>0.98701298701298701</v>
      </c>
      <c r="AS207" s="21">
        <f>AP207*AR207</f>
        <v>9.1176354199296678E-2</v>
      </c>
      <c r="AT207" s="21">
        <f>AQ207*(AR207^2)</f>
        <v>6.5015585165195552E-2</v>
      </c>
      <c r="AU207" s="21">
        <f>SQRT(AQ207*AR207^2)</f>
        <v>0.25498153887133779</v>
      </c>
      <c r="AV207" s="20">
        <f>1/AT207</f>
        <v>15.38092747237665</v>
      </c>
      <c r="AW207" s="20">
        <f>AS207/AT207</f>
        <v>1.4023768911351064</v>
      </c>
      <c r="AX207" s="20">
        <f>((AS207)^2)/AT207</f>
        <v>0.12786361214704298</v>
      </c>
      <c r="AY207" s="14"/>
      <c r="AZ207" s="14"/>
      <c r="BA207" s="1" t="s">
        <v>270</v>
      </c>
      <c r="BB207" s="2"/>
    </row>
    <row r="208" spans="1:63" ht="14.25" customHeight="1">
      <c r="A208" s="2">
        <v>133</v>
      </c>
      <c r="B208" s="2" t="s">
        <v>18</v>
      </c>
      <c r="C208" s="1" t="s">
        <v>85</v>
      </c>
      <c r="D208" s="1">
        <v>2004</v>
      </c>
      <c r="E208" s="1">
        <v>1996</v>
      </c>
      <c r="F208" s="1" t="s">
        <v>143</v>
      </c>
      <c r="G208" s="1" t="s">
        <v>142</v>
      </c>
      <c r="H208" s="1">
        <v>39.907029999999999</v>
      </c>
      <c r="I208" s="1">
        <v>-74.474993999999995</v>
      </c>
      <c r="J208" s="1" t="s">
        <v>135</v>
      </c>
      <c r="K208" s="1" t="s">
        <v>176</v>
      </c>
      <c r="L208" s="1" t="s">
        <v>198</v>
      </c>
      <c r="M208" s="1" t="s">
        <v>236</v>
      </c>
      <c r="N208" s="1" t="s">
        <v>238</v>
      </c>
      <c r="O208" s="1" t="s">
        <v>121</v>
      </c>
      <c r="P208" s="1" t="s">
        <v>146</v>
      </c>
      <c r="Q208" s="1" t="s">
        <v>93</v>
      </c>
      <c r="R208" s="1">
        <v>1996</v>
      </c>
      <c r="S208" s="1" t="s">
        <v>156</v>
      </c>
      <c r="T208" s="1">
        <v>11</v>
      </c>
      <c r="V208" s="1" t="s">
        <v>2</v>
      </c>
      <c r="W208" s="1">
        <v>3</v>
      </c>
      <c r="X208" s="1">
        <v>3</v>
      </c>
      <c r="Y208" s="1" t="s">
        <v>134</v>
      </c>
      <c r="Z208" s="1" t="s">
        <v>130</v>
      </c>
      <c r="AA208" s="1" t="s">
        <v>0</v>
      </c>
      <c r="AB208" s="1" t="s">
        <v>148</v>
      </c>
      <c r="AC208" s="1" t="s">
        <v>2</v>
      </c>
      <c r="AD208" s="1" t="s">
        <v>2</v>
      </c>
      <c r="AE208" s="1" t="s">
        <v>2</v>
      </c>
      <c r="AF208" s="1" t="s">
        <v>222</v>
      </c>
      <c r="AG208" s="1" t="s">
        <v>318</v>
      </c>
      <c r="AH208" s="1">
        <v>3.26</v>
      </c>
      <c r="AI208" s="1">
        <f>AJ208*(SQRT(X208))</f>
        <v>0.81406387955737258</v>
      </c>
      <c r="AJ208" s="1">
        <f>3.73-AH208</f>
        <v>0.4700000000000002</v>
      </c>
      <c r="AK208" s="1">
        <v>3.65</v>
      </c>
      <c r="AL208" s="1">
        <f>AM208*(SQRT(W208))</f>
        <v>0.77942286340599432</v>
      </c>
      <c r="AM208" s="1">
        <f>4.1-AK208</f>
        <v>0.44999999999999973</v>
      </c>
      <c r="AN208" s="12">
        <f>AH208-AK208</f>
        <v>-0.39000000000000012</v>
      </c>
      <c r="AO208" s="1">
        <f>SQRT((((X208-1)*AI208^2)+((W208-1)*AL208^2))/(X208+W208-2))</f>
        <v>0.79693161563587112</v>
      </c>
      <c r="AP208" s="1">
        <f>AN208/AO208</f>
        <v>-0.48937699590299155</v>
      </c>
      <c r="AQ208" s="1">
        <f>1/X208+1/W208+(AP208^2)/(2*(X208+W208))</f>
        <v>0.68662415367658636</v>
      </c>
      <c r="AR208" s="1">
        <f>1-(3/(4*(X208+W208-2)-1))</f>
        <v>0.8</v>
      </c>
      <c r="AS208" s="21">
        <f>AP208*AR208</f>
        <v>-0.39150159672239326</v>
      </c>
      <c r="AT208" s="21">
        <f>AQ208*(AR208^2)</f>
        <v>0.43943945835301534</v>
      </c>
      <c r="AU208" s="21">
        <f>SQRT(AQ208*AR208^2)</f>
        <v>0.66290229925156796</v>
      </c>
      <c r="AV208" s="20">
        <f>1/AT208</f>
        <v>2.2756263257467175</v>
      </c>
      <c r="AW208" s="20">
        <f>AS208/AT208</f>
        <v>-0.89091134007335293</v>
      </c>
      <c r="AX208" s="20">
        <f>((AS208)^2)/AT208</f>
        <v>0.34879321217680476</v>
      </c>
      <c r="AY208" s="14"/>
      <c r="AZ208" s="14"/>
      <c r="BA208" s="1" t="s">
        <v>270</v>
      </c>
      <c r="BB208" s="2"/>
    </row>
    <row r="209" spans="1:54" ht="14.25" customHeight="1">
      <c r="A209" s="2">
        <v>96</v>
      </c>
      <c r="B209" s="2" t="s">
        <v>13</v>
      </c>
      <c r="C209" s="1" t="s">
        <v>85</v>
      </c>
      <c r="D209" s="1">
        <v>2011</v>
      </c>
      <c r="E209" s="1">
        <v>2006</v>
      </c>
      <c r="F209" s="1" t="s">
        <v>164</v>
      </c>
      <c r="G209" s="1" t="s">
        <v>161</v>
      </c>
      <c r="H209" s="1">
        <v>-41.255277999999997</v>
      </c>
      <c r="I209" s="1">
        <v>-71.281389000000004</v>
      </c>
      <c r="J209" s="1" t="s">
        <v>135</v>
      </c>
      <c r="K209" s="1" t="s">
        <v>196</v>
      </c>
      <c r="L209" s="1" t="s">
        <v>197</v>
      </c>
      <c r="M209" s="1" t="s">
        <v>237</v>
      </c>
      <c r="N209" s="1" t="s">
        <v>238</v>
      </c>
      <c r="O209" s="1" t="s">
        <v>86</v>
      </c>
      <c r="Q209" s="1" t="s">
        <v>93</v>
      </c>
      <c r="R209" s="1">
        <v>1998</v>
      </c>
      <c r="S209" s="19">
        <v>8</v>
      </c>
      <c r="T209" s="12">
        <f>S209*12</f>
        <v>96</v>
      </c>
      <c r="U209" s="9"/>
      <c r="W209" s="1">
        <v>30</v>
      </c>
      <c r="X209" s="1">
        <v>30</v>
      </c>
      <c r="Y209" s="1" t="s">
        <v>134</v>
      </c>
      <c r="Z209" s="1" t="s">
        <v>154</v>
      </c>
      <c r="AA209" s="1" t="s">
        <v>1</v>
      </c>
      <c r="AB209" s="1" t="s">
        <v>148</v>
      </c>
      <c r="AC209" s="1" t="s">
        <v>2</v>
      </c>
      <c r="AD209" s="12" t="s">
        <v>2</v>
      </c>
      <c r="AE209" s="12" t="s">
        <v>2</v>
      </c>
      <c r="AF209" s="12" t="s">
        <v>346</v>
      </c>
      <c r="AG209" s="12" t="s">
        <v>318</v>
      </c>
      <c r="AH209" s="12">
        <v>45.8</v>
      </c>
      <c r="AI209" s="12">
        <f>AJ209*SQRT(X209)</f>
        <v>26.838405317753171</v>
      </c>
      <c r="AJ209" s="12">
        <f>50.7-AH209</f>
        <v>4.9000000000000057</v>
      </c>
      <c r="AK209" s="12">
        <v>60.4</v>
      </c>
      <c r="AL209" s="12">
        <f>AM209*SQRT(W209)</f>
        <v>21.36117974270147</v>
      </c>
      <c r="AM209" s="12">
        <f>64.3-AK209</f>
        <v>3.8999999999999986</v>
      </c>
      <c r="AN209" s="12">
        <f>AH209-AK209</f>
        <v>-14.600000000000001</v>
      </c>
      <c r="AO209" s="1">
        <f>SQRT((((X209-1)*AI209^2)+((W209-1)*AL209^2))/(X209+W209-2))</f>
        <v>24.254896412889515</v>
      </c>
      <c r="AP209" s="1">
        <f>AN209/AO209</f>
        <v>-0.60194031553320848</v>
      </c>
      <c r="AQ209" s="1">
        <f>1/X209+1/W209+(AP209^2)/(2*(X209+W209))</f>
        <v>6.9686101195535158E-2</v>
      </c>
      <c r="AR209" s="1">
        <f>1-(3/(4*(X209+W209-2)-1))</f>
        <v>0.98701298701298701</v>
      </c>
      <c r="AS209" s="21">
        <f>AP209*AR209</f>
        <v>-0.59412290883797203</v>
      </c>
      <c r="AT209" s="21">
        <f>AQ209*(AR209^2)</f>
        <v>6.7887826025537376E-2</v>
      </c>
      <c r="AU209" s="21">
        <f>SQRT(AQ209*AR209^2)</f>
        <v>0.26055292365570831</v>
      </c>
      <c r="AV209" s="20">
        <f>1/AT209</f>
        <v>14.730181514780423</v>
      </c>
      <c r="AW209" s="20">
        <f>AS209/AT209</f>
        <v>-8.7515382892726699</v>
      </c>
      <c r="AX209" s="20">
        <f>((AS209)^2)/AT209</f>
        <v>5.1994893852295689</v>
      </c>
      <c r="AY209" s="14"/>
      <c r="AZ209" s="14"/>
      <c r="BA209" s="1" t="s">
        <v>270</v>
      </c>
      <c r="BB209" s="2"/>
    </row>
    <row r="210" spans="1:54" ht="14.25" customHeight="1">
      <c r="A210" s="2">
        <v>96</v>
      </c>
      <c r="B210" s="2" t="s">
        <v>13</v>
      </c>
      <c r="C210" s="1" t="s">
        <v>85</v>
      </c>
      <c r="D210" s="1">
        <v>2011</v>
      </c>
      <c r="E210" s="1">
        <v>2006</v>
      </c>
      <c r="F210" s="1" t="s">
        <v>164</v>
      </c>
      <c r="G210" s="1" t="s">
        <v>161</v>
      </c>
      <c r="H210" s="1">
        <v>-41.255277999999997</v>
      </c>
      <c r="I210" s="1">
        <v>-71.281389000000004</v>
      </c>
      <c r="J210" s="1" t="s">
        <v>135</v>
      </c>
      <c r="K210" s="1" t="s">
        <v>196</v>
      </c>
      <c r="L210" s="1" t="s">
        <v>197</v>
      </c>
      <c r="M210" s="1" t="s">
        <v>237</v>
      </c>
      <c r="N210" s="1" t="s">
        <v>238</v>
      </c>
      <c r="O210" s="1" t="s">
        <v>86</v>
      </c>
      <c r="Q210" s="1" t="s">
        <v>93</v>
      </c>
      <c r="R210" s="1">
        <v>1998</v>
      </c>
      <c r="S210" s="19">
        <v>8</v>
      </c>
      <c r="T210" s="12">
        <f>S210*12</f>
        <v>96</v>
      </c>
      <c r="U210" s="9"/>
      <c r="W210" s="1">
        <v>30</v>
      </c>
      <c r="X210" s="1">
        <v>30</v>
      </c>
      <c r="Y210" s="1" t="s">
        <v>134</v>
      </c>
      <c r="Z210" s="1" t="s">
        <v>154</v>
      </c>
      <c r="AA210" s="1" t="s">
        <v>1</v>
      </c>
      <c r="AB210" s="1" t="s">
        <v>148</v>
      </c>
      <c r="AC210" s="1" t="s">
        <v>2</v>
      </c>
      <c r="AD210" s="12" t="s">
        <v>2</v>
      </c>
      <c r="AE210" s="12" t="s">
        <v>2</v>
      </c>
      <c r="AF210" s="12" t="s">
        <v>149</v>
      </c>
      <c r="AG210" s="12" t="s">
        <v>318</v>
      </c>
      <c r="AH210" s="12">
        <v>4.4000000000000004</v>
      </c>
      <c r="AI210" s="12">
        <f>AJ210*SQRT(X210)</f>
        <v>3.8340579025361587</v>
      </c>
      <c r="AJ210" s="12">
        <f>5.1-AH210</f>
        <v>0.69999999999999929</v>
      </c>
      <c r="AK210" s="12">
        <v>3.6</v>
      </c>
      <c r="AL210" s="12">
        <f>AM210*SQRT(W210)</f>
        <v>1.0954451150103308</v>
      </c>
      <c r="AM210" s="12">
        <f>3.8-AK210</f>
        <v>0.19999999999999973</v>
      </c>
      <c r="AN210" s="12">
        <f>AH210-AK210</f>
        <v>0.80000000000000027</v>
      </c>
      <c r="AO210" s="1">
        <f>SQRT((((X210-1)*AI210^2)+((W210-1)*AL210^2))/(X210+W210-2))</f>
        <v>2.8195744359743338</v>
      </c>
      <c r="AP210" s="1">
        <f>AN210/AO210</f>
        <v>0.28373076085276389</v>
      </c>
      <c r="AQ210" s="1">
        <f>1/X210+1/W210+(AP210^2)/(2*(X210+W210))</f>
        <v>6.7337526205450735E-2</v>
      </c>
      <c r="AR210" s="1">
        <f>1-(3/(4*(X210+W210-2)-1))</f>
        <v>0.98701298701298701</v>
      </c>
      <c r="AS210" s="21">
        <f>AP210*AR210</f>
        <v>0.28004594577675396</v>
      </c>
      <c r="AT210" s="21">
        <f>AQ210*(AR210^2)</f>
        <v>6.5599856866703235E-2</v>
      </c>
      <c r="AU210" s="21">
        <f>SQRT(AQ210*AR210^2)</f>
        <v>0.25612469007634392</v>
      </c>
      <c r="AV210" s="20">
        <f>1/AT210</f>
        <v>15.243935699920311</v>
      </c>
      <c r="AW210" s="20">
        <f>AS210/AT210</f>
        <v>4.2690023904442072</v>
      </c>
      <c r="AX210" s="20">
        <f>((AS210)^2)/AT210</f>
        <v>1.1955168119551716</v>
      </c>
      <c r="AY210" s="14"/>
      <c r="AZ210" s="14"/>
      <c r="BA210" s="1" t="s">
        <v>270</v>
      </c>
      <c r="BB210" s="2"/>
    </row>
    <row r="211" spans="1:54" ht="14.25" customHeight="1">
      <c r="A211" s="2">
        <v>96</v>
      </c>
      <c r="B211" s="2" t="s">
        <v>13</v>
      </c>
      <c r="C211" s="1" t="s">
        <v>85</v>
      </c>
      <c r="D211" s="1">
        <v>2011</v>
      </c>
      <c r="E211" s="1">
        <v>2006</v>
      </c>
      <c r="F211" s="1" t="s">
        <v>164</v>
      </c>
      <c r="G211" s="1" t="s">
        <v>161</v>
      </c>
      <c r="H211" s="1">
        <v>-41.255277999999997</v>
      </c>
      <c r="I211" s="1">
        <v>-71.281389000000004</v>
      </c>
      <c r="J211" s="1" t="s">
        <v>135</v>
      </c>
      <c r="K211" s="1" t="s">
        <v>196</v>
      </c>
      <c r="L211" s="1" t="s">
        <v>197</v>
      </c>
      <c r="M211" s="1" t="s">
        <v>237</v>
      </c>
      <c r="N211" s="1" t="s">
        <v>238</v>
      </c>
      <c r="O211" s="1" t="s">
        <v>86</v>
      </c>
      <c r="Q211" s="1" t="s">
        <v>93</v>
      </c>
      <c r="R211" s="1">
        <v>1998</v>
      </c>
      <c r="S211" s="19">
        <v>8</v>
      </c>
      <c r="T211" s="12">
        <f>S211*12</f>
        <v>96</v>
      </c>
      <c r="U211" s="9"/>
      <c r="W211" s="1">
        <v>30</v>
      </c>
      <c r="X211" s="1">
        <v>30</v>
      </c>
      <c r="Y211" s="1" t="s">
        <v>134</v>
      </c>
      <c r="Z211" s="1" t="s">
        <v>154</v>
      </c>
      <c r="AA211" s="1" t="s">
        <v>1</v>
      </c>
      <c r="AB211" s="1" t="s">
        <v>148</v>
      </c>
      <c r="AC211" s="1" t="s">
        <v>2</v>
      </c>
      <c r="AD211" s="12" t="s">
        <v>2</v>
      </c>
      <c r="AE211" s="12" t="s">
        <v>2</v>
      </c>
      <c r="AF211" s="12" t="s">
        <v>253</v>
      </c>
      <c r="AG211" s="12" t="s">
        <v>318</v>
      </c>
      <c r="AH211" s="12">
        <v>0.22</v>
      </c>
      <c r="AI211" s="12">
        <f>AJ211*SQRT(X211)</f>
        <v>1.6431676725154982</v>
      </c>
      <c r="AJ211" s="12">
        <v>0.3</v>
      </c>
      <c r="AK211" s="12">
        <v>0.26</v>
      </c>
      <c r="AL211" s="12">
        <f>AM211*SQRT(W211)</f>
        <v>0.54772255750516619</v>
      </c>
      <c r="AM211" s="12">
        <v>0.1</v>
      </c>
      <c r="AN211" s="12">
        <f>AH211-AK211</f>
        <v>-4.0000000000000008E-2</v>
      </c>
      <c r="AO211" s="1">
        <f>SQRT((((X211-1)*AI211^2)+((W211-1)*AL211^2))/(X211+W211-2))</f>
        <v>1.2247448713915889</v>
      </c>
      <c r="AP211" s="1">
        <f>AN211/AO211</f>
        <v>-3.2659863237109052E-2</v>
      </c>
      <c r="AQ211" s="1">
        <f>1/X211+1/W211+(AP211^2)/(2*(X211+W211))</f>
        <v>6.6675555555555557E-2</v>
      </c>
      <c r="AR211" s="1">
        <f>1-(3/(4*(X211+W211-2)-1))</f>
        <v>0.98701298701298701</v>
      </c>
      <c r="AS211" s="21">
        <f>AP211*AR211</f>
        <v>-3.2235709169094649E-2</v>
      </c>
      <c r="AT211" s="21">
        <f>AQ211*(AR211^2)</f>
        <v>6.4954968610033553E-2</v>
      </c>
      <c r="AU211" s="21">
        <f>SQRT(AQ211*AR211^2)</f>
        <v>0.2548626465569907</v>
      </c>
      <c r="AV211" s="20">
        <f>1/AT211</f>
        <v>15.3952810908684</v>
      </c>
      <c r="AW211" s="20">
        <f>AS211/AT211</f>
        <v>-0.49627780382169595</v>
      </c>
      <c r="AX211" s="20">
        <f>((AS211)^2)/AT211</f>
        <v>1.5997866951073202E-2</v>
      </c>
      <c r="AY211" s="14"/>
      <c r="AZ211" s="14"/>
      <c r="BA211" s="1" t="s">
        <v>270</v>
      </c>
      <c r="BB211" s="2"/>
    </row>
    <row r="212" spans="1:54" ht="14.25" customHeight="1">
      <c r="A212" s="2">
        <v>559</v>
      </c>
      <c r="B212" s="2" t="s">
        <v>70</v>
      </c>
      <c r="C212" s="1" t="s">
        <v>85</v>
      </c>
      <c r="D212" s="1">
        <v>2018</v>
      </c>
      <c r="F212" s="1" t="s">
        <v>120</v>
      </c>
      <c r="G212" s="1" t="s">
        <v>109</v>
      </c>
      <c r="H212" s="1">
        <v>39.591799999999999</v>
      </c>
      <c r="I212" s="1">
        <v>-0.73202100000000003</v>
      </c>
      <c r="J212" s="1" t="s">
        <v>128</v>
      </c>
      <c r="O212" s="1" t="s">
        <v>86</v>
      </c>
      <c r="Q212" s="1" t="s">
        <v>93</v>
      </c>
      <c r="R212" s="1">
        <v>2014</v>
      </c>
      <c r="S212" s="1">
        <v>3</v>
      </c>
      <c r="T212" s="1">
        <f>S212*12</f>
        <v>36</v>
      </c>
      <c r="W212" s="1">
        <v>150</v>
      </c>
      <c r="X212" s="1">
        <v>150</v>
      </c>
      <c r="Y212" s="1" t="s">
        <v>97</v>
      </c>
      <c r="Z212" s="1" t="s">
        <v>130</v>
      </c>
      <c r="AA212" s="1" t="s">
        <v>1</v>
      </c>
      <c r="AB212" s="1" t="s">
        <v>98</v>
      </c>
      <c r="AC212" s="1" t="s">
        <v>202</v>
      </c>
      <c r="AD212" s="1" t="s">
        <v>228</v>
      </c>
      <c r="AE212" s="1" t="s">
        <v>100</v>
      </c>
      <c r="AF212" s="1" t="s">
        <v>222</v>
      </c>
      <c r="AG212" s="1" t="s">
        <v>317</v>
      </c>
      <c r="AH212" s="1">
        <v>454</v>
      </c>
      <c r="AI212" s="1">
        <f>AJ212*SQRT(X212)</f>
        <v>171.46428199482247</v>
      </c>
      <c r="AJ212" s="1">
        <v>14</v>
      </c>
      <c r="AK212" s="1">
        <v>536</v>
      </c>
      <c r="AL212" s="1">
        <f>AM212*SQRT(W212)</f>
        <v>281.69132042006549</v>
      </c>
      <c r="AM212" s="1">
        <v>23</v>
      </c>
      <c r="AN212" s="12">
        <f>AH212-AK212</f>
        <v>-82</v>
      </c>
      <c r="AO212" s="1">
        <f>SQRT((((X212-1)*AI212^2)+((W212-1)*AL212^2))/(X212+W212-2))</f>
        <v>233.18447632722038</v>
      </c>
      <c r="AP212" s="1">
        <f>AN212/AO212</f>
        <v>-0.35165291142679672</v>
      </c>
      <c r="AQ212" s="1">
        <f>1/X212+1/W212+(AP212^2)/(2*(X212+W212))</f>
        <v>1.3539432950191572E-2</v>
      </c>
      <c r="AR212" s="1">
        <f>1-(3/(4*(X212+W212-2)-1))</f>
        <v>0.9974811083123426</v>
      </c>
      <c r="AS212" s="21">
        <f>AP212*AR212</f>
        <v>-0.35076713583126323</v>
      </c>
      <c r="AT212" s="21">
        <f>AQ212*(AR212^2)</f>
        <v>1.3471310125165704E-2</v>
      </c>
      <c r="AU212" s="21">
        <f>SQRT(AQ212*AR212^2)</f>
        <v>0.11606597315822456</v>
      </c>
      <c r="AV212" s="20">
        <f>1/AT212</f>
        <v>74.231829770729107</v>
      </c>
      <c r="AW212" s="20">
        <f>AS212/AT212</f>
        <v>-26.038086316192548</v>
      </c>
      <c r="AX212" s="20">
        <f>((AS212)^2)/AT212</f>
        <v>9.1333049596580675</v>
      </c>
      <c r="AY212" s="13"/>
      <c r="AZ212" s="13"/>
      <c r="BA212" s="1" t="s">
        <v>270</v>
      </c>
      <c r="BB212" s="2"/>
    </row>
    <row r="213" spans="1:54" ht="14.25" customHeight="1">
      <c r="A213" s="2">
        <v>96</v>
      </c>
      <c r="B213" s="2" t="s">
        <v>13</v>
      </c>
      <c r="C213" s="1" t="s">
        <v>85</v>
      </c>
      <c r="D213" s="1">
        <v>2011</v>
      </c>
      <c r="E213" s="1">
        <v>2006</v>
      </c>
      <c r="F213" s="1" t="s">
        <v>164</v>
      </c>
      <c r="G213" s="1" t="s">
        <v>161</v>
      </c>
      <c r="H213" s="1">
        <v>-41.255277999999997</v>
      </c>
      <c r="I213" s="1">
        <v>-71.281389000000004</v>
      </c>
      <c r="J213" s="1" t="s">
        <v>135</v>
      </c>
      <c r="K213" s="1" t="s">
        <v>196</v>
      </c>
      <c r="L213" s="1" t="s">
        <v>197</v>
      </c>
      <c r="M213" s="1" t="s">
        <v>237</v>
      </c>
      <c r="N213" s="1" t="s">
        <v>238</v>
      </c>
      <c r="O213" s="1" t="s">
        <v>86</v>
      </c>
      <c r="Q213" s="1" t="s">
        <v>93</v>
      </c>
      <c r="R213" s="1">
        <v>1999</v>
      </c>
      <c r="S213" s="19">
        <v>7</v>
      </c>
      <c r="T213" s="12">
        <f>S213*12</f>
        <v>84</v>
      </c>
      <c r="U213" s="9"/>
      <c r="W213" s="1">
        <v>30</v>
      </c>
      <c r="X213" s="1">
        <v>30</v>
      </c>
      <c r="Y213" s="1" t="s">
        <v>134</v>
      </c>
      <c r="Z213" s="1" t="s">
        <v>154</v>
      </c>
      <c r="AA213" s="1" t="s">
        <v>1</v>
      </c>
      <c r="AB213" s="1" t="s">
        <v>148</v>
      </c>
      <c r="AC213" s="1" t="s">
        <v>2</v>
      </c>
      <c r="AD213" s="12" t="s">
        <v>2</v>
      </c>
      <c r="AE213" s="12" t="s">
        <v>2</v>
      </c>
      <c r="AF213" s="12" t="s">
        <v>346</v>
      </c>
      <c r="AG213" s="12" t="s">
        <v>318</v>
      </c>
      <c r="AH213" s="12">
        <v>57.8</v>
      </c>
      <c r="AI213" s="12">
        <f>AJ213*SQRT(X213)</f>
        <v>20.265734627691163</v>
      </c>
      <c r="AJ213" s="12">
        <f>61.5-AH213</f>
        <v>3.7000000000000028</v>
      </c>
      <c r="AK213" s="12">
        <v>74.8</v>
      </c>
      <c r="AL213" s="12">
        <f>AM213*SQRT(W213)</f>
        <v>7.1203932475671436</v>
      </c>
      <c r="AM213" s="12">
        <f>76.1-AK213</f>
        <v>1.2999999999999972</v>
      </c>
      <c r="AN213" s="12">
        <f>AH213-AK213</f>
        <v>-17</v>
      </c>
      <c r="AO213" s="1">
        <f>SQRT((((X213-1)*AI213^2)+((W213-1)*AL213^2))/(X213+W213-2))</f>
        <v>15.18881167175366</v>
      </c>
      <c r="AP213" s="1">
        <f>AN213/AO213</f>
        <v>-1.1192448999558386</v>
      </c>
      <c r="AQ213" s="1">
        <f>1/X213+1/W213+(AP213^2)/(2*(X213+W213))</f>
        <v>7.7105909550642962E-2</v>
      </c>
      <c r="AR213" s="1">
        <f>1-(3/(4*(X213+W213-2)-1))</f>
        <v>0.98701298701298701</v>
      </c>
      <c r="AS213" s="21">
        <f>AP213*AR213</f>
        <v>-1.1047092519044641</v>
      </c>
      <c r="AT213" s="21">
        <f>AQ213*(AR213^2)</f>
        <v>7.5116163529180935E-2</v>
      </c>
      <c r="AU213" s="21">
        <f>SQRT(AQ213*AR213^2)</f>
        <v>0.27407328131209896</v>
      </c>
      <c r="AV213" s="20">
        <f>1/AT213</f>
        <v>13.312713975488412</v>
      </c>
      <c r="AW213" s="20">
        <f>AS213/AT213</f>
        <v>-14.706678296679907</v>
      </c>
      <c r="AX213" s="20">
        <f>((AS213)^2)/AT213</f>
        <v>16.24660357912488</v>
      </c>
      <c r="AY213" s="14"/>
      <c r="AZ213" s="14"/>
      <c r="BA213" s="1" t="s">
        <v>270</v>
      </c>
      <c r="BB213" s="2"/>
    </row>
    <row r="214" spans="1:54" ht="14.25" customHeight="1">
      <c r="A214" s="2">
        <v>96</v>
      </c>
      <c r="B214" s="2" t="s">
        <v>13</v>
      </c>
      <c r="C214" s="1" t="s">
        <v>85</v>
      </c>
      <c r="D214" s="1">
        <v>2011</v>
      </c>
      <c r="E214" s="1">
        <v>2006</v>
      </c>
      <c r="F214" s="1" t="s">
        <v>164</v>
      </c>
      <c r="G214" s="1" t="s">
        <v>161</v>
      </c>
      <c r="H214" s="1">
        <v>-41.255277999999997</v>
      </c>
      <c r="I214" s="1">
        <v>-71.281389000000004</v>
      </c>
      <c r="J214" s="1" t="s">
        <v>135</v>
      </c>
      <c r="K214" s="1" t="s">
        <v>196</v>
      </c>
      <c r="L214" s="1" t="s">
        <v>197</v>
      </c>
      <c r="M214" s="1" t="s">
        <v>237</v>
      </c>
      <c r="N214" s="1" t="s">
        <v>238</v>
      </c>
      <c r="O214" s="1" t="s">
        <v>86</v>
      </c>
      <c r="Q214" s="1" t="s">
        <v>93</v>
      </c>
      <c r="R214" s="1">
        <v>1999</v>
      </c>
      <c r="S214" s="19">
        <v>7</v>
      </c>
      <c r="T214" s="12">
        <f>S214*12</f>
        <v>84</v>
      </c>
      <c r="U214" s="9"/>
      <c r="W214" s="1">
        <v>30</v>
      </c>
      <c r="X214" s="1">
        <v>30</v>
      </c>
      <c r="Y214" s="1" t="s">
        <v>134</v>
      </c>
      <c r="Z214" s="1" t="s">
        <v>154</v>
      </c>
      <c r="AA214" s="1" t="s">
        <v>1</v>
      </c>
      <c r="AB214" s="1" t="s">
        <v>148</v>
      </c>
      <c r="AC214" s="1" t="s">
        <v>2</v>
      </c>
      <c r="AD214" s="12" t="s">
        <v>2</v>
      </c>
      <c r="AE214" s="12" t="s">
        <v>2</v>
      </c>
      <c r="AF214" s="12" t="s">
        <v>149</v>
      </c>
      <c r="AG214" s="12" t="s">
        <v>318</v>
      </c>
      <c r="AH214" s="12">
        <v>3.8</v>
      </c>
      <c r="AI214" s="12">
        <f>AJ214*SQRT(X214)</f>
        <v>3.2863353450309996</v>
      </c>
      <c r="AJ214" s="12">
        <f>4.4-AH214</f>
        <v>0.60000000000000053</v>
      </c>
      <c r="AK214" s="12">
        <v>2.9</v>
      </c>
      <c r="AL214" s="12">
        <f>AM214*SQRT(W214)</f>
        <v>1.6431676725154998</v>
      </c>
      <c r="AM214" s="12">
        <f>3.2-AK214</f>
        <v>0.30000000000000027</v>
      </c>
      <c r="AN214" s="12">
        <f>AH214-AK214</f>
        <v>0.89999999999999991</v>
      </c>
      <c r="AO214" s="1">
        <f>SQRT((((X214-1)*AI214^2)+((W214-1)*AL214^2))/(X214+W214-2))</f>
        <v>2.5980762113533182</v>
      </c>
      <c r="AP214" s="1">
        <f>AN214/AO214</f>
        <v>0.34641016151377513</v>
      </c>
      <c r="AQ214" s="1">
        <f>1/X214+1/W214+(AP214^2)/(2*(X214+W214))</f>
        <v>6.7666666666666667E-2</v>
      </c>
      <c r="AR214" s="1">
        <f>1-(3/(4*(X214+W214-2)-1))</f>
        <v>0.98701298701298701</v>
      </c>
      <c r="AS214" s="21">
        <f>AP214*AR214</f>
        <v>0.34191132824736248</v>
      </c>
      <c r="AT214" s="21">
        <f>AQ214*(AR214^2)</f>
        <v>6.5920503738685562E-2</v>
      </c>
      <c r="AU214" s="21">
        <f>SQRT(AQ214*AR214^2)</f>
        <v>0.25674988556703499</v>
      </c>
      <c r="AV214" s="20">
        <f>1/AT214</f>
        <v>15.169786990161427</v>
      </c>
      <c r="AW214" s="20">
        <f>AS214/AT214</f>
        <v>5.1867220190356527</v>
      </c>
      <c r="AX214" s="20">
        <f>((AS214)^2)/AT214</f>
        <v>1.7733990147783218</v>
      </c>
      <c r="AY214" s="14"/>
      <c r="AZ214" s="14"/>
      <c r="BA214" s="1" t="s">
        <v>270</v>
      </c>
      <c r="BB214" s="2"/>
    </row>
    <row r="215" spans="1:54" ht="14.25" customHeight="1">
      <c r="A215" s="2">
        <v>96</v>
      </c>
      <c r="B215" s="2" t="s">
        <v>13</v>
      </c>
      <c r="C215" s="1" t="s">
        <v>85</v>
      </c>
      <c r="D215" s="1">
        <v>2011</v>
      </c>
      <c r="E215" s="1">
        <v>2006</v>
      </c>
      <c r="F215" s="1" t="s">
        <v>164</v>
      </c>
      <c r="G215" s="1" t="s">
        <v>161</v>
      </c>
      <c r="H215" s="1">
        <v>-41.255277999999997</v>
      </c>
      <c r="I215" s="1">
        <v>-71.281389000000004</v>
      </c>
      <c r="J215" s="1" t="s">
        <v>135</v>
      </c>
      <c r="K215" s="1" t="s">
        <v>196</v>
      </c>
      <c r="L215" s="1" t="s">
        <v>197</v>
      </c>
      <c r="M215" s="1" t="s">
        <v>237</v>
      </c>
      <c r="N215" s="1" t="s">
        <v>238</v>
      </c>
      <c r="O215" s="1" t="s">
        <v>86</v>
      </c>
      <c r="Q215" s="1" t="s">
        <v>93</v>
      </c>
      <c r="R215" s="1">
        <v>1999</v>
      </c>
      <c r="S215" s="19">
        <v>7</v>
      </c>
      <c r="T215" s="12">
        <f>S215*12</f>
        <v>84</v>
      </c>
      <c r="U215" s="9"/>
      <c r="W215" s="1">
        <v>30</v>
      </c>
      <c r="X215" s="1">
        <v>30</v>
      </c>
      <c r="Y215" s="1" t="s">
        <v>134</v>
      </c>
      <c r="Z215" s="1" t="s">
        <v>154</v>
      </c>
      <c r="AA215" s="1" t="s">
        <v>1</v>
      </c>
      <c r="AB215" s="1" t="s">
        <v>148</v>
      </c>
      <c r="AC215" s="1" t="s">
        <v>2</v>
      </c>
      <c r="AD215" s="12" t="s">
        <v>2</v>
      </c>
      <c r="AE215" s="12" t="s">
        <v>2</v>
      </c>
      <c r="AF215" s="12" t="s">
        <v>253</v>
      </c>
      <c r="AG215" s="12" t="s">
        <v>318</v>
      </c>
      <c r="AH215" s="12">
        <v>0.26</v>
      </c>
      <c r="AI215" s="12">
        <f>AJ215*SQRT(X215)</f>
        <v>1.6431676725154982</v>
      </c>
      <c r="AJ215" s="12">
        <v>0.3</v>
      </c>
      <c r="AK215" s="12">
        <v>0.34</v>
      </c>
      <c r="AL215" s="12">
        <f>AM215*SQRT(W215)</f>
        <v>0.27386127875258298</v>
      </c>
      <c r="AM215" s="12">
        <f>0.39-AK215</f>
        <v>4.9999999999999989E-2</v>
      </c>
      <c r="AN215" s="12">
        <f>AH215-AK215</f>
        <v>-8.0000000000000016E-2</v>
      </c>
      <c r="AO215" s="1">
        <f>SQRT((((X215-1)*AI215^2)+((W215-1)*AL215^2))/(X215+W215-2))</f>
        <v>1.1779218989389746</v>
      </c>
      <c r="AP215" s="1">
        <f>AN215/AO215</f>
        <v>-6.7916217596481435E-2</v>
      </c>
      <c r="AQ215" s="1">
        <f>1/X215+1/W215+(AP215^2)/(2*(X215+W215))</f>
        <v>6.6705105105105106E-2</v>
      </c>
      <c r="AR215" s="1">
        <f>1-(3/(4*(X215+W215-2)-1))</f>
        <v>0.98701298701298701</v>
      </c>
      <c r="AS215" s="21">
        <f>AP215*AR215</f>
        <v>-6.703418879652713E-2</v>
      </c>
      <c r="AT215" s="21">
        <f>AQ215*(AR215^2)</f>
        <v>6.498375562271666E-2</v>
      </c>
      <c r="AU215" s="21">
        <f>SQRT(AQ215*AR215^2)</f>
        <v>0.2549191158440588</v>
      </c>
      <c r="AV215" s="20">
        <f>1/AT215</f>
        <v>15.38846116875439</v>
      </c>
      <c r="AW215" s="20">
        <f>AS215/AT215</f>
        <v>-1.0315530112743083</v>
      </c>
      <c r="AX215" s="20">
        <f>((AS215)^2)/AT215</f>
        <v>6.9149319311388055E-2</v>
      </c>
      <c r="AY215" s="14"/>
      <c r="AZ215" s="14"/>
      <c r="BA215" s="1" t="s">
        <v>270</v>
      </c>
      <c r="BB215" s="2"/>
    </row>
    <row r="216" spans="1:54" ht="14.25" customHeight="1">
      <c r="A216" s="2">
        <v>170</v>
      </c>
      <c r="B216" s="2" t="s">
        <v>23</v>
      </c>
      <c r="C216" s="1" t="s">
        <v>85</v>
      </c>
      <c r="D216" s="1">
        <v>2021</v>
      </c>
      <c r="E216" s="1">
        <v>2017</v>
      </c>
      <c r="F216" s="1" t="s">
        <v>143</v>
      </c>
      <c r="G216" s="1" t="s">
        <v>109</v>
      </c>
      <c r="H216" s="1">
        <v>38.460099999999997</v>
      </c>
      <c r="I216" s="1">
        <v>-122.5515</v>
      </c>
      <c r="J216" s="1" t="s">
        <v>128</v>
      </c>
      <c r="K216" s="1" t="s">
        <v>178</v>
      </c>
      <c r="L216" s="1" t="s">
        <v>183</v>
      </c>
      <c r="M216" s="1" t="s">
        <v>237</v>
      </c>
      <c r="N216" s="1" t="s">
        <v>238</v>
      </c>
      <c r="O216" s="1" t="s">
        <v>86</v>
      </c>
      <c r="P216" s="1" t="s">
        <v>129</v>
      </c>
      <c r="Q216" s="1" t="s">
        <v>93</v>
      </c>
      <c r="R216" s="1">
        <v>2017</v>
      </c>
      <c r="S216" s="1" t="s">
        <v>151</v>
      </c>
      <c r="T216" s="1">
        <v>2</v>
      </c>
      <c r="V216" s="1">
        <v>90000</v>
      </c>
      <c r="W216" s="1">
        <v>45</v>
      </c>
      <c r="X216" s="1">
        <v>45</v>
      </c>
      <c r="Y216" s="1" t="s">
        <v>97</v>
      </c>
      <c r="Z216" s="1" t="s">
        <v>133</v>
      </c>
      <c r="AA216" s="1" t="s">
        <v>1</v>
      </c>
      <c r="AB216" s="1" t="s">
        <v>98</v>
      </c>
      <c r="AC216" s="1" t="s">
        <v>202</v>
      </c>
      <c r="AD216" s="1" t="s">
        <v>99</v>
      </c>
      <c r="AE216" s="1" t="s">
        <v>100</v>
      </c>
      <c r="AF216" s="1" t="s">
        <v>222</v>
      </c>
      <c r="AG216" s="1" t="s">
        <v>319</v>
      </c>
      <c r="AH216" s="1">
        <v>326.97000000000003</v>
      </c>
      <c r="AI216" s="1">
        <f>443.07-210.4</f>
        <v>232.67</v>
      </c>
      <c r="AK216" s="1">
        <v>396.63</v>
      </c>
      <c r="AL216" s="1">
        <f>505.99-288.06</f>
        <v>217.93</v>
      </c>
      <c r="AN216" s="12">
        <f>AH216-AK216</f>
        <v>-69.659999999999968</v>
      </c>
      <c r="AO216" s="1">
        <f>SQRT((((X216-1)*AI216^2)+((W216-1)*AL216^2))/(X216+W216-2))</f>
        <v>225.42051126727574</v>
      </c>
      <c r="AP216" s="1">
        <f>AN216/AO216</f>
        <v>-0.30902245589091831</v>
      </c>
      <c r="AQ216" s="1">
        <f>1/X216+1/W216+(AP216^2)/(2*(X216+W216))</f>
        <v>4.4974971545804751E-2</v>
      </c>
      <c r="AR216" s="1">
        <f>1-(3/(4*(X216+W216-2)-1))</f>
        <v>0.99145299145299148</v>
      </c>
      <c r="AS216" s="21">
        <f>AP216*AR216</f>
        <v>-0.30638123831920105</v>
      </c>
      <c r="AT216" s="21">
        <f>AQ216*(AR216^2)</f>
        <v>4.4209454096014955E-2</v>
      </c>
      <c r="AU216" s="21">
        <f>SQRT(AQ216*AR216^2)</f>
        <v>0.21026044348858144</v>
      </c>
      <c r="AV216" s="20">
        <f>1/AT216</f>
        <v>22.619596202843411</v>
      </c>
      <c r="AW216" s="20">
        <f>AS216/AT216</f>
        <v>-6.9302198949074629</v>
      </c>
      <c r="AX216" s="20">
        <f>((AS216)^2)/AT216</f>
        <v>2.1232893532261117</v>
      </c>
      <c r="AY216" s="14"/>
      <c r="AZ216" s="14"/>
      <c r="BA216" s="1" t="s">
        <v>270</v>
      </c>
      <c r="BB216" s="2"/>
    </row>
    <row r="217" spans="1:54" ht="14.25" customHeight="1">
      <c r="A217" s="2">
        <v>480</v>
      </c>
      <c r="B217" s="2" t="s">
        <v>63</v>
      </c>
      <c r="C217" s="1" t="s">
        <v>85</v>
      </c>
      <c r="D217" s="1">
        <v>2023</v>
      </c>
      <c r="E217" s="1">
        <v>2021</v>
      </c>
      <c r="F217" s="1" t="s">
        <v>214</v>
      </c>
      <c r="G217" s="1" t="s">
        <v>161</v>
      </c>
      <c r="H217" s="1">
        <v>52.037222</v>
      </c>
      <c r="I217" s="1">
        <v>124.083611</v>
      </c>
      <c r="J217" s="1" t="s">
        <v>128</v>
      </c>
      <c r="K217" s="1" t="s">
        <v>172</v>
      </c>
      <c r="L217" s="1" t="s">
        <v>173</v>
      </c>
      <c r="M217" s="1" t="s">
        <v>236</v>
      </c>
      <c r="N217" s="1" t="s">
        <v>238</v>
      </c>
      <c r="O217" s="1" t="s">
        <v>86</v>
      </c>
      <c r="Q217" s="1" t="s">
        <v>93</v>
      </c>
      <c r="R217" s="1">
        <v>2020</v>
      </c>
      <c r="S217" s="1">
        <v>1</v>
      </c>
      <c r="T217" s="12">
        <f>S217*12</f>
        <v>12</v>
      </c>
      <c r="W217" s="1">
        <v>6</v>
      </c>
      <c r="X217" s="1">
        <v>6</v>
      </c>
      <c r="Y217" s="1" t="s">
        <v>97</v>
      </c>
      <c r="Z217" s="1" t="s">
        <v>2</v>
      </c>
      <c r="AA217" s="1" t="s">
        <v>1</v>
      </c>
      <c r="AB217" s="1" t="s">
        <v>98</v>
      </c>
      <c r="AC217" s="1" t="s">
        <v>202</v>
      </c>
      <c r="AD217" s="12" t="s">
        <v>99</v>
      </c>
      <c r="AE217" s="12" t="s">
        <v>111</v>
      </c>
      <c r="AF217" s="12" t="s">
        <v>261</v>
      </c>
      <c r="AG217" s="12" t="s">
        <v>321</v>
      </c>
      <c r="AH217" s="12">
        <v>754.1</v>
      </c>
      <c r="AI217" s="12">
        <f>849.2-560.7</f>
        <v>288.5</v>
      </c>
      <c r="AJ217" s="12"/>
      <c r="AK217" s="12">
        <v>678.7</v>
      </c>
      <c r="AL217" s="12">
        <f>734.4-636.1</f>
        <v>98.299999999999955</v>
      </c>
      <c r="AM217" s="12"/>
      <c r="AN217" s="12">
        <f>AH217-AK217</f>
        <v>75.399999999999977</v>
      </c>
      <c r="AO217" s="1">
        <f>SQRT((((X217-1)*AI217^2)+((W217-1)*AL217^2))/(X217+W217-2))</f>
        <v>215.51698308950037</v>
      </c>
      <c r="AP217" s="1">
        <f>AN217/AO217</f>
        <v>0.34985641929057487</v>
      </c>
      <c r="AQ217" s="1">
        <f>1/X217+1/W217+(AP217^2)/(2*(X217+W217))</f>
        <v>0.33843331308828423</v>
      </c>
      <c r="AR217" s="1">
        <f>1-(3/(4*(X217+W217-2)-1))</f>
        <v>0.92307692307692313</v>
      </c>
      <c r="AS217" s="21">
        <f>AP217*AR217</f>
        <v>0.32294438703745376</v>
      </c>
      <c r="AT217" s="21">
        <f>AQ217*(AR217^2)</f>
        <v>0.28836921351901146</v>
      </c>
      <c r="AU217" s="21">
        <f>SQRT(AQ217*AR217^2)</f>
        <v>0.53700019880723648</v>
      </c>
      <c r="AV217" s="20">
        <f>1/AT217</f>
        <v>3.4677765625423551</v>
      </c>
      <c r="AW217" s="20">
        <f>AS217/AT217</f>
        <v>1.1198989763730893</v>
      </c>
      <c r="AX217" s="20">
        <f>((AS217)^2)/AT217</f>
        <v>0.36166508846867923</v>
      </c>
      <c r="AY217" s="14"/>
      <c r="AZ217" s="14"/>
      <c r="BA217" s="1" t="s">
        <v>270</v>
      </c>
      <c r="BB217" s="2"/>
    </row>
    <row r="218" spans="1:54" ht="14.25" customHeight="1">
      <c r="A218" s="2">
        <v>480</v>
      </c>
      <c r="B218" s="2" t="s">
        <v>63</v>
      </c>
      <c r="C218" s="1" t="s">
        <v>85</v>
      </c>
      <c r="D218" s="1">
        <v>2023</v>
      </c>
      <c r="E218" s="1">
        <v>2021</v>
      </c>
      <c r="F218" s="1" t="s">
        <v>214</v>
      </c>
      <c r="G218" s="1" t="s">
        <v>161</v>
      </c>
      <c r="H218" s="1">
        <v>52.037222</v>
      </c>
      <c r="I218" s="1">
        <v>124.083611</v>
      </c>
      <c r="J218" s="1" t="s">
        <v>128</v>
      </c>
      <c r="K218" s="1" t="s">
        <v>172</v>
      </c>
      <c r="L218" s="1" t="s">
        <v>173</v>
      </c>
      <c r="M218" s="1" t="s">
        <v>236</v>
      </c>
      <c r="N218" s="1" t="s">
        <v>238</v>
      </c>
      <c r="O218" s="1" t="s">
        <v>86</v>
      </c>
      <c r="Q218" s="1" t="s">
        <v>93</v>
      </c>
      <c r="R218" s="1">
        <v>2020</v>
      </c>
      <c r="S218" s="1">
        <v>1</v>
      </c>
      <c r="T218" s="12">
        <f>S218*12</f>
        <v>12</v>
      </c>
      <c r="W218" s="1">
        <v>6</v>
      </c>
      <c r="X218" s="1">
        <v>6</v>
      </c>
      <c r="Y218" s="1" t="s">
        <v>97</v>
      </c>
      <c r="Z218" s="1" t="s">
        <v>2</v>
      </c>
      <c r="AA218" s="1" t="s">
        <v>1</v>
      </c>
      <c r="AB218" s="1" t="s">
        <v>98</v>
      </c>
      <c r="AC218" s="1" t="s">
        <v>202</v>
      </c>
      <c r="AD218" s="12" t="s">
        <v>99</v>
      </c>
      <c r="AE218" s="12" t="s">
        <v>111</v>
      </c>
      <c r="AF218" s="12" t="s">
        <v>256</v>
      </c>
      <c r="AG218" s="12" t="s">
        <v>347</v>
      </c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" t="s">
        <v>285</v>
      </c>
    </row>
    <row r="219" spans="1:54" ht="14.25" customHeight="1">
      <c r="A219" s="2">
        <v>480</v>
      </c>
      <c r="B219" s="2" t="s">
        <v>63</v>
      </c>
      <c r="C219" s="1" t="s">
        <v>85</v>
      </c>
      <c r="D219" s="1">
        <v>2023</v>
      </c>
      <c r="E219" s="1">
        <v>2021</v>
      </c>
      <c r="F219" s="1" t="s">
        <v>214</v>
      </c>
      <c r="G219" s="1" t="s">
        <v>161</v>
      </c>
      <c r="H219" s="1">
        <v>52.037222</v>
      </c>
      <c r="I219" s="1">
        <v>124.083611</v>
      </c>
      <c r="J219" s="1" t="s">
        <v>128</v>
      </c>
      <c r="K219" s="1" t="s">
        <v>172</v>
      </c>
      <c r="L219" s="1" t="s">
        <v>173</v>
      </c>
      <c r="M219" s="1" t="s">
        <v>236</v>
      </c>
      <c r="N219" s="1" t="s">
        <v>238</v>
      </c>
      <c r="O219" s="1" t="s">
        <v>86</v>
      </c>
      <c r="Q219" s="1" t="s">
        <v>93</v>
      </c>
      <c r="R219" s="1">
        <v>2017</v>
      </c>
      <c r="S219" s="1">
        <v>4</v>
      </c>
      <c r="T219" s="12">
        <f>S219*12</f>
        <v>48</v>
      </c>
      <c r="W219" s="1">
        <v>6</v>
      </c>
      <c r="X219" s="1">
        <v>6</v>
      </c>
      <c r="Y219" s="1" t="s">
        <v>97</v>
      </c>
      <c r="Z219" s="1" t="s">
        <v>2</v>
      </c>
      <c r="AA219" s="1" t="s">
        <v>1</v>
      </c>
      <c r="AB219" s="1" t="s">
        <v>98</v>
      </c>
      <c r="AC219" s="1" t="s">
        <v>202</v>
      </c>
      <c r="AD219" s="12" t="s">
        <v>99</v>
      </c>
      <c r="AE219" s="12" t="s">
        <v>111</v>
      </c>
      <c r="AF219" s="12" t="s">
        <v>261</v>
      </c>
      <c r="AG219" s="12" t="s">
        <v>321</v>
      </c>
      <c r="AH219" s="12">
        <v>642.6</v>
      </c>
      <c r="AI219" s="12">
        <f>849.2-452.5</f>
        <v>396.70000000000005</v>
      </c>
      <c r="AJ219" s="12"/>
      <c r="AK219" s="12">
        <v>678.7</v>
      </c>
      <c r="AL219" s="12">
        <f>734.4-636.1</f>
        <v>98.299999999999955</v>
      </c>
      <c r="AM219" s="12"/>
      <c r="AN219" s="12">
        <f>AH219-AK219</f>
        <v>-36.100000000000023</v>
      </c>
      <c r="AO219" s="1">
        <f>SQRT((((X219-1)*AI219^2)+((W219-1)*AL219^2))/(X219+W219-2))</f>
        <v>288.99288918587604</v>
      </c>
      <c r="AP219" s="1">
        <f>AN219/AO219</f>
        <v>-0.12491656836850759</v>
      </c>
      <c r="AQ219" s="1">
        <f>1/X219+1/W219+(AP219^2)/(2*(X219+W219))</f>
        <v>0.33398350621054013</v>
      </c>
      <c r="AR219" s="1">
        <f>1-(3/(4*(X219+W219-2)-1))</f>
        <v>0.92307692307692313</v>
      </c>
      <c r="AS219" s="21">
        <f>AP219*AR219</f>
        <v>-0.11530760157093009</v>
      </c>
      <c r="AT219" s="21">
        <f>AQ219*(AR219^2)</f>
        <v>0.28457766209655494</v>
      </c>
      <c r="AU219" s="21">
        <f>SQRT(AQ219*AR219^2)</f>
        <v>0.53345821026257989</v>
      </c>
      <c r="AV219" s="20">
        <f>1/AT219</f>
        <v>3.5139792513324815</v>
      </c>
      <c r="AW219" s="20">
        <f>AS219/AT219</f>
        <v>-0.40518851944116097</v>
      </c>
      <c r="AX219" s="20">
        <f>((AS219)^2)/AT219</f>
        <v>4.672131636083645E-2</v>
      </c>
      <c r="AY219" s="14"/>
      <c r="AZ219" s="14"/>
      <c r="BA219" s="1" t="s">
        <v>270</v>
      </c>
      <c r="BB219" s="2"/>
    </row>
    <row r="220" spans="1:54" ht="14.25" customHeight="1">
      <c r="A220" s="2">
        <v>480</v>
      </c>
      <c r="B220" s="2" t="s">
        <v>63</v>
      </c>
      <c r="C220" s="1" t="s">
        <v>85</v>
      </c>
      <c r="D220" s="1">
        <v>2023</v>
      </c>
      <c r="E220" s="1">
        <v>2021</v>
      </c>
      <c r="F220" s="1" t="s">
        <v>214</v>
      </c>
      <c r="G220" s="1" t="s">
        <v>161</v>
      </c>
      <c r="H220" s="1">
        <v>52.037222</v>
      </c>
      <c r="I220" s="1">
        <v>124.083611</v>
      </c>
      <c r="J220" s="1" t="s">
        <v>128</v>
      </c>
      <c r="K220" s="1" t="s">
        <v>172</v>
      </c>
      <c r="L220" s="1" t="s">
        <v>173</v>
      </c>
      <c r="M220" s="1" t="s">
        <v>236</v>
      </c>
      <c r="N220" s="1" t="s">
        <v>238</v>
      </c>
      <c r="O220" s="1" t="s">
        <v>86</v>
      </c>
      <c r="Q220" s="1" t="s">
        <v>93</v>
      </c>
      <c r="R220" s="1">
        <v>2017</v>
      </c>
      <c r="S220" s="1">
        <v>4</v>
      </c>
      <c r="T220" s="12">
        <f>S220*12</f>
        <v>48</v>
      </c>
      <c r="W220" s="1">
        <v>6</v>
      </c>
      <c r="X220" s="1">
        <v>6</v>
      </c>
      <c r="Y220" s="1" t="s">
        <v>97</v>
      </c>
      <c r="Z220" s="1" t="s">
        <v>2</v>
      </c>
      <c r="AA220" s="1" t="s">
        <v>1</v>
      </c>
      <c r="AB220" s="1" t="s">
        <v>98</v>
      </c>
      <c r="AC220" s="1" t="s">
        <v>202</v>
      </c>
      <c r="AD220" s="12" t="s">
        <v>99</v>
      </c>
      <c r="AE220" s="12" t="s">
        <v>111</v>
      </c>
      <c r="AF220" s="12" t="s">
        <v>256</v>
      </c>
      <c r="AG220" s="12" t="s">
        <v>347</v>
      </c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" t="s">
        <v>285</v>
      </c>
    </row>
    <row r="221" spans="1:54" ht="14.25" customHeight="1">
      <c r="A221" s="2">
        <v>480</v>
      </c>
      <c r="B221" s="2" t="s">
        <v>63</v>
      </c>
      <c r="C221" s="1" t="s">
        <v>85</v>
      </c>
      <c r="D221" s="1">
        <v>2023</v>
      </c>
      <c r="E221" s="1">
        <v>2021</v>
      </c>
      <c r="F221" s="1" t="s">
        <v>214</v>
      </c>
      <c r="G221" s="1" t="s">
        <v>161</v>
      </c>
      <c r="H221" s="1">
        <v>52.037222</v>
      </c>
      <c r="I221" s="1">
        <v>124.083611</v>
      </c>
      <c r="J221" s="1" t="s">
        <v>128</v>
      </c>
      <c r="K221" s="1" t="s">
        <v>172</v>
      </c>
      <c r="L221" s="1" t="s">
        <v>173</v>
      </c>
      <c r="M221" s="1" t="s">
        <v>236</v>
      </c>
      <c r="N221" s="1" t="s">
        <v>238</v>
      </c>
      <c r="O221" s="1" t="s">
        <v>86</v>
      </c>
      <c r="Q221" s="1" t="s">
        <v>93</v>
      </c>
      <c r="R221" s="1">
        <v>2012</v>
      </c>
      <c r="S221" s="1">
        <v>9</v>
      </c>
      <c r="T221" s="12">
        <f>S221*12</f>
        <v>108</v>
      </c>
      <c r="W221" s="1">
        <v>6</v>
      </c>
      <c r="X221" s="1">
        <v>6</v>
      </c>
      <c r="Y221" s="1" t="s">
        <v>97</v>
      </c>
      <c r="Z221" s="1" t="s">
        <v>2</v>
      </c>
      <c r="AA221" s="1" t="s">
        <v>1</v>
      </c>
      <c r="AB221" s="1" t="s">
        <v>98</v>
      </c>
      <c r="AC221" s="1" t="s">
        <v>202</v>
      </c>
      <c r="AD221" s="12" t="s">
        <v>99</v>
      </c>
      <c r="AE221" s="12" t="s">
        <v>111</v>
      </c>
      <c r="AF221" s="12" t="s">
        <v>261</v>
      </c>
      <c r="AG221" s="12" t="s">
        <v>321</v>
      </c>
      <c r="AH221" s="12">
        <v>1016.4</v>
      </c>
      <c r="AI221" s="12">
        <f>1108.2-675.4</f>
        <v>432.80000000000007</v>
      </c>
      <c r="AJ221" s="12"/>
      <c r="AK221" s="12">
        <v>678.7</v>
      </c>
      <c r="AL221" s="12">
        <f>734.4-636.1</f>
        <v>98.299999999999955</v>
      </c>
      <c r="AM221" s="12"/>
      <c r="AN221" s="12">
        <f>AH221-AK221</f>
        <v>337.69999999999993</v>
      </c>
      <c r="AO221" s="1">
        <f>SQRT((((X221-1)*AI221^2)+((W221-1)*AL221^2))/(X221+W221-2))</f>
        <v>313.83015310833343</v>
      </c>
      <c r="AP221" s="1">
        <f>AN221/AO221</f>
        <v>1.0760597624391646</v>
      </c>
      <c r="AQ221" s="1">
        <f>1/X221+1/W221+(AP221^2)/(2*(X221+W221))</f>
        <v>0.38157935884752631</v>
      </c>
      <c r="AR221" s="1">
        <f>1-(3/(4*(X221+W221-2)-1))</f>
        <v>0.92307692307692313</v>
      </c>
      <c r="AS221" s="21">
        <f>AP221*AR221</f>
        <v>0.99328593455922887</v>
      </c>
      <c r="AT221" s="21">
        <f>AQ221*(AR221^2)</f>
        <v>0.32513270813043665</v>
      </c>
      <c r="AU221" s="21">
        <f>SQRT(AQ221*AR221^2)</f>
        <v>0.57020409340028122</v>
      </c>
      <c r="AV221" s="20">
        <f>1/AT221</f>
        <v>3.075667181410799</v>
      </c>
      <c r="AW221" s="20">
        <f>AS221/AT221</f>
        <v>3.0550169506807747</v>
      </c>
      <c r="AX221" s="20">
        <f>((AS221)^2)/AT221</f>
        <v>3.0345053669512385</v>
      </c>
      <c r="AY221" s="14"/>
      <c r="AZ221" s="14"/>
      <c r="BA221" s="1" t="s">
        <v>270</v>
      </c>
      <c r="BB221" s="2"/>
    </row>
    <row r="222" spans="1:54" ht="14.25" customHeight="1">
      <c r="A222" s="2">
        <v>480</v>
      </c>
      <c r="B222" s="2" t="s">
        <v>63</v>
      </c>
      <c r="C222" s="1" t="s">
        <v>85</v>
      </c>
      <c r="D222" s="1">
        <v>2023</v>
      </c>
      <c r="E222" s="1">
        <v>2021</v>
      </c>
      <c r="F222" s="1" t="s">
        <v>214</v>
      </c>
      <c r="G222" s="1" t="s">
        <v>161</v>
      </c>
      <c r="H222" s="1">
        <v>52.037222</v>
      </c>
      <c r="I222" s="1">
        <v>124.083611</v>
      </c>
      <c r="J222" s="1" t="s">
        <v>128</v>
      </c>
      <c r="K222" s="1" t="s">
        <v>172</v>
      </c>
      <c r="L222" s="1" t="s">
        <v>173</v>
      </c>
      <c r="M222" s="1" t="s">
        <v>236</v>
      </c>
      <c r="N222" s="1" t="s">
        <v>238</v>
      </c>
      <c r="O222" s="1" t="s">
        <v>86</v>
      </c>
      <c r="Q222" s="1" t="s">
        <v>93</v>
      </c>
      <c r="R222" s="1">
        <v>2012</v>
      </c>
      <c r="S222" s="1">
        <v>9</v>
      </c>
      <c r="T222" s="12">
        <f>S222*12</f>
        <v>108</v>
      </c>
      <c r="W222" s="1">
        <v>6</v>
      </c>
      <c r="X222" s="1">
        <v>6</v>
      </c>
      <c r="Y222" s="1" t="s">
        <v>97</v>
      </c>
      <c r="Z222" s="1" t="s">
        <v>2</v>
      </c>
      <c r="AA222" s="1" t="s">
        <v>1</v>
      </c>
      <c r="AB222" s="1" t="s">
        <v>98</v>
      </c>
      <c r="AC222" s="1" t="s">
        <v>202</v>
      </c>
      <c r="AD222" s="12" t="s">
        <v>99</v>
      </c>
      <c r="AE222" s="12" t="s">
        <v>111</v>
      </c>
      <c r="AF222" s="12" t="s">
        <v>256</v>
      </c>
      <c r="AG222" s="12" t="s">
        <v>347</v>
      </c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" t="s">
        <v>285</v>
      </c>
    </row>
    <row r="223" spans="1:54" ht="14.25" customHeight="1">
      <c r="A223" s="2">
        <v>480</v>
      </c>
      <c r="B223" s="2" t="s">
        <v>63</v>
      </c>
      <c r="C223" s="1" t="s">
        <v>85</v>
      </c>
      <c r="D223" s="1">
        <v>2023</v>
      </c>
      <c r="E223" s="1">
        <v>2021</v>
      </c>
      <c r="F223" s="1" t="s">
        <v>214</v>
      </c>
      <c r="G223" s="1" t="s">
        <v>161</v>
      </c>
      <c r="H223" s="1">
        <v>52.037222</v>
      </c>
      <c r="I223" s="1">
        <v>124.083611</v>
      </c>
      <c r="J223" s="1" t="s">
        <v>128</v>
      </c>
      <c r="K223" s="1" t="s">
        <v>172</v>
      </c>
      <c r="L223" s="1" t="s">
        <v>173</v>
      </c>
      <c r="M223" s="1" t="s">
        <v>236</v>
      </c>
      <c r="N223" s="1" t="s">
        <v>238</v>
      </c>
      <c r="O223" s="1" t="s">
        <v>86</v>
      </c>
      <c r="Q223" s="1" t="s">
        <v>93</v>
      </c>
      <c r="R223" s="1">
        <v>2004</v>
      </c>
      <c r="S223" s="1">
        <v>17</v>
      </c>
      <c r="T223" s="12">
        <f>S223*12</f>
        <v>204</v>
      </c>
      <c r="W223" s="1">
        <v>6</v>
      </c>
      <c r="X223" s="1">
        <v>6</v>
      </c>
      <c r="Y223" s="1" t="s">
        <v>97</v>
      </c>
      <c r="Z223" s="1" t="s">
        <v>2</v>
      </c>
      <c r="AA223" s="1" t="s">
        <v>1</v>
      </c>
      <c r="AB223" s="1" t="s">
        <v>98</v>
      </c>
      <c r="AC223" s="1" t="s">
        <v>202</v>
      </c>
      <c r="AD223" s="12" t="s">
        <v>99</v>
      </c>
      <c r="AE223" s="12" t="s">
        <v>111</v>
      </c>
      <c r="AF223" s="12" t="s">
        <v>261</v>
      </c>
      <c r="AG223" s="12" t="s">
        <v>321</v>
      </c>
      <c r="AH223" s="12">
        <v>741</v>
      </c>
      <c r="AI223" s="12">
        <f>888.5-534.4</f>
        <v>354.1</v>
      </c>
      <c r="AJ223" s="12"/>
      <c r="AK223" s="12">
        <v>678.7</v>
      </c>
      <c r="AL223" s="12">
        <f>734.4-636.1</f>
        <v>98.299999999999955</v>
      </c>
      <c r="AM223" s="12"/>
      <c r="AN223" s="12">
        <f>AH223-AK223</f>
        <v>62.299999999999955</v>
      </c>
      <c r="AO223" s="1">
        <f>SQRT((((X223-1)*AI223^2)+((W223-1)*AL223^2))/(X223+W223-2))</f>
        <v>259.85544058187429</v>
      </c>
      <c r="AP223" s="1">
        <f>AN223/AO223</f>
        <v>0.23974868434732927</v>
      </c>
      <c r="AQ223" s="1">
        <f>1/X223+1/W223+(AP223^2)/(2*(X223+W223))</f>
        <v>0.33572830965192813</v>
      </c>
      <c r="AR223" s="1">
        <f>1-(3/(4*(X223+W223-2)-1))</f>
        <v>0.92307692307692313</v>
      </c>
      <c r="AS223" s="21">
        <f>AP223*AR223</f>
        <v>0.22130647785907318</v>
      </c>
      <c r="AT223" s="21">
        <f>AQ223*(AR223^2)</f>
        <v>0.28606435851998613</v>
      </c>
      <c r="AU223" s="21">
        <f>SQRT(AQ223*AR223^2)</f>
        <v>0.53484984670464863</v>
      </c>
      <c r="AV223" s="20">
        <f>1/AT223</f>
        <v>3.495716856072911</v>
      </c>
      <c r="AW223" s="20">
        <f>AS223/AT223</f>
        <v>0.77362478501008858</v>
      </c>
      <c r="AX223" s="20">
        <f>((AS223)^2)/AT223</f>
        <v>0.17120817635506541</v>
      </c>
      <c r="AY223" s="14"/>
      <c r="AZ223" s="14"/>
      <c r="BA223" s="1" t="s">
        <v>270</v>
      </c>
      <c r="BB223" s="2"/>
    </row>
    <row r="224" spans="1:54" ht="14.25" customHeight="1">
      <c r="A224" s="2">
        <v>480</v>
      </c>
      <c r="B224" s="2" t="s">
        <v>63</v>
      </c>
      <c r="C224" s="1" t="s">
        <v>85</v>
      </c>
      <c r="D224" s="1">
        <v>2023</v>
      </c>
      <c r="E224" s="1">
        <v>2021</v>
      </c>
      <c r="F224" s="1" t="s">
        <v>214</v>
      </c>
      <c r="G224" s="1" t="s">
        <v>161</v>
      </c>
      <c r="H224" s="1">
        <v>52.037222</v>
      </c>
      <c r="I224" s="1">
        <v>124.083611</v>
      </c>
      <c r="J224" s="1" t="s">
        <v>128</v>
      </c>
      <c r="K224" s="1" t="s">
        <v>172</v>
      </c>
      <c r="L224" s="1" t="s">
        <v>173</v>
      </c>
      <c r="M224" s="1" t="s">
        <v>236</v>
      </c>
      <c r="N224" s="1" t="s">
        <v>238</v>
      </c>
      <c r="O224" s="1" t="s">
        <v>86</v>
      </c>
      <c r="Q224" s="1" t="s">
        <v>93</v>
      </c>
      <c r="R224" s="1">
        <v>2004</v>
      </c>
      <c r="S224" s="1">
        <v>17</v>
      </c>
      <c r="T224" s="12">
        <f>S224*12</f>
        <v>204</v>
      </c>
      <c r="W224" s="1">
        <v>6</v>
      </c>
      <c r="X224" s="1">
        <v>6</v>
      </c>
      <c r="Y224" s="1" t="s">
        <v>97</v>
      </c>
      <c r="Z224" s="1" t="s">
        <v>2</v>
      </c>
      <c r="AA224" s="1" t="s">
        <v>1</v>
      </c>
      <c r="AB224" s="1" t="s">
        <v>98</v>
      </c>
      <c r="AC224" s="1" t="s">
        <v>202</v>
      </c>
      <c r="AD224" s="12" t="s">
        <v>99</v>
      </c>
      <c r="AE224" s="12" t="s">
        <v>111</v>
      </c>
      <c r="AF224" s="12" t="s">
        <v>256</v>
      </c>
      <c r="AG224" s="12" t="s">
        <v>347</v>
      </c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" t="s">
        <v>285</v>
      </c>
    </row>
    <row r="225" spans="1:63" ht="14.25" customHeight="1">
      <c r="A225" s="2">
        <v>477</v>
      </c>
      <c r="B225" s="2" t="s">
        <v>62</v>
      </c>
      <c r="C225" s="1" t="s">
        <v>85</v>
      </c>
      <c r="D225" s="1">
        <v>2014</v>
      </c>
      <c r="E225" s="1">
        <v>2012</v>
      </c>
      <c r="F225" s="1" t="s">
        <v>125</v>
      </c>
      <c r="G225" s="1" t="s">
        <v>124</v>
      </c>
      <c r="H225" s="1">
        <v>0.33003500000000002</v>
      </c>
      <c r="I225" s="1">
        <v>117.53198</v>
      </c>
      <c r="J225" s="1" t="s">
        <v>126</v>
      </c>
      <c r="K225" s="1" t="s">
        <v>215</v>
      </c>
      <c r="M225" s="1" t="s">
        <v>237</v>
      </c>
      <c r="N225" s="1" t="s">
        <v>238</v>
      </c>
      <c r="O225" s="1" t="s">
        <v>86</v>
      </c>
      <c r="Q225" s="1" t="s">
        <v>93</v>
      </c>
      <c r="R225" s="1" t="s">
        <v>127</v>
      </c>
      <c r="S225" s="1">
        <v>14</v>
      </c>
      <c r="T225" s="12">
        <f>S225*12</f>
        <v>168</v>
      </c>
      <c r="W225" s="1">
        <v>4</v>
      </c>
      <c r="X225" s="1">
        <v>4</v>
      </c>
      <c r="Y225" s="1" t="s">
        <v>114</v>
      </c>
      <c r="Z225" s="1" t="s">
        <v>2</v>
      </c>
      <c r="AA225" s="12" t="s">
        <v>0</v>
      </c>
      <c r="AB225" s="12" t="s">
        <v>113</v>
      </c>
      <c r="AC225" s="1" t="s">
        <v>2</v>
      </c>
      <c r="AD225" s="12" t="s">
        <v>2</v>
      </c>
      <c r="AE225" s="12" t="s">
        <v>2</v>
      </c>
      <c r="AF225" s="12" t="s">
        <v>149</v>
      </c>
      <c r="AG225" s="12" t="s">
        <v>331</v>
      </c>
      <c r="AH225" s="7">
        <v>0.35820000000000002</v>
      </c>
      <c r="AI225" s="7" t="s">
        <v>2</v>
      </c>
      <c r="AJ225" s="7" t="s">
        <v>2</v>
      </c>
      <c r="AK225" s="7">
        <v>0.65590000000000004</v>
      </c>
      <c r="AL225" s="7" t="s">
        <v>2</v>
      </c>
      <c r="AM225" s="7" t="s">
        <v>2</v>
      </c>
      <c r="AN225" s="7">
        <f>AH225-AK225</f>
        <v>-0.29770000000000002</v>
      </c>
      <c r="AO225" s="1" t="e">
        <f>SQRT((((X225-1)*AI225^2)+((W225-1)*AL225^2))/(X225+W225-2))</f>
        <v>#VALUE!</v>
      </c>
      <c r="AP225" s="1" t="e">
        <f>AN225/AO225</f>
        <v>#VALUE!</v>
      </c>
      <c r="AQ225" s="1" t="e">
        <f>1/X225+1/W225+(AP225^2)/(2*(X225+W225))</f>
        <v>#VALUE!</v>
      </c>
      <c r="AR225" s="1">
        <f>1-(3/(4*(X225+W225-2)-1))</f>
        <v>0.86956521739130432</v>
      </c>
      <c r="AS225" s="1" t="e">
        <f>AP225*AR225</f>
        <v>#VALUE!</v>
      </c>
      <c r="AU225" s="1" t="e">
        <f>SQRT(AQ225*AR225^2)</f>
        <v>#VALUE!</v>
      </c>
      <c r="AY225" s="14"/>
      <c r="AZ225" s="14"/>
      <c r="BA225" s="1" t="s">
        <v>270</v>
      </c>
      <c r="BB225" s="2"/>
    </row>
    <row r="226" spans="1:63" ht="14.25" customHeight="1">
      <c r="A226" s="2">
        <v>477</v>
      </c>
      <c r="B226" s="2" t="s">
        <v>62</v>
      </c>
      <c r="C226" s="1" t="s">
        <v>85</v>
      </c>
      <c r="D226" s="1">
        <v>2014</v>
      </c>
      <c r="E226" s="1">
        <v>2012</v>
      </c>
      <c r="F226" s="1" t="s">
        <v>125</v>
      </c>
      <c r="G226" s="1" t="s">
        <v>124</v>
      </c>
      <c r="H226" s="1">
        <v>0.33003500000000002</v>
      </c>
      <c r="I226" s="1">
        <v>117.53198</v>
      </c>
      <c r="J226" s="1" t="s">
        <v>126</v>
      </c>
      <c r="K226" s="1" t="s">
        <v>215</v>
      </c>
      <c r="M226" s="1" t="s">
        <v>237</v>
      </c>
      <c r="N226" s="1" t="s">
        <v>238</v>
      </c>
      <c r="O226" s="1" t="s">
        <v>86</v>
      </c>
      <c r="Q226" s="1" t="s">
        <v>93</v>
      </c>
      <c r="R226" s="1" t="s">
        <v>127</v>
      </c>
      <c r="S226" s="1">
        <v>14</v>
      </c>
      <c r="T226" s="12">
        <f>S226*12</f>
        <v>168</v>
      </c>
      <c r="W226" s="1">
        <v>4</v>
      </c>
      <c r="X226" s="1">
        <v>4</v>
      </c>
      <c r="Y226" s="1" t="s">
        <v>114</v>
      </c>
      <c r="Z226" s="1" t="s">
        <v>2</v>
      </c>
      <c r="AA226" s="12" t="s">
        <v>0</v>
      </c>
      <c r="AB226" s="12" t="s">
        <v>113</v>
      </c>
      <c r="AC226" s="1" t="s">
        <v>2</v>
      </c>
      <c r="AD226" s="12" t="s">
        <v>2</v>
      </c>
      <c r="AE226" s="12" t="s">
        <v>2</v>
      </c>
      <c r="AF226" s="12" t="s">
        <v>253</v>
      </c>
      <c r="AG226" s="12" t="s">
        <v>325</v>
      </c>
      <c r="AH226" s="7"/>
      <c r="AI226" s="7" t="s">
        <v>2</v>
      </c>
      <c r="AJ226" s="7" t="s">
        <v>2</v>
      </c>
      <c r="AK226" s="7"/>
      <c r="AL226" s="7" t="s">
        <v>2</v>
      </c>
      <c r="AM226" s="7" t="s">
        <v>2</v>
      </c>
      <c r="AN226" s="7">
        <f>AH226-AK226</f>
        <v>0</v>
      </c>
      <c r="AO226" s="1" t="e">
        <f>SQRT((((X226-1)*AI226^2)+((W226-1)*AL226^2))/(X226+W226-2))</f>
        <v>#VALUE!</v>
      </c>
      <c r="AP226" s="1" t="e">
        <f>AN226/AO226</f>
        <v>#VALUE!</v>
      </c>
      <c r="AQ226" s="1" t="e">
        <f>1/X226+1/W226+(AP226^2)/(2*(X226+W226))</f>
        <v>#VALUE!</v>
      </c>
      <c r="AR226" s="1">
        <f>1-(3/(4*(X226+W226-2)-1))</f>
        <v>0.86956521739130432</v>
      </c>
      <c r="AS226" s="1" t="e">
        <f>AP226*AR226</f>
        <v>#VALUE!</v>
      </c>
      <c r="AU226" s="1" t="e">
        <f>SQRT(AQ226*AR226^2)</f>
        <v>#VALUE!</v>
      </c>
      <c r="AY226" s="14"/>
      <c r="AZ226" s="14"/>
      <c r="BA226" s="1" t="s">
        <v>270</v>
      </c>
      <c r="BB226" s="2"/>
    </row>
    <row r="227" spans="1:63" s="12" customFormat="1" ht="14.25" customHeight="1">
      <c r="A227" s="2">
        <v>257</v>
      </c>
      <c r="B227" s="2" t="s">
        <v>40</v>
      </c>
      <c r="C227" s="12" t="s">
        <v>85</v>
      </c>
      <c r="D227" s="12">
        <v>2006</v>
      </c>
      <c r="E227" s="12">
        <v>2003</v>
      </c>
      <c r="F227" s="12" t="s">
        <v>120</v>
      </c>
      <c r="G227" s="12" t="s">
        <v>109</v>
      </c>
      <c r="H227" s="12">
        <v>41.831111</v>
      </c>
      <c r="I227" s="12">
        <v>-6.5036110000000003</v>
      </c>
      <c r="J227" s="12" t="s">
        <v>126</v>
      </c>
      <c r="K227" s="12" t="s">
        <v>176</v>
      </c>
      <c r="L227" s="12" t="s">
        <v>177</v>
      </c>
      <c r="M227" s="12" t="s">
        <v>236</v>
      </c>
      <c r="N227" s="12" t="s">
        <v>238</v>
      </c>
      <c r="O227" s="12" t="s">
        <v>86</v>
      </c>
      <c r="Q227" s="1" t="s">
        <v>93</v>
      </c>
      <c r="R227" s="12">
        <v>2002</v>
      </c>
      <c r="S227" s="12">
        <v>1</v>
      </c>
      <c r="T227" s="12">
        <f>S227*12</f>
        <v>12</v>
      </c>
      <c r="V227" s="12">
        <v>1427</v>
      </c>
      <c r="W227" s="12">
        <v>6</v>
      </c>
      <c r="X227" s="12">
        <v>6</v>
      </c>
      <c r="Y227" s="12" t="s">
        <v>114</v>
      </c>
      <c r="Z227" s="1" t="s">
        <v>2</v>
      </c>
      <c r="AA227" s="12" t="s">
        <v>2</v>
      </c>
      <c r="AB227" s="12" t="s">
        <v>113</v>
      </c>
      <c r="AC227" s="1" t="s">
        <v>2</v>
      </c>
      <c r="AD227" s="12" t="s">
        <v>2</v>
      </c>
      <c r="AE227" s="12" t="s">
        <v>2</v>
      </c>
      <c r="AF227" s="12" t="s">
        <v>149</v>
      </c>
      <c r="AG227" s="12" t="s">
        <v>325</v>
      </c>
      <c r="AH227" s="12">
        <v>1.65</v>
      </c>
      <c r="AI227" s="12">
        <f>AJ227*SQRT(X227)</f>
        <v>0.44090815370097203</v>
      </c>
      <c r="AJ227" s="12">
        <v>0.18</v>
      </c>
      <c r="AK227" s="12">
        <v>1.92</v>
      </c>
      <c r="AL227" s="12">
        <f>AM227*SQRT(W227)</f>
        <v>0.44090815370097203</v>
      </c>
      <c r="AM227" s="12">
        <v>0.18</v>
      </c>
      <c r="AN227" s="12">
        <f>AH227-AK227</f>
        <v>-0.27</v>
      </c>
      <c r="AO227" s="12">
        <f>SQRT((((X227-1)*AI227^2)+((W227-1)*AL227^2))/(X227+W227-2))</f>
        <v>0.44090815370097203</v>
      </c>
      <c r="AP227" s="12">
        <f>AN227/AO227</f>
        <v>-0.61237243569579458</v>
      </c>
      <c r="AQ227" s="12">
        <f>1/X227+1/W227+(AP227^2)/(2*(X227+W227))</f>
        <v>0.34895833333333331</v>
      </c>
      <c r="AR227" s="12">
        <f>1-(3/(4*(X227+W227-2)-1))</f>
        <v>0.92307692307692313</v>
      </c>
      <c r="AS227" s="21">
        <f>AP227*AR227</f>
        <v>-0.56526686371919499</v>
      </c>
      <c r="AT227" s="21">
        <f>AQ227*(AR227^2)</f>
        <v>0.2973372781065089</v>
      </c>
      <c r="AU227" s="21">
        <f>SQRT(AQ227*AR227^2)</f>
        <v>0.54528641841376257</v>
      </c>
      <c r="AV227" s="20">
        <f>1/AT227</f>
        <v>3.3631840796019898</v>
      </c>
      <c r="AW227" s="20">
        <f>AS227/AT227</f>
        <v>-1.9010965167869442</v>
      </c>
      <c r="AX227" s="20">
        <f>((AS227)^2)/AT227</f>
        <v>1.0746268656716418</v>
      </c>
      <c r="AY227" s="14"/>
      <c r="AZ227" s="14"/>
      <c r="BA227" s="12" t="s">
        <v>270</v>
      </c>
      <c r="BB227" s="2"/>
    </row>
    <row r="228" spans="1:63" s="12" customFormat="1" ht="14.25" customHeight="1">
      <c r="A228" s="2">
        <v>257</v>
      </c>
      <c r="B228" s="2" t="s">
        <v>40</v>
      </c>
      <c r="C228" s="12" t="s">
        <v>85</v>
      </c>
      <c r="D228" s="12">
        <v>2006</v>
      </c>
      <c r="E228" s="12">
        <v>2003</v>
      </c>
      <c r="F228" s="12" t="s">
        <v>120</v>
      </c>
      <c r="G228" s="12" t="s">
        <v>109</v>
      </c>
      <c r="H228" s="12">
        <v>41.831111</v>
      </c>
      <c r="I228" s="12">
        <v>-6.5036110000000003</v>
      </c>
      <c r="J228" s="12" t="s">
        <v>126</v>
      </c>
      <c r="K228" s="12" t="s">
        <v>176</v>
      </c>
      <c r="L228" s="12" t="s">
        <v>177</v>
      </c>
      <c r="M228" s="12" t="s">
        <v>236</v>
      </c>
      <c r="N228" s="12" t="s">
        <v>238</v>
      </c>
      <c r="O228" s="12" t="s">
        <v>86</v>
      </c>
      <c r="Q228" s="1" t="s">
        <v>93</v>
      </c>
      <c r="R228" s="12">
        <v>2002</v>
      </c>
      <c r="S228" s="12">
        <v>1</v>
      </c>
      <c r="T228" s="12">
        <f>S228*12</f>
        <v>12</v>
      </c>
      <c r="V228" s="12">
        <v>1427</v>
      </c>
      <c r="W228" s="12">
        <v>6</v>
      </c>
      <c r="X228" s="12">
        <v>6</v>
      </c>
      <c r="Y228" s="12" t="s">
        <v>114</v>
      </c>
      <c r="Z228" s="1" t="s">
        <v>2</v>
      </c>
      <c r="AA228" s="12" t="s">
        <v>2</v>
      </c>
      <c r="AB228" s="12" t="s">
        <v>113</v>
      </c>
      <c r="AC228" s="1" t="s">
        <v>2</v>
      </c>
      <c r="AD228" s="12" t="s">
        <v>2</v>
      </c>
      <c r="AE228" s="12" t="s">
        <v>2</v>
      </c>
      <c r="AF228" s="12" t="s">
        <v>348</v>
      </c>
      <c r="AG228" s="12" t="s">
        <v>325</v>
      </c>
      <c r="AH228" s="12">
        <v>0.76</v>
      </c>
      <c r="AI228" s="12">
        <f>AJ228*SQRT(X228)</f>
        <v>0.1224744871391589</v>
      </c>
      <c r="AJ228" s="12">
        <v>0.05</v>
      </c>
      <c r="AK228" s="12">
        <v>0.62</v>
      </c>
      <c r="AL228" s="12">
        <f>AM228*SQRT(W228)</f>
        <v>0.1224744871391589</v>
      </c>
      <c r="AM228" s="12">
        <v>0.05</v>
      </c>
      <c r="AN228" s="12">
        <f>AH228-AK228</f>
        <v>0.14000000000000001</v>
      </c>
      <c r="AO228" s="12">
        <f>SQRT((((X228-1)*AI228^2)+((W228-1)*AL228^2))/(X228+W228-2))</f>
        <v>0.1224744871391589</v>
      </c>
      <c r="AP228" s="12">
        <f>AN228/AO228</f>
        <v>1.1430952132988166</v>
      </c>
      <c r="AQ228" s="12">
        <f>1/X228+1/W228+(AP228^2)/(2*(X228+W228))</f>
        <v>0.38777777777777778</v>
      </c>
      <c r="AR228" s="12">
        <f>1-(3/(4*(X228+W228-2)-1))</f>
        <v>0.92307692307692313</v>
      </c>
      <c r="AS228" s="21">
        <f>AP228*AR228</f>
        <v>1.0551648122758308</v>
      </c>
      <c r="AT228" s="21">
        <f>AQ228*(AR228^2)</f>
        <v>0.33041420118343201</v>
      </c>
      <c r="AU228" s="21">
        <f>SQRT(AQ228*AR228^2)</f>
        <v>0.57481666745444326</v>
      </c>
      <c r="AV228" s="20">
        <f>1/AT228</f>
        <v>3.0265042979942689</v>
      </c>
      <c r="AW228" s="20">
        <f>AS228/AT228</f>
        <v>3.1934608394451178</v>
      </c>
      <c r="AX228" s="20">
        <f>((AS228)^2)/AT228</f>
        <v>3.369627507163325</v>
      </c>
      <c r="AY228" s="14"/>
      <c r="AZ228" s="14"/>
      <c r="BA228" s="12" t="s">
        <v>270</v>
      </c>
      <c r="BB228" s="2"/>
    </row>
    <row r="229" spans="1:63" s="12" customFormat="1" ht="14.25" customHeight="1">
      <c r="A229" s="2">
        <v>257</v>
      </c>
      <c r="B229" s="2" t="s">
        <v>40</v>
      </c>
      <c r="C229" s="12" t="s">
        <v>85</v>
      </c>
      <c r="D229" s="12">
        <v>2006</v>
      </c>
      <c r="E229" s="12">
        <v>2003</v>
      </c>
      <c r="F229" s="12" t="s">
        <v>120</v>
      </c>
      <c r="G229" s="12" t="s">
        <v>109</v>
      </c>
      <c r="H229" s="12">
        <v>41.831111</v>
      </c>
      <c r="I229" s="12">
        <v>-6.5036110000000003</v>
      </c>
      <c r="J229" s="12" t="s">
        <v>126</v>
      </c>
      <c r="K229" s="12" t="s">
        <v>184</v>
      </c>
      <c r="L229" s="12" t="s">
        <v>185</v>
      </c>
      <c r="M229" s="12" t="s">
        <v>237</v>
      </c>
      <c r="N229" s="12" t="s">
        <v>238</v>
      </c>
      <c r="O229" s="12" t="s">
        <v>86</v>
      </c>
      <c r="Q229" s="1" t="s">
        <v>93</v>
      </c>
      <c r="R229" s="12">
        <v>2002</v>
      </c>
      <c r="S229" s="12">
        <v>1</v>
      </c>
      <c r="T229" s="12">
        <f>S229*12</f>
        <v>12</v>
      </c>
      <c r="V229" s="12">
        <v>1427</v>
      </c>
      <c r="W229" s="12">
        <v>6</v>
      </c>
      <c r="X229" s="12">
        <v>6</v>
      </c>
      <c r="Y229" s="12" t="s">
        <v>114</v>
      </c>
      <c r="Z229" s="1" t="s">
        <v>2</v>
      </c>
      <c r="AA229" s="12" t="s">
        <v>2</v>
      </c>
      <c r="AB229" s="12" t="s">
        <v>113</v>
      </c>
      <c r="AC229" s="1" t="s">
        <v>2</v>
      </c>
      <c r="AD229" s="12" t="s">
        <v>2</v>
      </c>
      <c r="AE229" s="12" t="s">
        <v>2</v>
      </c>
      <c r="AF229" s="12" t="s">
        <v>149</v>
      </c>
      <c r="AG229" s="12" t="s">
        <v>325</v>
      </c>
      <c r="AH229" s="12">
        <v>1.55</v>
      </c>
      <c r="AI229" s="12">
        <f>AJ229*SQRT(X229)</f>
        <v>0.46540305112880381</v>
      </c>
      <c r="AJ229" s="12">
        <v>0.19</v>
      </c>
      <c r="AK229" s="12">
        <v>2.02</v>
      </c>
      <c r="AL229" s="12">
        <f>AM229*SQRT(W229)</f>
        <v>7.29947943349387</v>
      </c>
      <c r="AM229" s="12">
        <v>2.98</v>
      </c>
      <c r="AN229" s="12">
        <f>AH229-AK229</f>
        <v>-0.47</v>
      </c>
      <c r="AO229" s="12">
        <f>SQRT((((X229-1)*AI229^2)+((W229-1)*AL229^2))/(X229+W229-2))</f>
        <v>5.1719918793439721</v>
      </c>
      <c r="AP229" s="12">
        <f>AN229/AO229</f>
        <v>-9.0874079264721491E-2</v>
      </c>
      <c r="AQ229" s="12">
        <f>1/X229+1/W229+(AP229^2)/(2*(X229+W229))</f>
        <v>0.33367742076175877</v>
      </c>
      <c r="AR229" s="12">
        <f>1-(3/(4*(X229+W229-2)-1))</f>
        <v>0.92307692307692313</v>
      </c>
      <c r="AS229" s="21">
        <f>AP229*AR229</f>
        <v>-8.3883765475127534E-2</v>
      </c>
      <c r="AT229" s="21">
        <f>AQ229*(AR229^2)</f>
        <v>0.28431685556031522</v>
      </c>
      <c r="AU229" s="21">
        <f>SQRT(AQ229*AR229^2)</f>
        <v>0.53321370533803347</v>
      </c>
      <c r="AV229" s="20">
        <f>1/AT229</f>
        <v>3.5172026576801358</v>
      </c>
      <c r="AW229" s="20">
        <f>AS229/AT229</f>
        <v>-0.29503620286533577</v>
      </c>
      <c r="AX229" s="20">
        <f>((AS229)^2)/AT229</f>
        <v>2.4748747647827977E-2</v>
      </c>
      <c r="AY229" s="14"/>
      <c r="AZ229" s="14"/>
      <c r="BA229" s="12" t="s">
        <v>270</v>
      </c>
      <c r="BB229" s="2"/>
    </row>
    <row r="230" spans="1:63" s="12" customFormat="1" ht="14.25" customHeight="1">
      <c r="A230" s="2">
        <v>257</v>
      </c>
      <c r="B230" s="2" t="s">
        <v>40</v>
      </c>
      <c r="C230" s="12" t="s">
        <v>85</v>
      </c>
      <c r="D230" s="12">
        <v>2006</v>
      </c>
      <c r="E230" s="12">
        <v>2003</v>
      </c>
      <c r="F230" s="12" t="s">
        <v>120</v>
      </c>
      <c r="G230" s="12" t="s">
        <v>109</v>
      </c>
      <c r="H230" s="12">
        <v>41.831111</v>
      </c>
      <c r="I230" s="12">
        <v>-6.5036110000000003</v>
      </c>
      <c r="J230" s="12" t="s">
        <v>126</v>
      </c>
      <c r="K230" s="12" t="s">
        <v>184</v>
      </c>
      <c r="L230" s="12" t="s">
        <v>185</v>
      </c>
      <c r="M230" s="12" t="s">
        <v>237</v>
      </c>
      <c r="N230" s="12" t="s">
        <v>238</v>
      </c>
      <c r="O230" s="12" t="s">
        <v>86</v>
      </c>
      <c r="Q230" s="1" t="s">
        <v>93</v>
      </c>
      <c r="R230" s="12">
        <v>2002</v>
      </c>
      <c r="S230" s="12">
        <v>1</v>
      </c>
      <c r="T230" s="12">
        <f>S230*12</f>
        <v>12</v>
      </c>
      <c r="V230" s="12">
        <v>1427</v>
      </c>
      <c r="W230" s="12">
        <v>6</v>
      </c>
      <c r="X230" s="12">
        <v>6</v>
      </c>
      <c r="Y230" s="12" t="s">
        <v>114</v>
      </c>
      <c r="Z230" s="1" t="s">
        <v>2</v>
      </c>
      <c r="AA230" s="12" t="s">
        <v>2</v>
      </c>
      <c r="AB230" s="12" t="s">
        <v>113</v>
      </c>
      <c r="AC230" s="1" t="s">
        <v>2</v>
      </c>
      <c r="AD230" s="12" t="s">
        <v>2</v>
      </c>
      <c r="AE230" s="12" t="s">
        <v>2</v>
      </c>
      <c r="AF230" s="12" t="s">
        <v>348</v>
      </c>
      <c r="AG230" s="12" t="s">
        <v>325</v>
      </c>
      <c r="AH230" s="12">
        <v>0.63</v>
      </c>
      <c r="AI230" s="12">
        <f>AJ230*SQRT(X230)</f>
        <v>0.17146428199482247</v>
      </c>
      <c r="AJ230" s="12">
        <v>7.0000000000000007E-2</v>
      </c>
      <c r="AK230" s="12">
        <v>0.62</v>
      </c>
      <c r="AL230" s="12">
        <f>AM230*SQRT(W230)</f>
        <v>0.17146428199482247</v>
      </c>
      <c r="AM230" s="12">
        <v>7.0000000000000007E-2</v>
      </c>
      <c r="AN230" s="12">
        <f>AH230-AK230</f>
        <v>1.0000000000000009E-2</v>
      </c>
      <c r="AO230" s="12">
        <f>SQRT((((X230-1)*AI230^2)+((W230-1)*AL230^2))/(X230+W230-2))</f>
        <v>0.17146428199482247</v>
      </c>
      <c r="AP230" s="12">
        <f>AN230/AO230</f>
        <v>5.8321184351980485E-2</v>
      </c>
      <c r="AQ230" s="12">
        <f>1/X230+1/W230+(AP230^2)/(2*(X230+W230))</f>
        <v>0.33347505668934241</v>
      </c>
      <c r="AR230" s="12">
        <f>1-(3/(4*(X230+W230-2)-1))</f>
        <v>0.92307692307692313</v>
      </c>
      <c r="AS230" s="21">
        <f>AP230*AR230</f>
        <v>5.3834939401828145E-2</v>
      </c>
      <c r="AT230" s="21">
        <f>AQ230*(AR230^2)</f>
        <v>0.28414442700156989</v>
      </c>
      <c r="AU230" s="21">
        <f>SQRT(AQ230*AR230^2)</f>
        <v>0.53305199277516058</v>
      </c>
      <c r="AV230" s="20">
        <f>1/AT230</f>
        <v>3.5193370165745854</v>
      </c>
      <c r="AW230" s="20">
        <f>AS230/AT230</f>
        <v>0.18946329502190346</v>
      </c>
      <c r="AX230" s="20">
        <f>((AS230)^2)/AT230</f>
        <v>1.019974500637486E-2</v>
      </c>
      <c r="AY230" s="14"/>
      <c r="AZ230" s="14"/>
      <c r="BA230" s="12" t="s">
        <v>270</v>
      </c>
      <c r="BB230" s="2"/>
    </row>
    <row r="231" spans="1:63" s="12" customFormat="1" ht="14.25" customHeight="1">
      <c r="A231" s="2">
        <v>467</v>
      </c>
      <c r="B231" s="2" t="s">
        <v>60</v>
      </c>
      <c r="C231" s="12" t="s">
        <v>85</v>
      </c>
      <c r="D231" s="12">
        <v>2023</v>
      </c>
      <c r="E231" s="12">
        <v>2014</v>
      </c>
      <c r="F231" s="12" t="s">
        <v>120</v>
      </c>
      <c r="G231" s="12" t="s">
        <v>109</v>
      </c>
      <c r="H231" s="12">
        <v>41.696944000000002</v>
      </c>
      <c r="I231" s="12">
        <v>-6.2241109999999997</v>
      </c>
      <c r="J231" s="12" t="s">
        <v>128</v>
      </c>
      <c r="K231" s="12" t="s">
        <v>184</v>
      </c>
      <c r="L231" s="12" t="s">
        <v>185</v>
      </c>
      <c r="M231" s="12" t="s">
        <v>237</v>
      </c>
      <c r="N231" s="12" t="s">
        <v>238</v>
      </c>
      <c r="O231" s="1" t="s">
        <v>121</v>
      </c>
      <c r="Q231" s="12" t="s">
        <v>93</v>
      </c>
      <c r="R231" s="12">
        <v>2010</v>
      </c>
      <c r="S231" s="12">
        <v>4</v>
      </c>
      <c r="T231" s="12">
        <f t="shared" ref="T231:T232" si="31">S231*12</f>
        <v>48</v>
      </c>
      <c r="W231" s="12">
        <v>3</v>
      </c>
      <c r="X231" s="12">
        <v>3</v>
      </c>
      <c r="Y231" s="12" t="s">
        <v>97</v>
      </c>
      <c r="Z231" s="12" t="s">
        <v>371</v>
      </c>
      <c r="AA231" s="12" t="s">
        <v>0</v>
      </c>
      <c r="AB231" s="12" t="s">
        <v>98</v>
      </c>
      <c r="AC231" s="12" t="s">
        <v>202</v>
      </c>
      <c r="AD231" s="12" t="s">
        <v>372</v>
      </c>
      <c r="AE231" s="12" t="s">
        <v>102</v>
      </c>
      <c r="AF231" s="12" t="s">
        <v>256</v>
      </c>
      <c r="AG231" s="12" t="s">
        <v>318</v>
      </c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2" t="s">
        <v>285</v>
      </c>
    </row>
    <row r="232" spans="1:63" s="12" customFormat="1" ht="14.25" customHeight="1">
      <c r="A232" s="2">
        <v>467</v>
      </c>
      <c r="B232" s="2" t="s">
        <v>60</v>
      </c>
      <c r="C232" s="12" t="s">
        <v>85</v>
      </c>
      <c r="D232" s="12">
        <v>2023</v>
      </c>
      <c r="E232" s="12">
        <v>2014</v>
      </c>
      <c r="F232" s="12" t="s">
        <v>120</v>
      </c>
      <c r="G232" s="12" t="s">
        <v>109</v>
      </c>
      <c r="H232" s="12">
        <v>41.696944000000002</v>
      </c>
      <c r="I232" s="12">
        <v>-6.2241109999999997</v>
      </c>
      <c r="J232" s="12" t="s">
        <v>128</v>
      </c>
      <c r="K232" s="12" t="s">
        <v>184</v>
      </c>
      <c r="L232" s="12" t="s">
        <v>185</v>
      </c>
      <c r="M232" s="12" t="s">
        <v>237</v>
      </c>
      <c r="N232" s="12" t="s">
        <v>238</v>
      </c>
      <c r="O232" s="1" t="s">
        <v>86</v>
      </c>
      <c r="Q232" s="12" t="s">
        <v>93</v>
      </c>
      <c r="R232" s="12">
        <v>2006</v>
      </c>
      <c r="S232" s="12">
        <v>8</v>
      </c>
      <c r="T232" s="12">
        <f t="shared" si="31"/>
        <v>96</v>
      </c>
      <c r="W232" s="12">
        <v>3</v>
      </c>
      <c r="X232" s="12">
        <v>3</v>
      </c>
      <c r="Y232" s="12" t="s">
        <v>97</v>
      </c>
      <c r="Z232" s="12" t="s">
        <v>371</v>
      </c>
      <c r="AA232" s="12" t="s">
        <v>0</v>
      </c>
      <c r="AB232" s="12" t="s">
        <v>98</v>
      </c>
      <c r="AC232" s="12" t="s">
        <v>202</v>
      </c>
      <c r="AD232" s="12" t="s">
        <v>372</v>
      </c>
      <c r="AE232" s="12" t="s">
        <v>102</v>
      </c>
      <c r="AF232" s="12" t="s">
        <v>256</v>
      </c>
      <c r="AG232" s="12" t="s">
        <v>318</v>
      </c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2" t="s">
        <v>285</v>
      </c>
    </row>
    <row r="233" spans="1:63" s="16" customFormat="1" ht="14.25">
      <c r="A233" s="2">
        <v>58</v>
      </c>
      <c r="B233" s="2" t="s">
        <v>11</v>
      </c>
      <c r="C233" s="1" t="s">
        <v>89</v>
      </c>
      <c r="D233" s="1">
        <v>2013</v>
      </c>
      <c r="E233" s="1">
        <v>2004</v>
      </c>
      <c r="F233" s="1" t="s">
        <v>152</v>
      </c>
      <c r="G233" s="1" t="s">
        <v>159</v>
      </c>
      <c r="H233" s="1">
        <v>51</v>
      </c>
      <c r="I233" s="1">
        <v>-120</v>
      </c>
      <c r="J233" s="1" t="s">
        <v>135</v>
      </c>
      <c r="K233" s="1" t="s">
        <v>174</v>
      </c>
      <c r="L233" s="1" t="s">
        <v>175</v>
      </c>
      <c r="M233" s="1" t="s">
        <v>236</v>
      </c>
      <c r="N233" s="1" t="s">
        <v>238</v>
      </c>
      <c r="O233" s="1" t="s">
        <v>86</v>
      </c>
      <c r="P233" s="1" t="s">
        <v>129</v>
      </c>
      <c r="Q233" s="1" t="s">
        <v>93</v>
      </c>
      <c r="R233" s="1">
        <v>2003</v>
      </c>
      <c r="S233" s="7"/>
      <c r="T233" s="7"/>
      <c r="U233" s="1"/>
      <c r="V233" s="1">
        <v>26420</v>
      </c>
      <c r="W233" s="1">
        <v>4</v>
      </c>
      <c r="X233" s="1">
        <v>4</v>
      </c>
      <c r="Y233" s="1" t="s">
        <v>134</v>
      </c>
      <c r="Z233" s="1" t="s">
        <v>2</v>
      </c>
      <c r="AA233" s="1" t="s">
        <v>0</v>
      </c>
      <c r="AB233" s="1" t="s">
        <v>98</v>
      </c>
      <c r="AC233" s="1" t="s">
        <v>158</v>
      </c>
      <c r="AD233" s="1" t="s">
        <v>2</v>
      </c>
      <c r="AE233" s="1" t="s">
        <v>100</v>
      </c>
      <c r="AF233" s="1" t="s">
        <v>222</v>
      </c>
      <c r="AG233" s="1" t="s">
        <v>324</v>
      </c>
      <c r="AH233" s="1">
        <v>6.3</v>
      </c>
      <c r="AI233" s="1">
        <f>AJ233*(SQRT(X233))</f>
        <v>5</v>
      </c>
      <c r="AJ233" s="1">
        <v>2.5</v>
      </c>
      <c r="AK233" s="1">
        <v>8</v>
      </c>
      <c r="AL233" s="1">
        <f>AM233*(SQRT(W233))</f>
        <v>5</v>
      </c>
      <c r="AM233" s="1">
        <v>2.5</v>
      </c>
      <c r="AN233" s="12">
        <f>AH233-AK233</f>
        <v>-1.7000000000000002</v>
      </c>
      <c r="AO233" s="1">
        <f>SQRT((((X233-1)*AI233^2)+((W233-1)*AL233^2))/(X233+W233-2))</f>
        <v>5</v>
      </c>
      <c r="AP233" s="1">
        <f>AN233/AO233</f>
        <v>-0.34</v>
      </c>
      <c r="AQ233" s="1">
        <f>1/X233+1/W233+(AP233^2)/(2*(X233+W233))</f>
        <v>0.50722500000000004</v>
      </c>
      <c r="AR233" s="1">
        <f>1-(3/(4*(X233+W233-2)-1))</f>
        <v>0.86956521739130432</v>
      </c>
      <c r="AS233" s="21">
        <f>AP233*AR233</f>
        <v>-0.29565217391304349</v>
      </c>
      <c r="AT233" s="21">
        <f>AQ233*(AR233^2)</f>
        <v>0.38353497164461253</v>
      </c>
      <c r="AU233" s="21">
        <f>SQRT(AQ233*AR233^2)</f>
        <v>0.61930200358517529</v>
      </c>
      <c r="AV233" s="20">
        <f>1/AT233</f>
        <v>2.6073241658041297</v>
      </c>
      <c r="AW233" s="20">
        <f>AS233/AT233</f>
        <v>-0.77086105771600366</v>
      </c>
      <c r="AX233" s="20">
        <f>((AS233)^2)/AT233</f>
        <v>0.22790674749864459</v>
      </c>
      <c r="AY233" s="14"/>
      <c r="AZ233" s="14"/>
      <c r="BA233" s="1" t="s">
        <v>270</v>
      </c>
      <c r="BB233" s="2"/>
      <c r="BC233" s="1"/>
      <c r="BD233" s="1"/>
      <c r="BE233" s="1"/>
      <c r="BF233" s="1"/>
      <c r="BG233" s="1"/>
      <c r="BH233" s="1"/>
      <c r="BI233" s="1"/>
      <c r="BJ233" s="1"/>
      <c r="BK233" s="1"/>
    </row>
    <row r="234" spans="1:63" s="16" customFormat="1" ht="14.25">
      <c r="A234" s="17">
        <v>224</v>
      </c>
      <c r="B234" s="17" t="s">
        <v>241</v>
      </c>
      <c r="C234" s="16" t="s">
        <v>85</v>
      </c>
      <c r="D234" s="16">
        <v>2025</v>
      </c>
      <c r="E234" s="16">
        <v>2023</v>
      </c>
      <c r="F234" s="16" t="s">
        <v>120</v>
      </c>
      <c r="G234" s="16" t="s">
        <v>109</v>
      </c>
      <c r="H234" s="16">
        <v>41.897781999999999</v>
      </c>
      <c r="I234" s="16">
        <v>-6.3337250000000003</v>
      </c>
      <c r="J234" s="16" t="s">
        <v>128</v>
      </c>
      <c r="K234" s="16" t="s">
        <v>176</v>
      </c>
      <c r="L234" s="16" t="s">
        <v>177</v>
      </c>
      <c r="M234" s="16" t="s">
        <v>236</v>
      </c>
      <c r="N234" s="16" t="s">
        <v>238</v>
      </c>
      <c r="O234" s="16" t="s">
        <v>86</v>
      </c>
      <c r="P234" s="16" t="s">
        <v>129</v>
      </c>
      <c r="Q234" s="16" t="s">
        <v>93</v>
      </c>
      <c r="R234" s="16">
        <v>2022</v>
      </c>
      <c r="S234" s="16">
        <v>1</v>
      </c>
      <c r="T234" s="12">
        <f>S234*12</f>
        <v>12</v>
      </c>
      <c r="V234" s="16">
        <v>56000</v>
      </c>
      <c r="W234" s="16">
        <v>9</v>
      </c>
      <c r="X234" s="16">
        <v>9</v>
      </c>
      <c r="Y234" s="16" t="s">
        <v>97</v>
      </c>
      <c r="Z234" s="16" t="s">
        <v>133</v>
      </c>
      <c r="AA234" s="16" t="s">
        <v>0</v>
      </c>
      <c r="AB234" s="16" t="s">
        <v>98</v>
      </c>
      <c r="AC234" s="16" t="s">
        <v>202</v>
      </c>
      <c r="AD234" s="16" t="s">
        <v>99</v>
      </c>
      <c r="AE234" s="16" t="s">
        <v>111</v>
      </c>
      <c r="AF234" s="16" t="s">
        <v>149</v>
      </c>
      <c r="AG234" s="16" t="s">
        <v>319</v>
      </c>
      <c r="AH234" s="16">
        <v>2.33</v>
      </c>
      <c r="AI234" s="16">
        <f>2.42-2.27</f>
        <v>0.14999999999999991</v>
      </c>
      <c r="AK234" s="16">
        <v>2.73</v>
      </c>
      <c r="AL234" s="16">
        <f>2.84-2.64</f>
        <v>0.19999999999999973</v>
      </c>
      <c r="AN234" s="12">
        <f>AH234-AK234</f>
        <v>-0.39999999999999991</v>
      </c>
      <c r="AO234" s="1">
        <f>SQRT((((X234-1)*AI234^2)+((W234-1)*AL234^2))/(X234+W234-2))</f>
        <v>0.1767766952966367</v>
      </c>
      <c r="AP234" s="1">
        <f>AN234/AO234</f>
        <v>-2.2627416997969538</v>
      </c>
      <c r="AQ234" s="1">
        <f>1/X234+1/W234+(AP234^2)/(2*(X234+W234))</f>
        <v>0.36444444444444468</v>
      </c>
      <c r="AR234" s="1">
        <f>1-(3/(4*(X234+W234-2)-1))</f>
        <v>0.95238095238095233</v>
      </c>
      <c r="AS234" s="21">
        <f>AP234*AR234</f>
        <v>-2.1549920950447179</v>
      </c>
      <c r="AT234" s="21">
        <f>AQ234*(AR234^2)</f>
        <v>0.33056185437137836</v>
      </c>
      <c r="AU234" s="21">
        <f>SQRT(AQ234*AR234^2)</f>
        <v>0.5749450881357091</v>
      </c>
      <c r="AV234" s="20">
        <f>1/AT234</f>
        <v>3.0251524390243887</v>
      </c>
      <c r="AW234" s="20">
        <f>AS234/AT234</f>
        <v>-6.5191795924028053</v>
      </c>
      <c r="AX234" s="20">
        <f>((AS234)^2)/AT234</f>
        <v>14.048780487804892</v>
      </c>
      <c r="AY234" s="14"/>
      <c r="AZ234" s="14"/>
      <c r="BA234" s="1" t="s">
        <v>270</v>
      </c>
      <c r="BB234" s="17"/>
    </row>
    <row r="235" spans="1:63" s="16" customFormat="1" ht="14.25">
      <c r="A235" s="17">
        <v>224</v>
      </c>
      <c r="B235" s="17" t="s">
        <v>241</v>
      </c>
      <c r="C235" s="16" t="s">
        <v>85</v>
      </c>
      <c r="D235" s="16">
        <v>2025</v>
      </c>
      <c r="E235" s="16">
        <v>2023</v>
      </c>
      <c r="F235" s="16" t="s">
        <v>120</v>
      </c>
      <c r="G235" s="16" t="s">
        <v>109</v>
      </c>
      <c r="H235" s="16">
        <v>41.897781999999999</v>
      </c>
      <c r="I235" s="16">
        <v>-6.3337250000000003</v>
      </c>
      <c r="J235" s="16" t="s">
        <v>128</v>
      </c>
      <c r="K235" s="16" t="s">
        <v>176</v>
      </c>
      <c r="L235" s="16" t="s">
        <v>177</v>
      </c>
      <c r="M235" s="16" t="s">
        <v>236</v>
      </c>
      <c r="N235" s="16" t="s">
        <v>238</v>
      </c>
      <c r="O235" s="16" t="s">
        <v>86</v>
      </c>
      <c r="P235" s="16" t="s">
        <v>129</v>
      </c>
      <c r="Q235" s="16" t="s">
        <v>93</v>
      </c>
      <c r="R235" s="16">
        <v>2022</v>
      </c>
      <c r="S235" s="16">
        <v>1</v>
      </c>
      <c r="T235" s="12">
        <f>S235*12</f>
        <v>12</v>
      </c>
      <c r="V235" s="16">
        <v>56000</v>
      </c>
      <c r="W235" s="16">
        <v>9</v>
      </c>
      <c r="X235" s="16">
        <v>9</v>
      </c>
      <c r="Y235" s="16" t="s">
        <v>97</v>
      </c>
      <c r="Z235" s="16" t="s">
        <v>133</v>
      </c>
      <c r="AA235" s="16" t="s">
        <v>0</v>
      </c>
      <c r="AB235" s="16" t="s">
        <v>98</v>
      </c>
      <c r="AC235" s="16" t="s">
        <v>202</v>
      </c>
      <c r="AD235" s="16" t="s">
        <v>99</v>
      </c>
      <c r="AE235" s="16" t="s">
        <v>111</v>
      </c>
      <c r="AF235" s="16" t="s">
        <v>348</v>
      </c>
      <c r="AG235" s="16" t="s">
        <v>319</v>
      </c>
      <c r="AH235" s="16">
        <v>0.37</v>
      </c>
      <c r="AI235" s="16">
        <f>0.38-0.37</f>
        <v>1.0000000000000009E-2</v>
      </c>
      <c r="AK235" s="16">
        <v>0.43</v>
      </c>
      <c r="AL235" s="16">
        <f>0.44-0.41</f>
        <v>3.0000000000000027E-2</v>
      </c>
      <c r="AN235" s="12">
        <f>AH235-AK235</f>
        <v>-0.06</v>
      </c>
      <c r="AO235" s="1">
        <f>SQRT((((X235-1)*AI235^2)+((W235-1)*AL235^2))/(X235+W235-2))</f>
        <v>2.2360679774997918E-2</v>
      </c>
      <c r="AP235" s="1">
        <f>AN235/AO235</f>
        <v>-2.683281572999745</v>
      </c>
      <c r="AQ235" s="1">
        <f>1/X235+1/W235+(AP235^2)/(2*(X235+W235))</f>
        <v>0.42222222222222183</v>
      </c>
      <c r="AR235" s="1">
        <f>1-(3/(4*(X235+W235-2)-1))</f>
        <v>0.95238095238095233</v>
      </c>
      <c r="AS235" s="21">
        <f>AP235*AR235</f>
        <v>-2.5555062599997571</v>
      </c>
      <c r="AT235" s="21">
        <f>AQ235*(AR235^2)</f>
        <v>0.3829680020156207</v>
      </c>
      <c r="AU235" s="21">
        <f>SQRT(AQ235*AR235^2)</f>
        <v>0.61884408538469582</v>
      </c>
      <c r="AV235" s="20">
        <f>1/AT235</f>
        <v>2.6111842105263183</v>
      </c>
      <c r="AW235" s="20">
        <f>AS235/AT235</f>
        <v>-6.6728975960125299</v>
      </c>
      <c r="AX235" s="20">
        <f>((AS235)^2)/AT235</f>
        <v>17.052631578947349</v>
      </c>
      <c r="AY235" s="14"/>
      <c r="AZ235" s="14"/>
      <c r="BA235" s="1" t="s">
        <v>270</v>
      </c>
      <c r="BB235" s="17"/>
    </row>
    <row r="236" spans="1:63" s="16" customFormat="1" ht="14.25">
      <c r="A236" s="17">
        <v>224</v>
      </c>
      <c r="B236" s="17" t="s">
        <v>241</v>
      </c>
      <c r="C236" s="16" t="s">
        <v>85</v>
      </c>
      <c r="D236" s="16">
        <v>2025</v>
      </c>
      <c r="E236" s="16">
        <v>2023</v>
      </c>
      <c r="F236" s="16" t="s">
        <v>120</v>
      </c>
      <c r="G236" s="16" t="s">
        <v>109</v>
      </c>
      <c r="H236" s="16">
        <v>41.897781999999999</v>
      </c>
      <c r="I236" s="16">
        <v>-6.3337250000000003</v>
      </c>
      <c r="J236" s="16" t="s">
        <v>128</v>
      </c>
      <c r="K236" s="16" t="s">
        <v>176</v>
      </c>
      <c r="L236" s="16" t="s">
        <v>177</v>
      </c>
      <c r="M236" s="16" t="s">
        <v>236</v>
      </c>
      <c r="N236" s="16" t="s">
        <v>238</v>
      </c>
      <c r="O236" s="16" t="s">
        <v>86</v>
      </c>
      <c r="P236" s="16" t="s">
        <v>129</v>
      </c>
      <c r="Q236" s="16" t="s">
        <v>93</v>
      </c>
      <c r="R236" s="16">
        <v>2022</v>
      </c>
      <c r="S236" s="16">
        <v>1</v>
      </c>
      <c r="T236" s="12">
        <f>S236*12</f>
        <v>12</v>
      </c>
      <c r="V236" s="16">
        <v>56000</v>
      </c>
      <c r="W236" s="16">
        <v>9</v>
      </c>
      <c r="X236" s="16">
        <v>9</v>
      </c>
      <c r="Y236" s="16" t="s">
        <v>97</v>
      </c>
      <c r="Z236" s="16" t="s">
        <v>133</v>
      </c>
      <c r="AA236" s="16" t="s">
        <v>0</v>
      </c>
      <c r="AB236" s="16" t="s">
        <v>98</v>
      </c>
      <c r="AC236" s="16" t="s">
        <v>202</v>
      </c>
      <c r="AD236" s="16" t="s">
        <v>99</v>
      </c>
      <c r="AE236" s="16" t="s">
        <v>111</v>
      </c>
      <c r="AF236" s="16" t="s">
        <v>383</v>
      </c>
      <c r="AG236" s="16" t="s">
        <v>330</v>
      </c>
      <c r="AH236" s="16">
        <v>1736.11</v>
      </c>
      <c r="AI236" s="16">
        <f>2951.4-520.8</f>
        <v>2430.6000000000004</v>
      </c>
      <c r="AK236" s="16">
        <v>15451</v>
      </c>
      <c r="AL236" s="16">
        <f>20658.7-9548.6</f>
        <v>11110.1</v>
      </c>
      <c r="AN236" s="12">
        <f>AH236-AK236</f>
        <v>-13714.89</v>
      </c>
      <c r="AO236" s="1">
        <f>SQRT((((X236-1)*AI236^2)+((W236-1)*AL236^2))/(X236+W236-2))</f>
        <v>8041.8324519353173</v>
      </c>
      <c r="AP236" s="1">
        <f>AN236/AO236</f>
        <v>-1.7054433901690436</v>
      </c>
      <c r="AQ236" s="1">
        <f>1/X236+1/W236+(AP236^2)/(2*(X236+W236))</f>
        <v>0.3030149210297578</v>
      </c>
      <c r="AR236" s="1">
        <f>1-(3/(4*(X236+W236-2)-1))</f>
        <v>0.95238095238095233</v>
      </c>
      <c r="AS236" s="21">
        <f>AP236*AR236</f>
        <v>-1.6242318001609937</v>
      </c>
      <c r="AT236" s="21">
        <f>AQ236*(AR236^2)</f>
        <v>0.27484346578662838</v>
      </c>
      <c r="AU236" s="21">
        <f>SQRT(AQ236*AR236^2)</f>
        <v>0.52425515332386419</v>
      </c>
      <c r="AV236" s="20">
        <f>1/AT236</f>
        <v>3.6384346891344279</v>
      </c>
      <c r="AW236" s="20">
        <f>AS236/AT236</f>
        <v>-5.909661324901017</v>
      </c>
      <c r="AX236" s="20">
        <f>((AS236)^2)/AT236</f>
        <v>9.5986598520857829</v>
      </c>
      <c r="AY236" s="14"/>
      <c r="AZ236" s="14"/>
      <c r="BA236" s="1" t="s">
        <v>270</v>
      </c>
      <c r="BB236" s="17"/>
    </row>
    <row r="237" spans="1:63" s="16" customFormat="1" ht="14.25">
      <c r="A237" s="17">
        <v>224</v>
      </c>
      <c r="B237" s="17" t="s">
        <v>241</v>
      </c>
      <c r="C237" s="16" t="s">
        <v>85</v>
      </c>
      <c r="D237" s="16">
        <v>2025</v>
      </c>
      <c r="E237" s="16">
        <v>2023</v>
      </c>
      <c r="F237" s="16" t="s">
        <v>120</v>
      </c>
      <c r="G237" s="16" t="s">
        <v>109</v>
      </c>
      <c r="H237" s="16">
        <v>41.897781999999999</v>
      </c>
      <c r="I237" s="16">
        <v>-6.3337250000000003</v>
      </c>
      <c r="J237" s="16" t="s">
        <v>128</v>
      </c>
      <c r="K237" s="16" t="s">
        <v>176</v>
      </c>
      <c r="L237" s="16" t="s">
        <v>177</v>
      </c>
      <c r="M237" s="16" t="s">
        <v>236</v>
      </c>
      <c r="N237" s="16" t="s">
        <v>238</v>
      </c>
      <c r="O237" s="16" t="s">
        <v>86</v>
      </c>
      <c r="P237" s="16" t="s">
        <v>129</v>
      </c>
      <c r="Q237" s="16" t="s">
        <v>93</v>
      </c>
      <c r="R237" s="16">
        <v>2022</v>
      </c>
      <c r="S237" s="16">
        <v>1</v>
      </c>
      <c r="T237" s="16">
        <f>S237*12</f>
        <v>12</v>
      </c>
      <c r="V237" s="16">
        <v>56000</v>
      </c>
      <c r="W237" s="16">
        <v>9</v>
      </c>
      <c r="X237" s="16">
        <v>9</v>
      </c>
      <c r="Y237" s="16" t="s">
        <v>97</v>
      </c>
      <c r="Z237" s="16" t="s">
        <v>133</v>
      </c>
      <c r="AA237" s="16" t="s">
        <v>0</v>
      </c>
      <c r="AB237" s="16" t="s">
        <v>98</v>
      </c>
      <c r="AC237" s="16" t="s">
        <v>202</v>
      </c>
      <c r="AD237" s="16" t="s">
        <v>99</v>
      </c>
      <c r="AE237" s="16" t="s">
        <v>111</v>
      </c>
      <c r="AF237" s="16" t="s">
        <v>256</v>
      </c>
      <c r="AG237" s="16" t="s">
        <v>316</v>
      </c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4"/>
      <c r="AZ237" s="14"/>
      <c r="BA237" s="16" t="s">
        <v>285</v>
      </c>
    </row>
    <row r="238" spans="1:63" ht="14.25" customHeight="1">
      <c r="A238" s="2">
        <v>138</v>
      </c>
      <c r="B238" s="2" t="s">
        <v>20</v>
      </c>
      <c r="C238" s="1" t="s">
        <v>85</v>
      </c>
      <c r="D238" s="1">
        <v>2014</v>
      </c>
      <c r="E238" s="1">
        <v>2007</v>
      </c>
      <c r="F238" s="1" t="s">
        <v>120</v>
      </c>
      <c r="G238" s="1" t="s">
        <v>109</v>
      </c>
      <c r="H238" s="1">
        <v>42.673546999999999</v>
      </c>
      <c r="I238" s="1">
        <v>-4.5904389999999999</v>
      </c>
      <c r="J238" s="1" t="s">
        <v>126</v>
      </c>
      <c r="K238" s="1" t="s">
        <v>176</v>
      </c>
      <c r="L238" s="1" t="s">
        <v>191</v>
      </c>
      <c r="M238" s="1" t="s">
        <v>236</v>
      </c>
      <c r="N238" s="1" t="s">
        <v>238</v>
      </c>
      <c r="O238" s="1" t="s">
        <v>86</v>
      </c>
      <c r="Q238" s="1" t="s">
        <v>93</v>
      </c>
      <c r="R238" s="1">
        <v>2002</v>
      </c>
      <c r="S238" s="1">
        <v>5</v>
      </c>
      <c r="T238" s="1">
        <f t="shared" ref="T238:T239" si="32">S238*12</f>
        <v>60</v>
      </c>
      <c r="V238" s="1">
        <v>118.03</v>
      </c>
      <c r="W238" s="1">
        <v>3</v>
      </c>
      <c r="X238" s="1">
        <v>3</v>
      </c>
      <c r="Y238" s="1" t="s">
        <v>114</v>
      </c>
      <c r="Z238" s="1" t="s">
        <v>2</v>
      </c>
      <c r="AA238" s="1" t="s">
        <v>0</v>
      </c>
      <c r="AB238" s="1" t="s">
        <v>113</v>
      </c>
      <c r="AC238" s="1" t="s">
        <v>2</v>
      </c>
      <c r="AD238" s="1" t="s">
        <v>2</v>
      </c>
      <c r="AE238" s="1" t="s">
        <v>2</v>
      </c>
      <c r="AF238" s="1" t="s">
        <v>385</v>
      </c>
      <c r="AG238" s="1" t="s">
        <v>331</v>
      </c>
      <c r="AH238" s="1">
        <f>((25*100)/44)/100</f>
        <v>0.56818181818181823</v>
      </c>
      <c r="AI238" s="14"/>
      <c r="AJ238" s="14"/>
      <c r="AK238" s="1">
        <f>((23*100)/59)/100</f>
        <v>0.38983050847457629</v>
      </c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2">
        <f>LOG(AH238/AK238)</f>
        <v>0.16361150781040154</v>
      </c>
      <c r="AZ238" s="12">
        <f>((1-AH238)/(AH238*X238))+((1-AK238)/(W238*AK238))</f>
        <v>0.77507246376811589</v>
      </c>
      <c r="BA238" s="1" t="s">
        <v>283</v>
      </c>
    </row>
    <row r="239" spans="1:63" ht="14.25" customHeight="1">
      <c r="A239" s="2">
        <v>138</v>
      </c>
      <c r="B239" s="2" t="s">
        <v>20</v>
      </c>
      <c r="C239" s="1" t="s">
        <v>85</v>
      </c>
      <c r="D239" s="1">
        <v>2014</v>
      </c>
      <c r="E239" s="1">
        <v>2007</v>
      </c>
      <c r="F239" s="1" t="s">
        <v>120</v>
      </c>
      <c r="G239" s="1" t="s">
        <v>109</v>
      </c>
      <c r="H239" s="1">
        <v>42.673546999999999</v>
      </c>
      <c r="I239" s="1">
        <v>-4.5904389999999999</v>
      </c>
      <c r="J239" s="1" t="s">
        <v>126</v>
      </c>
      <c r="K239" s="1" t="s">
        <v>176</v>
      </c>
      <c r="L239" s="1" t="s">
        <v>191</v>
      </c>
      <c r="M239" s="1" t="s">
        <v>236</v>
      </c>
      <c r="N239" s="1" t="s">
        <v>238</v>
      </c>
      <c r="O239" s="1" t="s">
        <v>86</v>
      </c>
      <c r="Q239" s="1" t="s">
        <v>93</v>
      </c>
      <c r="R239" s="1">
        <v>2002</v>
      </c>
      <c r="S239" s="1">
        <v>5</v>
      </c>
      <c r="T239" s="1">
        <f t="shared" si="32"/>
        <v>60</v>
      </c>
      <c r="V239" s="1">
        <v>118.03</v>
      </c>
      <c r="W239" s="1">
        <v>3</v>
      </c>
      <c r="X239" s="1">
        <v>3</v>
      </c>
      <c r="Y239" s="1" t="s">
        <v>114</v>
      </c>
      <c r="Z239" s="1" t="s">
        <v>2</v>
      </c>
      <c r="AA239" s="1" t="s">
        <v>0</v>
      </c>
      <c r="AB239" s="1" t="s">
        <v>113</v>
      </c>
      <c r="AC239" s="1" t="s">
        <v>2</v>
      </c>
      <c r="AD239" s="1" t="s">
        <v>2</v>
      </c>
      <c r="AE239" s="1" t="s">
        <v>2</v>
      </c>
      <c r="AF239" s="1" t="s">
        <v>306</v>
      </c>
      <c r="AG239" s="1" t="s">
        <v>331</v>
      </c>
      <c r="AH239" s="1">
        <f>((19*100)/44)/100</f>
        <v>0.43181818181818182</v>
      </c>
      <c r="AI239" s="14"/>
      <c r="AJ239" s="14"/>
      <c r="AK239" s="1">
        <f>((36*100)/59)/100</f>
        <v>0.61016949152542377</v>
      </c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2">
        <f>LOG(AH239/AK239)</f>
        <v>-0.1501495646585016</v>
      </c>
      <c r="AZ239" s="12">
        <f>((1-AH239)/(AH239*X239))+((1-AK239)/(W239*AK239))</f>
        <v>0.65155945419103312</v>
      </c>
      <c r="BA239" s="1" t="s">
        <v>283</v>
      </c>
    </row>
    <row r="240" spans="1:63" ht="14.25" customHeight="1">
      <c r="A240" s="2">
        <v>138</v>
      </c>
      <c r="B240" s="2" t="s">
        <v>20</v>
      </c>
      <c r="C240" s="1" t="s">
        <v>85</v>
      </c>
      <c r="D240" s="1">
        <v>2014</v>
      </c>
      <c r="E240" s="1">
        <v>2007</v>
      </c>
      <c r="F240" s="1" t="s">
        <v>120</v>
      </c>
      <c r="G240" s="1" t="s">
        <v>109</v>
      </c>
      <c r="H240" s="1">
        <v>42.673546999999999</v>
      </c>
      <c r="I240" s="1">
        <v>-4.5904389999999999</v>
      </c>
      <c r="J240" s="1" t="s">
        <v>126</v>
      </c>
      <c r="K240" s="1" t="s">
        <v>176</v>
      </c>
      <c r="L240" s="1" t="s">
        <v>191</v>
      </c>
      <c r="M240" s="1" t="s">
        <v>236</v>
      </c>
      <c r="N240" s="1" t="s">
        <v>238</v>
      </c>
      <c r="O240" s="1" t="s">
        <v>86</v>
      </c>
      <c r="Q240" s="1" t="s">
        <v>93</v>
      </c>
      <c r="R240" s="1">
        <v>2002</v>
      </c>
      <c r="S240" s="1">
        <v>5</v>
      </c>
      <c r="T240" s="16">
        <f>S240*12</f>
        <v>60</v>
      </c>
      <c r="V240" s="1">
        <v>118.03</v>
      </c>
      <c r="W240" s="1">
        <v>3</v>
      </c>
      <c r="X240" s="1">
        <v>3</v>
      </c>
      <c r="Y240" s="1" t="s">
        <v>114</v>
      </c>
      <c r="Z240" s="1" t="s">
        <v>2</v>
      </c>
      <c r="AA240" s="1" t="s">
        <v>0</v>
      </c>
      <c r="AB240" s="1" t="s">
        <v>113</v>
      </c>
      <c r="AC240" s="1" t="s">
        <v>2</v>
      </c>
      <c r="AD240" s="1" t="s">
        <v>2</v>
      </c>
      <c r="AE240" s="1" t="s">
        <v>2</v>
      </c>
      <c r="AF240" s="1" t="s">
        <v>250</v>
      </c>
      <c r="AG240" s="1" t="s">
        <v>319</v>
      </c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" t="s">
        <v>285</v>
      </c>
    </row>
    <row r="241" spans="1:63" ht="14.25" customHeight="1">
      <c r="A241" s="2">
        <v>138</v>
      </c>
      <c r="B241" s="2" t="s">
        <v>20</v>
      </c>
      <c r="C241" s="1" t="s">
        <v>85</v>
      </c>
      <c r="D241" s="1">
        <v>2014</v>
      </c>
      <c r="E241" s="1">
        <v>2007</v>
      </c>
      <c r="F241" s="1" t="s">
        <v>120</v>
      </c>
      <c r="G241" s="1" t="s">
        <v>109</v>
      </c>
      <c r="H241" s="1">
        <v>42.673546999999999</v>
      </c>
      <c r="I241" s="1">
        <v>-4.5904389999999999</v>
      </c>
      <c r="J241" s="1" t="s">
        <v>126</v>
      </c>
      <c r="K241" s="1" t="s">
        <v>176</v>
      </c>
      <c r="L241" s="1" t="s">
        <v>191</v>
      </c>
      <c r="M241" s="1" t="s">
        <v>236</v>
      </c>
      <c r="N241" s="1" t="s">
        <v>238</v>
      </c>
      <c r="O241" s="1" t="s">
        <v>86</v>
      </c>
      <c r="Q241" s="1" t="s">
        <v>93</v>
      </c>
      <c r="R241" s="1">
        <v>2006</v>
      </c>
      <c r="S241" s="1">
        <v>1</v>
      </c>
      <c r="T241" s="1">
        <f t="shared" ref="T241:T242" si="33">S241*12</f>
        <v>12</v>
      </c>
      <c r="V241" s="1">
        <v>135.37</v>
      </c>
      <c r="W241" s="1">
        <v>3</v>
      </c>
      <c r="X241" s="1">
        <v>3</v>
      </c>
      <c r="Y241" s="1" t="s">
        <v>114</v>
      </c>
      <c r="Z241" s="1" t="s">
        <v>2</v>
      </c>
      <c r="AA241" s="1" t="s">
        <v>0</v>
      </c>
      <c r="AB241" s="1" t="s">
        <v>113</v>
      </c>
      <c r="AC241" s="1" t="s">
        <v>2</v>
      </c>
      <c r="AD241" s="1" t="s">
        <v>2</v>
      </c>
      <c r="AE241" s="1" t="s">
        <v>2</v>
      </c>
      <c r="AF241" s="1" t="s">
        <v>385</v>
      </c>
      <c r="AG241" s="1" t="s">
        <v>331</v>
      </c>
      <c r="AH241" s="1">
        <f>((5*100)/13)/100</f>
        <v>0.38461538461538458</v>
      </c>
      <c r="AI241" s="14"/>
      <c r="AJ241" s="14"/>
      <c r="AK241" s="1">
        <f>((23*100)/59)/100</f>
        <v>0.38983050847457629</v>
      </c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2">
        <f>LOG(AH241/AK241)</f>
        <v>-5.8491723462666982E-3</v>
      </c>
      <c r="AZ241" s="12">
        <f>((1-AH241)/(AH241*X241))+((1-AK241)/(W241*AK241))</f>
        <v>1.0550724637681159</v>
      </c>
      <c r="BA241" s="1" t="s">
        <v>283</v>
      </c>
    </row>
    <row r="242" spans="1:63" ht="14.25" customHeight="1">
      <c r="A242" s="2">
        <v>138</v>
      </c>
      <c r="B242" s="2" t="s">
        <v>20</v>
      </c>
      <c r="C242" s="1" t="s">
        <v>85</v>
      </c>
      <c r="D242" s="1">
        <v>2014</v>
      </c>
      <c r="E242" s="1">
        <v>2007</v>
      </c>
      <c r="F242" s="1" t="s">
        <v>120</v>
      </c>
      <c r="G242" s="1" t="s">
        <v>109</v>
      </c>
      <c r="H242" s="1">
        <v>42.673546999999999</v>
      </c>
      <c r="I242" s="1">
        <v>-4.5904389999999999</v>
      </c>
      <c r="J242" s="1" t="s">
        <v>126</v>
      </c>
      <c r="K242" s="1" t="s">
        <v>176</v>
      </c>
      <c r="L242" s="1" t="s">
        <v>191</v>
      </c>
      <c r="M242" s="1" t="s">
        <v>236</v>
      </c>
      <c r="N242" s="1" t="s">
        <v>238</v>
      </c>
      <c r="O242" s="1" t="s">
        <v>86</v>
      </c>
      <c r="Q242" s="1" t="s">
        <v>93</v>
      </c>
      <c r="R242" s="1">
        <v>2006</v>
      </c>
      <c r="S242" s="1">
        <v>1</v>
      </c>
      <c r="T242" s="1">
        <f t="shared" si="33"/>
        <v>12</v>
      </c>
      <c r="V242" s="1">
        <v>135.37</v>
      </c>
      <c r="W242" s="1">
        <v>3</v>
      </c>
      <c r="X242" s="1">
        <v>3</v>
      </c>
      <c r="Y242" s="1" t="s">
        <v>114</v>
      </c>
      <c r="Z242" s="1" t="s">
        <v>2</v>
      </c>
      <c r="AA242" s="1" t="s">
        <v>0</v>
      </c>
      <c r="AB242" s="1" t="s">
        <v>113</v>
      </c>
      <c r="AC242" s="1" t="s">
        <v>2</v>
      </c>
      <c r="AD242" s="1" t="s">
        <v>2</v>
      </c>
      <c r="AE242" s="1" t="s">
        <v>2</v>
      </c>
      <c r="AF242" s="1" t="s">
        <v>306</v>
      </c>
      <c r="AG242" s="1" t="s">
        <v>331</v>
      </c>
      <c r="AH242" s="1">
        <f>((8*100)/13)/100</f>
        <v>0.61538461538461542</v>
      </c>
      <c r="AI242" s="14"/>
      <c r="AJ242" s="14"/>
      <c r="AK242" s="1">
        <f>((36*100)/59)/100</f>
        <v>0.61016949152542377</v>
      </c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2">
        <f>LOG(AH242/AK242)</f>
        <v>3.6961455599637287E-3</v>
      </c>
      <c r="AZ242" s="12">
        <f>((1-AH242)/(AH242*X242))+((1-AK242)/(W242*AK242))</f>
        <v>0.42129629629629628</v>
      </c>
      <c r="BA242" s="1" t="s">
        <v>283</v>
      </c>
    </row>
    <row r="243" spans="1:63" ht="14.25" customHeight="1">
      <c r="A243" s="2">
        <v>138</v>
      </c>
      <c r="B243" s="2" t="s">
        <v>20</v>
      </c>
      <c r="C243" s="1" t="s">
        <v>85</v>
      </c>
      <c r="D243" s="1">
        <v>2014</v>
      </c>
      <c r="E243" s="1">
        <v>2007</v>
      </c>
      <c r="F243" s="1" t="s">
        <v>120</v>
      </c>
      <c r="G243" s="1" t="s">
        <v>109</v>
      </c>
      <c r="H243" s="1">
        <v>42.673546999999999</v>
      </c>
      <c r="I243" s="1">
        <v>-4.5904389999999999</v>
      </c>
      <c r="J243" s="1" t="s">
        <v>126</v>
      </c>
      <c r="K243" s="1" t="s">
        <v>176</v>
      </c>
      <c r="L243" s="1" t="s">
        <v>191</v>
      </c>
      <c r="M243" s="1" t="s">
        <v>236</v>
      </c>
      <c r="N243" s="1" t="s">
        <v>238</v>
      </c>
      <c r="O243" s="1" t="s">
        <v>86</v>
      </c>
      <c r="Q243" s="1" t="s">
        <v>93</v>
      </c>
      <c r="R243" s="1">
        <v>2006</v>
      </c>
      <c r="S243" s="1">
        <v>1</v>
      </c>
      <c r="T243" s="16">
        <f>S243*12</f>
        <v>12</v>
      </c>
      <c r="V243" s="1">
        <v>135.37</v>
      </c>
      <c r="W243" s="1">
        <v>3</v>
      </c>
      <c r="X243" s="1">
        <v>3</v>
      </c>
      <c r="Y243" s="1" t="s">
        <v>114</v>
      </c>
      <c r="Z243" s="1" t="s">
        <v>2</v>
      </c>
      <c r="AA243" s="1" t="s">
        <v>0</v>
      </c>
      <c r="AB243" s="1" t="s">
        <v>113</v>
      </c>
      <c r="AC243" s="1" t="s">
        <v>2</v>
      </c>
      <c r="AD243" s="1" t="s">
        <v>2</v>
      </c>
      <c r="AE243" s="1" t="s">
        <v>2</v>
      </c>
      <c r="AF243" s="1" t="s">
        <v>250</v>
      </c>
      <c r="AG243" s="1" t="s">
        <v>319</v>
      </c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" t="s">
        <v>285</v>
      </c>
    </row>
    <row r="244" spans="1:63" ht="14.1" customHeight="1">
      <c r="A244" s="2">
        <v>137</v>
      </c>
      <c r="B244" s="2" t="s">
        <v>19</v>
      </c>
      <c r="C244" s="1" t="s">
        <v>85</v>
      </c>
      <c r="D244" s="1">
        <v>2021</v>
      </c>
      <c r="E244" s="1">
        <v>2019</v>
      </c>
      <c r="F244" s="1" t="s">
        <v>163</v>
      </c>
      <c r="G244" s="1" t="s">
        <v>117</v>
      </c>
      <c r="H244" s="1">
        <v>53.832859999999997</v>
      </c>
      <c r="I244" s="1">
        <v>127.168154</v>
      </c>
      <c r="J244" s="1" t="s">
        <v>382</v>
      </c>
      <c r="K244" s="1" t="s">
        <v>172</v>
      </c>
      <c r="L244" s="1" t="s">
        <v>173</v>
      </c>
      <c r="M244" s="1" t="s">
        <v>236</v>
      </c>
      <c r="N244" s="1" t="s">
        <v>238</v>
      </c>
      <c r="O244" s="1" t="s">
        <v>86</v>
      </c>
      <c r="Q244" s="1" t="s">
        <v>93</v>
      </c>
      <c r="R244" s="1">
        <v>2003</v>
      </c>
      <c r="S244" s="1">
        <v>16</v>
      </c>
      <c r="T244" s="12">
        <f>S244*12</f>
        <v>192</v>
      </c>
      <c r="V244" s="1">
        <v>24500</v>
      </c>
      <c r="W244" s="1">
        <v>1</v>
      </c>
      <c r="X244" s="1">
        <v>1</v>
      </c>
      <c r="Y244" s="1" t="s">
        <v>134</v>
      </c>
      <c r="Z244" s="1" t="s">
        <v>133</v>
      </c>
      <c r="AA244" s="1" t="s">
        <v>1</v>
      </c>
      <c r="AB244" s="1" t="s">
        <v>98</v>
      </c>
      <c r="AC244" s="1" t="s">
        <v>158</v>
      </c>
      <c r="AD244" s="1" t="s">
        <v>203</v>
      </c>
      <c r="AE244" s="1" t="s">
        <v>100</v>
      </c>
      <c r="AF244" s="12" t="str">
        <f>J244&amp;"_"&amp;"Richness"</f>
        <v>ECM_Richness</v>
      </c>
      <c r="AG244" s="1" t="s">
        <v>331</v>
      </c>
      <c r="AH244" s="7">
        <v>3.68</v>
      </c>
      <c r="AI244" s="7">
        <f>AJ244*SQRT(X244)</f>
        <v>0.22</v>
      </c>
      <c r="AJ244" s="7">
        <v>0.22</v>
      </c>
      <c r="AK244" s="7">
        <v>6.85</v>
      </c>
      <c r="AL244" s="7">
        <f>AM244*SQRT(W244)</f>
        <v>0.31</v>
      </c>
      <c r="AM244" s="7">
        <v>0.31</v>
      </c>
      <c r="AN244" s="12">
        <f>AH244-AK244</f>
        <v>-3.1699999999999995</v>
      </c>
      <c r="AO244" s="1" t="e">
        <f>SQRT((((X244-1)*AI244^2)+((W244-1)*AL244^2))/(X244+W244-2))</f>
        <v>#DIV/0!</v>
      </c>
      <c r="AP244" s="1" t="e">
        <f>AN244/AO244</f>
        <v>#DIV/0!</v>
      </c>
      <c r="AQ244" s="1" t="e">
        <f>1/X244+1/W244+(AP244^2)/(2*(X244+W244))</f>
        <v>#DIV/0!</v>
      </c>
      <c r="AR244" s="1">
        <f>1-(3/(4*(X244+W244-2)-1))</f>
        <v>4</v>
      </c>
      <c r="AS244" s="1" t="e">
        <f>AP244*AR244</f>
        <v>#DIV/0!</v>
      </c>
      <c r="AU244" s="1" t="e">
        <f>SQRT(AQ244*AR244^2)</f>
        <v>#DIV/0!</v>
      </c>
      <c r="AY244" s="14"/>
      <c r="AZ244" s="14"/>
      <c r="BA244" s="1" t="s">
        <v>270</v>
      </c>
      <c r="BB244" s="2"/>
    </row>
    <row r="245" spans="1:63" ht="14.1" customHeight="1">
      <c r="A245" s="2">
        <v>137</v>
      </c>
      <c r="B245" s="2" t="s">
        <v>19</v>
      </c>
      <c r="C245" s="1" t="s">
        <v>85</v>
      </c>
      <c r="D245" s="1">
        <v>2021</v>
      </c>
      <c r="E245" s="1">
        <v>2019</v>
      </c>
      <c r="F245" s="1" t="s">
        <v>163</v>
      </c>
      <c r="G245" s="1" t="s">
        <v>117</v>
      </c>
      <c r="H245" s="1">
        <v>53.832859999999997</v>
      </c>
      <c r="I245" s="1">
        <v>127.168154</v>
      </c>
      <c r="J245" s="1" t="s">
        <v>382</v>
      </c>
      <c r="K245" s="1" t="s">
        <v>172</v>
      </c>
      <c r="L245" s="1" t="s">
        <v>173</v>
      </c>
      <c r="M245" s="1" t="s">
        <v>236</v>
      </c>
      <c r="N245" s="1" t="s">
        <v>238</v>
      </c>
      <c r="O245" s="1" t="s">
        <v>86</v>
      </c>
      <c r="Q245" s="1" t="s">
        <v>93</v>
      </c>
      <c r="R245" s="1">
        <v>2003</v>
      </c>
      <c r="S245" s="1">
        <v>16</v>
      </c>
      <c r="T245" s="12">
        <f>S245*12</f>
        <v>192</v>
      </c>
      <c r="V245" s="1">
        <v>24500</v>
      </c>
      <c r="W245" s="1">
        <v>1</v>
      </c>
      <c r="X245" s="1">
        <v>1</v>
      </c>
      <c r="Y245" s="1" t="s">
        <v>134</v>
      </c>
      <c r="Z245" s="1" t="s">
        <v>133</v>
      </c>
      <c r="AA245" s="1" t="s">
        <v>1</v>
      </c>
      <c r="AB245" s="1" t="s">
        <v>98</v>
      </c>
      <c r="AC245" s="1" t="s">
        <v>158</v>
      </c>
      <c r="AD245" s="1" t="s">
        <v>203</v>
      </c>
      <c r="AE245" s="1" t="s">
        <v>100</v>
      </c>
      <c r="AF245" s="12" t="str">
        <f xml:space="preserve"> J245&amp;"_"&amp;"Shannon_diversity"</f>
        <v>ECM_Shannon_diversity</v>
      </c>
      <c r="AG245" s="1" t="s">
        <v>331</v>
      </c>
      <c r="AH245" s="7"/>
      <c r="AI245" s="7" t="s">
        <v>2</v>
      </c>
      <c r="AJ245" s="7" t="s">
        <v>2</v>
      </c>
      <c r="AK245" s="7"/>
      <c r="AL245" s="7" t="s">
        <v>2</v>
      </c>
      <c r="AM245" s="7" t="s">
        <v>2</v>
      </c>
      <c r="AN245" s="12">
        <f>AH245-AK245</f>
        <v>0</v>
      </c>
      <c r="AO245" s="1" t="e">
        <f>SQRT((((X245-1)*AI245^2)+((W245-1)*AL245^2))/(X245+W245-2))</f>
        <v>#VALUE!</v>
      </c>
      <c r="AP245" s="1" t="e">
        <f>AN245/AO245</f>
        <v>#VALUE!</v>
      </c>
      <c r="AQ245" s="1" t="e">
        <f>1/X245+1/W245+(AP245^2)/(2*(X245+W245))</f>
        <v>#VALUE!</v>
      </c>
      <c r="AR245" s="1">
        <f>1-(3/(4*(X245+W245-2)-1))</f>
        <v>4</v>
      </c>
      <c r="AS245" s="1" t="e">
        <f>AP245*AR245</f>
        <v>#VALUE!</v>
      </c>
      <c r="AU245" s="1" t="e">
        <f>SQRT(AQ245*AR245^2)</f>
        <v>#VALUE!</v>
      </c>
      <c r="AY245" s="14"/>
      <c r="AZ245" s="14"/>
      <c r="BA245" s="1" t="s">
        <v>270</v>
      </c>
      <c r="BB245" s="2"/>
    </row>
    <row r="246" spans="1:63" ht="14.1" customHeight="1">
      <c r="A246" s="2">
        <v>137</v>
      </c>
      <c r="B246" s="2" t="s">
        <v>19</v>
      </c>
      <c r="C246" s="1" t="s">
        <v>85</v>
      </c>
      <c r="D246" s="1">
        <v>2021</v>
      </c>
      <c r="E246" s="1">
        <v>2019</v>
      </c>
      <c r="F246" s="1" t="s">
        <v>163</v>
      </c>
      <c r="G246" s="1" t="s">
        <v>117</v>
      </c>
      <c r="H246" s="1">
        <v>53.832859999999997</v>
      </c>
      <c r="I246" s="1">
        <v>127.168154</v>
      </c>
      <c r="J246" s="1" t="s">
        <v>382</v>
      </c>
      <c r="K246" s="1" t="s">
        <v>172</v>
      </c>
      <c r="L246" s="1" t="s">
        <v>173</v>
      </c>
      <c r="M246" s="1" t="s">
        <v>236</v>
      </c>
      <c r="N246" s="1" t="s">
        <v>238</v>
      </c>
      <c r="O246" s="1" t="s">
        <v>86</v>
      </c>
      <c r="Q246" s="1" t="s">
        <v>93</v>
      </c>
      <c r="R246" s="1">
        <v>2003</v>
      </c>
      <c r="S246" s="1">
        <v>16</v>
      </c>
      <c r="T246" s="12">
        <f>S246*12</f>
        <v>192</v>
      </c>
      <c r="V246" s="1">
        <v>24500</v>
      </c>
      <c r="W246" s="1">
        <v>1</v>
      </c>
      <c r="X246" s="1">
        <v>1</v>
      </c>
      <c r="Y246" s="1" t="s">
        <v>134</v>
      </c>
      <c r="Z246" s="1" t="s">
        <v>133</v>
      </c>
      <c r="AA246" s="1" t="s">
        <v>1</v>
      </c>
      <c r="AB246" s="1" t="s">
        <v>98</v>
      </c>
      <c r="AC246" s="1" t="s">
        <v>158</v>
      </c>
      <c r="AD246" s="1" t="s">
        <v>203</v>
      </c>
      <c r="AE246" s="1" t="s">
        <v>100</v>
      </c>
      <c r="AF246" s="1" t="str">
        <f>J246&amp;"_"&amp;"Simpson_diversity"</f>
        <v>ECM_Simpson_diversity</v>
      </c>
      <c r="AG246" s="1" t="s">
        <v>331</v>
      </c>
      <c r="AH246" s="7"/>
      <c r="AI246" s="7" t="s">
        <v>2</v>
      </c>
      <c r="AJ246" s="7" t="s">
        <v>2</v>
      </c>
      <c r="AK246" s="7"/>
      <c r="AL246" s="7" t="s">
        <v>2</v>
      </c>
      <c r="AM246" s="7" t="s">
        <v>2</v>
      </c>
      <c r="AN246" s="12">
        <f>AH246-AK246</f>
        <v>0</v>
      </c>
      <c r="AO246" s="1" t="e">
        <f>SQRT((((X246-1)*AI246^2)+((W246-1)*AL246^2))/(X246+W246-2))</f>
        <v>#VALUE!</v>
      </c>
      <c r="AP246" s="1" t="e">
        <f>AN246/AO246</f>
        <v>#VALUE!</v>
      </c>
      <c r="AQ246" s="1" t="e">
        <f>1/X246+1/W246+(AP246^2)/(2*(X246+W246))</f>
        <v>#VALUE!</v>
      </c>
      <c r="AR246" s="1">
        <f>1-(3/(4*(X246+W246-2)-1))</f>
        <v>4</v>
      </c>
      <c r="AS246" s="1" t="e">
        <f>AP246*AR246</f>
        <v>#VALUE!</v>
      </c>
      <c r="AU246" s="1" t="e">
        <f>SQRT(AQ246*AR246^2)</f>
        <v>#VALUE!</v>
      </c>
      <c r="AY246" s="14"/>
      <c r="AZ246" s="14"/>
      <c r="BA246" s="1" t="s">
        <v>270</v>
      </c>
      <c r="BB246" s="2"/>
    </row>
    <row r="247" spans="1:63" ht="14.1" customHeight="1">
      <c r="A247" s="2">
        <v>137</v>
      </c>
      <c r="B247" s="2" t="s">
        <v>19</v>
      </c>
      <c r="C247" s="1" t="s">
        <v>85</v>
      </c>
      <c r="D247" s="1">
        <v>2021</v>
      </c>
      <c r="E247" s="1">
        <v>2019</v>
      </c>
      <c r="F247" s="1" t="s">
        <v>163</v>
      </c>
      <c r="G247" s="1" t="s">
        <v>117</v>
      </c>
      <c r="H247" s="1">
        <v>53.832859999999997</v>
      </c>
      <c r="I247" s="1">
        <v>127.168154</v>
      </c>
      <c r="J247" s="1" t="s">
        <v>382</v>
      </c>
      <c r="K247" s="1" t="s">
        <v>172</v>
      </c>
      <c r="L247" s="1" t="s">
        <v>173</v>
      </c>
      <c r="M247" s="1" t="s">
        <v>236</v>
      </c>
      <c r="N247" s="1" t="s">
        <v>238</v>
      </c>
      <c r="O247" s="1" t="s">
        <v>86</v>
      </c>
      <c r="Q247" s="1" t="s">
        <v>93</v>
      </c>
      <c r="R247" s="1">
        <v>2003</v>
      </c>
      <c r="S247" s="1">
        <v>16</v>
      </c>
      <c r="T247" s="16">
        <f>S247*12</f>
        <v>192</v>
      </c>
      <c r="V247" s="1">
        <v>24500</v>
      </c>
      <c r="W247" s="1">
        <v>1</v>
      </c>
      <c r="X247" s="1">
        <v>1</v>
      </c>
      <c r="Y247" s="1" t="s">
        <v>134</v>
      </c>
      <c r="Z247" s="1" t="s">
        <v>133</v>
      </c>
      <c r="AA247" s="1" t="s">
        <v>1</v>
      </c>
      <c r="AB247" s="1" t="s">
        <v>98</v>
      </c>
      <c r="AC247" s="1" t="s">
        <v>158</v>
      </c>
      <c r="AD247" s="1" t="s">
        <v>203</v>
      </c>
      <c r="AE247" s="1" t="s">
        <v>100</v>
      </c>
      <c r="AF247" s="12" t="str">
        <f>J247&amp;"_"&amp;"NMDS_ordination"</f>
        <v>ECM_NMDS_ordination</v>
      </c>
      <c r="AG247" s="12" t="s">
        <v>315</v>
      </c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" t="s">
        <v>285</v>
      </c>
    </row>
    <row r="248" spans="1:63" s="12" customFormat="1" ht="14.1" customHeight="1">
      <c r="A248" s="2">
        <v>497</v>
      </c>
      <c r="B248" s="2" t="s">
        <v>66</v>
      </c>
      <c r="C248" s="1" t="s">
        <v>85</v>
      </c>
      <c r="D248" s="1">
        <v>2023</v>
      </c>
      <c r="E248" s="1">
        <v>2020</v>
      </c>
      <c r="F248" s="1" t="s">
        <v>96</v>
      </c>
      <c r="G248" s="1" t="s">
        <v>109</v>
      </c>
      <c r="H248" s="1">
        <v>-35.136108</v>
      </c>
      <c r="I248" s="1">
        <v>150.68715700000001</v>
      </c>
      <c r="J248" s="1" t="s">
        <v>128</v>
      </c>
      <c r="K248" s="1" t="s">
        <v>112</v>
      </c>
      <c r="L248" s="1" t="s">
        <v>257</v>
      </c>
      <c r="M248" s="1" t="s">
        <v>237</v>
      </c>
      <c r="N248" s="1" t="s">
        <v>238</v>
      </c>
      <c r="O248" s="1" t="s">
        <v>86</v>
      </c>
      <c r="P248" s="1" t="s">
        <v>2</v>
      </c>
      <c r="Q248" s="1" t="s">
        <v>255</v>
      </c>
      <c r="R248" s="1">
        <v>2001</v>
      </c>
      <c r="S248" s="1">
        <v>19</v>
      </c>
      <c r="T248" s="12">
        <f>S248*12</f>
        <v>228</v>
      </c>
      <c r="U248" s="1"/>
      <c r="V248" s="1" t="s">
        <v>2</v>
      </c>
      <c r="W248" s="1">
        <v>6</v>
      </c>
      <c r="X248" s="1">
        <v>18</v>
      </c>
      <c r="Y248" s="1" t="s">
        <v>97</v>
      </c>
      <c r="Z248" s="1" t="s">
        <v>133</v>
      </c>
      <c r="AA248" s="1" t="s">
        <v>1</v>
      </c>
      <c r="AB248" s="1" t="s">
        <v>98</v>
      </c>
      <c r="AC248" s="1" t="s">
        <v>202</v>
      </c>
      <c r="AD248" s="1" t="s">
        <v>99</v>
      </c>
      <c r="AE248" s="1" t="s">
        <v>102</v>
      </c>
      <c r="AF248" s="1" t="s">
        <v>222</v>
      </c>
      <c r="AG248" s="1" t="s">
        <v>326</v>
      </c>
      <c r="AH248" s="12">
        <v>370.15</v>
      </c>
      <c r="AI248" s="12">
        <v>71.69</v>
      </c>
      <c r="AK248" s="12">
        <v>392.83</v>
      </c>
      <c r="AL248" s="12">
        <v>131.32</v>
      </c>
      <c r="AN248" s="12">
        <f>AH248-AK248</f>
        <v>-22.680000000000007</v>
      </c>
      <c r="AO248" s="1">
        <f>SQRT((((X248-1)*AI248^2)+((W248-1)*AL248^2))/(X248+W248-2))</f>
        <v>88.829628989226535</v>
      </c>
      <c r="AP248" s="1">
        <f>AN248/AO248</f>
        <v>-0.25532021531634103</v>
      </c>
      <c r="AQ248" s="1">
        <f>1/X248+1/W248+(AP248^2)/(2*(X248+W248))</f>
        <v>0.22358031414616353</v>
      </c>
      <c r="AR248" s="1">
        <f>1-(3/(4*(X248+W248-2)-1))</f>
        <v>0.96551724137931039</v>
      </c>
      <c r="AS248" s="21">
        <f>AP248*AR248</f>
        <v>-0.24651606996060513</v>
      </c>
      <c r="AT248" s="21">
        <f>AQ248*(AR248^2)</f>
        <v>0.20842683268798126</v>
      </c>
      <c r="AU248" s="21">
        <f>SQRT(AQ248*AR248^2)</f>
        <v>0.45653787650969474</v>
      </c>
      <c r="AV248" s="20">
        <f>1/AT248</f>
        <v>4.7978467412447712</v>
      </c>
      <c r="AW248" s="20">
        <f>AS248/AT248</f>
        <v>-1.1827463229249573</v>
      </c>
      <c r="AX248" s="20">
        <f>((AS248)^2)/AT248</f>
        <v>0.29156597528781725</v>
      </c>
      <c r="AY248" s="14"/>
      <c r="AZ248" s="14"/>
      <c r="BA248" s="1" t="s">
        <v>270</v>
      </c>
      <c r="BB248" s="2"/>
      <c r="BC248" s="1"/>
      <c r="BD248" s="1"/>
      <c r="BE248" s="1"/>
      <c r="BF248" s="1"/>
      <c r="BG248" s="1"/>
      <c r="BH248" s="1"/>
      <c r="BI248" s="1"/>
      <c r="BJ248" s="1"/>
      <c r="BK248" s="1"/>
    </row>
    <row r="249" spans="1:63" s="12" customFormat="1" ht="14.1" customHeight="1">
      <c r="A249" s="2">
        <v>133</v>
      </c>
      <c r="B249" s="2" t="s">
        <v>18</v>
      </c>
      <c r="C249" s="1" t="s">
        <v>85</v>
      </c>
      <c r="D249" s="1">
        <v>2004</v>
      </c>
      <c r="E249" s="1">
        <v>1996</v>
      </c>
      <c r="F249" s="1" t="s">
        <v>143</v>
      </c>
      <c r="G249" s="1" t="s">
        <v>142</v>
      </c>
      <c r="H249" s="1">
        <v>39.833232000000002</v>
      </c>
      <c r="I249" s="1">
        <v>-74.387434999999996</v>
      </c>
      <c r="J249" s="1" t="s">
        <v>135</v>
      </c>
      <c r="K249" s="1" t="s">
        <v>176</v>
      </c>
      <c r="L249" s="1" t="s">
        <v>198</v>
      </c>
      <c r="M249" s="1" t="s">
        <v>236</v>
      </c>
      <c r="N249" s="1" t="s">
        <v>238</v>
      </c>
      <c r="O249" s="1" t="s">
        <v>121</v>
      </c>
      <c r="P249" s="1" t="s">
        <v>146</v>
      </c>
      <c r="Q249" s="1" t="s">
        <v>93</v>
      </c>
      <c r="R249" s="1">
        <v>1996</v>
      </c>
      <c r="S249" s="1" t="s">
        <v>156</v>
      </c>
      <c r="T249" s="1">
        <v>11</v>
      </c>
      <c r="U249" s="1"/>
      <c r="V249" s="1" t="s">
        <v>2</v>
      </c>
      <c r="W249" s="1">
        <v>3</v>
      </c>
      <c r="X249" s="1">
        <v>3</v>
      </c>
      <c r="Y249" s="1" t="s">
        <v>134</v>
      </c>
      <c r="Z249" s="1" t="s">
        <v>232</v>
      </c>
      <c r="AA249" s="1" t="s">
        <v>0</v>
      </c>
      <c r="AB249" s="1" t="s">
        <v>148</v>
      </c>
      <c r="AC249" s="1" t="s">
        <v>2</v>
      </c>
      <c r="AD249" s="1" t="s">
        <v>2</v>
      </c>
      <c r="AE249" s="1" t="s">
        <v>2</v>
      </c>
      <c r="AF249" s="1" t="s">
        <v>222</v>
      </c>
      <c r="AG249" s="1" t="s">
        <v>318</v>
      </c>
      <c r="AH249" s="1">
        <v>6.21</v>
      </c>
      <c r="AI249" s="1">
        <f>AJ249*(SQRT(X249))</f>
        <v>0.67549981495186151</v>
      </c>
      <c r="AJ249" s="1">
        <f>6.6-AH249</f>
        <v>0.38999999999999968</v>
      </c>
      <c r="AK249" s="1">
        <v>6.46</v>
      </c>
      <c r="AL249" s="1">
        <f>AM249*(SQRT(W249))</f>
        <v>0.9353074360871938</v>
      </c>
      <c r="AM249" s="1">
        <f>7-AK249</f>
        <v>0.54</v>
      </c>
      <c r="AN249" s="12">
        <f>AH249-AK249</f>
        <v>-0.25</v>
      </c>
      <c r="AO249" s="1">
        <f>SQRT((((X249-1)*AI249^2)+((W249-1)*AL249^2))/(X249+W249-2))</f>
        <v>0.81581247845322868</v>
      </c>
      <c r="AP249" s="1">
        <f>AN249/AO249</f>
        <v>-0.30644297139705096</v>
      </c>
      <c r="AQ249" s="1">
        <f>1/X249+1/W249+(AP249^2)/(2*(X249+W249))</f>
        <v>0.67449227455988781</v>
      </c>
      <c r="AR249" s="1">
        <f>1-(3/(4*(X249+W249-2)-1))</f>
        <v>0.8</v>
      </c>
      <c r="AS249" s="21">
        <f>AP249*AR249</f>
        <v>-0.24515437711764076</v>
      </c>
      <c r="AT249" s="21">
        <f>AQ249*(AR249^2)</f>
        <v>0.43167505571832826</v>
      </c>
      <c r="AU249" s="21">
        <f>SQRT(AQ249*AR249^2)</f>
        <v>0.65701982901456502</v>
      </c>
      <c r="AV249" s="20">
        <f>1/AT249</f>
        <v>2.3165572964042398</v>
      </c>
      <c r="AW249" s="20">
        <f>AS249/AT249</f>
        <v>-0.5679141610573073</v>
      </c>
      <c r="AX249" s="20">
        <f>((AS249)^2)/AT249</f>
        <v>0.13922664241029167</v>
      </c>
      <c r="AY249" s="14"/>
      <c r="AZ249" s="14"/>
      <c r="BA249" s="1" t="s">
        <v>270</v>
      </c>
      <c r="BB249" s="2"/>
      <c r="BC249" s="1"/>
      <c r="BD249" s="1"/>
      <c r="BE249" s="1"/>
      <c r="BF249" s="1"/>
      <c r="BG249" s="1"/>
      <c r="BH249" s="1"/>
      <c r="BI249" s="1"/>
      <c r="BJ249" s="1"/>
      <c r="BK249" s="1"/>
    </row>
    <row r="250" spans="1:63" s="12" customFormat="1" ht="14.1" customHeight="1">
      <c r="A250" s="2">
        <v>121</v>
      </c>
      <c r="B250" s="2" t="s">
        <v>17</v>
      </c>
      <c r="C250" s="12" t="s">
        <v>85</v>
      </c>
      <c r="D250" s="12">
        <v>2014</v>
      </c>
      <c r="E250" s="12">
        <v>2009</v>
      </c>
      <c r="F250" s="12" t="s">
        <v>136</v>
      </c>
      <c r="G250" s="12" t="s">
        <v>161</v>
      </c>
      <c r="H250" s="12">
        <v>55.345132999999997</v>
      </c>
      <c r="I250" s="12">
        <v>21.021471999999999</v>
      </c>
      <c r="J250" s="12" t="s">
        <v>126</v>
      </c>
      <c r="K250" s="12" t="s">
        <v>176</v>
      </c>
      <c r="L250" s="12" t="s">
        <v>193</v>
      </c>
      <c r="M250" s="12" t="s">
        <v>236</v>
      </c>
      <c r="N250" s="12" t="s">
        <v>311</v>
      </c>
      <c r="O250" s="12" t="s">
        <v>86</v>
      </c>
      <c r="P250" s="12" t="s">
        <v>129</v>
      </c>
      <c r="Q250" s="12" t="s">
        <v>93</v>
      </c>
      <c r="R250" s="12">
        <v>2006</v>
      </c>
      <c r="S250" s="12">
        <v>3</v>
      </c>
      <c r="T250" s="16">
        <f>S250*12</f>
        <v>36</v>
      </c>
      <c r="V250" s="12">
        <v>230</v>
      </c>
      <c r="W250" s="12">
        <v>3</v>
      </c>
      <c r="X250" s="12">
        <v>3</v>
      </c>
      <c r="Y250" s="12" t="s">
        <v>114</v>
      </c>
      <c r="Z250" s="12" t="s">
        <v>2</v>
      </c>
      <c r="AA250" s="12" t="s">
        <v>0</v>
      </c>
      <c r="AB250" s="12" t="s">
        <v>2</v>
      </c>
      <c r="AC250" s="12" t="s">
        <v>2</v>
      </c>
      <c r="AD250" s="12" t="s">
        <v>2</v>
      </c>
      <c r="AE250" s="12" t="s">
        <v>2</v>
      </c>
      <c r="AF250" s="12" t="s">
        <v>256</v>
      </c>
      <c r="AG250" s="12" t="s">
        <v>330</v>
      </c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2" t="s">
        <v>285</v>
      </c>
    </row>
    <row r="251" spans="1:63" s="12" customFormat="1" ht="14.1" customHeight="1">
      <c r="A251" s="2">
        <v>96</v>
      </c>
      <c r="B251" s="2" t="s">
        <v>13</v>
      </c>
      <c r="C251" s="1" t="s">
        <v>85</v>
      </c>
      <c r="D251" s="1">
        <v>2011</v>
      </c>
      <c r="E251" s="1">
        <v>2006</v>
      </c>
      <c r="F251" s="1" t="s">
        <v>164</v>
      </c>
      <c r="G251" s="1" t="s">
        <v>161</v>
      </c>
      <c r="H251" s="1">
        <v>-41.255277999999997</v>
      </c>
      <c r="I251" s="1">
        <v>-71.281389000000004</v>
      </c>
      <c r="J251" s="1" t="s">
        <v>135</v>
      </c>
      <c r="K251" s="1" t="s">
        <v>196</v>
      </c>
      <c r="L251" s="1" t="s">
        <v>197</v>
      </c>
      <c r="M251" s="1" t="s">
        <v>237</v>
      </c>
      <c r="N251" s="1" t="s">
        <v>238</v>
      </c>
      <c r="O251" s="1" t="s">
        <v>86</v>
      </c>
      <c r="P251" s="1"/>
      <c r="Q251" s="1" t="s">
        <v>93</v>
      </c>
      <c r="R251" s="1">
        <v>1998</v>
      </c>
      <c r="S251" s="19">
        <v>8</v>
      </c>
      <c r="T251" s="12">
        <f>S251*12</f>
        <v>96</v>
      </c>
      <c r="U251" s="9"/>
      <c r="V251" s="1"/>
      <c r="W251" s="1">
        <v>30</v>
      </c>
      <c r="X251" s="1">
        <v>30</v>
      </c>
      <c r="Y251" s="1" t="s">
        <v>134</v>
      </c>
      <c r="Z251" s="1" t="s">
        <v>154</v>
      </c>
      <c r="AA251" s="1" t="s">
        <v>1</v>
      </c>
      <c r="AB251" s="1" t="s">
        <v>148</v>
      </c>
      <c r="AC251" s="1" t="s">
        <v>2</v>
      </c>
      <c r="AD251" s="12" t="s">
        <v>2</v>
      </c>
      <c r="AE251" s="12" t="s">
        <v>2</v>
      </c>
      <c r="AF251" s="12" t="s">
        <v>222</v>
      </c>
      <c r="AG251" s="12" t="s">
        <v>318</v>
      </c>
      <c r="AH251" s="12">
        <v>7.7</v>
      </c>
      <c r="AI251" s="12">
        <f>AJ251*SQRT(X251)</f>
        <v>3.8340579025361636</v>
      </c>
      <c r="AJ251" s="12">
        <f>8.4-AH251</f>
        <v>0.70000000000000018</v>
      </c>
      <c r="AK251" s="12">
        <v>8.4</v>
      </c>
      <c r="AL251" s="12">
        <f>AM251*SQRT(W251)</f>
        <v>1.6431676725154925</v>
      </c>
      <c r="AM251" s="12">
        <f>8.7-AK251</f>
        <v>0.29999999999999893</v>
      </c>
      <c r="AN251" s="12">
        <f>AH251-AK251</f>
        <v>-0.70000000000000018</v>
      </c>
      <c r="AO251" s="1">
        <f>SQRT((((X251-1)*AI251^2)+((W251-1)*AL251^2))/(X251+W251-2))</f>
        <v>2.9495762407505239</v>
      </c>
      <c r="AP251" s="1">
        <f>AN251/AO251</f>
        <v>-0.2373222262672838</v>
      </c>
      <c r="AQ251" s="1">
        <f>1/X251+1/W251+(AP251^2)/(2*(X251+W251))</f>
        <v>6.7136015325670498E-2</v>
      </c>
      <c r="AR251" s="1">
        <f>1-(3/(4*(X251+W251-2)-1))</f>
        <v>0.98701298701298701</v>
      </c>
      <c r="AS251" s="21">
        <f>AP251*AR251</f>
        <v>-0.23424011943264375</v>
      </c>
      <c r="AT251" s="21">
        <f>AQ251*(AR251^2)</f>
        <v>6.5403546048418415E-2</v>
      </c>
      <c r="AU251" s="21">
        <f>SQRT(AQ251*AR251^2)</f>
        <v>0.25574117003020536</v>
      </c>
      <c r="AV251" s="20">
        <f>1/AT251</f>
        <v>15.289690856512541</v>
      </c>
      <c r="AW251" s="20">
        <f>AS251/AT251</f>
        <v>-3.581459012317699</v>
      </c>
      <c r="AX251" s="20">
        <f>((AS251)^2)/AT251</f>
        <v>0.8389213867884161</v>
      </c>
      <c r="AY251" s="14"/>
      <c r="AZ251" s="14"/>
      <c r="BA251" s="1" t="s">
        <v>270</v>
      </c>
      <c r="BB251" s="2"/>
      <c r="BC251" s="1"/>
      <c r="BD251" s="1"/>
      <c r="BE251" s="1"/>
      <c r="BF251" s="1"/>
      <c r="BG251" s="1"/>
      <c r="BH251" s="1"/>
      <c r="BI251" s="1"/>
      <c r="BJ251" s="1"/>
      <c r="BK251" s="1"/>
    </row>
    <row r="252" spans="1:63" s="12" customFormat="1" ht="14.1" customHeight="1">
      <c r="A252" s="2">
        <v>96</v>
      </c>
      <c r="B252" s="2" t="s">
        <v>13</v>
      </c>
      <c r="C252" s="1" t="s">
        <v>85</v>
      </c>
      <c r="D252" s="1">
        <v>2011</v>
      </c>
      <c r="E252" s="1">
        <v>2006</v>
      </c>
      <c r="F252" s="1" t="s">
        <v>164</v>
      </c>
      <c r="G252" s="1" t="s">
        <v>161</v>
      </c>
      <c r="H252" s="1">
        <v>-41.255277999999997</v>
      </c>
      <c r="I252" s="1">
        <v>-71.281389000000004</v>
      </c>
      <c r="J252" s="1" t="s">
        <v>135</v>
      </c>
      <c r="K252" s="1" t="s">
        <v>196</v>
      </c>
      <c r="L252" s="1" t="s">
        <v>197</v>
      </c>
      <c r="M252" s="1" t="s">
        <v>237</v>
      </c>
      <c r="N252" s="1" t="s">
        <v>238</v>
      </c>
      <c r="O252" s="1" t="s">
        <v>86</v>
      </c>
      <c r="P252" s="1"/>
      <c r="Q252" s="1" t="s">
        <v>93</v>
      </c>
      <c r="R252" s="1">
        <v>1996</v>
      </c>
      <c r="S252" s="19">
        <v>10</v>
      </c>
      <c r="T252" s="12">
        <f>S252*12</f>
        <v>120</v>
      </c>
      <c r="U252" s="9"/>
      <c r="V252" s="1"/>
      <c r="W252" s="1">
        <v>30</v>
      </c>
      <c r="X252" s="1">
        <v>30</v>
      </c>
      <c r="Y252" s="1" t="s">
        <v>134</v>
      </c>
      <c r="Z252" s="1" t="s">
        <v>154</v>
      </c>
      <c r="AA252" s="1" t="s">
        <v>1</v>
      </c>
      <c r="AB252" s="1" t="s">
        <v>148</v>
      </c>
      <c r="AC252" s="1" t="s">
        <v>2</v>
      </c>
      <c r="AD252" s="12" t="s">
        <v>2</v>
      </c>
      <c r="AE252" s="12" t="s">
        <v>2</v>
      </c>
      <c r="AF252" s="12" t="s">
        <v>222</v>
      </c>
      <c r="AG252" s="12" t="s">
        <v>318</v>
      </c>
      <c r="AH252" s="12">
        <v>7.3</v>
      </c>
      <c r="AI252" s="12">
        <f>AJ252*SQRT(X252)</f>
        <v>4.9295030175464918</v>
      </c>
      <c r="AJ252" s="12">
        <f>8.2-AH252</f>
        <v>0.89999999999999947</v>
      </c>
      <c r="AK252" s="12">
        <v>8.1</v>
      </c>
      <c r="AL252" s="12">
        <f>AM252*SQRT(W252)</f>
        <v>0</v>
      </c>
      <c r="AM252" s="12">
        <v>0</v>
      </c>
      <c r="AN252" s="12">
        <f>AH252-AK252</f>
        <v>-0.79999999999999982</v>
      </c>
      <c r="AO252" s="1">
        <f>SQRT((((X252-1)*AI252^2)+((W252-1)*AL252^2))/(X252+W252-2))</f>
        <v>3.4856850115866731</v>
      </c>
      <c r="AP252" s="1">
        <f>AN252/AO252</f>
        <v>-0.22951012421969885</v>
      </c>
      <c r="AQ252" s="1">
        <f>1/X252+1/W252+(AP252^2)/(2*(X252+W252))</f>
        <v>6.7105624142661177E-2</v>
      </c>
      <c r="AR252" s="1">
        <f>1-(3/(4*(X252+W252-2)-1))</f>
        <v>0.98701298701298701</v>
      </c>
      <c r="AS252" s="21">
        <f>AP252*AR252</f>
        <v>-0.22652947325580666</v>
      </c>
      <c r="AT252" s="21">
        <f>AQ252*(AR252^2)</f>
        <v>6.5373939120932867E-2</v>
      </c>
      <c r="AU252" s="21">
        <f>SQRT(AQ252*AR252^2)</f>
        <v>0.25568327892322734</v>
      </c>
      <c r="AV252" s="20">
        <f>1/AT252</f>
        <v>15.296615340099615</v>
      </c>
      <c r="AW252" s="20">
        <f>AS252/AT252</f>
        <v>-3.4651342155894578</v>
      </c>
      <c r="AX252" s="20">
        <f>((AS252)^2)/AT252</f>
        <v>0.78495502861815269</v>
      </c>
      <c r="AY252" s="14"/>
      <c r="AZ252" s="14"/>
      <c r="BA252" s="1" t="s">
        <v>270</v>
      </c>
      <c r="BB252" s="2"/>
      <c r="BC252" s="1"/>
      <c r="BD252" s="1"/>
      <c r="BE252" s="1"/>
      <c r="BF252" s="1"/>
      <c r="BG252" s="1"/>
      <c r="BH252" s="1"/>
      <c r="BI252" s="1"/>
      <c r="BJ252" s="1"/>
      <c r="BK252" s="1"/>
    </row>
    <row r="253" spans="1:63" s="12" customFormat="1" ht="14.1" customHeight="1">
      <c r="A253" s="2">
        <v>121</v>
      </c>
      <c r="B253" s="2" t="s">
        <v>17</v>
      </c>
      <c r="C253" s="12" t="s">
        <v>85</v>
      </c>
      <c r="D253" s="12">
        <v>2014</v>
      </c>
      <c r="E253" s="12">
        <v>2009</v>
      </c>
      <c r="F253" s="12" t="s">
        <v>136</v>
      </c>
      <c r="G253" s="12" t="s">
        <v>161</v>
      </c>
      <c r="H253" s="12">
        <v>55.345132999999997</v>
      </c>
      <c r="I253" s="12">
        <v>21.021471999999999</v>
      </c>
      <c r="J253" s="12" t="s">
        <v>126</v>
      </c>
      <c r="K253" s="12" t="s">
        <v>176</v>
      </c>
      <c r="L253" s="12" t="s">
        <v>182</v>
      </c>
      <c r="M253" s="12" t="s">
        <v>236</v>
      </c>
      <c r="N253" s="12" t="s">
        <v>238</v>
      </c>
      <c r="O253" s="12" t="s">
        <v>86</v>
      </c>
      <c r="P253" s="12" t="s">
        <v>146</v>
      </c>
      <c r="Q253" s="12" t="s">
        <v>93</v>
      </c>
      <c r="R253" s="12">
        <v>2006</v>
      </c>
      <c r="S253" s="12">
        <v>3</v>
      </c>
      <c r="T253" s="16">
        <f>S253*12</f>
        <v>36</v>
      </c>
      <c r="V253" s="12">
        <v>230</v>
      </c>
      <c r="W253" s="12">
        <v>2</v>
      </c>
      <c r="X253" s="12">
        <v>3</v>
      </c>
      <c r="Y253" s="12" t="s">
        <v>114</v>
      </c>
      <c r="Z253" s="12" t="s">
        <v>2</v>
      </c>
      <c r="AA253" s="12" t="s">
        <v>0</v>
      </c>
      <c r="AB253" s="12" t="s">
        <v>2</v>
      </c>
      <c r="AC253" s="12" t="s">
        <v>2</v>
      </c>
      <c r="AD253" s="12" t="s">
        <v>2</v>
      </c>
      <c r="AE253" s="12" t="s">
        <v>2</v>
      </c>
      <c r="AF253" s="12" t="s">
        <v>256</v>
      </c>
      <c r="AG253" s="12" t="s">
        <v>330</v>
      </c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2" t="s">
        <v>285</v>
      </c>
    </row>
    <row r="254" spans="1:63" ht="14.25" customHeight="1">
      <c r="A254" s="2">
        <v>457</v>
      </c>
      <c r="B254" s="2" t="s">
        <v>59</v>
      </c>
      <c r="C254" s="1" t="s">
        <v>85</v>
      </c>
      <c r="D254" s="1">
        <v>2022</v>
      </c>
      <c r="E254" s="1">
        <v>2019</v>
      </c>
      <c r="F254" s="1" t="s">
        <v>143</v>
      </c>
      <c r="G254" s="1" t="s">
        <v>161</v>
      </c>
      <c r="H254" s="1">
        <v>40.990662999999998</v>
      </c>
      <c r="I254" s="1">
        <v>-106.195426</v>
      </c>
      <c r="J254" s="1" t="s">
        <v>128</v>
      </c>
      <c r="K254" s="1" t="s">
        <v>176</v>
      </c>
      <c r="L254" s="1" t="s">
        <v>186</v>
      </c>
      <c r="M254" s="1" t="s">
        <v>236</v>
      </c>
      <c r="N254" s="1" t="s">
        <v>238</v>
      </c>
      <c r="O254" s="1" t="s">
        <v>86</v>
      </c>
      <c r="P254" s="1" t="s">
        <v>146</v>
      </c>
      <c r="Q254" s="1" t="s">
        <v>93</v>
      </c>
      <c r="R254" s="1">
        <v>2018</v>
      </c>
      <c r="S254" s="1">
        <v>1</v>
      </c>
      <c r="T254" s="12">
        <f>S254*12</f>
        <v>12</v>
      </c>
      <c r="W254" s="1">
        <v>16</v>
      </c>
      <c r="X254" s="1">
        <v>24</v>
      </c>
      <c r="Y254" s="1" t="s">
        <v>97</v>
      </c>
      <c r="Z254" s="1" t="s">
        <v>130</v>
      </c>
      <c r="AA254" s="1" t="s">
        <v>1</v>
      </c>
      <c r="AB254" s="1" t="s">
        <v>98</v>
      </c>
      <c r="AC254" s="1" t="s">
        <v>202</v>
      </c>
      <c r="AD254" s="1" t="s">
        <v>99</v>
      </c>
      <c r="AE254" s="1" t="s">
        <v>100</v>
      </c>
      <c r="AF254" s="1" t="s">
        <v>149</v>
      </c>
      <c r="AG254" s="1" t="s">
        <v>318</v>
      </c>
      <c r="AH254" s="1">
        <v>2.54</v>
      </c>
      <c r="AI254" s="1">
        <f>2.93-2.2</f>
        <v>0.73</v>
      </c>
      <c r="AK254" s="1">
        <v>3.53</v>
      </c>
      <c r="AL254" s="1">
        <f>4.04-2.84</f>
        <v>1.2000000000000002</v>
      </c>
      <c r="AN254" s="12">
        <f>AH254-AK254</f>
        <v>-0.98999999999999977</v>
      </c>
      <c r="AO254" s="1">
        <f>SQRT((((X254-1)*AI254^2)+((W254-1)*AL254^2))/(X254+W254-2))</f>
        <v>0.94390984181418747</v>
      </c>
      <c r="AP254" s="1">
        <f>AN254/AO254</f>
        <v>-1.048828983599988</v>
      </c>
      <c r="AQ254" s="1">
        <f>1/X254+1/W254+(AP254^2)/(2*(X254+W254))</f>
        <v>0.11791719462715895</v>
      </c>
      <c r="AR254" s="1">
        <f>1-(3/(4*(X254+W254-2)-1))</f>
        <v>0.98013245033112584</v>
      </c>
      <c r="AS254" s="21">
        <f>AP254*AR254</f>
        <v>-1.0279913216741605</v>
      </c>
      <c r="AT254" s="21">
        <f>AQ254*(AR254^2)</f>
        <v>0.11327828740464409</v>
      </c>
      <c r="AU254" s="21">
        <f>SQRT(AQ254*AR254^2)</f>
        <v>0.336568399295959</v>
      </c>
      <c r="AV254" s="20">
        <f>1/AT254</f>
        <v>8.8278170769644149</v>
      </c>
      <c r="AW254" s="20">
        <f>AS254/AT254</f>
        <v>-9.0749193444463732</v>
      </c>
      <c r="AX254" s="20">
        <f>((AS254)^2)/AT254</f>
        <v>9.3289383309838332</v>
      </c>
      <c r="AY254" s="14"/>
      <c r="AZ254" s="14"/>
      <c r="BA254" s="1" t="s">
        <v>270</v>
      </c>
      <c r="BB254" s="2"/>
    </row>
    <row r="255" spans="1:63" ht="14.25" customHeight="1">
      <c r="A255" s="2">
        <v>457</v>
      </c>
      <c r="B255" s="2" t="s">
        <v>59</v>
      </c>
      <c r="C255" s="1" t="s">
        <v>85</v>
      </c>
      <c r="D255" s="1">
        <v>2022</v>
      </c>
      <c r="E255" s="1">
        <v>2019</v>
      </c>
      <c r="F255" s="1" t="s">
        <v>143</v>
      </c>
      <c r="G255" s="1" t="s">
        <v>161</v>
      </c>
      <c r="H255" s="1">
        <v>40.990662999999998</v>
      </c>
      <c r="I255" s="1">
        <v>-106.195426</v>
      </c>
      <c r="J255" s="1" t="s">
        <v>128</v>
      </c>
      <c r="K255" s="1" t="s">
        <v>176</v>
      </c>
      <c r="L255" s="1" t="s">
        <v>186</v>
      </c>
      <c r="M255" s="1" t="s">
        <v>236</v>
      </c>
      <c r="N255" s="1" t="s">
        <v>238</v>
      </c>
      <c r="O255" s="1" t="s">
        <v>86</v>
      </c>
      <c r="P255" s="1" t="s">
        <v>146</v>
      </c>
      <c r="Q255" s="1" t="s">
        <v>93</v>
      </c>
      <c r="R255" s="1">
        <v>2018</v>
      </c>
      <c r="S255" s="1">
        <v>1</v>
      </c>
      <c r="T255" s="16">
        <f>S255*12</f>
        <v>12</v>
      </c>
      <c r="W255" s="1">
        <v>16</v>
      </c>
      <c r="X255" s="1">
        <v>24</v>
      </c>
      <c r="Y255" s="1" t="s">
        <v>97</v>
      </c>
      <c r="Z255" s="1" t="s">
        <v>130</v>
      </c>
      <c r="AA255" s="1" t="s">
        <v>1</v>
      </c>
      <c r="AB255" s="1" t="s">
        <v>98</v>
      </c>
      <c r="AC255" s="1" t="s">
        <v>202</v>
      </c>
      <c r="AD255" s="1" t="s">
        <v>99</v>
      </c>
      <c r="AE255" s="1" t="s">
        <v>100</v>
      </c>
      <c r="AF255" s="1" t="s">
        <v>256</v>
      </c>
      <c r="AG255" s="1" t="s">
        <v>318</v>
      </c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2" t="s">
        <v>285</v>
      </c>
    </row>
    <row r="256" spans="1:63" ht="14.25" customHeight="1">
      <c r="A256" s="2">
        <v>457</v>
      </c>
      <c r="B256" s="2" t="s">
        <v>59</v>
      </c>
      <c r="C256" s="1" t="s">
        <v>85</v>
      </c>
      <c r="D256" s="1">
        <v>2022</v>
      </c>
      <c r="E256" s="1">
        <v>2019</v>
      </c>
      <c r="F256" s="1" t="s">
        <v>143</v>
      </c>
      <c r="G256" s="1" t="s">
        <v>161</v>
      </c>
      <c r="H256" s="1">
        <v>40.990662999999998</v>
      </c>
      <c r="I256" s="1">
        <v>-106.195426</v>
      </c>
      <c r="J256" s="1" t="s">
        <v>128</v>
      </c>
      <c r="K256" s="1" t="s">
        <v>176</v>
      </c>
      <c r="L256" s="1" t="s">
        <v>186</v>
      </c>
      <c r="M256" s="1" t="s">
        <v>236</v>
      </c>
      <c r="N256" s="1" t="s">
        <v>238</v>
      </c>
      <c r="O256" s="1" t="s">
        <v>86</v>
      </c>
      <c r="P256" s="1" t="s">
        <v>146</v>
      </c>
      <c r="Q256" s="1" t="s">
        <v>93</v>
      </c>
      <c r="R256" s="1">
        <v>2018</v>
      </c>
      <c r="S256" s="1">
        <v>1</v>
      </c>
      <c r="T256" s="12">
        <f>S256*12</f>
        <v>12</v>
      </c>
      <c r="W256" s="1">
        <v>16</v>
      </c>
      <c r="X256" s="1">
        <v>24</v>
      </c>
      <c r="Y256" s="1" t="s">
        <v>97</v>
      </c>
      <c r="Z256" s="1" t="s">
        <v>232</v>
      </c>
      <c r="AA256" s="1" t="s">
        <v>1</v>
      </c>
      <c r="AB256" s="1" t="s">
        <v>98</v>
      </c>
      <c r="AC256" s="1" t="s">
        <v>202</v>
      </c>
      <c r="AD256" s="1" t="s">
        <v>99</v>
      </c>
      <c r="AE256" s="1" t="s">
        <v>100</v>
      </c>
      <c r="AF256" s="1" t="s">
        <v>149</v>
      </c>
      <c r="AG256" s="1" t="s">
        <v>318</v>
      </c>
      <c r="AH256" s="1">
        <v>2.67</v>
      </c>
      <c r="AI256" s="1">
        <f>2.88-2.17</f>
        <v>0.71</v>
      </c>
      <c r="AK256" s="1">
        <v>2.67</v>
      </c>
      <c r="AL256" s="1">
        <f>3.2-2.38</f>
        <v>0.82000000000000028</v>
      </c>
      <c r="AN256" s="12">
        <f>AH256-AK256</f>
        <v>0</v>
      </c>
      <c r="AO256" s="1">
        <f>SQRT((((X256-1)*AI256^2)+((W256-1)*AL256^2))/(X256+W256-2))</f>
        <v>0.75533715023578452</v>
      </c>
      <c r="AP256" s="1">
        <f>AN256/AO256</f>
        <v>0</v>
      </c>
      <c r="AQ256" s="1">
        <f>1/X256+1/W256+(AP256^2)/(2*(X256+W256))</f>
        <v>0.10416666666666666</v>
      </c>
      <c r="AR256" s="1">
        <f>1-(3/(4*(X256+W256-2)-1))</f>
        <v>0.98013245033112584</v>
      </c>
      <c r="AS256" s="21">
        <f>AP256*AR256</f>
        <v>0</v>
      </c>
      <c r="AT256" s="21">
        <f>AQ256*(AR256^2)</f>
        <v>0.10006871043667674</v>
      </c>
      <c r="AU256" s="21">
        <f>SQRT(AQ256*AR256^2)</f>
        <v>0.31633638810082654</v>
      </c>
      <c r="AV256" s="20">
        <f>1/AT256</f>
        <v>9.9931336742147572</v>
      </c>
      <c r="AW256" s="20">
        <f>AS256/AT256</f>
        <v>0</v>
      </c>
      <c r="AX256" s="20">
        <f>((AS256)^2)/AT256</f>
        <v>0</v>
      </c>
      <c r="AY256" s="14"/>
      <c r="AZ256" s="14"/>
      <c r="BA256" s="1" t="s">
        <v>270</v>
      </c>
      <c r="BB256" s="2"/>
    </row>
    <row r="257" spans="1:54" ht="14.25" customHeight="1">
      <c r="A257" s="2">
        <v>457</v>
      </c>
      <c r="B257" s="2" t="s">
        <v>59</v>
      </c>
      <c r="C257" s="1" t="s">
        <v>85</v>
      </c>
      <c r="D257" s="1">
        <v>2022</v>
      </c>
      <c r="E257" s="1">
        <v>2019</v>
      </c>
      <c r="F257" s="1" t="s">
        <v>143</v>
      </c>
      <c r="G257" s="1" t="s">
        <v>161</v>
      </c>
      <c r="H257" s="1">
        <v>40.990662999999998</v>
      </c>
      <c r="I257" s="1">
        <v>-106.195426</v>
      </c>
      <c r="J257" s="1" t="s">
        <v>128</v>
      </c>
      <c r="K257" s="1" t="s">
        <v>176</v>
      </c>
      <c r="L257" s="1" t="s">
        <v>186</v>
      </c>
      <c r="M257" s="1" t="s">
        <v>236</v>
      </c>
      <c r="N257" s="1" t="s">
        <v>238</v>
      </c>
      <c r="O257" s="1" t="s">
        <v>86</v>
      </c>
      <c r="P257" s="1" t="s">
        <v>146</v>
      </c>
      <c r="Q257" s="1" t="s">
        <v>93</v>
      </c>
      <c r="R257" s="1">
        <v>2018</v>
      </c>
      <c r="S257" s="1">
        <v>1</v>
      </c>
      <c r="T257" s="16">
        <f>S257*12</f>
        <v>12</v>
      </c>
      <c r="W257" s="1">
        <v>16</v>
      </c>
      <c r="X257" s="1">
        <v>24</v>
      </c>
      <c r="Y257" s="1" t="s">
        <v>97</v>
      </c>
      <c r="Z257" s="1" t="s">
        <v>232</v>
      </c>
      <c r="AA257" s="1" t="s">
        <v>1</v>
      </c>
      <c r="AB257" s="1" t="s">
        <v>98</v>
      </c>
      <c r="AC257" s="1" t="s">
        <v>202</v>
      </c>
      <c r="AD257" s="1" t="s">
        <v>99</v>
      </c>
      <c r="AE257" s="1" t="s">
        <v>100</v>
      </c>
      <c r="AF257" s="1" t="s">
        <v>256</v>
      </c>
      <c r="AG257" s="1" t="s">
        <v>318</v>
      </c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2" t="s">
        <v>285</v>
      </c>
    </row>
    <row r="258" spans="1:54" ht="14.25" customHeight="1">
      <c r="A258" s="2">
        <v>457</v>
      </c>
      <c r="B258" s="2" t="s">
        <v>59</v>
      </c>
      <c r="C258" s="1" t="s">
        <v>85</v>
      </c>
      <c r="D258" s="1">
        <v>2022</v>
      </c>
      <c r="E258" s="1">
        <v>2019</v>
      </c>
      <c r="F258" s="1" t="s">
        <v>143</v>
      </c>
      <c r="G258" s="1" t="s">
        <v>161</v>
      </c>
      <c r="H258" s="1">
        <v>40.990662999999998</v>
      </c>
      <c r="I258" s="1">
        <v>-106.195426</v>
      </c>
      <c r="J258" s="1" t="s">
        <v>128</v>
      </c>
      <c r="K258" s="1" t="s">
        <v>176</v>
      </c>
      <c r="L258" s="1" t="s">
        <v>186</v>
      </c>
      <c r="M258" s="1" t="s">
        <v>236</v>
      </c>
      <c r="N258" s="1" t="s">
        <v>238</v>
      </c>
      <c r="O258" s="1" t="s">
        <v>86</v>
      </c>
      <c r="P258" s="1" t="s">
        <v>210</v>
      </c>
      <c r="Q258" s="1" t="s">
        <v>93</v>
      </c>
      <c r="R258" s="1">
        <v>2018</v>
      </c>
      <c r="S258" s="1">
        <v>1</v>
      </c>
      <c r="T258" s="12">
        <f>S258*12</f>
        <v>12</v>
      </c>
      <c r="W258" s="1">
        <v>16</v>
      </c>
      <c r="X258" s="1">
        <v>24</v>
      </c>
      <c r="Y258" s="1" t="s">
        <v>97</v>
      </c>
      <c r="Z258" s="1" t="s">
        <v>130</v>
      </c>
      <c r="AA258" s="1" t="s">
        <v>1</v>
      </c>
      <c r="AB258" s="1" t="s">
        <v>98</v>
      </c>
      <c r="AC258" s="1" t="s">
        <v>202</v>
      </c>
      <c r="AD258" s="1" t="s">
        <v>99</v>
      </c>
      <c r="AE258" s="1" t="s">
        <v>100</v>
      </c>
      <c r="AF258" s="1" t="s">
        <v>149</v>
      </c>
      <c r="AG258" s="1" t="s">
        <v>318</v>
      </c>
      <c r="AH258" s="1">
        <v>2.2400000000000002</v>
      </c>
      <c r="AI258" s="1">
        <f>2.42-2.05</f>
        <v>0.37000000000000011</v>
      </c>
      <c r="AK258" s="1">
        <v>3.53</v>
      </c>
      <c r="AL258" s="1">
        <f>4.04-2.84</f>
        <v>1.2000000000000002</v>
      </c>
      <c r="AN258" s="12">
        <f>AH258-AK258</f>
        <v>-1.2899999999999996</v>
      </c>
      <c r="AO258" s="1">
        <f>SQRT((((X258-1)*AI258^2)+((W258-1)*AL258^2))/(X258+W258-2))</f>
        <v>0.8070201849689812</v>
      </c>
      <c r="AP258" s="1">
        <f>AN258/AO258</f>
        <v>-1.5984730295805207</v>
      </c>
      <c r="AQ258" s="1">
        <f>1/X258+1/W258+(AP258^2)/(2*(X258+W258))</f>
        <v>0.13610561699537077</v>
      </c>
      <c r="AR258" s="1">
        <f>1-(3/(4*(X258+W258-2)-1))</f>
        <v>0.98013245033112584</v>
      </c>
      <c r="AS258" s="21">
        <f>AP258*AR258</f>
        <v>-1.566715287270974</v>
      </c>
      <c r="AT258" s="21">
        <f>AQ258*(AR258^2)</f>
        <v>0.13075117032878389</v>
      </c>
      <c r="AU258" s="21">
        <f>SQRT(AQ258*AR258^2)</f>
        <v>0.36159531292424668</v>
      </c>
      <c r="AV258" s="20">
        <f>1/AT258</f>
        <v>7.6481150989732862</v>
      </c>
      <c r="AW258" s="20">
        <f>AS258/AT258</f>
        <v>-11.982418844369406</v>
      </c>
      <c r="AX258" s="20">
        <f>((AS258)^2)/AT258</f>
        <v>18.773038781957347</v>
      </c>
      <c r="AY258" s="14"/>
      <c r="AZ258" s="14"/>
      <c r="BA258" s="12" t="s">
        <v>270</v>
      </c>
      <c r="BB258" s="2"/>
    </row>
    <row r="259" spans="1:54" ht="14.25" customHeight="1">
      <c r="A259" s="2">
        <v>457</v>
      </c>
      <c r="B259" s="2" t="s">
        <v>59</v>
      </c>
      <c r="C259" s="1" t="s">
        <v>85</v>
      </c>
      <c r="D259" s="1">
        <v>2022</v>
      </c>
      <c r="E259" s="1">
        <v>2019</v>
      </c>
      <c r="F259" s="1" t="s">
        <v>143</v>
      </c>
      <c r="G259" s="1" t="s">
        <v>161</v>
      </c>
      <c r="H259" s="1">
        <v>40.990662999999998</v>
      </c>
      <c r="I259" s="1">
        <v>-106.195426</v>
      </c>
      <c r="J259" s="1" t="s">
        <v>128</v>
      </c>
      <c r="K259" s="1" t="s">
        <v>176</v>
      </c>
      <c r="L259" s="1" t="s">
        <v>186</v>
      </c>
      <c r="M259" s="1" t="s">
        <v>236</v>
      </c>
      <c r="N259" s="1" t="s">
        <v>238</v>
      </c>
      <c r="O259" s="1" t="s">
        <v>86</v>
      </c>
      <c r="P259" s="1" t="s">
        <v>210</v>
      </c>
      <c r="Q259" s="1" t="s">
        <v>93</v>
      </c>
      <c r="R259" s="1">
        <v>2018</v>
      </c>
      <c r="S259" s="1">
        <v>1</v>
      </c>
      <c r="T259" s="16">
        <f>S259*12</f>
        <v>12</v>
      </c>
      <c r="W259" s="1">
        <v>16</v>
      </c>
      <c r="X259" s="1">
        <v>24</v>
      </c>
      <c r="Y259" s="1" t="s">
        <v>97</v>
      </c>
      <c r="Z259" s="1" t="s">
        <v>130</v>
      </c>
      <c r="AA259" s="1" t="s">
        <v>1</v>
      </c>
      <c r="AB259" s="1" t="s">
        <v>98</v>
      </c>
      <c r="AC259" s="1" t="s">
        <v>202</v>
      </c>
      <c r="AD259" s="1" t="s">
        <v>99</v>
      </c>
      <c r="AE259" s="1" t="s">
        <v>100</v>
      </c>
      <c r="AF259" s="1" t="s">
        <v>256</v>
      </c>
      <c r="AG259" s="1" t="s">
        <v>318</v>
      </c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2" t="s">
        <v>285</v>
      </c>
    </row>
    <row r="260" spans="1:54" ht="14.25" customHeight="1">
      <c r="A260" s="2">
        <v>457</v>
      </c>
      <c r="B260" s="2" t="s">
        <v>59</v>
      </c>
      <c r="C260" s="1" t="s">
        <v>85</v>
      </c>
      <c r="D260" s="1">
        <v>2022</v>
      </c>
      <c r="E260" s="1">
        <v>2019</v>
      </c>
      <c r="F260" s="1" t="s">
        <v>143</v>
      </c>
      <c r="G260" s="1" t="s">
        <v>161</v>
      </c>
      <c r="H260" s="1">
        <v>40.990662999999998</v>
      </c>
      <c r="I260" s="1">
        <v>-106.195426</v>
      </c>
      <c r="J260" s="1" t="s">
        <v>128</v>
      </c>
      <c r="K260" s="1" t="s">
        <v>176</v>
      </c>
      <c r="L260" s="1" t="s">
        <v>186</v>
      </c>
      <c r="M260" s="1" t="s">
        <v>236</v>
      </c>
      <c r="N260" s="1" t="s">
        <v>238</v>
      </c>
      <c r="O260" s="1" t="s">
        <v>86</v>
      </c>
      <c r="P260" s="1" t="s">
        <v>210</v>
      </c>
      <c r="Q260" s="1" t="s">
        <v>93</v>
      </c>
      <c r="R260" s="1">
        <v>2018</v>
      </c>
      <c r="S260" s="1">
        <v>1</v>
      </c>
      <c r="T260" s="12">
        <f>S260*12</f>
        <v>12</v>
      </c>
      <c r="W260" s="1">
        <v>16</v>
      </c>
      <c r="X260" s="1">
        <v>24</v>
      </c>
      <c r="Y260" s="1" t="s">
        <v>97</v>
      </c>
      <c r="Z260" s="1" t="s">
        <v>232</v>
      </c>
      <c r="AA260" s="1" t="s">
        <v>1</v>
      </c>
      <c r="AB260" s="1" t="s">
        <v>98</v>
      </c>
      <c r="AC260" s="1" t="s">
        <v>202</v>
      </c>
      <c r="AD260" s="1" t="s">
        <v>99</v>
      </c>
      <c r="AE260" s="1" t="s">
        <v>100</v>
      </c>
      <c r="AF260" s="1" t="s">
        <v>149</v>
      </c>
      <c r="AG260" s="1" t="s">
        <v>318</v>
      </c>
      <c r="AH260" s="1">
        <v>2.36</v>
      </c>
      <c r="AI260" s="1">
        <f>2.78-2.01</f>
        <v>0.77</v>
      </c>
      <c r="AK260" s="1">
        <v>2.67</v>
      </c>
      <c r="AL260" s="1">
        <f>3.2-2.38</f>
        <v>0.82000000000000028</v>
      </c>
      <c r="AN260" s="12">
        <f>AH260-AK260</f>
        <v>-0.31000000000000005</v>
      </c>
      <c r="AO260" s="1">
        <f>SQRT((((X260-1)*AI260^2)+((W260-1)*AL260^2))/(X260+W260-2))</f>
        <v>0.79011491502652231</v>
      </c>
      <c r="AP260" s="1">
        <f>AN260/AO260</f>
        <v>-0.39234799154448829</v>
      </c>
      <c r="AQ260" s="1">
        <f>1/X260+1/W260+(AP260^2)/(2*(X260+W260))</f>
        <v>0.10609087849752909</v>
      </c>
      <c r="AR260" s="1">
        <f>1-(3/(4*(X260+W260-2)-1))</f>
        <v>0.98013245033112584</v>
      </c>
      <c r="AS260" s="21">
        <f>AP260*AR260</f>
        <v>-0.38455299833499518</v>
      </c>
      <c r="AT260" s="21">
        <f>AQ260*(AR260^2)</f>
        <v>0.10191722304328218</v>
      </c>
      <c r="AU260" s="21">
        <f>SQRT(AQ260*AR260^2)</f>
        <v>0.31924476979784994</v>
      </c>
      <c r="AV260" s="20">
        <f>1/AT260</f>
        <v>9.8118842933477524</v>
      </c>
      <c r="AW260" s="20">
        <f>AS260/AT260</f>
        <v>-3.7731895243229232</v>
      </c>
      <c r="AX260" s="20">
        <f>((AS260)^2)/AT260</f>
        <v>1.4509913448645744</v>
      </c>
      <c r="AY260" s="14"/>
      <c r="AZ260" s="14"/>
      <c r="BA260" s="12" t="s">
        <v>270</v>
      </c>
      <c r="BB260" s="2"/>
    </row>
    <row r="261" spans="1:54" ht="14.25" customHeight="1">
      <c r="A261" s="2">
        <v>457</v>
      </c>
      <c r="B261" s="2" t="s">
        <v>59</v>
      </c>
      <c r="C261" s="1" t="s">
        <v>85</v>
      </c>
      <c r="D261" s="1">
        <v>2022</v>
      </c>
      <c r="E261" s="1">
        <v>2019</v>
      </c>
      <c r="F261" s="1" t="s">
        <v>143</v>
      </c>
      <c r="G261" s="1" t="s">
        <v>161</v>
      </c>
      <c r="H261" s="1">
        <v>40.990662999999998</v>
      </c>
      <c r="I261" s="1">
        <v>-106.195426</v>
      </c>
      <c r="J261" s="1" t="s">
        <v>128</v>
      </c>
      <c r="K261" s="1" t="s">
        <v>176</v>
      </c>
      <c r="L261" s="1" t="s">
        <v>186</v>
      </c>
      <c r="M261" s="1" t="s">
        <v>236</v>
      </c>
      <c r="N261" s="1" t="s">
        <v>238</v>
      </c>
      <c r="O261" s="1" t="s">
        <v>86</v>
      </c>
      <c r="P261" s="1" t="s">
        <v>210</v>
      </c>
      <c r="Q261" s="1" t="s">
        <v>93</v>
      </c>
      <c r="R261" s="1">
        <v>2018</v>
      </c>
      <c r="S261" s="1">
        <v>1</v>
      </c>
      <c r="T261" s="16">
        <f>S261*12</f>
        <v>12</v>
      </c>
      <c r="W261" s="1">
        <v>16</v>
      </c>
      <c r="X261" s="1">
        <v>24</v>
      </c>
      <c r="Y261" s="1" t="s">
        <v>97</v>
      </c>
      <c r="Z261" s="1" t="s">
        <v>232</v>
      </c>
      <c r="AA261" s="1" t="s">
        <v>1</v>
      </c>
      <c r="AB261" s="1" t="s">
        <v>98</v>
      </c>
      <c r="AC261" s="1" t="s">
        <v>202</v>
      </c>
      <c r="AD261" s="1" t="s">
        <v>99</v>
      </c>
      <c r="AE261" s="1" t="s">
        <v>100</v>
      </c>
      <c r="AF261" s="1" t="s">
        <v>256</v>
      </c>
      <c r="AG261" s="1" t="s">
        <v>318</v>
      </c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2" t="s">
        <v>285</v>
      </c>
    </row>
    <row r="262" spans="1:54" ht="14.25" customHeight="1">
      <c r="A262" s="2">
        <v>457</v>
      </c>
      <c r="B262" s="2" t="s">
        <v>59</v>
      </c>
      <c r="C262" s="1" t="s">
        <v>85</v>
      </c>
      <c r="D262" s="1">
        <v>2022</v>
      </c>
      <c r="E262" s="1">
        <v>2019</v>
      </c>
      <c r="F262" s="1" t="s">
        <v>143</v>
      </c>
      <c r="G262" s="1" t="s">
        <v>161</v>
      </c>
      <c r="H262" s="1">
        <v>40.990662999999998</v>
      </c>
      <c r="I262" s="1">
        <v>-106.195426</v>
      </c>
      <c r="J262" s="1" t="s">
        <v>128</v>
      </c>
      <c r="K262" s="1" t="s">
        <v>176</v>
      </c>
      <c r="L262" s="1" t="s">
        <v>186</v>
      </c>
      <c r="M262" s="1" t="s">
        <v>236</v>
      </c>
      <c r="N262" s="1" t="s">
        <v>238</v>
      </c>
      <c r="O262" s="1" t="s">
        <v>86</v>
      </c>
      <c r="P262" s="1" t="s">
        <v>129</v>
      </c>
      <c r="Q262" s="1" t="s">
        <v>93</v>
      </c>
      <c r="R262" s="1">
        <v>2018</v>
      </c>
      <c r="S262" s="1">
        <v>1</v>
      </c>
      <c r="T262" s="12">
        <f>S262*12</f>
        <v>12</v>
      </c>
      <c r="W262" s="1">
        <v>16</v>
      </c>
      <c r="X262" s="1">
        <v>24</v>
      </c>
      <c r="Y262" s="1" t="s">
        <v>97</v>
      </c>
      <c r="Z262" s="1" t="s">
        <v>130</v>
      </c>
      <c r="AA262" s="1" t="s">
        <v>1</v>
      </c>
      <c r="AB262" s="1" t="s">
        <v>98</v>
      </c>
      <c r="AC262" s="1" t="s">
        <v>202</v>
      </c>
      <c r="AD262" s="1" t="s">
        <v>99</v>
      </c>
      <c r="AE262" s="1" t="s">
        <v>100</v>
      </c>
      <c r="AF262" s="1" t="s">
        <v>149</v>
      </c>
      <c r="AG262" s="1" t="s">
        <v>318</v>
      </c>
      <c r="AH262" s="1">
        <v>2.0099999999999998</v>
      </c>
      <c r="AI262" s="1">
        <f>2.36-1.66</f>
        <v>0.7</v>
      </c>
      <c r="AK262" s="1">
        <v>3.53</v>
      </c>
      <c r="AL262" s="1">
        <f>4.04-2.84</f>
        <v>1.2000000000000002</v>
      </c>
      <c r="AN262" s="12">
        <f>AH262-AK262</f>
        <v>-1.52</v>
      </c>
      <c r="AO262" s="1">
        <f>SQRT((((X262-1)*AI262^2)+((W262-1)*AL262^2))/(X262+W262-2))</f>
        <v>0.9300537618869138</v>
      </c>
      <c r="AP262" s="1">
        <f>AN262/AO262</f>
        <v>-1.6343141249342297</v>
      </c>
      <c r="AQ262" s="1">
        <f>1/X262+1/W262+(AP262^2)/(2*(X262+W262))</f>
        <v>0.13755394990366088</v>
      </c>
      <c r="AR262" s="1">
        <f>1-(3/(4*(X262+W262-2)-1))</f>
        <v>0.98013245033112584</v>
      </c>
      <c r="AS262" s="21">
        <f>AP262*AR262</f>
        <v>-1.6018443078825562</v>
      </c>
      <c r="AT262" s="21">
        <f>AQ262*(AR262^2)</f>
        <v>0.13214252527037357</v>
      </c>
      <c r="AU262" s="21">
        <f>SQRT(AQ262*AR262^2)</f>
        <v>0.36351413352216932</v>
      </c>
      <c r="AV262" s="20">
        <f>1/AT262</f>
        <v>7.5675865733148706</v>
      </c>
      <c r="AW262" s="20">
        <f>AS262/AT262</f>
        <v>-12.122095476872884</v>
      </c>
      <c r="AX262" s="20">
        <f>((AS262)^2)/AT262</f>
        <v>19.41770963923771</v>
      </c>
      <c r="AY262" s="14"/>
      <c r="AZ262" s="14"/>
      <c r="BA262" s="12" t="s">
        <v>270</v>
      </c>
      <c r="BB262" s="2"/>
    </row>
    <row r="263" spans="1:54" ht="14.25" customHeight="1">
      <c r="A263" s="2">
        <v>457</v>
      </c>
      <c r="B263" s="2" t="s">
        <v>59</v>
      </c>
      <c r="C263" s="1" t="s">
        <v>85</v>
      </c>
      <c r="D263" s="1">
        <v>2022</v>
      </c>
      <c r="E263" s="1">
        <v>2019</v>
      </c>
      <c r="F263" s="1" t="s">
        <v>143</v>
      </c>
      <c r="G263" s="1" t="s">
        <v>161</v>
      </c>
      <c r="H263" s="1">
        <v>40.990662999999998</v>
      </c>
      <c r="I263" s="1">
        <v>-106.195426</v>
      </c>
      <c r="J263" s="1" t="s">
        <v>128</v>
      </c>
      <c r="K263" s="1" t="s">
        <v>176</v>
      </c>
      <c r="L263" s="1" t="s">
        <v>186</v>
      </c>
      <c r="M263" s="1" t="s">
        <v>236</v>
      </c>
      <c r="N263" s="1" t="s">
        <v>238</v>
      </c>
      <c r="O263" s="1" t="s">
        <v>86</v>
      </c>
      <c r="P263" s="1" t="s">
        <v>129</v>
      </c>
      <c r="Q263" s="1" t="s">
        <v>93</v>
      </c>
      <c r="R263" s="1">
        <v>2018</v>
      </c>
      <c r="S263" s="1">
        <v>1</v>
      </c>
      <c r="T263" s="16">
        <f>S263*12</f>
        <v>12</v>
      </c>
      <c r="W263" s="1">
        <v>16</v>
      </c>
      <c r="X263" s="1">
        <v>24</v>
      </c>
      <c r="Y263" s="1" t="s">
        <v>97</v>
      </c>
      <c r="Z263" s="1" t="s">
        <v>130</v>
      </c>
      <c r="AA263" s="1" t="s">
        <v>1</v>
      </c>
      <c r="AB263" s="1" t="s">
        <v>98</v>
      </c>
      <c r="AC263" s="1" t="s">
        <v>202</v>
      </c>
      <c r="AD263" s="1" t="s">
        <v>99</v>
      </c>
      <c r="AE263" s="1" t="s">
        <v>100</v>
      </c>
      <c r="AF263" s="1" t="s">
        <v>256</v>
      </c>
      <c r="AG263" s="1" t="s">
        <v>318</v>
      </c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2" t="s">
        <v>285</v>
      </c>
    </row>
    <row r="264" spans="1:54" ht="14.25" customHeight="1">
      <c r="A264" s="2">
        <v>457</v>
      </c>
      <c r="B264" s="2" t="s">
        <v>59</v>
      </c>
      <c r="C264" s="1" t="s">
        <v>85</v>
      </c>
      <c r="D264" s="1">
        <v>2022</v>
      </c>
      <c r="E264" s="1">
        <v>2019</v>
      </c>
      <c r="F264" s="1" t="s">
        <v>143</v>
      </c>
      <c r="G264" s="1" t="s">
        <v>161</v>
      </c>
      <c r="H264" s="1">
        <v>40.990662999999998</v>
      </c>
      <c r="I264" s="1">
        <v>-106.195426</v>
      </c>
      <c r="J264" s="1" t="s">
        <v>128</v>
      </c>
      <c r="K264" s="1" t="s">
        <v>176</v>
      </c>
      <c r="L264" s="1" t="s">
        <v>186</v>
      </c>
      <c r="M264" s="1" t="s">
        <v>236</v>
      </c>
      <c r="N264" s="1" t="s">
        <v>238</v>
      </c>
      <c r="O264" s="1" t="s">
        <v>86</v>
      </c>
      <c r="P264" s="1" t="s">
        <v>129</v>
      </c>
      <c r="Q264" s="1" t="s">
        <v>93</v>
      </c>
      <c r="R264" s="1">
        <v>2018</v>
      </c>
      <c r="S264" s="1">
        <v>1</v>
      </c>
      <c r="T264" s="12">
        <f>S264*12</f>
        <v>12</v>
      </c>
      <c r="W264" s="1">
        <v>16</v>
      </c>
      <c r="X264" s="1">
        <v>24</v>
      </c>
      <c r="Y264" s="1" t="s">
        <v>97</v>
      </c>
      <c r="Z264" s="1" t="s">
        <v>232</v>
      </c>
      <c r="AA264" s="1" t="s">
        <v>1</v>
      </c>
      <c r="AB264" s="1" t="s">
        <v>98</v>
      </c>
      <c r="AC264" s="1" t="s">
        <v>202</v>
      </c>
      <c r="AD264" s="1" t="s">
        <v>99</v>
      </c>
      <c r="AE264" s="1" t="s">
        <v>100</v>
      </c>
      <c r="AF264" s="1" t="s">
        <v>149</v>
      </c>
      <c r="AG264" s="1" t="s">
        <v>318</v>
      </c>
      <c r="AH264" s="1">
        <v>2.38</v>
      </c>
      <c r="AI264" s="1">
        <f>2.88-1.96</f>
        <v>0.91999999999999993</v>
      </c>
      <c r="AK264" s="1">
        <v>2.67</v>
      </c>
      <c r="AL264" s="1">
        <f>3.2-2.38</f>
        <v>0.82000000000000028</v>
      </c>
      <c r="AN264" s="12">
        <f>AH264-AK264</f>
        <v>-0.29000000000000004</v>
      </c>
      <c r="AO264" s="1">
        <f>SQRT((((X264-1)*AI264^2)+((W264-1)*AL264^2))/(X264+W264-2))</f>
        <v>0.881881958922896</v>
      </c>
      <c r="AP264" s="1">
        <f>AN264/AO264</f>
        <v>-0.32884219601702397</v>
      </c>
      <c r="AQ264" s="1">
        <f>1/X264+1/W264+(AP264^2)/(2*(X264+W264))</f>
        <v>0.10551838154018289</v>
      </c>
      <c r="AR264" s="1">
        <f>1-(3/(4*(X264+W264-2)-1))</f>
        <v>0.98013245033112584</v>
      </c>
      <c r="AS264" s="21">
        <f>AP264*AR264</f>
        <v>-0.32230890735443407</v>
      </c>
      <c r="AT264" s="21">
        <f>AQ264*(AR264^2)</f>
        <v>0.10136724833367686</v>
      </c>
      <c r="AU264" s="21">
        <f>SQRT(AQ264*AR264^2)</f>
        <v>0.31838223620936651</v>
      </c>
      <c r="AV264" s="20">
        <f>1/AT264</f>
        <v>9.8651193204755643</v>
      </c>
      <c r="AW264" s="20">
        <f>AS264/AT264</f>
        <v>-3.1796158291035961</v>
      </c>
      <c r="AX264" s="20">
        <f>((AS264)^2)/AT264</f>
        <v>1.0248185036852431</v>
      </c>
      <c r="AY264" s="14"/>
      <c r="AZ264" s="14"/>
      <c r="BA264" s="1" t="s">
        <v>270</v>
      </c>
      <c r="BB264" s="2"/>
    </row>
    <row r="265" spans="1:54" ht="14.25" customHeight="1">
      <c r="A265" s="2">
        <v>457</v>
      </c>
      <c r="B265" s="2" t="s">
        <v>59</v>
      </c>
      <c r="C265" s="1" t="s">
        <v>85</v>
      </c>
      <c r="D265" s="1">
        <v>2022</v>
      </c>
      <c r="E265" s="1">
        <v>2019</v>
      </c>
      <c r="F265" s="1" t="s">
        <v>143</v>
      </c>
      <c r="G265" s="1" t="s">
        <v>161</v>
      </c>
      <c r="H265" s="1">
        <v>40.990662999999998</v>
      </c>
      <c r="I265" s="1">
        <v>-106.195426</v>
      </c>
      <c r="J265" s="1" t="s">
        <v>128</v>
      </c>
      <c r="K265" s="1" t="s">
        <v>176</v>
      </c>
      <c r="L265" s="1" t="s">
        <v>186</v>
      </c>
      <c r="M265" s="1" t="s">
        <v>236</v>
      </c>
      <c r="N265" s="1" t="s">
        <v>238</v>
      </c>
      <c r="O265" s="1" t="s">
        <v>86</v>
      </c>
      <c r="P265" s="1" t="s">
        <v>129</v>
      </c>
      <c r="Q265" s="1" t="s">
        <v>93</v>
      </c>
      <c r="R265" s="1">
        <v>2018</v>
      </c>
      <c r="S265" s="1">
        <v>1</v>
      </c>
      <c r="T265" s="16">
        <f>S265*12</f>
        <v>12</v>
      </c>
      <c r="W265" s="1">
        <v>16</v>
      </c>
      <c r="X265" s="1">
        <v>24</v>
      </c>
      <c r="Y265" s="1" t="s">
        <v>97</v>
      </c>
      <c r="Z265" s="1" t="s">
        <v>232</v>
      </c>
      <c r="AA265" s="1" t="s">
        <v>1</v>
      </c>
      <c r="AB265" s="1" t="s">
        <v>98</v>
      </c>
      <c r="AC265" s="1" t="s">
        <v>202</v>
      </c>
      <c r="AD265" s="1" t="s">
        <v>99</v>
      </c>
      <c r="AE265" s="1" t="s">
        <v>100</v>
      </c>
      <c r="AF265" s="1" t="s">
        <v>256</v>
      </c>
      <c r="AG265" s="1" t="s">
        <v>318</v>
      </c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" t="s">
        <v>285</v>
      </c>
    </row>
    <row r="266" spans="1:54" ht="14.25" customHeight="1">
      <c r="A266" s="2">
        <v>70</v>
      </c>
      <c r="B266" s="2" t="s">
        <v>12</v>
      </c>
      <c r="C266" s="1" t="s">
        <v>85</v>
      </c>
      <c r="D266" s="1">
        <v>2021</v>
      </c>
      <c r="E266" s="1">
        <v>2019</v>
      </c>
      <c r="F266" s="1" t="s">
        <v>160</v>
      </c>
      <c r="G266" s="1" t="s">
        <v>161</v>
      </c>
      <c r="H266" s="1">
        <v>53.366832000000002</v>
      </c>
      <c r="I266" s="1">
        <v>21.324096999999998</v>
      </c>
      <c r="J266" s="1" t="s">
        <v>382</v>
      </c>
      <c r="K266" s="1" t="s">
        <v>176</v>
      </c>
      <c r="L266" s="1" t="s">
        <v>182</v>
      </c>
      <c r="M266" s="1" t="s">
        <v>236</v>
      </c>
      <c r="N266" s="1" t="s">
        <v>238</v>
      </c>
      <c r="O266" s="1" t="s">
        <v>86</v>
      </c>
      <c r="P266" s="1" t="s">
        <v>129</v>
      </c>
      <c r="Q266" s="1" t="s">
        <v>93</v>
      </c>
      <c r="R266" s="1">
        <v>2014</v>
      </c>
      <c r="S266" s="1">
        <v>5</v>
      </c>
      <c r="T266" s="12">
        <f>S266*12</f>
        <v>60</v>
      </c>
      <c r="V266" s="1">
        <v>96</v>
      </c>
      <c r="W266" s="1">
        <v>8</v>
      </c>
      <c r="X266" s="1">
        <v>8</v>
      </c>
      <c r="Y266" s="1" t="s">
        <v>134</v>
      </c>
      <c r="Z266" s="1" t="s">
        <v>154</v>
      </c>
      <c r="AA266" s="1" t="s">
        <v>1</v>
      </c>
      <c r="AB266" s="1" t="s">
        <v>98</v>
      </c>
      <c r="AC266" s="1" t="s">
        <v>158</v>
      </c>
      <c r="AE266" s="1" t="s">
        <v>100</v>
      </c>
      <c r="AF266" s="1" t="str">
        <f>J266&amp;"_"&amp;"Chao1"</f>
        <v>ECM_Chao1</v>
      </c>
      <c r="AG266" s="1" t="s">
        <v>331</v>
      </c>
      <c r="AH266" s="1">
        <v>3.2</v>
      </c>
      <c r="AI266" s="7" t="s">
        <v>2</v>
      </c>
      <c r="AJ266" s="7" t="s">
        <v>2</v>
      </c>
      <c r="AK266" s="1">
        <v>3.2</v>
      </c>
      <c r="AL266" s="7" t="s">
        <v>2</v>
      </c>
      <c r="AM266" s="7" t="s">
        <v>2</v>
      </c>
      <c r="AN266" s="12">
        <f>AH266-AK266</f>
        <v>0</v>
      </c>
      <c r="AO266" s="1" t="e">
        <f>SQRT((((X266-1)*AI266^2)+((W266-1)*AL266^2))/(X266+W266-2))</f>
        <v>#VALUE!</v>
      </c>
      <c r="AP266" s="1" t="e">
        <f>AN266/AO266</f>
        <v>#VALUE!</v>
      </c>
      <c r="AQ266" s="1" t="e">
        <f>1/X266+1/W266+(AP266^2)/(2*(X266+W266))</f>
        <v>#VALUE!</v>
      </c>
      <c r="AR266" s="1">
        <f>1-(3/(4*(X266+W266-2)-1))</f>
        <v>0.94545454545454544</v>
      </c>
      <c r="AS266" s="1" t="e">
        <f>AP266*AR266</f>
        <v>#VALUE!</v>
      </c>
      <c r="AU266" s="1" t="e">
        <f>SQRT(AQ266*AR266^2)</f>
        <v>#VALUE!</v>
      </c>
      <c r="AY266" s="14"/>
      <c r="AZ266" s="14"/>
      <c r="BA266" s="1" t="s">
        <v>270</v>
      </c>
      <c r="BB266" s="2"/>
    </row>
    <row r="267" spans="1:54" ht="14.25" customHeight="1">
      <c r="A267" s="2">
        <v>70</v>
      </c>
      <c r="B267" s="2" t="s">
        <v>12</v>
      </c>
      <c r="C267" s="1" t="s">
        <v>85</v>
      </c>
      <c r="D267" s="1">
        <v>2021</v>
      </c>
      <c r="E267" s="1">
        <v>2019</v>
      </c>
      <c r="F267" s="1" t="s">
        <v>160</v>
      </c>
      <c r="G267" s="1" t="s">
        <v>161</v>
      </c>
      <c r="H267" s="1">
        <v>53.366832000000002</v>
      </c>
      <c r="I267" s="1">
        <v>21.324096999999998</v>
      </c>
      <c r="J267" s="1" t="s">
        <v>382</v>
      </c>
      <c r="K267" s="1" t="s">
        <v>176</v>
      </c>
      <c r="L267" s="1" t="s">
        <v>182</v>
      </c>
      <c r="M267" s="1" t="s">
        <v>236</v>
      </c>
      <c r="N267" s="1" t="s">
        <v>238</v>
      </c>
      <c r="O267" s="1" t="s">
        <v>86</v>
      </c>
      <c r="P267" s="1" t="s">
        <v>129</v>
      </c>
      <c r="Q267" s="1" t="s">
        <v>93</v>
      </c>
      <c r="R267" s="1">
        <v>2014</v>
      </c>
      <c r="S267" s="1">
        <v>5</v>
      </c>
      <c r="T267" s="12">
        <f>S267*12</f>
        <v>60</v>
      </c>
      <c r="V267" s="1">
        <v>96</v>
      </c>
      <c r="W267" s="1">
        <v>8</v>
      </c>
      <c r="X267" s="1">
        <v>8</v>
      </c>
      <c r="Y267" s="1" t="s">
        <v>134</v>
      </c>
      <c r="Z267" s="1" t="s">
        <v>154</v>
      </c>
      <c r="AA267" s="1" t="s">
        <v>1</v>
      </c>
      <c r="AB267" s="1" t="s">
        <v>98</v>
      </c>
      <c r="AC267" s="1" t="s">
        <v>158</v>
      </c>
      <c r="AE267" s="1" t="s">
        <v>100</v>
      </c>
      <c r="AF267" s="12" t="str">
        <f xml:space="preserve"> J267&amp;"_"&amp;"Shannon_diversity"</f>
        <v>ECM_Shannon_diversity</v>
      </c>
      <c r="AG267" s="1" t="s">
        <v>331</v>
      </c>
      <c r="AH267" s="1">
        <v>0.7</v>
      </c>
      <c r="AI267" s="7" t="s">
        <v>2</v>
      </c>
      <c r="AJ267" s="7" t="s">
        <v>2</v>
      </c>
      <c r="AK267" s="1">
        <v>0.8</v>
      </c>
      <c r="AL267" s="7" t="s">
        <v>2</v>
      </c>
      <c r="AM267" s="7" t="s">
        <v>2</v>
      </c>
      <c r="AN267" s="12">
        <f>AH267-AK267</f>
        <v>-0.10000000000000009</v>
      </c>
      <c r="AO267" s="1" t="e">
        <f>SQRT((((X267-1)*AI267^2)+((W267-1)*AL267^2))/(X267+W267-2))</f>
        <v>#VALUE!</v>
      </c>
      <c r="AP267" s="1" t="e">
        <f>AN267/AO267</f>
        <v>#VALUE!</v>
      </c>
      <c r="AQ267" s="1" t="e">
        <f>1/X267+1/W267+(AP267^2)/(2*(X267+W267))</f>
        <v>#VALUE!</v>
      </c>
      <c r="AR267" s="1">
        <f>1-(3/(4*(X267+W267-2)-1))</f>
        <v>0.94545454545454544</v>
      </c>
      <c r="AS267" s="1" t="e">
        <f>AP267*AR267</f>
        <v>#VALUE!</v>
      </c>
      <c r="AU267" s="1" t="e">
        <f>SQRT(AQ267*AR267^2)</f>
        <v>#VALUE!</v>
      </c>
      <c r="AY267" s="14"/>
      <c r="AZ267" s="14"/>
      <c r="BA267" s="1" t="s">
        <v>270</v>
      </c>
      <c r="BB267" s="2"/>
    </row>
    <row r="268" spans="1:54" ht="14.25" customHeight="1">
      <c r="A268" s="2">
        <v>70</v>
      </c>
      <c r="B268" s="2" t="s">
        <v>12</v>
      </c>
      <c r="C268" s="1" t="s">
        <v>85</v>
      </c>
      <c r="D268" s="1">
        <v>2021</v>
      </c>
      <c r="E268" s="1">
        <v>2019</v>
      </c>
      <c r="F268" s="1" t="s">
        <v>160</v>
      </c>
      <c r="G268" s="1" t="s">
        <v>161</v>
      </c>
      <c r="H268" s="1">
        <v>53.366832000000002</v>
      </c>
      <c r="I268" s="1">
        <v>21.324096999999998</v>
      </c>
      <c r="J268" s="1" t="s">
        <v>382</v>
      </c>
      <c r="K268" s="1" t="s">
        <v>176</v>
      </c>
      <c r="L268" s="1" t="s">
        <v>182</v>
      </c>
      <c r="M268" s="1" t="s">
        <v>236</v>
      </c>
      <c r="N268" s="1" t="s">
        <v>238</v>
      </c>
      <c r="O268" s="1" t="s">
        <v>86</v>
      </c>
      <c r="P268" s="1" t="s">
        <v>129</v>
      </c>
      <c r="Q268" s="1" t="s">
        <v>93</v>
      </c>
      <c r="R268" s="1">
        <v>2014</v>
      </c>
      <c r="S268" s="1">
        <v>5</v>
      </c>
      <c r="T268" s="16">
        <f>S268*12</f>
        <v>60</v>
      </c>
      <c r="V268" s="1">
        <v>96</v>
      </c>
      <c r="W268" s="1">
        <v>8</v>
      </c>
      <c r="X268" s="1">
        <v>8</v>
      </c>
      <c r="Y268" s="1" t="s">
        <v>134</v>
      </c>
      <c r="Z268" s="1" t="s">
        <v>154</v>
      </c>
      <c r="AA268" s="1" t="s">
        <v>1</v>
      </c>
      <c r="AB268" s="1" t="s">
        <v>98</v>
      </c>
      <c r="AC268" s="1" t="s">
        <v>158</v>
      </c>
      <c r="AE268" s="1" t="s">
        <v>100</v>
      </c>
      <c r="AF268" s="12" t="str">
        <f>J268&amp;"_"&amp;"NMDS_ordination"</f>
        <v>ECM_NMDS_ordination</v>
      </c>
      <c r="AG268" s="1" t="s">
        <v>315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" t="s">
        <v>285</v>
      </c>
    </row>
    <row r="269" spans="1:54" ht="14.25" customHeight="1">
      <c r="A269" s="2">
        <v>474</v>
      </c>
      <c r="B269" s="2" t="s">
        <v>61</v>
      </c>
      <c r="C269" s="1" t="s">
        <v>85</v>
      </c>
      <c r="D269" s="1">
        <v>2023</v>
      </c>
      <c r="E269" s="1">
        <v>2020</v>
      </c>
      <c r="F269" s="1" t="s">
        <v>120</v>
      </c>
      <c r="G269" s="1" t="s">
        <v>109</v>
      </c>
      <c r="H269" s="1">
        <v>37.020277999999998</v>
      </c>
      <c r="I269" s="1">
        <v>-6.48</v>
      </c>
      <c r="J269" s="1" t="s">
        <v>128</v>
      </c>
      <c r="K269" s="1" t="s">
        <v>302</v>
      </c>
      <c r="M269" s="1" t="s">
        <v>237</v>
      </c>
      <c r="N269" s="1" t="s">
        <v>238</v>
      </c>
      <c r="O269" s="1" t="s">
        <v>121</v>
      </c>
      <c r="P269" s="16" t="s">
        <v>146</v>
      </c>
      <c r="Q269" s="1" t="s">
        <v>115</v>
      </c>
      <c r="R269" s="1">
        <v>2020</v>
      </c>
      <c r="S269" s="1">
        <v>1</v>
      </c>
      <c r="T269" s="1">
        <f>S269*12</f>
        <v>12</v>
      </c>
      <c r="W269" s="16">
        <v>9</v>
      </c>
      <c r="X269" s="16">
        <v>9</v>
      </c>
      <c r="Y269" s="1" t="s">
        <v>97</v>
      </c>
      <c r="AA269" s="1" t="s">
        <v>1</v>
      </c>
      <c r="AB269" s="1" t="s">
        <v>98</v>
      </c>
      <c r="AC269" s="1" t="s">
        <v>202</v>
      </c>
      <c r="AD269" s="1" t="s">
        <v>99</v>
      </c>
      <c r="AE269" s="1" t="s">
        <v>102</v>
      </c>
      <c r="AF269" s="16" t="s">
        <v>222</v>
      </c>
      <c r="AG269" s="16" t="s">
        <v>330</v>
      </c>
      <c r="AH269" s="16">
        <v>342.93</v>
      </c>
      <c r="AI269" s="12">
        <f>360.28-314.4</f>
        <v>45.879999999999995</v>
      </c>
      <c r="AJ269" s="16"/>
      <c r="AK269" s="16">
        <v>352.18</v>
      </c>
      <c r="AL269" s="16">
        <f>363.75-320.57</f>
        <v>43.180000000000007</v>
      </c>
      <c r="AM269" s="16"/>
      <c r="AN269" s="12">
        <f>AH269-AK269</f>
        <v>-9.25</v>
      </c>
      <c r="AO269" s="1">
        <f>SQRT((((X269-1)*AI269^2)+((W269-1)*AL269^2))/(X269+W269-2))</f>
        <v>44.55045903242749</v>
      </c>
      <c r="AP269" s="1">
        <f>AN269/AO269</f>
        <v>-0.20762973493195858</v>
      </c>
      <c r="AQ269" s="1">
        <f>1/X269+1/W269+(AP269^2)/(2*(X269+W269))</f>
        <v>0.2234197251896643</v>
      </c>
      <c r="AR269" s="1">
        <f>1-(3/(4*(X269+W269-2)-1))</f>
        <v>0.95238095238095233</v>
      </c>
      <c r="AS269" s="21">
        <f>AP269*AR269</f>
        <v>-0.19774260469710339</v>
      </c>
      <c r="AT269" s="21">
        <f>AQ269*(AR269^2)</f>
        <v>0.20264827681602202</v>
      </c>
      <c r="AU269" s="21">
        <f>SQRT(AQ269*AR269^2)</f>
        <v>0.45016472186969742</v>
      </c>
      <c r="AV269" s="20">
        <f>1/AT269</f>
        <v>4.9346582942221042</v>
      </c>
      <c r="AW269" s="20">
        <f>AS269/AT269</f>
        <v>-0.9757921843896441</v>
      </c>
      <c r="AX269" s="20">
        <f>((AS269)^2)/AT269</f>
        <v>0.19295568818428441</v>
      </c>
      <c r="AY269" s="14"/>
      <c r="AZ269" s="14"/>
      <c r="BA269" s="1" t="s">
        <v>270</v>
      </c>
      <c r="BB269" s="2"/>
    </row>
    <row r="270" spans="1:54" ht="14.25" customHeight="1">
      <c r="A270" s="2">
        <v>279</v>
      </c>
      <c r="B270" s="2" t="s">
        <v>43</v>
      </c>
      <c r="C270" s="1" t="s">
        <v>85</v>
      </c>
      <c r="D270" s="1">
        <v>2015</v>
      </c>
      <c r="E270" s="1">
        <v>2011</v>
      </c>
      <c r="F270" s="1" t="s">
        <v>143</v>
      </c>
      <c r="G270" s="1" t="s">
        <v>142</v>
      </c>
      <c r="H270" s="1">
        <v>33.056356000000001</v>
      </c>
      <c r="I270" s="1">
        <v>-83.680222000000001</v>
      </c>
      <c r="J270" s="1" t="s">
        <v>128</v>
      </c>
      <c r="K270" s="1" t="s">
        <v>176</v>
      </c>
      <c r="L270" s="1" t="s">
        <v>208</v>
      </c>
      <c r="M270" s="1" t="s">
        <v>236</v>
      </c>
      <c r="N270" s="1" t="s">
        <v>238</v>
      </c>
      <c r="O270" s="1" t="s">
        <v>121</v>
      </c>
      <c r="P270" s="1" t="s">
        <v>146</v>
      </c>
      <c r="Q270" s="1" t="s">
        <v>93</v>
      </c>
      <c r="R270" s="1">
        <v>2008</v>
      </c>
      <c r="S270" s="1">
        <v>3</v>
      </c>
      <c r="T270" s="12">
        <f>S270*12</f>
        <v>36</v>
      </c>
      <c r="U270" s="1" t="s">
        <v>350</v>
      </c>
      <c r="W270" s="1">
        <v>4</v>
      </c>
      <c r="X270" s="1">
        <v>4</v>
      </c>
      <c r="Y270" s="1" t="s">
        <v>97</v>
      </c>
      <c r="Z270" s="1" t="s">
        <v>133</v>
      </c>
      <c r="AA270" s="1" t="s">
        <v>1</v>
      </c>
      <c r="AB270" s="1" t="s">
        <v>98</v>
      </c>
      <c r="AC270" s="1" t="s">
        <v>202</v>
      </c>
      <c r="AD270" s="1" t="s">
        <v>99</v>
      </c>
      <c r="AE270" s="1" t="s">
        <v>102</v>
      </c>
      <c r="AF270" s="1" t="s">
        <v>261</v>
      </c>
      <c r="AG270" s="1" t="s">
        <v>331</v>
      </c>
      <c r="AH270" s="1">
        <v>899.16</v>
      </c>
      <c r="AI270" s="1">
        <v>71.569999999999993</v>
      </c>
      <c r="AK270" s="1">
        <v>902.71</v>
      </c>
      <c r="AL270" s="1">
        <v>142.05000000000001</v>
      </c>
      <c r="AN270" s="12">
        <f>AH270-AK270</f>
        <v>-3.5500000000000682</v>
      </c>
      <c r="AO270" s="1">
        <f>SQRT((((X270-1)*AI270^2)+((W270-1)*AL270^2))/(X270+W270-2))</f>
        <v>112.47325771044423</v>
      </c>
      <c r="AP270" s="1">
        <f>AN270/AO270</f>
        <v>-3.1563058386192867E-2</v>
      </c>
      <c r="AQ270" s="1">
        <f>1/X270+1/W270+(AP270^2)/(2*(X270+W270))</f>
        <v>0.50006226416591815</v>
      </c>
      <c r="AR270" s="1">
        <f>1-(3/(4*(X270+W270-2)-1))</f>
        <v>0.86956521739130432</v>
      </c>
      <c r="AS270" s="21">
        <f>AP270*AR270</f>
        <v>-2.7446137727124231E-2</v>
      </c>
      <c r="AT270" s="21">
        <f>AQ270*(AR270^2)</f>
        <v>0.3781189143031517</v>
      </c>
      <c r="AU270" s="21">
        <f>SQRT(AQ270*AR270^2)</f>
        <v>0.61491374541731603</v>
      </c>
      <c r="AV270" s="20">
        <f>1/AT270</f>
        <v>2.6446706635740087</v>
      </c>
      <c r="AW270" s="20">
        <f>AS270/AT270</f>
        <v>-7.2585995275337281E-2</v>
      </c>
      <c r="AX270" s="20">
        <f>((AS270)^2)/AT270</f>
        <v>1.992205223387296E-3</v>
      </c>
      <c r="AY270" s="14"/>
      <c r="AZ270" s="14"/>
      <c r="BA270" s="1" t="s">
        <v>270</v>
      </c>
      <c r="BB270" s="2"/>
    </row>
    <row r="271" spans="1:54" ht="14.25" customHeight="1">
      <c r="A271" s="2">
        <v>279</v>
      </c>
      <c r="B271" s="2" t="s">
        <v>43</v>
      </c>
      <c r="C271" s="1" t="s">
        <v>85</v>
      </c>
      <c r="D271" s="1">
        <v>2015</v>
      </c>
      <c r="E271" s="1">
        <v>2011</v>
      </c>
      <c r="F271" s="1" t="s">
        <v>143</v>
      </c>
      <c r="G271" s="1" t="s">
        <v>142</v>
      </c>
      <c r="H271" s="1">
        <v>33.056356000000001</v>
      </c>
      <c r="I271" s="1">
        <v>-83.680222000000001</v>
      </c>
      <c r="J271" s="1" t="s">
        <v>128</v>
      </c>
      <c r="K271" s="1" t="s">
        <v>176</v>
      </c>
      <c r="L271" s="1" t="s">
        <v>208</v>
      </c>
      <c r="M271" s="1" t="s">
        <v>236</v>
      </c>
      <c r="N271" s="1" t="s">
        <v>238</v>
      </c>
      <c r="O271" s="1" t="s">
        <v>121</v>
      </c>
      <c r="P271" s="1" t="s">
        <v>146</v>
      </c>
      <c r="Q271" s="1" t="s">
        <v>93</v>
      </c>
      <c r="R271" s="1">
        <v>2008</v>
      </c>
      <c r="S271" s="1">
        <v>3</v>
      </c>
      <c r="T271" s="12">
        <f>S271*12</f>
        <v>36</v>
      </c>
      <c r="U271" s="1" t="s">
        <v>350</v>
      </c>
      <c r="W271" s="1">
        <v>4</v>
      </c>
      <c r="X271" s="1">
        <v>4</v>
      </c>
      <c r="Y271" s="1" t="s">
        <v>97</v>
      </c>
      <c r="Z271" s="1" t="s">
        <v>133</v>
      </c>
      <c r="AA271" s="1" t="s">
        <v>1</v>
      </c>
      <c r="AB271" s="1" t="s">
        <v>98</v>
      </c>
      <c r="AC271" s="1" t="s">
        <v>202</v>
      </c>
      <c r="AD271" s="1" t="s">
        <v>99</v>
      </c>
      <c r="AE271" s="1" t="s">
        <v>102</v>
      </c>
      <c r="AF271" s="1" t="s">
        <v>253</v>
      </c>
      <c r="AG271" s="1" t="s">
        <v>331</v>
      </c>
      <c r="AH271" s="1">
        <v>0.97</v>
      </c>
      <c r="AI271" s="1">
        <v>7.0000000000000001E-3</v>
      </c>
      <c r="AK271" s="1">
        <v>0.98</v>
      </c>
      <c r="AL271" s="1">
        <v>1E-3</v>
      </c>
      <c r="AN271" s="12">
        <f>AH271-AK271</f>
        <v>-1.0000000000000009E-2</v>
      </c>
      <c r="AO271" s="1">
        <f>SQRT((((X271-1)*AI271^2)+((W271-1)*AL271^2))/(X271+W271-2))</f>
        <v>5.0000000000000001E-3</v>
      </c>
      <c r="AP271" s="1">
        <f>AN271/AO271</f>
        <v>-2.0000000000000018</v>
      </c>
      <c r="AQ271" s="1">
        <f>1/X271+1/W271+(AP271^2)/(2*(X271+W271))</f>
        <v>0.75000000000000044</v>
      </c>
      <c r="AR271" s="1">
        <f>1-(3/(4*(X271+W271-2)-1))</f>
        <v>0.86956521739130432</v>
      </c>
      <c r="AS271" s="21">
        <f>AP271*AR271</f>
        <v>-1.7391304347826102</v>
      </c>
      <c r="AT271" s="21">
        <f>AQ271*(AR271^2)</f>
        <v>0.5671077504725901</v>
      </c>
      <c r="AU271" s="21">
        <f>SQRT(AQ271*AR271^2)</f>
        <v>0.75306556850820772</v>
      </c>
      <c r="AV271" s="20">
        <f>1/AT271</f>
        <v>1.7633333333333323</v>
      </c>
      <c r="AW271" s="20">
        <f>AS271/AT271</f>
        <v>-3.0666666666666678</v>
      </c>
      <c r="AX271" s="20">
        <f>((AS271)^2)/AT271</f>
        <v>5.3333333333333401</v>
      </c>
      <c r="AY271" s="14"/>
      <c r="AZ271" s="14"/>
      <c r="BA271" s="1" t="s">
        <v>270</v>
      </c>
      <c r="BB271" s="2"/>
    </row>
    <row r="272" spans="1:54" ht="14.25" customHeight="1">
      <c r="A272" s="2">
        <v>279</v>
      </c>
      <c r="B272" s="2" t="s">
        <v>43</v>
      </c>
      <c r="C272" s="1" t="s">
        <v>85</v>
      </c>
      <c r="D272" s="1">
        <v>2015</v>
      </c>
      <c r="E272" s="1">
        <v>2011</v>
      </c>
      <c r="F272" s="1" t="s">
        <v>143</v>
      </c>
      <c r="G272" s="1" t="s">
        <v>142</v>
      </c>
      <c r="H272" s="1">
        <v>33.056356000000001</v>
      </c>
      <c r="I272" s="1">
        <v>-83.680222000000001</v>
      </c>
      <c r="J272" s="1" t="s">
        <v>128</v>
      </c>
      <c r="K272" s="1" t="s">
        <v>176</v>
      </c>
      <c r="L272" s="1" t="s">
        <v>208</v>
      </c>
      <c r="M272" s="1" t="s">
        <v>236</v>
      </c>
      <c r="N272" s="1" t="s">
        <v>238</v>
      </c>
      <c r="O272" s="1" t="s">
        <v>121</v>
      </c>
      <c r="P272" s="1" t="s">
        <v>146</v>
      </c>
      <c r="Q272" s="1" t="s">
        <v>93</v>
      </c>
      <c r="R272" s="1">
        <v>2008</v>
      </c>
      <c r="S272" s="1">
        <v>3</v>
      </c>
      <c r="T272" s="12">
        <f>S272*12</f>
        <v>36</v>
      </c>
      <c r="U272" s="1" t="s">
        <v>350</v>
      </c>
      <c r="W272" s="1">
        <v>4</v>
      </c>
      <c r="X272" s="1">
        <v>4</v>
      </c>
      <c r="Y272" s="1" t="s">
        <v>97</v>
      </c>
      <c r="Z272" s="1" t="s">
        <v>133</v>
      </c>
      <c r="AA272" s="1" t="s">
        <v>1</v>
      </c>
      <c r="AB272" s="1" t="s">
        <v>98</v>
      </c>
      <c r="AC272" s="1" t="s">
        <v>202</v>
      </c>
      <c r="AD272" s="1" t="s">
        <v>99</v>
      </c>
      <c r="AE272" s="1" t="s">
        <v>102</v>
      </c>
      <c r="AF272" s="1" t="s">
        <v>348</v>
      </c>
      <c r="AG272" s="1" t="s">
        <v>331</v>
      </c>
      <c r="AH272" s="1">
        <v>0.06</v>
      </c>
      <c r="AI272" s="1">
        <v>0.01</v>
      </c>
      <c r="AK272" s="1">
        <v>7.0000000000000007E-2</v>
      </c>
      <c r="AL272" s="1">
        <v>3.0000000000000001E-3</v>
      </c>
      <c r="AN272" s="12">
        <f>AH272-AK272</f>
        <v>-1.0000000000000009E-2</v>
      </c>
      <c r="AO272" s="1">
        <f>SQRT((((X272-1)*AI272^2)+((W272-1)*AL272^2))/(X272+W272-2))</f>
        <v>7.3824115301167007E-3</v>
      </c>
      <c r="AP272" s="1">
        <f>AN272/AO272</f>
        <v>-1.3545709229571938</v>
      </c>
      <c r="AQ272" s="1">
        <f>1/X272+1/W272+(AP272^2)/(2*(X272+W272))</f>
        <v>0.61467889908256901</v>
      </c>
      <c r="AR272" s="1">
        <f>1-(3/(4*(X272+W272-2)-1))</f>
        <v>0.86956521739130432</v>
      </c>
      <c r="AS272" s="21">
        <f>AP272*AR272</f>
        <v>-1.177887759093212</v>
      </c>
      <c r="AT272" s="21">
        <f>AQ272*(AR272^2)</f>
        <v>0.46478555696224499</v>
      </c>
      <c r="AU272" s="21">
        <f>SQRT(AQ272*AR272^2)</f>
        <v>0.68175182945280388</v>
      </c>
      <c r="AV272" s="20">
        <f>1/AT272</f>
        <v>2.1515298507462681</v>
      </c>
      <c r="AW272" s="20">
        <f>AS272/AT272</f>
        <v>-2.5342606745176743</v>
      </c>
      <c r="AX272" s="20">
        <f>((AS272)^2)/AT272</f>
        <v>2.9850746268656754</v>
      </c>
      <c r="AY272" s="14"/>
      <c r="AZ272" s="14"/>
      <c r="BA272" s="1" t="s">
        <v>270</v>
      </c>
      <c r="BB272" s="2"/>
    </row>
    <row r="273" spans="1:54" ht="14.25" customHeight="1">
      <c r="A273" s="2">
        <v>279</v>
      </c>
      <c r="B273" s="2" t="s">
        <v>43</v>
      </c>
      <c r="C273" s="1" t="s">
        <v>85</v>
      </c>
      <c r="D273" s="1">
        <v>2015</v>
      </c>
      <c r="E273" s="1">
        <v>2011</v>
      </c>
      <c r="F273" s="1" t="s">
        <v>143</v>
      </c>
      <c r="G273" s="1" t="s">
        <v>142</v>
      </c>
      <c r="H273" s="1">
        <v>33.056356000000001</v>
      </c>
      <c r="I273" s="1">
        <v>-83.680222000000001</v>
      </c>
      <c r="J273" s="1" t="s">
        <v>128</v>
      </c>
      <c r="K273" s="1" t="s">
        <v>176</v>
      </c>
      <c r="L273" s="1" t="s">
        <v>208</v>
      </c>
      <c r="M273" s="1" t="s">
        <v>236</v>
      </c>
      <c r="N273" s="1" t="s">
        <v>238</v>
      </c>
      <c r="O273" s="1" t="s">
        <v>121</v>
      </c>
      <c r="P273" s="1" t="s">
        <v>146</v>
      </c>
      <c r="Q273" s="1" t="s">
        <v>93</v>
      </c>
      <c r="R273" s="1">
        <v>2008</v>
      </c>
      <c r="S273" s="1">
        <v>3</v>
      </c>
      <c r="T273" s="16">
        <f>S273*12</f>
        <v>36</v>
      </c>
      <c r="U273" s="1" t="s">
        <v>350</v>
      </c>
      <c r="W273" s="1">
        <v>4</v>
      </c>
      <c r="X273" s="1">
        <v>4</v>
      </c>
      <c r="Y273" s="1" t="s">
        <v>97</v>
      </c>
      <c r="Z273" s="1" t="s">
        <v>133</v>
      </c>
      <c r="AA273" s="1" t="s">
        <v>1</v>
      </c>
      <c r="AB273" s="1" t="s">
        <v>98</v>
      </c>
      <c r="AC273" s="1" t="s">
        <v>202</v>
      </c>
      <c r="AD273" s="1" t="s">
        <v>99</v>
      </c>
      <c r="AE273" s="1" t="s">
        <v>102</v>
      </c>
      <c r="AF273" s="1" t="s">
        <v>256</v>
      </c>
      <c r="AG273" s="1" t="s">
        <v>349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" t="s">
        <v>285</v>
      </c>
    </row>
    <row r="274" spans="1:54" ht="14.25" customHeight="1">
      <c r="A274" s="2">
        <v>279</v>
      </c>
      <c r="B274" s="2" t="s">
        <v>43</v>
      </c>
      <c r="C274" s="1" t="s">
        <v>85</v>
      </c>
      <c r="D274" s="1">
        <v>2015</v>
      </c>
      <c r="E274" s="1">
        <v>2011</v>
      </c>
      <c r="F274" s="1" t="s">
        <v>143</v>
      </c>
      <c r="G274" s="1" t="s">
        <v>142</v>
      </c>
      <c r="H274" s="1">
        <v>33.056356000000001</v>
      </c>
      <c r="I274" s="1">
        <v>-83.680222000000001</v>
      </c>
      <c r="J274" s="1" t="s">
        <v>128</v>
      </c>
      <c r="K274" s="1" t="s">
        <v>176</v>
      </c>
      <c r="L274" s="1" t="s">
        <v>208</v>
      </c>
      <c r="M274" s="1" t="s">
        <v>236</v>
      </c>
      <c r="N274" s="1" t="s">
        <v>238</v>
      </c>
      <c r="O274" s="1" t="s">
        <v>121</v>
      </c>
      <c r="P274" s="1" t="s">
        <v>146</v>
      </c>
      <c r="Q274" s="1" t="s">
        <v>93</v>
      </c>
      <c r="R274" s="1">
        <v>2008</v>
      </c>
      <c r="S274" s="1">
        <v>3</v>
      </c>
      <c r="T274" s="12">
        <f>S274*12</f>
        <v>36</v>
      </c>
      <c r="U274" s="1" t="s">
        <v>350</v>
      </c>
      <c r="W274" s="1">
        <v>4</v>
      </c>
      <c r="X274" s="1">
        <v>4</v>
      </c>
      <c r="Y274" s="1" t="s">
        <v>97</v>
      </c>
      <c r="Z274" s="1" t="s">
        <v>133</v>
      </c>
      <c r="AA274" s="1" t="s">
        <v>1</v>
      </c>
      <c r="AB274" s="1" t="s">
        <v>98</v>
      </c>
      <c r="AC274" s="1" t="s">
        <v>202</v>
      </c>
      <c r="AD274" s="1" t="s">
        <v>99</v>
      </c>
      <c r="AE274" s="1" t="s">
        <v>102</v>
      </c>
      <c r="AF274" s="1" t="s">
        <v>222</v>
      </c>
      <c r="AG274" s="1" t="s">
        <v>331</v>
      </c>
      <c r="AH274" s="1">
        <v>656.5</v>
      </c>
      <c r="AI274" s="1">
        <v>59.8</v>
      </c>
      <c r="AK274" s="1">
        <v>668</v>
      </c>
      <c r="AL274" s="1">
        <v>77.42</v>
      </c>
      <c r="AN274" s="12">
        <f>AH274-AK274</f>
        <v>-11.5</v>
      </c>
      <c r="AO274" s="1">
        <f>SQRT((((X274-1)*AI274^2)+((W274-1)*AL274^2))/(X274+W274-2))</f>
        <v>69.173320001283727</v>
      </c>
      <c r="AP274" s="1">
        <f>AN274/AO274</f>
        <v>-0.16624906827931032</v>
      </c>
      <c r="AQ274" s="1">
        <f>1/X274+1/W274+(AP274^2)/(2*(X274+W274))</f>
        <v>0.50172742204398368</v>
      </c>
      <c r="AR274" s="1">
        <f>1-(3/(4*(X274+W274-2)-1))</f>
        <v>0.86956521739130432</v>
      </c>
      <c r="AS274" s="21">
        <f>AP274*AR274</f>
        <v>-0.14456440719940028</v>
      </c>
      <c r="AT274" s="21">
        <f>AQ274*(AR274^2)</f>
        <v>0.37937801288770034</v>
      </c>
      <c r="AU274" s="21">
        <f>SQRT(AQ274*AR274^2)</f>
        <v>0.61593669551967789</v>
      </c>
      <c r="AV274" s="20">
        <f>1/AT274</f>
        <v>2.6358933992730091</v>
      </c>
      <c r="AW274" s="20">
        <f>AS274/AT274</f>
        <v>-0.38105636670671472</v>
      </c>
      <c r="AX274" s="20">
        <f>((AS274)^2)/AT274</f>
        <v>5.50871877625135E-2</v>
      </c>
      <c r="AY274" s="14"/>
      <c r="AZ274" s="14"/>
      <c r="BA274" s="1" t="s">
        <v>270</v>
      </c>
      <c r="BB274" s="2"/>
    </row>
    <row r="275" spans="1:54" ht="14.25" customHeight="1">
      <c r="A275" s="2">
        <v>279</v>
      </c>
      <c r="B275" s="2" t="s">
        <v>43</v>
      </c>
      <c r="C275" s="1" t="s">
        <v>85</v>
      </c>
      <c r="D275" s="1">
        <v>2015</v>
      </c>
      <c r="E275" s="1">
        <v>2011</v>
      </c>
      <c r="F275" s="1" t="s">
        <v>143</v>
      </c>
      <c r="G275" s="1" t="s">
        <v>142</v>
      </c>
      <c r="H275" s="1">
        <v>33.056356000000001</v>
      </c>
      <c r="I275" s="1">
        <v>-83.680222000000001</v>
      </c>
      <c r="J275" s="1" t="s">
        <v>128</v>
      </c>
      <c r="K275" s="1" t="s">
        <v>176</v>
      </c>
      <c r="L275" s="1" t="s">
        <v>208</v>
      </c>
      <c r="M275" s="1" t="s">
        <v>236</v>
      </c>
      <c r="N275" s="1" t="s">
        <v>238</v>
      </c>
      <c r="O275" s="1" t="s">
        <v>121</v>
      </c>
      <c r="P275" s="1" t="s">
        <v>146</v>
      </c>
      <c r="Q275" s="1" t="s">
        <v>93</v>
      </c>
      <c r="R275" s="1">
        <v>2001</v>
      </c>
      <c r="S275" s="1">
        <v>10</v>
      </c>
      <c r="T275" s="12">
        <f>S275*12</f>
        <v>120</v>
      </c>
      <c r="U275" s="1" t="s">
        <v>351</v>
      </c>
      <c r="W275" s="1">
        <v>4</v>
      </c>
      <c r="X275" s="1">
        <v>4</v>
      </c>
      <c r="Y275" s="1" t="s">
        <v>97</v>
      </c>
      <c r="Z275" s="1" t="s">
        <v>133</v>
      </c>
      <c r="AA275" s="1" t="s">
        <v>1</v>
      </c>
      <c r="AB275" s="1" t="s">
        <v>98</v>
      </c>
      <c r="AC275" s="1" t="s">
        <v>202</v>
      </c>
      <c r="AD275" s="1" t="s">
        <v>99</v>
      </c>
      <c r="AE275" s="1" t="s">
        <v>102</v>
      </c>
      <c r="AF275" s="1" t="s">
        <v>261</v>
      </c>
      <c r="AG275" s="1" t="s">
        <v>331</v>
      </c>
      <c r="AH275" s="1">
        <v>915.31</v>
      </c>
      <c r="AI275" s="1">
        <v>35.17</v>
      </c>
      <c r="AK275" s="1">
        <v>902.71</v>
      </c>
      <c r="AL275" s="1">
        <v>142.05000000000001</v>
      </c>
      <c r="AN275" s="12">
        <f>AH275-AK275</f>
        <v>12.599999999999909</v>
      </c>
      <c r="AO275" s="1">
        <f>SQRT((((X275-1)*AI275^2)+((W275-1)*AL275^2))/(X275+W275-2))</f>
        <v>103.47736805698143</v>
      </c>
      <c r="AP275" s="1">
        <f>AN275/AO275</f>
        <v>0.12176575647982776</v>
      </c>
      <c r="AQ275" s="1">
        <f>1/X275+1/W275+(AP275^2)/(2*(X275+W275))</f>
        <v>0.50092668121569406</v>
      </c>
      <c r="AR275" s="1">
        <f>1-(3/(4*(X275+W275-2)-1))</f>
        <v>0.86956521739130432</v>
      </c>
      <c r="AS275" s="21">
        <f>AP275*AR275</f>
        <v>0.10588326650419805</v>
      </c>
      <c r="AT275" s="21">
        <f>AQ275*(AR275^2)</f>
        <v>0.37877253778124315</v>
      </c>
      <c r="AU275" s="21">
        <f>SQRT(AQ275*AR275^2)</f>
        <v>0.61544499167776412</v>
      </c>
      <c r="AV275" s="20">
        <f>1/AT275</f>
        <v>2.6401069250103384</v>
      </c>
      <c r="AW275" s="20">
        <f>AS275/AT275</f>
        <v>0.27954314514044848</v>
      </c>
      <c r="AX275" s="20">
        <f>((AS275)^2)/AT275</f>
        <v>2.959894133632782E-2</v>
      </c>
      <c r="AY275" s="14"/>
      <c r="AZ275" s="14"/>
      <c r="BA275" s="1" t="s">
        <v>270</v>
      </c>
      <c r="BB275" s="2"/>
    </row>
    <row r="276" spans="1:54" ht="14.25" customHeight="1">
      <c r="A276" s="2">
        <v>279</v>
      </c>
      <c r="B276" s="2" t="s">
        <v>43</v>
      </c>
      <c r="C276" s="1" t="s">
        <v>85</v>
      </c>
      <c r="D276" s="1">
        <v>2015</v>
      </c>
      <c r="E276" s="1">
        <v>2011</v>
      </c>
      <c r="F276" s="1" t="s">
        <v>143</v>
      </c>
      <c r="G276" s="1" t="s">
        <v>142</v>
      </c>
      <c r="H276" s="1">
        <v>33.056356000000001</v>
      </c>
      <c r="I276" s="1">
        <v>-83.680222000000001</v>
      </c>
      <c r="J276" s="1" t="s">
        <v>128</v>
      </c>
      <c r="K276" s="1" t="s">
        <v>176</v>
      </c>
      <c r="L276" s="1" t="s">
        <v>208</v>
      </c>
      <c r="M276" s="1" t="s">
        <v>236</v>
      </c>
      <c r="N276" s="1" t="s">
        <v>238</v>
      </c>
      <c r="O276" s="1" t="s">
        <v>121</v>
      </c>
      <c r="P276" s="1" t="s">
        <v>146</v>
      </c>
      <c r="Q276" s="1" t="s">
        <v>93</v>
      </c>
      <c r="R276" s="1">
        <v>2001</v>
      </c>
      <c r="S276" s="1">
        <v>10</v>
      </c>
      <c r="T276" s="12">
        <f>S276*12</f>
        <v>120</v>
      </c>
      <c r="U276" s="1" t="s">
        <v>351</v>
      </c>
      <c r="W276" s="1">
        <v>4</v>
      </c>
      <c r="X276" s="1">
        <v>4</v>
      </c>
      <c r="Y276" s="1" t="s">
        <v>97</v>
      </c>
      <c r="Z276" s="1" t="s">
        <v>133</v>
      </c>
      <c r="AA276" s="1" t="s">
        <v>1</v>
      </c>
      <c r="AB276" s="1" t="s">
        <v>98</v>
      </c>
      <c r="AC276" s="1" t="s">
        <v>202</v>
      </c>
      <c r="AD276" s="1" t="s">
        <v>99</v>
      </c>
      <c r="AE276" s="1" t="s">
        <v>102</v>
      </c>
      <c r="AF276" s="1" t="s">
        <v>253</v>
      </c>
      <c r="AG276" s="1" t="s">
        <v>331</v>
      </c>
      <c r="AH276" s="1">
        <v>0.98</v>
      </c>
      <c r="AI276" s="1">
        <v>8.9999999999999993E-3</v>
      </c>
      <c r="AK276" s="1">
        <v>0.98</v>
      </c>
      <c r="AL276" s="1">
        <v>1E-3</v>
      </c>
      <c r="AN276" s="12">
        <f>AH276-AK276</f>
        <v>0</v>
      </c>
      <c r="AO276" s="1">
        <f>SQRT((((X276-1)*AI276^2)+((W276-1)*AL276^2))/(X276+W276-2))</f>
        <v>6.4031242374328482E-3</v>
      </c>
      <c r="AP276" s="1">
        <f>AN276/AO276</f>
        <v>0</v>
      </c>
      <c r="AQ276" s="1">
        <f>1/X276+1/W276+(AP276^2)/(2*(X276+W276))</f>
        <v>0.5</v>
      </c>
      <c r="AR276" s="1">
        <f>1-(3/(4*(X276+W276-2)-1))</f>
        <v>0.86956521739130432</v>
      </c>
      <c r="AS276" s="21">
        <f>AP276*AR276</f>
        <v>0</v>
      </c>
      <c r="AT276" s="21">
        <f>AQ276*(AR276^2)</f>
        <v>0.3780718336483932</v>
      </c>
      <c r="AU276" s="21">
        <f>SQRT(AQ276*AR276^2)</f>
        <v>0.61487546190134568</v>
      </c>
      <c r="AV276" s="20">
        <f>1/AT276</f>
        <v>2.645</v>
      </c>
      <c r="AW276" s="20">
        <f>AS276/AT276</f>
        <v>0</v>
      </c>
      <c r="AX276" s="20">
        <f>((AS276)^2)/AT276</f>
        <v>0</v>
      </c>
      <c r="AY276" s="14"/>
      <c r="AZ276" s="14"/>
      <c r="BA276" s="1" t="s">
        <v>270</v>
      </c>
      <c r="BB276" s="2"/>
    </row>
    <row r="277" spans="1:54" ht="14.25" customHeight="1">
      <c r="A277" s="2">
        <v>279</v>
      </c>
      <c r="B277" s="2" t="s">
        <v>43</v>
      </c>
      <c r="C277" s="1" t="s">
        <v>85</v>
      </c>
      <c r="D277" s="1">
        <v>2015</v>
      </c>
      <c r="E277" s="1">
        <v>2011</v>
      </c>
      <c r="F277" s="1" t="s">
        <v>143</v>
      </c>
      <c r="G277" s="1" t="s">
        <v>142</v>
      </c>
      <c r="H277" s="1">
        <v>33.056356000000001</v>
      </c>
      <c r="I277" s="1">
        <v>-83.680222000000001</v>
      </c>
      <c r="J277" s="1" t="s">
        <v>128</v>
      </c>
      <c r="K277" s="1" t="s">
        <v>176</v>
      </c>
      <c r="L277" s="1" t="s">
        <v>208</v>
      </c>
      <c r="M277" s="1" t="s">
        <v>236</v>
      </c>
      <c r="N277" s="1" t="s">
        <v>238</v>
      </c>
      <c r="O277" s="1" t="s">
        <v>121</v>
      </c>
      <c r="P277" s="1" t="s">
        <v>146</v>
      </c>
      <c r="Q277" s="1" t="s">
        <v>93</v>
      </c>
      <c r="R277" s="1">
        <v>2001</v>
      </c>
      <c r="S277" s="1">
        <v>10</v>
      </c>
      <c r="T277" s="12">
        <f>S277*12</f>
        <v>120</v>
      </c>
      <c r="U277" s="1" t="s">
        <v>351</v>
      </c>
      <c r="W277" s="1">
        <v>4</v>
      </c>
      <c r="X277" s="1">
        <v>4</v>
      </c>
      <c r="Y277" s="1" t="s">
        <v>97</v>
      </c>
      <c r="Z277" s="1" t="s">
        <v>133</v>
      </c>
      <c r="AA277" s="1" t="s">
        <v>1</v>
      </c>
      <c r="AB277" s="1" t="s">
        <v>98</v>
      </c>
      <c r="AC277" s="1" t="s">
        <v>202</v>
      </c>
      <c r="AD277" s="1" t="s">
        <v>99</v>
      </c>
      <c r="AE277" s="1" t="s">
        <v>102</v>
      </c>
      <c r="AF277" s="1" t="s">
        <v>348</v>
      </c>
      <c r="AG277" s="1" t="s">
        <v>331</v>
      </c>
      <c r="AH277" s="1">
        <v>7.0000000000000007E-2</v>
      </c>
      <c r="AI277" s="1">
        <v>0.02</v>
      </c>
      <c r="AK277" s="1">
        <v>7.0000000000000007E-2</v>
      </c>
      <c r="AL277" s="1">
        <v>3.0000000000000001E-3</v>
      </c>
      <c r="AN277" s="12">
        <f>AH277-AK277</f>
        <v>0</v>
      </c>
      <c r="AO277" s="1">
        <f>SQRT((((X277-1)*AI277^2)+((W277-1)*AL277^2))/(X277+W277-2))</f>
        <v>1.4300349646075091E-2</v>
      </c>
      <c r="AP277" s="1">
        <f>AN277/AO277</f>
        <v>0</v>
      </c>
      <c r="AQ277" s="1">
        <f>1/X277+1/W277+(AP277^2)/(2*(X277+W277))</f>
        <v>0.5</v>
      </c>
      <c r="AR277" s="1">
        <f>1-(3/(4*(X277+W277-2)-1))</f>
        <v>0.86956521739130432</v>
      </c>
      <c r="AS277" s="21">
        <f>AP277*AR277</f>
        <v>0</v>
      </c>
      <c r="AT277" s="21">
        <f>AQ277*(AR277^2)</f>
        <v>0.3780718336483932</v>
      </c>
      <c r="AU277" s="21">
        <f>SQRT(AQ277*AR277^2)</f>
        <v>0.61487546190134568</v>
      </c>
      <c r="AV277" s="20">
        <f>1/AT277</f>
        <v>2.645</v>
      </c>
      <c r="AW277" s="20">
        <f>AS277/AT277</f>
        <v>0</v>
      </c>
      <c r="AX277" s="20">
        <f>((AS277)^2)/AT277</f>
        <v>0</v>
      </c>
      <c r="AY277" s="14"/>
      <c r="AZ277" s="14"/>
      <c r="BA277" s="1" t="s">
        <v>270</v>
      </c>
      <c r="BB277" s="2"/>
    </row>
    <row r="278" spans="1:54" ht="14.25" customHeight="1">
      <c r="A278" s="2">
        <v>279</v>
      </c>
      <c r="B278" s="2" t="s">
        <v>43</v>
      </c>
      <c r="C278" s="1" t="s">
        <v>85</v>
      </c>
      <c r="D278" s="1">
        <v>2015</v>
      </c>
      <c r="E278" s="1">
        <v>2011</v>
      </c>
      <c r="F278" s="1" t="s">
        <v>143</v>
      </c>
      <c r="G278" s="1" t="s">
        <v>142</v>
      </c>
      <c r="H278" s="1">
        <v>33.056356000000001</v>
      </c>
      <c r="I278" s="1">
        <v>-83.680222000000001</v>
      </c>
      <c r="J278" s="1" t="s">
        <v>128</v>
      </c>
      <c r="K278" s="1" t="s">
        <v>176</v>
      </c>
      <c r="L278" s="1" t="s">
        <v>208</v>
      </c>
      <c r="M278" s="1" t="s">
        <v>236</v>
      </c>
      <c r="N278" s="1" t="s">
        <v>238</v>
      </c>
      <c r="O278" s="1" t="s">
        <v>121</v>
      </c>
      <c r="P278" s="1" t="s">
        <v>146</v>
      </c>
      <c r="Q278" s="1" t="s">
        <v>93</v>
      </c>
      <c r="R278" s="1">
        <v>2001</v>
      </c>
      <c r="S278" s="1">
        <v>10</v>
      </c>
      <c r="T278" s="16">
        <f>S278*12</f>
        <v>120</v>
      </c>
      <c r="U278" s="1" t="s">
        <v>351</v>
      </c>
      <c r="W278" s="1">
        <v>4</v>
      </c>
      <c r="X278" s="1">
        <v>4</v>
      </c>
      <c r="Y278" s="1" t="s">
        <v>97</v>
      </c>
      <c r="Z278" s="1" t="s">
        <v>133</v>
      </c>
      <c r="AA278" s="1" t="s">
        <v>1</v>
      </c>
      <c r="AB278" s="1" t="s">
        <v>98</v>
      </c>
      <c r="AC278" s="1" t="s">
        <v>202</v>
      </c>
      <c r="AD278" s="1" t="s">
        <v>99</v>
      </c>
      <c r="AE278" s="1" t="s">
        <v>102</v>
      </c>
      <c r="AF278" s="1" t="s">
        <v>256</v>
      </c>
      <c r="AG278" s="1" t="s">
        <v>349</v>
      </c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" t="s">
        <v>285</v>
      </c>
    </row>
    <row r="279" spans="1:54" ht="14.25" customHeight="1">
      <c r="A279" s="2">
        <v>107</v>
      </c>
      <c r="B279" s="2" t="s">
        <v>15</v>
      </c>
      <c r="C279" s="1" t="s">
        <v>85</v>
      </c>
      <c r="D279" s="1">
        <v>2022</v>
      </c>
      <c r="E279" s="1">
        <v>2018</v>
      </c>
      <c r="F279" s="1" t="s">
        <v>167</v>
      </c>
      <c r="G279" s="1" t="s">
        <v>168</v>
      </c>
      <c r="H279" s="1">
        <v>59.183889000000001</v>
      </c>
      <c r="I279" s="1">
        <v>23.772221999999999</v>
      </c>
      <c r="J279" s="1" t="s">
        <v>128</v>
      </c>
      <c r="K279" s="1" t="s">
        <v>176</v>
      </c>
      <c r="L279" s="1" t="s">
        <v>182</v>
      </c>
      <c r="M279" s="1" t="s">
        <v>236</v>
      </c>
      <c r="N279" s="1" t="s">
        <v>238</v>
      </c>
      <c r="O279" s="1" t="s">
        <v>86</v>
      </c>
      <c r="P279" s="12" t="s">
        <v>129</v>
      </c>
      <c r="Q279" s="1" t="s">
        <v>93</v>
      </c>
      <c r="R279" s="1">
        <v>2008</v>
      </c>
      <c r="S279" s="1">
        <v>10</v>
      </c>
      <c r="T279" s="12">
        <f>S279*12</f>
        <v>120</v>
      </c>
      <c r="V279" s="1" t="s">
        <v>169</v>
      </c>
      <c r="W279" s="1">
        <v>18</v>
      </c>
      <c r="X279" s="1">
        <v>18</v>
      </c>
      <c r="Y279" s="1" t="s">
        <v>97</v>
      </c>
      <c r="Z279" s="1" t="s">
        <v>133</v>
      </c>
      <c r="AA279" s="1" t="s">
        <v>1</v>
      </c>
      <c r="AB279" s="1" t="s">
        <v>98</v>
      </c>
      <c r="AC279" s="1" t="s">
        <v>202</v>
      </c>
      <c r="AD279" s="1" t="s">
        <v>353</v>
      </c>
      <c r="AE279" s="1" t="s">
        <v>100</v>
      </c>
      <c r="AF279" s="1" t="s">
        <v>222</v>
      </c>
      <c r="AG279" s="1" t="s">
        <v>316</v>
      </c>
      <c r="AH279" s="1">
        <v>1.73</v>
      </c>
      <c r="AI279" s="1">
        <f>AJ279*SQRT(X279)</f>
        <v>0.16970562748477155</v>
      </c>
      <c r="AJ279" s="1">
        <f>1.77-AH279</f>
        <v>4.0000000000000036E-2</v>
      </c>
      <c r="AK279" s="1">
        <v>1.75</v>
      </c>
      <c r="AL279" s="1">
        <f>AM279*SQRT(W279)</f>
        <v>0.16970562748477155</v>
      </c>
      <c r="AM279" s="1">
        <f>1.79-AK279</f>
        <v>4.0000000000000036E-2</v>
      </c>
      <c r="AN279" s="12">
        <f>AH279-AK279</f>
        <v>-2.0000000000000018E-2</v>
      </c>
      <c r="AO279" s="1">
        <f>SQRT((((X279-1)*AI279^2)+((W279-1)*AL279^2))/(X279+W279-2))</f>
        <v>0.16970562748477155</v>
      </c>
      <c r="AP279" s="1">
        <f>AN279/AO279</f>
        <v>-0.11785113019775792</v>
      </c>
      <c r="AQ279" s="1">
        <f>1/X279+1/W279+(AP279^2)/(2*(X279+W279))</f>
        <v>0.11130401234567901</v>
      </c>
      <c r="AR279" s="1">
        <f>1-(3/(4*(X279+W279-2)-1))</f>
        <v>0.97777777777777775</v>
      </c>
      <c r="AS279" s="21">
        <f>AP279*AR279</f>
        <v>-0.1152322161933633</v>
      </c>
      <c r="AT279" s="21">
        <f>AQ279*(AR279^2)</f>
        <v>0.10641213229690595</v>
      </c>
      <c r="AU279" s="21">
        <f>SQRT(AQ279*AR279^2)</f>
        <v>0.3262087250471789</v>
      </c>
      <c r="AV279" s="20">
        <f>1/AT279</f>
        <v>9.3974246959909493</v>
      </c>
      <c r="AW279" s="20">
        <f>AS279/AT279</f>
        <v>-1.0828860742292803</v>
      </c>
      <c r="AX279" s="20">
        <f>((AS279)^2)/AT279</f>
        <v>0.12478336221837089</v>
      </c>
      <c r="AY279" s="14"/>
      <c r="AZ279" s="14"/>
      <c r="BA279" s="1" t="s">
        <v>270</v>
      </c>
      <c r="BB279" s="2"/>
    </row>
    <row r="280" spans="1:54" ht="14.25" customHeight="1">
      <c r="A280" s="2">
        <v>107</v>
      </c>
      <c r="B280" s="2" t="s">
        <v>15</v>
      </c>
      <c r="C280" s="1" t="s">
        <v>85</v>
      </c>
      <c r="D280" s="1">
        <v>2022</v>
      </c>
      <c r="E280" s="1">
        <v>2018</v>
      </c>
      <c r="F280" s="1" t="s">
        <v>167</v>
      </c>
      <c r="G280" s="1" t="s">
        <v>168</v>
      </c>
      <c r="H280" s="1">
        <v>59.183889000000001</v>
      </c>
      <c r="I280" s="1">
        <v>23.772221999999999</v>
      </c>
      <c r="J280" s="1" t="s">
        <v>128</v>
      </c>
      <c r="K280" s="1" t="s">
        <v>176</v>
      </c>
      <c r="L280" s="1" t="s">
        <v>182</v>
      </c>
      <c r="M280" s="1" t="s">
        <v>236</v>
      </c>
      <c r="N280" s="1" t="s">
        <v>238</v>
      </c>
      <c r="O280" s="1" t="s">
        <v>86</v>
      </c>
      <c r="P280" s="12" t="s">
        <v>129</v>
      </c>
      <c r="Q280" s="1" t="s">
        <v>93</v>
      </c>
      <c r="R280" s="1">
        <v>2008</v>
      </c>
      <c r="S280" s="1">
        <v>10</v>
      </c>
      <c r="T280" s="12">
        <f>S280*12</f>
        <v>120</v>
      </c>
      <c r="V280" s="1" t="s">
        <v>169</v>
      </c>
      <c r="W280" s="1">
        <v>18</v>
      </c>
      <c r="X280" s="1">
        <v>18</v>
      </c>
      <c r="Y280" s="1" t="s">
        <v>97</v>
      </c>
      <c r="Z280" s="1" t="s">
        <v>133</v>
      </c>
      <c r="AA280" s="1" t="s">
        <v>1</v>
      </c>
      <c r="AB280" s="1" t="s">
        <v>98</v>
      </c>
      <c r="AC280" s="1" t="s">
        <v>202</v>
      </c>
      <c r="AD280" s="1" t="s">
        <v>353</v>
      </c>
      <c r="AE280" s="1" t="s">
        <v>100</v>
      </c>
      <c r="AF280" s="1" t="s">
        <v>384</v>
      </c>
      <c r="AG280" s="1" t="s">
        <v>316</v>
      </c>
      <c r="AH280" s="1">
        <v>1.18</v>
      </c>
      <c r="AI280" s="1">
        <f>AJ280*SQRT(X280)</f>
        <v>0.21213203435596442</v>
      </c>
      <c r="AJ280" s="1">
        <f>1.23-AH280</f>
        <v>5.0000000000000044E-2</v>
      </c>
      <c r="AK280" s="1">
        <v>1.18</v>
      </c>
      <c r="AL280" s="1">
        <f>AM280*SQRT(W280)</f>
        <v>0.25455844122715732</v>
      </c>
      <c r="AM280" s="1">
        <f>1.24-AK280</f>
        <v>6.0000000000000053E-2</v>
      </c>
      <c r="AN280" s="12">
        <f>AH280-AK280</f>
        <v>0</v>
      </c>
      <c r="AO280" s="1">
        <f>SQRT((((X280-1)*AI280^2)+((W280-1)*AL280^2))/(X280+W280-2))</f>
        <v>0.23430749027719983</v>
      </c>
      <c r="AP280" s="1">
        <f>AN280/AO280</f>
        <v>0</v>
      </c>
      <c r="AQ280" s="1">
        <f>1/X280+1/W280+(AP280^2)/(2*(X280+W280))</f>
        <v>0.1111111111111111</v>
      </c>
      <c r="AR280" s="1">
        <f>1-(3/(4*(X280+W280-2)-1))</f>
        <v>0.97777777777777775</v>
      </c>
      <c r="AS280" s="21">
        <f>AP280*AR280</f>
        <v>0</v>
      </c>
      <c r="AT280" s="21">
        <f>AQ280*(AR280^2)</f>
        <v>0.10622770919067215</v>
      </c>
      <c r="AU280" s="21">
        <f>SQRT(AQ280*AR280^2)</f>
        <v>0.3259259259259259</v>
      </c>
      <c r="AV280" s="20">
        <f>1/AT280</f>
        <v>9.4137396694214885</v>
      </c>
      <c r="AW280" s="20">
        <f>AS280/AT280</f>
        <v>0</v>
      </c>
      <c r="AX280" s="20">
        <f>((AS280)^2)/AT280</f>
        <v>0</v>
      </c>
      <c r="AY280" s="14"/>
      <c r="AZ280" s="14"/>
      <c r="BA280" s="1" t="s">
        <v>270</v>
      </c>
      <c r="BB280" s="2"/>
    </row>
    <row r="281" spans="1:54" ht="14.25" customHeight="1">
      <c r="A281" s="2">
        <v>107</v>
      </c>
      <c r="B281" s="2" t="s">
        <v>15</v>
      </c>
      <c r="C281" s="1" t="s">
        <v>85</v>
      </c>
      <c r="D281" s="1">
        <v>2022</v>
      </c>
      <c r="E281" s="1">
        <v>2018</v>
      </c>
      <c r="F281" s="1" t="s">
        <v>167</v>
      </c>
      <c r="G281" s="1" t="s">
        <v>168</v>
      </c>
      <c r="H281" s="1">
        <v>59.183889000000001</v>
      </c>
      <c r="I281" s="1">
        <v>23.772221999999999</v>
      </c>
      <c r="J281" s="1" t="s">
        <v>128</v>
      </c>
      <c r="K281" s="1" t="s">
        <v>176</v>
      </c>
      <c r="L281" s="1" t="s">
        <v>182</v>
      </c>
      <c r="M281" s="1" t="s">
        <v>236</v>
      </c>
      <c r="N281" s="1" t="s">
        <v>238</v>
      </c>
      <c r="O281" s="1" t="s">
        <v>86</v>
      </c>
      <c r="P281" s="12" t="s">
        <v>129</v>
      </c>
      <c r="Q281" s="1" t="s">
        <v>93</v>
      </c>
      <c r="R281" s="1">
        <v>2008</v>
      </c>
      <c r="S281" s="1">
        <v>10</v>
      </c>
      <c r="T281" s="12">
        <f>S281*12</f>
        <v>120</v>
      </c>
      <c r="V281" s="1" t="s">
        <v>169</v>
      </c>
      <c r="W281" s="1">
        <v>18</v>
      </c>
      <c r="X281" s="1">
        <v>18</v>
      </c>
      <c r="Y281" s="1" t="s">
        <v>97</v>
      </c>
      <c r="Z281" s="1" t="s">
        <v>133</v>
      </c>
      <c r="AA281" s="1" t="s">
        <v>1</v>
      </c>
      <c r="AB281" s="1" t="s">
        <v>98</v>
      </c>
      <c r="AC281" s="1" t="s">
        <v>202</v>
      </c>
      <c r="AD281" s="1" t="s">
        <v>353</v>
      </c>
      <c r="AE281" s="1" t="s">
        <v>100</v>
      </c>
      <c r="AF281" s="1" t="s">
        <v>150</v>
      </c>
      <c r="AG281" s="1" t="s">
        <v>316</v>
      </c>
      <c r="AH281" s="1">
        <v>0.65</v>
      </c>
      <c r="AI281" s="1">
        <f>AJ281*SQRT(X281)</f>
        <v>0.21213203435596395</v>
      </c>
      <c r="AJ281" s="1">
        <f>0.7-AH281</f>
        <v>4.9999999999999933E-2</v>
      </c>
      <c r="AK281" s="1">
        <v>0.85</v>
      </c>
      <c r="AL281" s="1">
        <f>AM281*SQRT(W281)</f>
        <v>0.25455844122715732</v>
      </c>
      <c r="AM281" s="1">
        <f>0.91-AK281</f>
        <v>6.0000000000000053E-2</v>
      </c>
      <c r="AN281" s="12">
        <f>AH281-AK281</f>
        <v>-0.19999999999999996</v>
      </c>
      <c r="AO281" s="1">
        <f>SQRT((((X281-1)*AI281^2)+((W281-1)*AL281^2))/(X281+W281-2))</f>
        <v>0.2343074902771996</v>
      </c>
      <c r="AP281" s="1">
        <f>AN281/AO281</f>
        <v>-0.85357919955263972</v>
      </c>
      <c r="AQ281" s="1">
        <f>1/X281+1/W281+(AP281^2)/(2*(X281+W281))</f>
        <v>0.12123052013762395</v>
      </c>
      <c r="AR281" s="1">
        <f>1-(3/(4*(X281+W281-2)-1))</f>
        <v>0.97777777777777775</v>
      </c>
      <c r="AS281" s="21">
        <f>AP281*AR281</f>
        <v>-0.83461077289591434</v>
      </c>
      <c r="AT281" s="21">
        <f>AQ281*(AR281^2)</f>
        <v>0.11590236394392096</v>
      </c>
      <c r="AU281" s="21">
        <f>SQRT(AQ281*AR281^2)</f>
        <v>0.34044436247927645</v>
      </c>
      <c r="AV281" s="20">
        <f>1/AT281</f>
        <v>8.6279517170490774</v>
      </c>
      <c r="AW281" s="20">
        <f>AS281/AT281</f>
        <v>-7.2009814510749619</v>
      </c>
      <c r="AX281" s="20">
        <f>((AS281)^2)/AT281</f>
        <v>6.0100166944908162</v>
      </c>
      <c r="AY281" s="14"/>
      <c r="AZ281" s="14"/>
      <c r="BA281" s="1" t="s">
        <v>270</v>
      </c>
      <c r="BB281" s="2"/>
    </row>
    <row r="282" spans="1:54" ht="14.25" customHeight="1">
      <c r="A282" s="2">
        <v>107</v>
      </c>
      <c r="B282" s="2" t="s">
        <v>15</v>
      </c>
      <c r="C282" s="1" t="s">
        <v>85</v>
      </c>
      <c r="D282" s="1">
        <v>2022</v>
      </c>
      <c r="E282" s="1">
        <v>2018</v>
      </c>
      <c r="F282" s="1" t="s">
        <v>167</v>
      </c>
      <c r="G282" s="1" t="s">
        <v>168</v>
      </c>
      <c r="H282" s="1">
        <v>59.183889000000001</v>
      </c>
      <c r="I282" s="1">
        <v>23.772221999999999</v>
      </c>
      <c r="J282" s="1" t="s">
        <v>128</v>
      </c>
      <c r="K282" s="1" t="s">
        <v>176</v>
      </c>
      <c r="L282" s="1" t="s">
        <v>182</v>
      </c>
      <c r="M282" s="1" t="s">
        <v>236</v>
      </c>
      <c r="N282" s="1" t="s">
        <v>238</v>
      </c>
      <c r="O282" s="1" t="s">
        <v>86</v>
      </c>
      <c r="P282" s="12" t="s">
        <v>129</v>
      </c>
      <c r="Q282" s="1" t="s">
        <v>93</v>
      </c>
      <c r="R282" s="1">
        <v>2008</v>
      </c>
      <c r="S282" s="1">
        <v>10</v>
      </c>
      <c r="T282" s="12">
        <f>S282*12</f>
        <v>120</v>
      </c>
      <c r="V282" s="1" t="s">
        <v>169</v>
      </c>
      <c r="W282" s="1">
        <v>18</v>
      </c>
      <c r="X282" s="1">
        <v>18</v>
      </c>
      <c r="Y282" s="1" t="s">
        <v>97</v>
      </c>
      <c r="Z282" s="1" t="s">
        <v>133</v>
      </c>
      <c r="AA282" s="1" t="s">
        <v>1</v>
      </c>
      <c r="AB282" s="1" t="s">
        <v>98</v>
      </c>
      <c r="AC282" s="1" t="s">
        <v>202</v>
      </c>
      <c r="AD282" s="1" t="s">
        <v>353</v>
      </c>
      <c r="AE282" s="1" t="s">
        <v>100</v>
      </c>
      <c r="AF282" s="1" t="s">
        <v>312</v>
      </c>
      <c r="AG282" s="1" t="s">
        <v>316</v>
      </c>
      <c r="AH282" s="1">
        <v>0.28999999999999998</v>
      </c>
      <c r="AI282" s="1">
        <f>AJ282*SQRT(X282)</f>
        <v>0.42426406871192862</v>
      </c>
      <c r="AJ282" s="1">
        <f>0.39-AH282</f>
        <v>0.10000000000000003</v>
      </c>
      <c r="AK282" s="1">
        <v>0.26</v>
      </c>
      <c r="AL282" s="1">
        <f>AM282*SQRT(W282)</f>
        <v>0.38183766184073548</v>
      </c>
      <c r="AM282" s="1">
        <f>0.35-AK282</f>
        <v>8.9999999999999969E-2</v>
      </c>
      <c r="AN282" s="12">
        <f>AH282-AK282</f>
        <v>2.9999999999999971E-2</v>
      </c>
      <c r="AO282" s="1">
        <f>SQRT((((X282-1)*AI282^2)+((W282-1)*AL282^2))/(X282+W282-2))</f>
        <v>0.40360872141221127</v>
      </c>
      <c r="AP282" s="1">
        <f>AN282/AO282</f>
        <v>7.4329414624716567E-2</v>
      </c>
      <c r="AQ282" s="1">
        <f>1/X282+1/W282+(AP282^2)/(2*(X282+W282))</f>
        <v>0.1111878453038674</v>
      </c>
      <c r="AR282" s="1">
        <f>1-(3/(4*(X282+W282-2)-1))</f>
        <v>0.97777777777777775</v>
      </c>
      <c r="AS282" s="21">
        <f>AP282*AR282</f>
        <v>7.2677649855278414E-2</v>
      </c>
      <c r="AT282" s="21">
        <f>AQ282*(AR282^2)</f>
        <v>0.10630107086829001</v>
      </c>
      <c r="AU282" s="21">
        <f>SQRT(AQ282*AR282^2)</f>
        <v>0.32603844998449188</v>
      </c>
      <c r="AV282" s="20">
        <f>1/AT282</f>
        <v>9.4072429546737855</v>
      </c>
      <c r="AW282" s="20">
        <f>AS282/AT282</f>
        <v>0.68369630956331617</v>
      </c>
      <c r="AX282" s="20">
        <f>((AS282)^2)/AT282</f>
        <v>4.9689440993788733E-2</v>
      </c>
      <c r="AY282" s="14"/>
      <c r="AZ282" s="14"/>
      <c r="BA282" s="1" t="s">
        <v>270</v>
      </c>
      <c r="BB282" s="2"/>
    </row>
    <row r="283" spans="1:54" ht="14.25" customHeight="1">
      <c r="A283" s="2">
        <v>107</v>
      </c>
      <c r="B283" s="2" t="s">
        <v>15</v>
      </c>
      <c r="C283" s="1" t="s">
        <v>85</v>
      </c>
      <c r="D283" s="1">
        <v>2022</v>
      </c>
      <c r="E283" s="1">
        <v>2018</v>
      </c>
      <c r="F283" s="1" t="s">
        <v>167</v>
      </c>
      <c r="G283" s="1" t="s">
        <v>168</v>
      </c>
      <c r="H283" s="1">
        <v>59.183889000000001</v>
      </c>
      <c r="I283" s="1">
        <v>23.772221999999999</v>
      </c>
      <c r="J283" s="1" t="s">
        <v>128</v>
      </c>
      <c r="K283" s="1" t="s">
        <v>176</v>
      </c>
      <c r="L283" s="1" t="s">
        <v>182</v>
      </c>
      <c r="M283" s="1" t="s">
        <v>236</v>
      </c>
      <c r="N283" s="1" t="s">
        <v>238</v>
      </c>
      <c r="O283" s="1" t="s">
        <v>86</v>
      </c>
      <c r="P283" s="12" t="s">
        <v>129</v>
      </c>
      <c r="Q283" s="1" t="s">
        <v>93</v>
      </c>
      <c r="R283" s="1">
        <v>2008</v>
      </c>
      <c r="S283" s="1">
        <v>10</v>
      </c>
      <c r="T283" s="16">
        <f>S283*12</f>
        <v>120</v>
      </c>
      <c r="V283" s="1" t="s">
        <v>169</v>
      </c>
      <c r="W283" s="1">
        <v>3</v>
      </c>
      <c r="X283" s="1">
        <v>3</v>
      </c>
      <c r="Y283" s="1" t="s">
        <v>97</v>
      </c>
      <c r="Z283" s="1" t="s">
        <v>133</v>
      </c>
      <c r="AA283" s="1" t="s">
        <v>1</v>
      </c>
      <c r="AB283" s="1" t="s">
        <v>98</v>
      </c>
      <c r="AC283" s="1" t="s">
        <v>202</v>
      </c>
      <c r="AD283" s="1" t="s">
        <v>353</v>
      </c>
      <c r="AE283" s="1" t="s">
        <v>100</v>
      </c>
      <c r="AF283" s="1" t="s">
        <v>356</v>
      </c>
      <c r="AG283" s="1" t="s">
        <v>330</v>
      </c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" t="s">
        <v>285</v>
      </c>
    </row>
    <row r="284" spans="1:54" ht="14.25" customHeight="1">
      <c r="A284" s="2">
        <v>199</v>
      </c>
      <c r="B284" s="2" t="s">
        <v>30</v>
      </c>
      <c r="C284" s="1" t="s">
        <v>85</v>
      </c>
      <c r="D284" s="1">
        <v>2019</v>
      </c>
      <c r="E284" s="1">
        <v>2013</v>
      </c>
      <c r="F284" s="1" t="s">
        <v>143</v>
      </c>
      <c r="G284" s="1" t="s">
        <v>109</v>
      </c>
      <c r="H284" s="1">
        <v>34.363706000000001</v>
      </c>
      <c r="I284" s="1">
        <v>-112.274447</v>
      </c>
      <c r="J284" s="1" t="s">
        <v>126</v>
      </c>
      <c r="K284" s="1" t="s">
        <v>176</v>
      </c>
      <c r="L284" s="1" t="s">
        <v>192</v>
      </c>
      <c r="M284" s="1" t="s">
        <v>236</v>
      </c>
      <c r="N284" s="1" t="s">
        <v>238</v>
      </c>
      <c r="O284" s="1" t="s">
        <v>86</v>
      </c>
      <c r="P284" s="1" t="s">
        <v>210</v>
      </c>
      <c r="Q284" s="1" t="s">
        <v>93</v>
      </c>
      <c r="R284" s="1">
        <v>2000</v>
      </c>
      <c r="S284" s="1">
        <v>13</v>
      </c>
      <c r="T284" s="12">
        <f>S284*12</f>
        <v>156</v>
      </c>
      <c r="V284" s="1">
        <v>6500</v>
      </c>
      <c r="W284" s="1">
        <v>3</v>
      </c>
      <c r="X284" s="1">
        <v>3</v>
      </c>
      <c r="Y284" s="1" t="s">
        <v>114</v>
      </c>
      <c r="Z284" s="1" t="s">
        <v>2</v>
      </c>
      <c r="AA284" s="1" t="s">
        <v>0</v>
      </c>
      <c r="AB284" s="1" t="s">
        <v>113</v>
      </c>
      <c r="AC284" s="1" t="s">
        <v>2</v>
      </c>
      <c r="AD284" s="1" t="s">
        <v>2</v>
      </c>
      <c r="AE284" s="1" t="s">
        <v>2</v>
      </c>
      <c r="AF284" s="1" t="s">
        <v>385</v>
      </c>
      <c r="AG284" s="1" t="s">
        <v>319</v>
      </c>
      <c r="AH284" s="1">
        <v>4.58</v>
      </c>
      <c r="AI284" s="1">
        <f>5.17-3.9</f>
        <v>1.27</v>
      </c>
      <c r="AK284" s="1">
        <v>10.68</v>
      </c>
      <c r="AL284" s="1">
        <f>11.66-6.1</f>
        <v>5.5600000000000005</v>
      </c>
      <c r="AN284" s="12">
        <f>AH284-AK284</f>
        <v>-6.1</v>
      </c>
      <c r="AO284" s="1">
        <f>SQRT((((X284-1)*AI284^2)+((W284-1)*AL284^2))/(X284+W284-2))</f>
        <v>4.0327719995060471</v>
      </c>
      <c r="AP284" s="1">
        <f>AN284/AO284</f>
        <v>-1.5126072093208236</v>
      </c>
      <c r="AQ284" s="1">
        <f>1/X284+1/W284+(AP284^2)/(2*(X284+W284))</f>
        <v>0.85733171414077747</v>
      </c>
      <c r="AR284" s="1">
        <f>1-(3/(4*(X284+W284-2)-1))</f>
        <v>0.8</v>
      </c>
      <c r="AS284" s="21">
        <f>AP284*AR284</f>
        <v>-1.210085767456659</v>
      </c>
      <c r="AT284" s="21">
        <f>AQ284*(AR284^2)</f>
        <v>0.5486922970500977</v>
      </c>
      <c r="AU284" s="21">
        <f>SQRT(AQ284*AR284^2)</f>
        <v>0.74073767087282505</v>
      </c>
      <c r="AV284" s="20">
        <f>1/AT284</f>
        <v>1.8225151061464531</v>
      </c>
      <c r="AW284" s="20">
        <f>AS284/AT284</f>
        <v>-2.205399590922585</v>
      </c>
      <c r="AX284" s="20">
        <f>((AS284)^2)/AT284</f>
        <v>2.6687226565301581</v>
      </c>
      <c r="AY284" s="14"/>
      <c r="AZ284" s="14"/>
      <c r="BA284" s="1" t="s">
        <v>270</v>
      </c>
      <c r="BB284" s="2"/>
    </row>
    <row r="285" spans="1:54" ht="14.25" customHeight="1">
      <c r="A285" s="2">
        <v>199</v>
      </c>
      <c r="B285" s="2" t="s">
        <v>30</v>
      </c>
      <c r="C285" s="1" t="s">
        <v>85</v>
      </c>
      <c r="D285" s="1">
        <v>2019</v>
      </c>
      <c r="E285" s="1">
        <v>2013</v>
      </c>
      <c r="F285" s="1" t="s">
        <v>143</v>
      </c>
      <c r="G285" s="1" t="s">
        <v>109</v>
      </c>
      <c r="H285" s="1">
        <v>34.363706000000001</v>
      </c>
      <c r="I285" s="1">
        <v>-112.274447</v>
      </c>
      <c r="J285" s="1" t="s">
        <v>126</v>
      </c>
      <c r="K285" s="1" t="s">
        <v>176</v>
      </c>
      <c r="L285" s="1" t="s">
        <v>192</v>
      </c>
      <c r="M285" s="1" t="s">
        <v>236</v>
      </c>
      <c r="N285" s="1" t="s">
        <v>238</v>
      </c>
      <c r="O285" s="1" t="s">
        <v>86</v>
      </c>
      <c r="P285" s="1" t="s">
        <v>210</v>
      </c>
      <c r="Q285" s="1" t="s">
        <v>93</v>
      </c>
      <c r="R285" s="1">
        <v>2000</v>
      </c>
      <c r="S285" s="1">
        <v>13</v>
      </c>
      <c r="T285" s="12">
        <f>S285*12</f>
        <v>156</v>
      </c>
      <c r="V285" s="1">
        <v>6500</v>
      </c>
      <c r="W285" s="1">
        <v>3</v>
      </c>
      <c r="X285" s="1">
        <v>3</v>
      </c>
      <c r="Y285" s="1" t="s">
        <v>114</v>
      </c>
      <c r="Z285" s="1" t="s">
        <v>2</v>
      </c>
      <c r="AA285" s="1" t="s">
        <v>0</v>
      </c>
      <c r="AB285" s="1" t="s">
        <v>113</v>
      </c>
      <c r="AC285" s="1" t="s">
        <v>2</v>
      </c>
      <c r="AD285" s="1" t="s">
        <v>2</v>
      </c>
      <c r="AE285" s="1" t="s">
        <v>2</v>
      </c>
      <c r="AF285" s="1" t="s">
        <v>306</v>
      </c>
      <c r="AG285" s="1" t="s">
        <v>319</v>
      </c>
      <c r="AH285" s="1">
        <v>1.57</v>
      </c>
      <c r="AI285" s="1">
        <f>2.06-1.42</f>
        <v>0.64000000000000012</v>
      </c>
      <c r="AK285" s="1">
        <v>1.71</v>
      </c>
      <c r="AL285" s="1">
        <f>3.23-1.13</f>
        <v>2.1</v>
      </c>
      <c r="AN285" s="12">
        <f>AH285-AK285</f>
        <v>-0.1399999999999999</v>
      </c>
      <c r="AO285" s="1">
        <f>SQRT((((X285-1)*AI285^2)+((W285-1)*AL285^2))/(X285+W285-2))</f>
        <v>1.5523530526268823</v>
      </c>
      <c r="AP285" s="1">
        <f>AN285/AO285</f>
        <v>-9.0185669917737313E-2</v>
      </c>
      <c r="AQ285" s="1">
        <f>1/X285+1/W285+(AP285^2)/(2*(X285+W285))</f>
        <v>0.66734445458820923</v>
      </c>
      <c r="AR285" s="1">
        <f>1-(3/(4*(X285+W285-2)-1))</f>
        <v>0.8</v>
      </c>
      <c r="AS285" s="21">
        <f>AP285*AR285</f>
        <v>-7.214853593418985E-2</v>
      </c>
      <c r="AT285" s="21">
        <f>AQ285*(AR285^2)</f>
        <v>0.42710045093645399</v>
      </c>
      <c r="AU285" s="21">
        <f>SQRT(AQ285*AR285^2)</f>
        <v>0.65352922730085605</v>
      </c>
      <c r="AV285" s="20">
        <f>1/AT285</f>
        <v>2.3413695719763701</v>
      </c>
      <c r="AW285" s="20">
        <f>AS285/AT285</f>
        <v>-0.16892638669895585</v>
      </c>
      <c r="AX285" s="20">
        <f>((AS285)^2)/AT285</f>
        <v>1.2187791480982466E-2</v>
      </c>
      <c r="AY285" s="14"/>
      <c r="AZ285" s="14"/>
      <c r="BA285" s="1" t="s">
        <v>270</v>
      </c>
      <c r="BB285" s="2"/>
    </row>
    <row r="286" spans="1:54" ht="14.25" customHeight="1">
      <c r="A286" s="2">
        <v>199</v>
      </c>
      <c r="B286" s="2" t="s">
        <v>30</v>
      </c>
      <c r="C286" s="1" t="s">
        <v>85</v>
      </c>
      <c r="D286" s="1">
        <v>2019</v>
      </c>
      <c r="E286" s="1">
        <v>2013</v>
      </c>
      <c r="F286" s="1" t="s">
        <v>143</v>
      </c>
      <c r="G286" s="1" t="s">
        <v>109</v>
      </c>
      <c r="H286" s="1">
        <v>34.363706000000001</v>
      </c>
      <c r="I286" s="1">
        <v>-112.274447</v>
      </c>
      <c r="J286" s="1" t="s">
        <v>126</v>
      </c>
      <c r="K286" s="1" t="s">
        <v>176</v>
      </c>
      <c r="L286" s="1" t="s">
        <v>192</v>
      </c>
      <c r="M286" s="1" t="s">
        <v>236</v>
      </c>
      <c r="N286" s="1" t="s">
        <v>238</v>
      </c>
      <c r="O286" s="1" t="s">
        <v>86</v>
      </c>
      <c r="P286" s="1" t="s">
        <v>210</v>
      </c>
      <c r="Q286" s="1" t="s">
        <v>93</v>
      </c>
      <c r="R286" s="1">
        <v>2000</v>
      </c>
      <c r="S286" s="1">
        <v>13</v>
      </c>
      <c r="T286" s="16">
        <f>S286*12</f>
        <v>156</v>
      </c>
      <c r="V286" s="1">
        <v>6500</v>
      </c>
      <c r="W286" s="1">
        <v>3</v>
      </c>
      <c r="X286" s="1">
        <v>3</v>
      </c>
      <c r="Y286" s="1" t="s">
        <v>114</v>
      </c>
      <c r="Z286" s="1" t="s">
        <v>2</v>
      </c>
      <c r="AA286" s="1" t="s">
        <v>0</v>
      </c>
      <c r="AB286" s="1" t="s">
        <v>113</v>
      </c>
      <c r="AC286" s="1" t="s">
        <v>2</v>
      </c>
      <c r="AD286" s="1" t="s">
        <v>2</v>
      </c>
      <c r="AE286" s="1" t="s">
        <v>2</v>
      </c>
      <c r="AF286" s="1" t="s">
        <v>352</v>
      </c>
      <c r="AG286" s="1" t="s">
        <v>315</v>
      </c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" t="s">
        <v>285</v>
      </c>
    </row>
    <row r="287" spans="1:54" ht="14.25" customHeight="1">
      <c r="A287" s="2">
        <v>199</v>
      </c>
      <c r="B287" s="2" t="s">
        <v>30</v>
      </c>
      <c r="C287" s="1" t="s">
        <v>85</v>
      </c>
      <c r="D287" s="1">
        <v>2019</v>
      </c>
      <c r="E287" s="1">
        <v>2013</v>
      </c>
      <c r="F287" s="1" t="s">
        <v>143</v>
      </c>
      <c r="G287" s="1" t="s">
        <v>109</v>
      </c>
      <c r="H287" s="1">
        <v>34.363706000000001</v>
      </c>
      <c r="I287" s="1">
        <v>-112.274447</v>
      </c>
      <c r="J287" s="1" t="s">
        <v>126</v>
      </c>
      <c r="K287" s="1" t="s">
        <v>176</v>
      </c>
      <c r="L287" s="1" t="s">
        <v>192</v>
      </c>
      <c r="M287" s="1" t="s">
        <v>236</v>
      </c>
      <c r="N287" s="1" t="s">
        <v>238</v>
      </c>
      <c r="O287" s="1" t="s">
        <v>86</v>
      </c>
      <c r="P287" s="1" t="s">
        <v>129</v>
      </c>
      <c r="Q287" s="1" t="s">
        <v>93</v>
      </c>
      <c r="R287" s="1">
        <v>2000</v>
      </c>
      <c r="S287" s="1">
        <v>13</v>
      </c>
      <c r="T287" s="12">
        <f>S287*12</f>
        <v>156</v>
      </c>
      <c r="V287" s="1">
        <v>6500</v>
      </c>
      <c r="W287" s="1">
        <v>3</v>
      </c>
      <c r="X287" s="1">
        <v>3</v>
      </c>
      <c r="Y287" s="1" t="s">
        <v>114</v>
      </c>
      <c r="Z287" s="1" t="s">
        <v>2</v>
      </c>
      <c r="AA287" s="1" t="s">
        <v>0</v>
      </c>
      <c r="AB287" s="1" t="s">
        <v>113</v>
      </c>
      <c r="AC287" s="1" t="s">
        <v>2</v>
      </c>
      <c r="AD287" s="1" t="s">
        <v>2</v>
      </c>
      <c r="AE287" s="1" t="s">
        <v>2</v>
      </c>
      <c r="AF287" s="1" t="s">
        <v>385</v>
      </c>
      <c r="AG287" s="1" t="s">
        <v>319</v>
      </c>
      <c r="AH287" s="1">
        <v>0.78</v>
      </c>
      <c r="AI287" s="1">
        <f>1.85-0.68</f>
        <v>1.17</v>
      </c>
      <c r="AK287" s="1">
        <v>10.68</v>
      </c>
      <c r="AL287" s="1">
        <f>11.66-6.1</f>
        <v>5.5600000000000005</v>
      </c>
      <c r="AN287" s="12">
        <f>AH287-AK287</f>
        <v>-9.9</v>
      </c>
      <c r="AO287" s="1">
        <f>SQRT((((X287-1)*AI287^2)+((W287-1)*AL287^2))/(X287+W287-2))</f>
        <v>4.0176174531679845</v>
      </c>
      <c r="AP287" s="1">
        <f>AN287/AO287</f>
        <v>-2.4641470014009474</v>
      </c>
      <c r="AQ287" s="1">
        <f>1/X287+1/W287+(AP287^2)/(2*(X287+W287))</f>
        <v>1.1726683703761067</v>
      </c>
      <c r="AR287" s="1">
        <f>1-(3/(4*(X287+W287-2)-1))</f>
        <v>0.8</v>
      </c>
      <c r="AS287" s="21">
        <f>AP287*AR287</f>
        <v>-1.971317601120758</v>
      </c>
      <c r="AT287" s="21">
        <f>AQ287*(AR287^2)</f>
        <v>0.75050775704070849</v>
      </c>
      <c r="AU287" s="21">
        <f>SQRT(AQ287*AR287^2)</f>
        <v>0.86631850784841746</v>
      </c>
      <c r="AV287" s="20">
        <f>1/AT287</f>
        <v>1.3324312648586771</v>
      </c>
      <c r="AW287" s="20">
        <f>AS287/AT287</f>
        <v>-2.6266452046995048</v>
      </c>
      <c r="AX287" s="20">
        <f>((AS287)^2)/AT287</f>
        <v>5.1779519239235707</v>
      </c>
      <c r="AY287" s="14"/>
      <c r="AZ287" s="14"/>
      <c r="BA287" s="1" t="s">
        <v>270</v>
      </c>
      <c r="BB287" s="2"/>
    </row>
    <row r="288" spans="1:54" ht="14.25" customHeight="1">
      <c r="A288" s="2">
        <v>199</v>
      </c>
      <c r="B288" s="2" t="s">
        <v>30</v>
      </c>
      <c r="C288" s="1" t="s">
        <v>85</v>
      </c>
      <c r="D288" s="1">
        <v>2019</v>
      </c>
      <c r="E288" s="1">
        <v>2013</v>
      </c>
      <c r="F288" s="1" t="s">
        <v>143</v>
      </c>
      <c r="G288" s="1" t="s">
        <v>109</v>
      </c>
      <c r="H288" s="1">
        <v>34.363706000000001</v>
      </c>
      <c r="I288" s="1">
        <v>-112.274447</v>
      </c>
      <c r="J288" s="1" t="s">
        <v>126</v>
      </c>
      <c r="K288" s="1" t="s">
        <v>176</v>
      </c>
      <c r="L288" s="1" t="s">
        <v>192</v>
      </c>
      <c r="M288" s="1" t="s">
        <v>236</v>
      </c>
      <c r="N288" s="1" t="s">
        <v>238</v>
      </c>
      <c r="O288" s="1" t="s">
        <v>86</v>
      </c>
      <c r="P288" s="1" t="s">
        <v>129</v>
      </c>
      <c r="Q288" s="1" t="s">
        <v>93</v>
      </c>
      <c r="R288" s="1">
        <v>2000</v>
      </c>
      <c r="S288" s="1">
        <v>13</v>
      </c>
      <c r="T288" s="12">
        <f>S288*12</f>
        <v>156</v>
      </c>
      <c r="V288" s="1">
        <v>6500</v>
      </c>
      <c r="W288" s="1">
        <v>3</v>
      </c>
      <c r="X288" s="1">
        <v>3</v>
      </c>
      <c r="Y288" s="1" t="s">
        <v>114</v>
      </c>
      <c r="Z288" s="1" t="s">
        <v>2</v>
      </c>
      <c r="AA288" s="1" t="s">
        <v>0</v>
      </c>
      <c r="AB288" s="1" t="s">
        <v>113</v>
      </c>
      <c r="AC288" s="1" t="s">
        <v>2</v>
      </c>
      <c r="AD288" s="1" t="s">
        <v>2</v>
      </c>
      <c r="AE288" s="1" t="s">
        <v>2</v>
      </c>
      <c r="AF288" s="1" t="s">
        <v>306</v>
      </c>
      <c r="AG288" s="1" t="s">
        <v>319</v>
      </c>
      <c r="AH288" s="1">
        <v>1.66</v>
      </c>
      <c r="AI288" s="1">
        <f>2.06-1.22</f>
        <v>0.84000000000000008</v>
      </c>
      <c r="AK288" s="1">
        <v>1.71</v>
      </c>
      <c r="AL288" s="1">
        <f>3.23-1.13</f>
        <v>2.1</v>
      </c>
      <c r="AN288" s="12">
        <f>AH288-AK288</f>
        <v>-5.0000000000000044E-2</v>
      </c>
      <c r="AO288" s="1">
        <f>SQRT((((X288-1)*AI288^2)+((W288-1)*AL288^2))/(X288+W288-2))</f>
        <v>1.5993123522314208</v>
      </c>
      <c r="AP288" s="1">
        <f>AN288/AO288</f>
        <v>-3.1263436395172067E-2</v>
      </c>
      <c r="AQ288" s="1">
        <f>1/X288+1/W288+(AP288^2)/(2*(X288+W288))</f>
        <v>0.66674811687126956</v>
      </c>
      <c r="AR288" s="1">
        <f>1-(3/(4*(X288+W288-2)-1))</f>
        <v>0.8</v>
      </c>
      <c r="AS288" s="21">
        <f>AP288*AR288</f>
        <v>-2.5010749116137654E-2</v>
      </c>
      <c r="AT288" s="21">
        <f>AQ288*(AR288^2)</f>
        <v>0.4267187947976126</v>
      </c>
      <c r="AU288" s="21">
        <f>SQRT(AQ288*AR288^2)</f>
        <v>0.65323716581163127</v>
      </c>
      <c r="AV288" s="20">
        <f>1/AT288</f>
        <v>2.3434636866048693</v>
      </c>
      <c r="AW288" s="20">
        <f>AS288/AT288</f>
        <v>-5.8611782328453425E-2</v>
      </c>
      <c r="AX288" s="20">
        <f>((AS288)^2)/AT288</f>
        <v>1.465924583066619E-3</v>
      </c>
      <c r="AY288" s="14"/>
      <c r="AZ288" s="14"/>
      <c r="BA288" s="1" t="s">
        <v>270</v>
      </c>
      <c r="BB288" s="2"/>
    </row>
    <row r="289" spans="1:54" ht="14.25" customHeight="1">
      <c r="A289" s="2">
        <v>199</v>
      </c>
      <c r="B289" s="2" t="s">
        <v>30</v>
      </c>
      <c r="C289" s="1" t="s">
        <v>85</v>
      </c>
      <c r="D289" s="1">
        <v>2019</v>
      </c>
      <c r="E289" s="1">
        <v>2013</v>
      </c>
      <c r="F289" s="1" t="s">
        <v>143</v>
      </c>
      <c r="G289" s="1" t="s">
        <v>109</v>
      </c>
      <c r="H289" s="1">
        <v>34.363706000000001</v>
      </c>
      <c r="I289" s="1">
        <v>-112.274447</v>
      </c>
      <c r="J289" s="1" t="s">
        <v>126</v>
      </c>
      <c r="K289" s="1" t="s">
        <v>176</v>
      </c>
      <c r="L289" s="1" t="s">
        <v>192</v>
      </c>
      <c r="M289" s="1" t="s">
        <v>236</v>
      </c>
      <c r="N289" s="1" t="s">
        <v>238</v>
      </c>
      <c r="O289" s="1" t="s">
        <v>86</v>
      </c>
      <c r="P289" s="1" t="s">
        <v>129</v>
      </c>
      <c r="Q289" s="1" t="s">
        <v>93</v>
      </c>
      <c r="R289" s="1">
        <v>2000</v>
      </c>
      <c r="S289" s="1">
        <v>13</v>
      </c>
      <c r="T289" s="16">
        <f t="shared" ref="T289:T290" si="34">S289*12</f>
        <v>156</v>
      </c>
      <c r="V289" s="1">
        <v>6500</v>
      </c>
      <c r="W289" s="1">
        <v>3</v>
      </c>
      <c r="X289" s="1">
        <v>3</v>
      </c>
      <c r="Y289" s="1" t="s">
        <v>114</v>
      </c>
      <c r="Z289" s="1" t="s">
        <v>2</v>
      </c>
      <c r="AA289" s="1" t="s">
        <v>0</v>
      </c>
      <c r="AB289" s="1" t="s">
        <v>113</v>
      </c>
      <c r="AC289" s="1" t="s">
        <v>2</v>
      </c>
      <c r="AD289" s="1" t="s">
        <v>2</v>
      </c>
      <c r="AE289" s="1" t="s">
        <v>2</v>
      </c>
      <c r="AF289" s="1" t="s">
        <v>352</v>
      </c>
      <c r="AG289" s="1" t="s">
        <v>315</v>
      </c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" t="s">
        <v>285</v>
      </c>
    </row>
    <row r="290" spans="1:54" ht="14.25" customHeight="1">
      <c r="A290" s="2">
        <v>199</v>
      </c>
      <c r="B290" s="2" t="s">
        <v>30</v>
      </c>
      <c r="C290" s="1" t="s">
        <v>85</v>
      </c>
      <c r="D290" s="1">
        <v>2019</v>
      </c>
      <c r="E290" s="1">
        <v>2013</v>
      </c>
      <c r="F290" s="1" t="s">
        <v>143</v>
      </c>
      <c r="G290" s="1" t="s">
        <v>109</v>
      </c>
      <c r="H290" s="1">
        <v>34.363706000000001</v>
      </c>
      <c r="I290" s="1">
        <v>-112.274447</v>
      </c>
      <c r="J290" s="1" t="s">
        <v>135</v>
      </c>
      <c r="K290" s="1" t="s">
        <v>176</v>
      </c>
      <c r="L290" s="1" t="s">
        <v>192</v>
      </c>
      <c r="M290" s="1" t="s">
        <v>236</v>
      </c>
      <c r="N290" s="1" t="s">
        <v>238</v>
      </c>
      <c r="O290" s="1" t="s">
        <v>86</v>
      </c>
      <c r="P290" s="1" t="s">
        <v>210</v>
      </c>
      <c r="Q290" s="1" t="s">
        <v>93</v>
      </c>
      <c r="R290" s="1">
        <v>2000</v>
      </c>
      <c r="S290" s="1">
        <v>13</v>
      </c>
      <c r="T290" s="16">
        <f t="shared" si="34"/>
        <v>156</v>
      </c>
      <c r="V290" s="1">
        <v>6500</v>
      </c>
      <c r="W290" s="1">
        <v>3</v>
      </c>
      <c r="X290" s="1">
        <v>3</v>
      </c>
      <c r="Y290" s="1" t="s">
        <v>134</v>
      </c>
      <c r="Z290" s="1" t="s">
        <v>2</v>
      </c>
      <c r="AA290" s="1" t="s">
        <v>0</v>
      </c>
      <c r="AB290" s="1" t="s">
        <v>98</v>
      </c>
      <c r="AC290" s="1" t="s">
        <v>158</v>
      </c>
      <c r="AD290" s="1" t="s">
        <v>203</v>
      </c>
      <c r="AE290" s="1" t="s">
        <v>100</v>
      </c>
      <c r="AF290" s="1" t="s">
        <v>352</v>
      </c>
      <c r="AG290" s="1" t="s">
        <v>316</v>
      </c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" t="s">
        <v>285</v>
      </c>
    </row>
    <row r="291" spans="1:54" ht="14.25" customHeight="1">
      <c r="A291" s="2">
        <v>199</v>
      </c>
      <c r="B291" s="2" t="s">
        <v>30</v>
      </c>
      <c r="C291" s="1" t="s">
        <v>85</v>
      </c>
      <c r="D291" s="1">
        <v>2019</v>
      </c>
      <c r="E291" s="1">
        <v>2013</v>
      </c>
      <c r="F291" s="1" t="s">
        <v>143</v>
      </c>
      <c r="G291" s="1" t="s">
        <v>109</v>
      </c>
      <c r="H291" s="1">
        <v>34.363706000000001</v>
      </c>
      <c r="I291" s="1">
        <v>-112.274447</v>
      </c>
      <c r="J291" s="1" t="s">
        <v>135</v>
      </c>
      <c r="K291" s="1" t="s">
        <v>176</v>
      </c>
      <c r="L291" s="1" t="s">
        <v>192</v>
      </c>
      <c r="M291" s="1" t="s">
        <v>236</v>
      </c>
      <c r="N291" s="1" t="s">
        <v>238</v>
      </c>
      <c r="O291" s="1" t="s">
        <v>86</v>
      </c>
      <c r="P291" s="1" t="s">
        <v>210</v>
      </c>
      <c r="Q291" s="1" t="s">
        <v>93</v>
      </c>
      <c r="R291" s="1">
        <v>2000</v>
      </c>
      <c r="S291" s="1">
        <v>13</v>
      </c>
      <c r="T291" s="12">
        <f>S291*12</f>
        <v>156</v>
      </c>
      <c r="V291" s="1">
        <v>6500</v>
      </c>
      <c r="W291" s="1">
        <v>3</v>
      </c>
      <c r="X291" s="1">
        <v>3</v>
      </c>
      <c r="Y291" s="1" t="s">
        <v>134</v>
      </c>
      <c r="Z291" s="1" t="s">
        <v>2</v>
      </c>
      <c r="AA291" s="1" t="s">
        <v>0</v>
      </c>
      <c r="AB291" s="1" t="s">
        <v>98</v>
      </c>
      <c r="AC291" s="1" t="s">
        <v>158</v>
      </c>
      <c r="AD291" s="1" t="s">
        <v>203</v>
      </c>
      <c r="AE291" s="1" t="s">
        <v>100</v>
      </c>
      <c r="AF291" s="1" t="s">
        <v>346</v>
      </c>
      <c r="AG291" s="1" t="s">
        <v>355</v>
      </c>
      <c r="AH291" s="12">
        <v>30.47</v>
      </c>
      <c r="AI291" s="12">
        <f>40-22.79</f>
        <v>17.21</v>
      </c>
      <c r="AJ291" s="12"/>
      <c r="AK291" s="12">
        <v>26.28</v>
      </c>
      <c r="AL291" s="12">
        <f>30.7-20.47</f>
        <v>10.23</v>
      </c>
      <c r="AM291" s="12"/>
      <c r="AN291" s="12">
        <f>AH291-AK291</f>
        <v>4.1899999999999977</v>
      </c>
      <c r="AO291" s="1">
        <f>SQRT((((X291-1)*AI291^2)+((W291-1)*AL291^2))/(X291+W291-2))</f>
        <v>14.156924100947919</v>
      </c>
      <c r="AP291" s="1">
        <f>AN291/AO291</f>
        <v>0.29596824635935176</v>
      </c>
      <c r="AQ291" s="1">
        <f>1/X291+1/W291+(AP291^2)/(2*(X291+W291))</f>
        <v>0.67396643357108577</v>
      </c>
      <c r="AR291" s="1">
        <f>1-(3/(4*(X291+W291-2)-1))</f>
        <v>0.8</v>
      </c>
      <c r="AS291" s="21">
        <f>AP291*AR291</f>
        <v>0.23677459708748141</v>
      </c>
      <c r="AT291" s="21">
        <f>AQ291*(AR291^2)</f>
        <v>0.43133851748549495</v>
      </c>
      <c r="AU291" s="21">
        <f>SQRT(AQ291*AR291^2)</f>
        <v>0.65676366943177888</v>
      </c>
      <c r="AV291" s="20">
        <f>1/AT291</f>
        <v>2.3183647169502501</v>
      </c>
      <c r="AW291" s="20">
        <f>AS291/AT291</f>
        <v>0.54892987175772834</v>
      </c>
      <c r="AX291" s="20">
        <f>((AS291)^2)/AT291</f>
        <v>0.12997264921471896</v>
      </c>
      <c r="AY291" s="14"/>
      <c r="AZ291" s="14"/>
      <c r="BA291" s="1" t="s">
        <v>270</v>
      </c>
      <c r="BB291" s="2"/>
    </row>
    <row r="292" spans="1:54" ht="14.25" customHeight="1">
      <c r="A292" s="2">
        <v>199</v>
      </c>
      <c r="B292" s="2" t="s">
        <v>30</v>
      </c>
      <c r="C292" s="1" t="s">
        <v>85</v>
      </c>
      <c r="D292" s="1">
        <v>2019</v>
      </c>
      <c r="E292" s="1">
        <v>2013</v>
      </c>
      <c r="F292" s="1" t="s">
        <v>143</v>
      </c>
      <c r="G292" s="1" t="s">
        <v>109</v>
      </c>
      <c r="H292" s="1">
        <v>34.363706000000001</v>
      </c>
      <c r="I292" s="1">
        <v>-112.274447</v>
      </c>
      <c r="J292" s="1" t="s">
        <v>135</v>
      </c>
      <c r="K292" s="1" t="s">
        <v>176</v>
      </c>
      <c r="L292" s="1" t="s">
        <v>192</v>
      </c>
      <c r="M292" s="1" t="s">
        <v>236</v>
      </c>
      <c r="N292" s="1" t="s">
        <v>238</v>
      </c>
      <c r="O292" s="1" t="s">
        <v>86</v>
      </c>
      <c r="P292" s="1" t="s">
        <v>210</v>
      </c>
      <c r="Q292" s="1" t="s">
        <v>93</v>
      </c>
      <c r="R292" s="1">
        <v>2000</v>
      </c>
      <c r="S292" s="1">
        <v>13</v>
      </c>
      <c r="T292" s="12">
        <f>S292*12</f>
        <v>156</v>
      </c>
      <c r="V292" s="1">
        <v>6500</v>
      </c>
      <c r="W292" s="1">
        <v>3</v>
      </c>
      <c r="X292" s="1">
        <v>3</v>
      </c>
      <c r="Y292" s="1" t="s">
        <v>134</v>
      </c>
      <c r="Z292" s="1" t="s">
        <v>2</v>
      </c>
      <c r="AA292" s="1" t="s">
        <v>0</v>
      </c>
      <c r="AB292" s="1" t="s">
        <v>98</v>
      </c>
      <c r="AC292" s="1" t="s">
        <v>158</v>
      </c>
      <c r="AD292" s="1" t="s">
        <v>203</v>
      </c>
      <c r="AE292" s="1" t="s">
        <v>100</v>
      </c>
      <c r="AF292" s="1" t="s">
        <v>384</v>
      </c>
      <c r="AG292" s="1" t="s">
        <v>355</v>
      </c>
      <c r="AH292" s="12">
        <v>3.68</v>
      </c>
      <c r="AI292" s="12">
        <f>3.86-3.16</f>
        <v>0.69999999999999973</v>
      </c>
      <c r="AJ292" s="12"/>
      <c r="AK292" s="12">
        <v>3.33</v>
      </c>
      <c r="AL292" s="12">
        <f>3.67-2.51</f>
        <v>1.1600000000000001</v>
      </c>
      <c r="AM292" s="12"/>
      <c r="AN292" s="12">
        <f>AH292-AK292</f>
        <v>0.35000000000000009</v>
      </c>
      <c r="AO292" s="1">
        <f>SQRT((((X292-1)*AI292^2)+((W292-1)*AL292^2))/(X292+W292-2))</f>
        <v>0.95801878895979908</v>
      </c>
      <c r="AP292" s="1">
        <f>AN292/AO292</f>
        <v>0.36533730239260159</v>
      </c>
      <c r="AQ292" s="1">
        <f>1/X292+1/W292+(AP292^2)/(2*(X292+W292))</f>
        <v>0.67778927870995853</v>
      </c>
      <c r="AR292" s="1">
        <f>1-(3/(4*(X292+W292-2)-1))</f>
        <v>0.8</v>
      </c>
      <c r="AS292" s="21">
        <f>AP292*AR292</f>
        <v>0.29226984191408129</v>
      </c>
      <c r="AT292" s="21">
        <f>AQ292*(AR292^2)</f>
        <v>0.43378513837437355</v>
      </c>
      <c r="AU292" s="21">
        <f>SQRT(AQ292*AR292^2)</f>
        <v>0.65862366976474018</v>
      </c>
      <c r="AV292" s="20">
        <f>1/AT292</f>
        <v>2.3052887513563474</v>
      </c>
      <c r="AW292" s="20">
        <f>AS292/AT292</f>
        <v>0.6737663789252295</v>
      </c>
      <c r="AX292" s="20">
        <f>((AS292)^2)/AT292</f>
        <v>0.19692159305549981</v>
      </c>
      <c r="AY292" s="14"/>
      <c r="AZ292" s="14"/>
      <c r="BA292" s="1" t="s">
        <v>270</v>
      </c>
      <c r="BB292" s="2"/>
    </row>
    <row r="293" spans="1:54" ht="14.25" customHeight="1">
      <c r="A293" s="2">
        <v>199</v>
      </c>
      <c r="B293" s="2" t="s">
        <v>30</v>
      </c>
      <c r="C293" s="1" t="s">
        <v>85</v>
      </c>
      <c r="D293" s="1">
        <v>2019</v>
      </c>
      <c r="E293" s="1">
        <v>2013</v>
      </c>
      <c r="F293" s="1" t="s">
        <v>143</v>
      </c>
      <c r="G293" s="1" t="s">
        <v>109</v>
      </c>
      <c r="H293" s="1">
        <v>34.363706000000001</v>
      </c>
      <c r="I293" s="1">
        <v>-112.274447</v>
      </c>
      <c r="J293" s="1" t="s">
        <v>135</v>
      </c>
      <c r="K293" s="1" t="s">
        <v>176</v>
      </c>
      <c r="L293" s="1" t="s">
        <v>192</v>
      </c>
      <c r="M293" s="1" t="s">
        <v>236</v>
      </c>
      <c r="N293" s="1" t="s">
        <v>238</v>
      </c>
      <c r="O293" s="1" t="s">
        <v>86</v>
      </c>
      <c r="P293" s="1" t="s">
        <v>129</v>
      </c>
      <c r="Q293" s="1" t="s">
        <v>93</v>
      </c>
      <c r="R293" s="1">
        <v>2000</v>
      </c>
      <c r="S293" s="1">
        <v>13</v>
      </c>
      <c r="T293" s="16">
        <f>S293*12</f>
        <v>156</v>
      </c>
      <c r="V293" s="1">
        <v>6500</v>
      </c>
      <c r="W293" s="1">
        <v>3</v>
      </c>
      <c r="X293" s="1">
        <v>3</v>
      </c>
      <c r="Y293" s="1" t="s">
        <v>134</v>
      </c>
      <c r="Z293" s="1" t="s">
        <v>2</v>
      </c>
      <c r="AA293" s="1" t="s">
        <v>0</v>
      </c>
      <c r="AB293" s="1" t="s">
        <v>98</v>
      </c>
      <c r="AC293" s="1" t="s">
        <v>158</v>
      </c>
      <c r="AD293" s="1" t="s">
        <v>203</v>
      </c>
      <c r="AE293" s="1" t="s">
        <v>100</v>
      </c>
      <c r="AF293" s="1" t="s">
        <v>352</v>
      </c>
      <c r="AG293" s="1" t="s">
        <v>316</v>
      </c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" t="s">
        <v>285</v>
      </c>
    </row>
    <row r="294" spans="1:54" ht="14.25" customHeight="1">
      <c r="A294" s="2">
        <v>199</v>
      </c>
      <c r="B294" s="2" t="s">
        <v>30</v>
      </c>
      <c r="C294" s="1" t="s">
        <v>85</v>
      </c>
      <c r="D294" s="1">
        <v>2019</v>
      </c>
      <c r="E294" s="1">
        <v>2013</v>
      </c>
      <c r="F294" s="1" t="s">
        <v>143</v>
      </c>
      <c r="G294" s="1" t="s">
        <v>109</v>
      </c>
      <c r="H294" s="1">
        <v>34.363706000000001</v>
      </c>
      <c r="I294" s="1">
        <v>-112.274447</v>
      </c>
      <c r="J294" s="1" t="s">
        <v>135</v>
      </c>
      <c r="K294" s="1" t="s">
        <v>176</v>
      </c>
      <c r="L294" s="1" t="s">
        <v>192</v>
      </c>
      <c r="M294" s="1" t="s">
        <v>236</v>
      </c>
      <c r="N294" s="1" t="s">
        <v>238</v>
      </c>
      <c r="O294" s="1" t="s">
        <v>86</v>
      </c>
      <c r="P294" s="1" t="s">
        <v>129</v>
      </c>
      <c r="Q294" s="1" t="s">
        <v>93</v>
      </c>
      <c r="R294" s="1">
        <v>2000</v>
      </c>
      <c r="S294" s="1">
        <v>13</v>
      </c>
      <c r="T294" s="12">
        <f>S294*12</f>
        <v>156</v>
      </c>
      <c r="V294" s="1">
        <v>6500</v>
      </c>
      <c r="W294" s="1">
        <v>3</v>
      </c>
      <c r="X294" s="1">
        <v>3</v>
      </c>
      <c r="Y294" s="1" t="s">
        <v>134</v>
      </c>
      <c r="Z294" s="1" t="s">
        <v>2</v>
      </c>
      <c r="AA294" s="1" t="s">
        <v>0</v>
      </c>
      <c r="AB294" s="1" t="s">
        <v>98</v>
      </c>
      <c r="AC294" s="1" t="s">
        <v>158</v>
      </c>
      <c r="AD294" s="1" t="s">
        <v>203</v>
      </c>
      <c r="AE294" s="1" t="s">
        <v>100</v>
      </c>
      <c r="AF294" s="1" t="s">
        <v>346</v>
      </c>
      <c r="AG294" s="1" t="s">
        <v>355</v>
      </c>
      <c r="AH294" s="12">
        <v>29.3</v>
      </c>
      <c r="AI294" s="12">
        <f>32.09-16.74</f>
        <v>15.350000000000005</v>
      </c>
      <c r="AJ294" s="12"/>
      <c r="AK294" s="12">
        <v>26.28</v>
      </c>
      <c r="AL294" s="12">
        <f>30.7-20.47</f>
        <v>10.23</v>
      </c>
      <c r="AM294" s="12"/>
      <c r="AN294" s="12">
        <f>AH294-AK294</f>
        <v>3.0199999999999996</v>
      </c>
      <c r="AO294" s="1">
        <f>SQRT((((X294-1)*AI294^2)+((W294-1)*AL294^2))/(X294+W294-2))</f>
        <v>13.043684295474192</v>
      </c>
      <c r="AP294" s="1">
        <f>AN294/AO294</f>
        <v>0.23152967609372901</v>
      </c>
      <c r="AQ294" s="1">
        <f>1/X294+1/W294+(AP294^2)/(2*(X294+W294))</f>
        <v>0.67113383257600556</v>
      </c>
      <c r="AR294" s="1">
        <f>1-(3/(4*(X294+W294-2)-1))</f>
        <v>0.8</v>
      </c>
      <c r="AS294" s="21">
        <f>AP294*AR294</f>
        <v>0.18522374087498322</v>
      </c>
      <c r="AT294" s="21">
        <f>AQ294*(AR294^2)</f>
        <v>0.42952565284864364</v>
      </c>
      <c r="AU294" s="21">
        <f>SQRT(AQ294*AR294^2)</f>
        <v>0.65538206631601059</v>
      </c>
      <c r="AV294" s="20">
        <f>1/AT294</f>
        <v>2.3281496538517112</v>
      </c>
      <c r="AW294" s="20">
        <f>AS294/AT294</f>
        <v>0.43122858820321125</v>
      </c>
      <c r="AX294" s="20">
        <f>((AS294)^2)/AT294</f>
        <v>7.9873772279236449E-2</v>
      </c>
      <c r="AY294" s="14"/>
      <c r="AZ294" s="14"/>
      <c r="BA294" s="1" t="s">
        <v>270</v>
      </c>
      <c r="BB294" s="2"/>
    </row>
    <row r="295" spans="1:54" ht="14.25" customHeight="1">
      <c r="A295" s="2">
        <v>199</v>
      </c>
      <c r="B295" s="2" t="s">
        <v>30</v>
      </c>
      <c r="C295" s="1" t="s">
        <v>85</v>
      </c>
      <c r="D295" s="1">
        <v>2019</v>
      </c>
      <c r="E295" s="1">
        <v>2013</v>
      </c>
      <c r="F295" s="1" t="s">
        <v>143</v>
      </c>
      <c r="G295" s="1" t="s">
        <v>109</v>
      </c>
      <c r="H295" s="1">
        <v>34.363706000000001</v>
      </c>
      <c r="I295" s="1">
        <v>-112.274447</v>
      </c>
      <c r="J295" s="1" t="s">
        <v>135</v>
      </c>
      <c r="K295" s="1" t="s">
        <v>176</v>
      </c>
      <c r="L295" s="1" t="s">
        <v>192</v>
      </c>
      <c r="M295" s="1" t="s">
        <v>236</v>
      </c>
      <c r="N295" s="1" t="s">
        <v>238</v>
      </c>
      <c r="O295" s="1" t="s">
        <v>86</v>
      </c>
      <c r="P295" s="1" t="s">
        <v>129</v>
      </c>
      <c r="Q295" s="1" t="s">
        <v>93</v>
      </c>
      <c r="R295" s="1">
        <v>2000</v>
      </c>
      <c r="S295" s="1">
        <v>13</v>
      </c>
      <c r="T295" s="12">
        <f>S295*12</f>
        <v>156</v>
      </c>
      <c r="V295" s="1">
        <v>6500</v>
      </c>
      <c r="W295" s="1">
        <v>3</v>
      </c>
      <c r="X295" s="1">
        <v>3</v>
      </c>
      <c r="Y295" s="1" t="s">
        <v>134</v>
      </c>
      <c r="Z295" s="1" t="s">
        <v>2</v>
      </c>
      <c r="AA295" s="1" t="s">
        <v>0</v>
      </c>
      <c r="AB295" s="1" t="s">
        <v>98</v>
      </c>
      <c r="AC295" s="1" t="s">
        <v>158</v>
      </c>
      <c r="AD295" s="1" t="s">
        <v>203</v>
      </c>
      <c r="AE295" s="1" t="s">
        <v>100</v>
      </c>
      <c r="AF295" s="1" t="s">
        <v>384</v>
      </c>
      <c r="AG295" s="1" t="s">
        <v>355</v>
      </c>
      <c r="AH295" s="12">
        <v>2.4900000000000002</v>
      </c>
      <c r="AI295" s="12">
        <f>2.6-1.98</f>
        <v>0.62000000000000011</v>
      </c>
      <c r="AJ295" s="12"/>
      <c r="AK295" s="12">
        <v>3.33</v>
      </c>
      <c r="AL295" s="12">
        <f>3.67-2.51</f>
        <v>1.1600000000000001</v>
      </c>
      <c r="AM295" s="12"/>
      <c r="AN295" s="12">
        <f>AH295-AK295</f>
        <v>-0.83999999999999986</v>
      </c>
      <c r="AO295" s="1">
        <f>SQRT((((X295-1)*AI295^2)+((W295-1)*AL295^2))/(X295+W295-2))</f>
        <v>0.9300537618869138</v>
      </c>
      <c r="AP295" s="1">
        <f>AN295/AO295</f>
        <v>-0.90317359535838992</v>
      </c>
      <c r="AQ295" s="1">
        <f>1/X295+1/W295+(AP295^2)/(2*(X295+W295))</f>
        <v>0.73464354527938336</v>
      </c>
      <c r="AR295" s="1">
        <f>1-(3/(4*(X295+W295-2)-1))</f>
        <v>0.8</v>
      </c>
      <c r="AS295" s="21">
        <f>AP295*AR295</f>
        <v>-0.72253887628671198</v>
      </c>
      <c r="AT295" s="21">
        <f>AQ295*(AR295^2)</f>
        <v>0.47017186897880542</v>
      </c>
      <c r="AU295" s="21">
        <f>SQRT(AQ295*AR295^2)</f>
        <v>0.68569079691855672</v>
      </c>
      <c r="AV295" s="20">
        <f>1/AT295</f>
        <v>2.1268818191355434</v>
      </c>
      <c r="AW295" s="20">
        <f>AS295/AT295</f>
        <v>-1.5367547995928332</v>
      </c>
      <c r="AX295" s="20">
        <f>((AS295)^2)/AT295</f>
        <v>1.110365086026017</v>
      </c>
      <c r="AY295" s="14"/>
      <c r="AZ295" s="14"/>
      <c r="BA295" s="1" t="s">
        <v>270</v>
      </c>
      <c r="BB295" s="2"/>
    </row>
    <row r="296" spans="1:54" ht="14.25" customHeight="1">
      <c r="A296" s="2">
        <v>43</v>
      </c>
      <c r="B296" s="2" t="s">
        <v>9</v>
      </c>
      <c r="C296" s="1" t="s">
        <v>85</v>
      </c>
      <c r="D296" s="1">
        <v>2023</v>
      </c>
      <c r="E296" s="1">
        <v>2020</v>
      </c>
      <c r="F296" s="1" t="s">
        <v>152</v>
      </c>
      <c r="G296" s="1" t="s">
        <v>159</v>
      </c>
      <c r="H296" s="1">
        <v>49.094827000000002</v>
      </c>
      <c r="I296" s="1">
        <v>-121.06218200000001</v>
      </c>
      <c r="J296" s="1" t="s">
        <v>128</v>
      </c>
      <c r="K296" s="1" t="s">
        <v>174</v>
      </c>
      <c r="L296" s="1" t="s">
        <v>175</v>
      </c>
      <c r="M296" s="1" t="s">
        <v>236</v>
      </c>
      <c r="N296" s="1" t="s">
        <v>238</v>
      </c>
      <c r="O296" s="1" t="s">
        <v>86</v>
      </c>
      <c r="P296" s="1" t="s">
        <v>146</v>
      </c>
      <c r="Q296" s="1" t="s">
        <v>93</v>
      </c>
      <c r="R296" s="1">
        <v>2020</v>
      </c>
      <c r="S296" s="1" t="s">
        <v>156</v>
      </c>
      <c r="T296" s="1">
        <v>11</v>
      </c>
      <c r="V296" s="1" t="s">
        <v>155</v>
      </c>
      <c r="W296" s="1">
        <v>4</v>
      </c>
      <c r="X296" s="1">
        <v>2</v>
      </c>
      <c r="Y296" s="1" t="s">
        <v>97</v>
      </c>
      <c r="Z296" s="1" t="s">
        <v>130</v>
      </c>
      <c r="AA296" s="1" t="s">
        <v>1</v>
      </c>
      <c r="AB296" s="1" t="s">
        <v>98</v>
      </c>
      <c r="AC296" s="1" t="s">
        <v>202</v>
      </c>
      <c r="AD296" s="1" t="s">
        <v>99</v>
      </c>
      <c r="AE296" s="1" t="s">
        <v>102</v>
      </c>
      <c r="AF296" s="1" t="s">
        <v>149</v>
      </c>
      <c r="AG296" s="1" t="s">
        <v>318</v>
      </c>
      <c r="AH296" s="1">
        <v>3.45</v>
      </c>
      <c r="AI296" s="1">
        <f>AJ296*SQRT(X296)</f>
        <v>0.32526911934581187</v>
      </c>
      <c r="AJ296" s="1">
        <f>3.54-3.31</f>
        <v>0.22999999999999998</v>
      </c>
      <c r="AK296" s="1">
        <v>4.09</v>
      </c>
      <c r="AL296" s="1">
        <f>AM296*SQRT(W296)</f>
        <v>0.37999999999999901</v>
      </c>
      <c r="AM296" s="1">
        <f>4.18-3.99</f>
        <v>0.1899999999999995</v>
      </c>
      <c r="AN296" s="12">
        <f>AH296-AK296</f>
        <v>-0.63999999999999968</v>
      </c>
      <c r="AO296" s="1">
        <f>SQRT((((X296-1)*AI296^2)+((W296-1)*AL296^2))/(X296+W296-2))</f>
        <v>0.36708309685955226</v>
      </c>
      <c r="AP296" s="1">
        <f>AN296/AO296</f>
        <v>-1.7434744489062288</v>
      </c>
      <c r="AQ296" s="1">
        <f>1/X296+1/W296+(AP296^2)/(2*(X296+W296))</f>
        <v>1.00330859616574</v>
      </c>
      <c r="AR296" s="1">
        <f>1-(3/(4*(X296+W296-2)-1))</f>
        <v>0.8</v>
      </c>
      <c r="AS296" s="21">
        <f>AP296*AR296</f>
        <v>-1.3947795591249832</v>
      </c>
      <c r="AT296" s="21">
        <f>AQ296*(AR296^2)</f>
        <v>0.64211750154607372</v>
      </c>
      <c r="AU296" s="21">
        <f>SQRT(AQ296*AR296^2)</f>
        <v>0.8013223455926296</v>
      </c>
      <c r="AV296" s="20">
        <f>1/AT296</f>
        <v>1.5573473664745567</v>
      </c>
      <c r="AW296" s="20">
        <f>AS296/AT296</f>
        <v>-2.1721562732158359</v>
      </c>
      <c r="AX296" s="20">
        <f>((AS296)^2)/AT296</f>
        <v>3.0296791691065499</v>
      </c>
      <c r="AY296" s="14"/>
      <c r="AZ296" s="14"/>
      <c r="BA296" s="1" t="s">
        <v>270</v>
      </c>
      <c r="BB296" s="2"/>
    </row>
    <row r="297" spans="1:54" ht="14.25" customHeight="1">
      <c r="A297" s="2">
        <v>43</v>
      </c>
      <c r="B297" s="2" t="s">
        <v>9</v>
      </c>
      <c r="C297" s="1" t="s">
        <v>85</v>
      </c>
      <c r="D297" s="1">
        <v>2023</v>
      </c>
      <c r="E297" s="1">
        <v>2020</v>
      </c>
      <c r="F297" s="1" t="s">
        <v>152</v>
      </c>
      <c r="G297" s="1" t="s">
        <v>159</v>
      </c>
      <c r="H297" s="1">
        <v>49.094827000000002</v>
      </c>
      <c r="I297" s="1">
        <v>-121.06218200000001</v>
      </c>
      <c r="J297" s="1" t="s">
        <v>128</v>
      </c>
      <c r="K297" s="1" t="s">
        <v>174</v>
      </c>
      <c r="L297" s="1" t="s">
        <v>175</v>
      </c>
      <c r="M297" s="1" t="s">
        <v>236</v>
      </c>
      <c r="N297" s="1" t="s">
        <v>238</v>
      </c>
      <c r="O297" s="1" t="s">
        <v>86</v>
      </c>
      <c r="P297" s="1" t="s">
        <v>146</v>
      </c>
      <c r="Q297" s="1" t="s">
        <v>93</v>
      </c>
      <c r="R297" s="1">
        <v>2020</v>
      </c>
      <c r="S297" s="1" t="s">
        <v>156</v>
      </c>
      <c r="T297" s="1">
        <v>11</v>
      </c>
      <c r="V297" s="1" t="s">
        <v>155</v>
      </c>
      <c r="W297" s="1">
        <v>4</v>
      </c>
      <c r="X297" s="1">
        <v>2</v>
      </c>
      <c r="Y297" s="1" t="s">
        <v>97</v>
      </c>
      <c r="Z297" s="1" t="s">
        <v>130</v>
      </c>
      <c r="AA297" s="1" t="s">
        <v>1</v>
      </c>
      <c r="AB297" s="1" t="s">
        <v>98</v>
      </c>
      <c r="AC297" s="1" t="s">
        <v>202</v>
      </c>
      <c r="AD297" s="1" t="s">
        <v>99</v>
      </c>
      <c r="AE297" s="1" t="s">
        <v>102</v>
      </c>
      <c r="AF297" s="1" t="s">
        <v>384</v>
      </c>
      <c r="AG297" s="1" t="s">
        <v>316</v>
      </c>
      <c r="AH297" s="1">
        <v>21.81</v>
      </c>
      <c r="AI297" s="1">
        <f>AJ297*SQRT(X297)</f>
        <v>14.948237354283616</v>
      </c>
      <c r="AJ297" s="1">
        <f>27.25-16.68</f>
        <v>10.57</v>
      </c>
      <c r="AK297" s="1">
        <v>23.32</v>
      </c>
      <c r="AL297" s="1">
        <f>AM297*SQRT(W297)</f>
        <v>10.119999999999997</v>
      </c>
      <c r="AM297" s="1">
        <f>25.06-20</f>
        <v>5.0599999999999987</v>
      </c>
      <c r="AN297" s="12">
        <f>AH297-AK297</f>
        <v>-1.5100000000000016</v>
      </c>
      <c r="AO297" s="1">
        <f>SQRT((((X297-1)*AI297^2)+((W297-1)*AL297^2))/(X297+W297-2))</f>
        <v>11.518387473947904</v>
      </c>
      <c r="AP297" s="1">
        <f>AN297/AO297</f>
        <v>-0.1310947390348948</v>
      </c>
      <c r="AQ297" s="1">
        <f>1/X297+1/W297+(AP297^2)/(2*(X297+W297))</f>
        <v>0.75143215255021889</v>
      </c>
      <c r="AR297" s="1">
        <f>1-(3/(4*(X297+W297-2)-1))</f>
        <v>0.8</v>
      </c>
      <c r="AS297" s="21">
        <f>AP297*AR297</f>
        <v>-0.10487579122791585</v>
      </c>
      <c r="AT297" s="21">
        <f>AQ297*(AR297^2)</f>
        <v>0.48091657763214019</v>
      </c>
      <c r="AU297" s="21">
        <f>SQRT(AQ297*AR297^2)</f>
        <v>0.69348149047551388</v>
      </c>
      <c r="AV297" s="20">
        <f>1/AT297</f>
        <v>2.0793627138487083</v>
      </c>
      <c r="AW297" s="20">
        <f>AS297/AT297</f>
        <v>-0.21807480986470965</v>
      </c>
      <c r="AX297" s="20">
        <f>((AS297)^2)/AT297</f>
        <v>2.2870768231438732E-2</v>
      </c>
      <c r="AY297" s="14"/>
      <c r="AZ297" s="14"/>
      <c r="BA297" s="1" t="s">
        <v>270</v>
      </c>
      <c r="BB297" s="2"/>
    </row>
    <row r="298" spans="1:54" ht="14.25" customHeight="1">
      <c r="A298" s="2">
        <v>43</v>
      </c>
      <c r="B298" s="2" t="s">
        <v>9</v>
      </c>
      <c r="C298" s="1" t="s">
        <v>85</v>
      </c>
      <c r="D298" s="1">
        <v>2023</v>
      </c>
      <c r="E298" s="1">
        <v>2020</v>
      </c>
      <c r="F298" s="1" t="s">
        <v>152</v>
      </c>
      <c r="G298" s="1" t="s">
        <v>159</v>
      </c>
      <c r="H298" s="1">
        <v>49.094827000000002</v>
      </c>
      <c r="I298" s="1">
        <v>-121.06218200000001</v>
      </c>
      <c r="J298" s="1" t="s">
        <v>128</v>
      </c>
      <c r="K298" s="1" t="s">
        <v>174</v>
      </c>
      <c r="L298" s="1" t="s">
        <v>175</v>
      </c>
      <c r="M298" s="1" t="s">
        <v>236</v>
      </c>
      <c r="N298" s="1" t="s">
        <v>238</v>
      </c>
      <c r="O298" s="1" t="s">
        <v>86</v>
      </c>
      <c r="P298" s="1" t="s">
        <v>146</v>
      </c>
      <c r="Q298" s="1" t="s">
        <v>93</v>
      </c>
      <c r="R298" s="1">
        <v>2020</v>
      </c>
      <c r="S298" s="1" t="s">
        <v>156</v>
      </c>
      <c r="T298" s="1">
        <v>11</v>
      </c>
      <c r="V298" s="1" t="s">
        <v>155</v>
      </c>
      <c r="W298" s="1">
        <v>4</v>
      </c>
      <c r="X298" s="1">
        <v>2</v>
      </c>
      <c r="Y298" s="1" t="s">
        <v>97</v>
      </c>
      <c r="Z298" s="1" t="s">
        <v>130</v>
      </c>
      <c r="AA298" s="1" t="s">
        <v>1</v>
      </c>
      <c r="AB298" s="1" t="s">
        <v>98</v>
      </c>
      <c r="AC298" s="1" t="s">
        <v>202</v>
      </c>
      <c r="AD298" s="1" t="s">
        <v>99</v>
      </c>
      <c r="AE298" s="1" t="s">
        <v>102</v>
      </c>
      <c r="AF298" s="1" t="s">
        <v>150</v>
      </c>
      <c r="AG298" s="1" t="s">
        <v>316</v>
      </c>
      <c r="AH298" s="1">
        <v>64.98</v>
      </c>
      <c r="AI298" s="1">
        <f>AJ298*SQRT(X298)</f>
        <v>24.112341238461269</v>
      </c>
      <c r="AJ298" s="1">
        <f>73.6-56.55</f>
        <v>17.049999999999997</v>
      </c>
      <c r="AK298" s="1">
        <v>77.34</v>
      </c>
      <c r="AL298" s="1">
        <f>AM298*SQRT(W298)</f>
        <v>29.580000000000013</v>
      </c>
      <c r="AM298" s="1">
        <f>84.64-69.85</f>
        <v>14.790000000000006</v>
      </c>
      <c r="AN298" s="12">
        <f>AH298-AK298</f>
        <v>-12.36</v>
      </c>
      <c r="AO298" s="1">
        <f>SQRT((((X298-1)*AI298^2)+((W298-1)*AL298^2))/(X298+W298-2))</f>
        <v>28.312250881906238</v>
      </c>
      <c r="AP298" s="1">
        <f>AN298/AO298</f>
        <v>-0.43656013262792237</v>
      </c>
      <c r="AQ298" s="1">
        <f>1/X298+1/W298+(AP298^2)/(2*(X298+W298))</f>
        <v>0.76588206245000912</v>
      </c>
      <c r="AR298" s="1">
        <f>1-(3/(4*(X298+W298-2)-1))</f>
        <v>0.8</v>
      </c>
      <c r="AS298" s="21">
        <f>AP298*AR298</f>
        <v>-0.34924810610233792</v>
      </c>
      <c r="AT298" s="21">
        <f>AQ298*(AR298^2)</f>
        <v>0.49016451996800592</v>
      </c>
      <c r="AU298" s="21">
        <f>SQRT(AQ298*AR298^2)</f>
        <v>0.70011750440051557</v>
      </c>
      <c r="AV298" s="20">
        <f>1/AT298</f>
        <v>2.0401313421568581</v>
      </c>
      <c r="AW298" s="20">
        <f>AS298/AT298</f>
        <v>-0.71251200744830345</v>
      </c>
      <c r="AX298" s="20">
        <f>((AS298)^2)/AT298</f>
        <v>0.24884346917649489</v>
      </c>
      <c r="AY298" s="14"/>
      <c r="AZ298" s="14"/>
      <c r="BA298" s="1" t="s">
        <v>270</v>
      </c>
      <c r="BB298" s="2"/>
    </row>
    <row r="299" spans="1:54" ht="14.25" customHeight="1">
      <c r="A299" s="2">
        <v>43</v>
      </c>
      <c r="B299" s="2" t="s">
        <v>9</v>
      </c>
      <c r="C299" s="1" t="s">
        <v>85</v>
      </c>
      <c r="D299" s="1">
        <v>2023</v>
      </c>
      <c r="E299" s="1">
        <v>2020</v>
      </c>
      <c r="F299" s="1" t="s">
        <v>152</v>
      </c>
      <c r="G299" s="1" t="s">
        <v>159</v>
      </c>
      <c r="H299" s="1">
        <v>49.094827000000002</v>
      </c>
      <c r="I299" s="1">
        <v>-121.06218200000001</v>
      </c>
      <c r="J299" s="1" t="s">
        <v>128</v>
      </c>
      <c r="K299" s="1" t="s">
        <v>174</v>
      </c>
      <c r="L299" s="1" t="s">
        <v>175</v>
      </c>
      <c r="M299" s="1" t="s">
        <v>236</v>
      </c>
      <c r="N299" s="1" t="s">
        <v>238</v>
      </c>
      <c r="O299" s="1" t="s">
        <v>86</v>
      </c>
      <c r="P299" s="1" t="s">
        <v>146</v>
      </c>
      <c r="Q299" s="1" t="s">
        <v>93</v>
      </c>
      <c r="R299" s="1">
        <v>2020</v>
      </c>
      <c r="S299" s="1" t="s">
        <v>156</v>
      </c>
      <c r="T299" s="1">
        <v>11</v>
      </c>
      <c r="V299" s="1" t="s">
        <v>155</v>
      </c>
      <c r="W299" s="1">
        <v>4</v>
      </c>
      <c r="X299" s="1">
        <v>2</v>
      </c>
      <c r="Y299" s="1" t="s">
        <v>97</v>
      </c>
      <c r="Z299" s="1" t="s">
        <v>130</v>
      </c>
      <c r="AA299" s="1" t="s">
        <v>1</v>
      </c>
      <c r="AB299" s="1" t="s">
        <v>98</v>
      </c>
      <c r="AC299" s="1" t="s">
        <v>202</v>
      </c>
      <c r="AD299" s="1" t="s">
        <v>99</v>
      </c>
      <c r="AE299" s="1" t="s">
        <v>102</v>
      </c>
      <c r="AF299" s="12" t="s">
        <v>352</v>
      </c>
      <c r="AG299" s="1" t="s">
        <v>315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" t="s">
        <v>285</v>
      </c>
    </row>
    <row r="300" spans="1:54" ht="14.25" customHeight="1">
      <c r="A300" s="2">
        <v>43</v>
      </c>
      <c r="B300" s="2" t="s">
        <v>9</v>
      </c>
      <c r="C300" s="1" t="s">
        <v>85</v>
      </c>
      <c r="D300" s="1">
        <v>2023</v>
      </c>
      <c r="E300" s="1">
        <v>2020</v>
      </c>
      <c r="F300" s="1" t="s">
        <v>152</v>
      </c>
      <c r="G300" s="1" t="s">
        <v>159</v>
      </c>
      <c r="H300" s="1">
        <v>49.094827000000002</v>
      </c>
      <c r="I300" s="1">
        <v>-121.06218200000001</v>
      </c>
      <c r="J300" s="1" t="s">
        <v>128</v>
      </c>
      <c r="K300" s="1" t="s">
        <v>174</v>
      </c>
      <c r="L300" s="1" t="s">
        <v>175</v>
      </c>
      <c r="M300" s="1" t="s">
        <v>236</v>
      </c>
      <c r="N300" s="1" t="s">
        <v>238</v>
      </c>
      <c r="O300" s="1" t="s">
        <v>86</v>
      </c>
      <c r="P300" s="1" t="s">
        <v>146</v>
      </c>
      <c r="Q300" s="1" t="s">
        <v>93</v>
      </c>
      <c r="R300" s="1">
        <v>2020</v>
      </c>
      <c r="S300" s="1" t="s">
        <v>156</v>
      </c>
      <c r="T300" s="1">
        <v>11</v>
      </c>
      <c r="V300" s="1" t="s">
        <v>155</v>
      </c>
      <c r="W300" s="1">
        <v>4</v>
      </c>
      <c r="X300" s="1">
        <v>2</v>
      </c>
      <c r="Y300" s="1" t="s">
        <v>97</v>
      </c>
      <c r="Z300" s="1" t="s">
        <v>232</v>
      </c>
      <c r="AA300" s="1" t="s">
        <v>1</v>
      </c>
      <c r="AB300" s="1" t="s">
        <v>98</v>
      </c>
      <c r="AC300" s="1" t="s">
        <v>202</v>
      </c>
      <c r="AD300" s="1" t="s">
        <v>99</v>
      </c>
      <c r="AE300" s="1" t="s">
        <v>102</v>
      </c>
      <c r="AF300" s="1" t="s">
        <v>149</v>
      </c>
      <c r="AG300" s="1" t="s">
        <v>318</v>
      </c>
      <c r="AH300" s="1">
        <v>3.55</v>
      </c>
      <c r="AI300" s="1">
        <f>AJ300*SQRT(X300)</f>
        <v>0.39597979746446699</v>
      </c>
      <c r="AJ300" s="1">
        <f>3.7-3.42</f>
        <v>0.28000000000000025</v>
      </c>
      <c r="AK300" s="1">
        <v>3.25</v>
      </c>
      <c r="AL300" s="1">
        <f>AM300*SQRT(W300)</f>
        <v>0.45999999999999996</v>
      </c>
      <c r="AM300" s="1">
        <f>3.36-3.13</f>
        <v>0.22999999999999998</v>
      </c>
      <c r="AN300" s="12">
        <f>AH300-AK300</f>
        <v>0.29999999999999982</v>
      </c>
      <c r="AO300" s="1">
        <f>SQRT((((X300-1)*AI300^2)+((W300-1)*AL300^2))/(X300+W300-2))</f>
        <v>0.44485952839070447</v>
      </c>
      <c r="AP300" s="1">
        <f>AN300/AO300</f>
        <v>0.67437017947049649</v>
      </c>
      <c r="AQ300" s="1">
        <f>1/X300+1/W300+(AP300^2)/(2*(X300+W300))</f>
        <v>0.78789792824658911</v>
      </c>
      <c r="AR300" s="1">
        <f>1-(3/(4*(X300+W300-2)-1))</f>
        <v>0.8</v>
      </c>
      <c r="AS300" s="21">
        <f>AP300*AR300</f>
        <v>0.53949614357639719</v>
      </c>
      <c r="AT300" s="21">
        <f>AQ300*(AR300^2)</f>
        <v>0.5042546740778171</v>
      </c>
      <c r="AU300" s="21">
        <f>SQRT(AQ300*AR300^2)</f>
        <v>0.71010891705274137</v>
      </c>
      <c r="AV300" s="20">
        <f>1/AT300</f>
        <v>1.9831248997915665</v>
      </c>
      <c r="AW300" s="20">
        <f>AS300/AT300</f>
        <v>1.0698882356678792</v>
      </c>
      <c r="AX300" s="20">
        <f>((AS300)^2)/AT300</f>
        <v>0.57720057720057649</v>
      </c>
      <c r="AY300" s="14"/>
      <c r="AZ300" s="14"/>
      <c r="BA300" s="1" t="s">
        <v>270</v>
      </c>
      <c r="BB300" s="2"/>
    </row>
    <row r="301" spans="1:54" ht="14.25" customHeight="1">
      <c r="A301" s="2">
        <v>43</v>
      </c>
      <c r="B301" s="2" t="s">
        <v>9</v>
      </c>
      <c r="C301" s="1" t="s">
        <v>85</v>
      </c>
      <c r="D301" s="1">
        <v>2023</v>
      </c>
      <c r="E301" s="1">
        <v>2020</v>
      </c>
      <c r="F301" s="1" t="s">
        <v>152</v>
      </c>
      <c r="G301" s="1" t="s">
        <v>159</v>
      </c>
      <c r="H301" s="1">
        <v>49.094827000000002</v>
      </c>
      <c r="I301" s="1">
        <v>-121.06218200000001</v>
      </c>
      <c r="J301" s="1" t="s">
        <v>128</v>
      </c>
      <c r="K301" s="1" t="s">
        <v>174</v>
      </c>
      <c r="L301" s="1" t="s">
        <v>175</v>
      </c>
      <c r="M301" s="1" t="s">
        <v>236</v>
      </c>
      <c r="N301" s="1" t="s">
        <v>238</v>
      </c>
      <c r="O301" s="1" t="s">
        <v>86</v>
      </c>
      <c r="P301" s="1" t="s">
        <v>146</v>
      </c>
      <c r="Q301" s="1" t="s">
        <v>93</v>
      </c>
      <c r="R301" s="1">
        <v>2020</v>
      </c>
      <c r="S301" s="1" t="s">
        <v>156</v>
      </c>
      <c r="T301" s="1">
        <v>11</v>
      </c>
      <c r="V301" s="1" t="s">
        <v>155</v>
      </c>
      <c r="W301" s="1">
        <v>4</v>
      </c>
      <c r="X301" s="1">
        <v>2</v>
      </c>
      <c r="Y301" s="1" t="s">
        <v>97</v>
      </c>
      <c r="Z301" s="1" t="s">
        <v>232</v>
      </c>
      <c r="AA301" s="1" t="s">
        <v>1</v>
      </c>
      <c r="AB301" s="1" t="s">
        <v>98</v>
      </c>
      <c r="AC301" s="1" t="s">
        <v>202</v>
      </c>
      <c r="AD301" s="1" t="s">
        <v>99</v>
      </c>
      <c r="AE301" s="1" t="s">
        <v>102</v>
      </c>
      <c r="AF301" s="1" t="s">
        <v>384</v>
      </c>
      <c r="AG301" s="1" t="s">
        <v>316</v>
      </c>
      <c r="AH301" s="1">
        <v>34.79</v>
      </c>
      <c r="AI301" s="1">
        <f>AJ301*SQRT(X301)</f>
        <v>7.4811897449536717</v>
      </c>
      <c r="AJ301" s="1">
        <f>37.51-32.22</f>
        <v>5.2899999999999991</v>
      </c>
      <c r="AK301" s="1">
        <v>26.87</v>
      </c>
      <c r="AL301" s="1">
        <f>AM301*SQRT(W301)</f>
        <v>9.1999999999999957</v>
      </c>
      <c r="AM301" s="1">
        <f>29.7-25.1</f>
        <v>4.5999999999999979</v>
      </c>
      <c r="AN301" s="12">
        <f>AH301-AK301</f>
        <v>7.9199999999999982</v>
      </c>
      <c r="AO301" s="1">
        <f>SQRT((((X301-1)*AI301^2)+((W301-1)*AL301^2))/(X301+W301-2))</f>
        <v>8.8018208343501243</v>
      </c>
      <c r="AP301" s="1">
        <f>AN301/AO301</f>
        <v>0.89981381682881811</v>
      </c>
      <c r="AQ301" s="1">
        <f>1/X301+1/W301+(AP301^2)/(2*(X301+W301))</f>
        <v>0.81747207541300382</v>
      </c>
      <c r="AR301" s="1">
        <f>1-(3/(4*(X301+W301-2)-1))</f>
        <v>0.8</v>
      </c>
      <c r="AS301" s="21">
        <f>AP301*AR301</f>
        <v>0.71985105346305456</v>
      </c>
      <c r="AT301" s="21">
        <f>AQ301*(AR301^2)</f>
        <v>0.52318212826432253</v>
      </c>
      <c r="AU301" s="21">
        <f>SQRT(AQ301*AR301^2)</f>
        <v>0.72331329882999007</v>
      </c>
      <c r="AV301" s="20">
        <f>1/AT301</f>
        <v>1.9113802746235611</v>
      </c>
      <c r="AW301" s="20">
        <f>AS301/AT301</f>
        <v>1.375909104256273</v>
      </c>
      <c r="AX301" s="20">
        <f>((AS301)^2)/AT301</f>
        <v>0.99044961816828581</v>
      </c>
      <c r="AY301" s="14"/>
      <c r="AZ301" s="14"/>
      <c r="BA301" s="1" t="s">
        <v>270</v>
      </c>
      <c r="BB301" s="2"/>
    </row>
    <row r="302" spans="1:54" ht="14.25" customHeight="1">
      <c r="A302" s="2">
        <v>43</v>
      </c>
      <c r="B302" s="2" t="s">
        <v>9</v>
      </c>
      <c r="C302" s="1" t="s">
        <v>85</v>
      </c>
      <c r="D302" s="1">
        <v>2023</v>
      </c>
      <c r="E302" s="1">
        <v>2020</v>
      </c>
      <c r="F302" s="1" t="s">
        <v>152</v>
      </c>
      <c r="G302" s="1" t="s">
        <v>159</v>
      </c>
      <c r="H302" s="1">
        <v>49.094827000000002</v>
      </c>
      <c r="I302" s="1">
        <v>-121.06218200000001</v>
      </c>
      <c r="J302" s="1" t="s">
        <v>128</v>
      </c>
      <c r="K302" s="1" t="s">
        <v>174</v>
      </c>
      <c r="L302" s="1" t="s">
        <v>175</v>
      </c>
      <c r="M302" s="1" t="s">
        <v>236</v>
      </c>
      <c r="N302" s="1" t="s">
        <v>238</v>
      </c>
      <c r="O302" s="1" t="s">
        <v>86</v>
      </c>
      <c r="P302" s="1" t="s">
        <v>146</v>
      </c>
      <c r="Q302" s="1" t="s">
        <v>93</v>
      </c>
      <c r="R302" s="1">
        <v>2020</v>
      </c>
      <c r="S302" s="1" t="s">
        <v>156</v>
      </c>
      <c r="T302" s="1">
        <v>11</v>
      </c>
      <c r="V302" s="1" t="s">
        <v>155</v>
      </c>
      <c r="W302" s="1">
        <v>4</v>
      </c>
      <c r="X302" s="1">
        <v>2</v>
      </c>
      <c r="Y302" s="1" t="s">
        <v>97</v>
      </c>
      <c r="Z302" s="1" t="s">
        <v>232</v>
      </c>
      <c r="AA302" s="1" t="s">
        <v>1</v>
      </c>
      <c r="AB302" s="1" t="s">
        <v>98</v>
      </c>
      <c r="AC302" s="1" t="s">
        <v>202</v>
      </c>
      <c r="AD302" s="1" t="s">
        <v>99</v>
      </c>
      <c r="AE302" s="1" t="s">
        <v>102</v>
      </c>
      <c r="AF302" s="1" t="s">
        <v>150</v>
      </c>
      <c r="AG302" s="1" t="s">
        <v>316</v>
      </c>
      <c r="AH302" s="1">
        <v>49.4</v>
      </c>
      <c r="AI302" s="1">
        <f>AJ302*SQRT(X302)</f>
        <v>7.1417784899841266</v>
      </c>
      <c r="AJ302" s="1">
        <f>52.62-47.57</f>
        <v>5.0499999999999972</v>
      </c>
      <c r="AK302" s="1">
        <v>47.38</v>
      </c>
      <c r="AL302" s="1">
        <f>AM302*SQRT(W302)</f>
        <v>13.099999999999994</v>
      </c>
      <c r="AM302" s="1">
        <f>51.12-44.57</f>
        <v>6.5499999999999972</v>
      </c>
      <c r="AN302" s="12">
        <f>AH302-AK302</f>
        <v>2.019999999999996</v>
      </c>
      <c r="AO302" s="1">
        <f>SQRT((((X302-1)*AI302^2)+((W302-1)*AL302^2))/(X302+W302-2))</f>
        <v>11.893643260162122</v>
      </c>
      <c r="AP302" s="1">
        <f>AN302/AO302</f>
        <v>0.16983862352471982</v>
      </c>
      <c r="AQ302" s="1">
        <f>1/X302+1/W302+(AP302^2)/(2*(X302+W302))</f>
        <v>0.7524037631700643</v>
      </c>
      <c r="AR302" s="1">
        <f>1-(3/(4*(X302+W302-2)-1))</f>
        <v>0.8</v>
      </c>
      <c r="AS302" s="21">
        <f>AP302*AR302</f>
        <v>0.13587089881977585</v>
      </c>
      <c r="AT302" s="21">
        <f>AQ302*(AR302^2)</f>
        <v>0.48153840842884127</v>
      </c>
      <c r="AU302" s="21">
        <f>SQRT(AQ302*AR302^2)</f>
        <v>0.69392968550771861</v>
      </c>
      <c r="AV302" s="20">
        <f>1/AT302</f>
        <v>2.0766775453339021</v>
      </c>
      <c r="AW302" s="20">
        <f>AS302/AT302</f>
        <v>0.28216004464336308</v>
      </c>
      <c r="AX302" s="20">
        <f>((AS302)^2)/AT302</f>
        <v>3.8337338876721819E-2</v>
      </c>
      <c r="AY302" s="14"/>
      <c r="AZ302" s="14"/>
      <c r="BA302" s="1" t="s">
        <v>270</v>
      </c>
      <c r="BB302" s="2"/>
    </row>
    <row r="303" spans="1:54" ht="14.25" customHeight="1">
      <c r="A303" s="2">
        <v>43</v>
      </c>
      <c r="B303" s="2" t="s">
        <v>9</v>
      </c>
      <c r="C303" s="1" t="s">
        <v>85</v>
      </c>
      <c r="D303" s="1">
        <v>2023</v>
      </c>
      <c r="E303" s="1">
        <v>2020</v>
      </c>
      <c r="F303" s="1" t="s">
        <v>152</v>
      </c>
      <c r="G303" s="1" t="s">
        <v>159</v>
      </c>
      <c r="H303" s="1">
        <v>49.094827000000002</v>
      </c>
      <c r="I303" s="1">
        <v>-121.06218200000001</v>
      </c>
      <c r="J303" s="1" t="s">
        <v>128</v>
      </c>
      <c r="K303" s="1" t="s">
        <v>174</v>
      </c>
      <c r="L303" s="1" t="s">
        <v>175</v>
      </c>
      <c r="M303" s="1" t="s">
        <v>236</v>
      </c>
      <c r="N303" s="1" t="s">
        <v>238</v>
      </c>
      <c r="O303" s="1" t="s">
        <v>86</v>
      </c>
      <c r="P303" s="1" t="s">
        <v>146</v>
      </c>
      <c r="Q303" s="1" t="s">
        <v>93</v>
      </c>
      <c r="R303" s="1">
        <v>2020</v>
      </c>
      <c r="S303" s="1" t="s">
        <v>156</v>
      </c>
      <c r="T303" s="1">
        <v>11</v>
      </c>
      <c r="V303" s="1" t="s">
        <v>155</v>
      </c>
      <c r="W303" s="1">
        <v>4</v>
      </c>
      <c r="X303" s="1">
        <v>2</v>
      </c>
      <c r="Y303" s="1" t="s">
        <v>97</v>
      </c>
      <c r="Z303" s="1" t="s">
        <v>232</v>
      </c>
      <c r="AA303" s="1" t="s">
        <v>1</v>
      </c>
      <c r="AB303" s="1" t="s">
        <v>98</v>
      </c>
      <c r="AC303" s="1" t="s">
        <v>202</v>
      </c>
      <c r="AD303" s="1" t="s">
        <v>99</v>
      </c>
      <c r="AE303" s="1" t="s">
        <v>102</v>
      </c>
      <c r="AF303" s="12" t="s">
        <v>352</v>
      </c>
      <c r="AG303" s="1" t="s">
        <v>315</v>
      </c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" t="s">
        <v>285</v>
      </c>
    </row>
    <row r="304" spans="1:54" ht="14.25" customHeight="1">
      <c r="A304" s="2">
        <v>43</v>
      </c>
      <c r="B304" s="2" t="s">
        <v>9</v>
      </c>
      <c r="C304" s="1" t="s">
        <v>85</v>
      </c>
      <c r="D304" s="1">
        <v>2023</v>
      </c>
      <c r="E304" s="1">
        <v>2020</v>
      </c>
      <c r="F304" s="1" t="s">
        <v>152</v>
      </c>
      <c r="G304" s="1" t="s">
        <v>159</v>
      </c>
      <c r="H304" s="1">
        <v>49.094827000000002</v>
      </c>
      <c r="I304" s="1">
        <v>-121.06218200000001</v>
      </c>
      <c r="J304" s="1" t="s">
        <v>128</v>
      </c>
      <c r="K304" s="1" t="s">
        <v>174</v>
      </c>
      <c r="L304" s="1" t="s">
        <v>175</v>
      </c>
      <c r="M304" s="1" t="s">
        <v>236</v>
      </c>
      <c r="N304" s="1" t="s">
        <v>238</v>
      </c>
      <c r="O304" s="1" t="s">
        <v>86</v>
      </c>
      <c r="P304" s="1" t="s">
        <v>210</v>
      </c>
      <c r="Q304" s="1" t="s">
        <v>93</v>
      </c>
      <c r="R304" s="1">
        <v>2020</v>
      </c>
      <c r="S304" s="1" t="s">
        <v>156</v>
      </c>
      <c r="T304" s="1">
        <v>11</v>
      </c>
      <c r="V304" s="1" t="s">
        <v>155</v>
      </c>
      <c r="W304" s="1">
        <v>4</v>
      </c>
      <c r="X304" s="1">
        <v>3</v>
      </c>
      <c r="Y304" s="1" t="s">
        <v>97</v>
      </c>
      <c r="Z304" s="1" t="s">
        <v>130</v>
      </c>
      <c r="AA304" s="1" t="s">
        <v>1</v>
      </c>
      <c r="AB304" s="1" t="s">
        <v>98</v>
      </c>
      <c r="AC304" s="1" t="s">
        <v>202</v>
      </c>
      <c r="AD304" s="1" t="s">
        <v>99</v>
      </c>
      <c r="AE304" s="1" t="s">
        <v>102</v>
      </c>
      <c r="AF304" s="1" t="s">
        <v>149</v>
      </c>
      <c r="AG304" s="1" t="s">
        <v>318</v>
      </c>
      <c r="AH304" s="1">
        <v>2.39</v>
      </c>
      <c r="AI304" s="1">
        <f>AJ304*SQRT(X304)</f>
        <v>1.2124355652982144</v>
      </c>
      <c r="AJ304" s="1">
        <f>2.74-2.04</f>
        <v>0.70000000000000018</v>
      </c>
      <c r="AK304" s="1">
        <v>4.09</v>
      </c>
      <c r="AL304" s="1">
        <f>AM304*SQRT(W304)</f>
        <v>0.37999999999999901</v>
      </c>
      <c r="AM304" s="1">
        <f>4.18-3.99</f>
        <v>0.1899999999999995</v>
      </c>
      <c r="AN304" s="12">
        <f>AH304-AK304</f>
        <v>-1.6999999999999997</v>
      </c>
      <c r="AO304" s="1">
        <f>SQRT((((X304-1)*AI304^2)+((W304-1)*AL304^2))/(X304+W304-2))</f>
        <v>0.82136471801508482</v>
      </c>
      <c r="AP304" s="1">
        <f>AN304/AO304</f>
        <v>-2.0697261067023072</v>
      </c>
      <c r="AQ304" s="1">
        <f>1/X304+1/W304+(AP304^2)/(2*(X304+W304))</f>
        <v>0.88931663024512542</v>
      </c>
      <c r="AR304" s="1">
        <f>1-(3/(4*(X304+W304-2)-1))</f>
        <v>0.84210526315789469</v>
      </c>
      <c r="AS304" s="21">
        <f>AP304*AR304</f>
        <v>-1.7429272477493112</v>
      </c>
      <c r="AT304" s="21">
        <f>AQ304*(AR304^2)</f>
        <v>0.63065112837327442</v>
      </c>
      <c r="AU304" s="21">
        <f>SQRT(AQ304*AR304^2)</f>
        <v>0.79413545971280897</v>
      </c>
      <c r="AV304" s="20">
        <f>1/AT304</f>
        <v>1.5856627460247921</v>
      </c>
      <c r="AW304" s="20">
        <f>AS304/AT304</f>
        <v>-2.7636948057876061</v>
      </c>
      <c r="AX304" s="20">
        <f>((AS304)^2)/AT304</f>
        <v>4.8169189814704589</v>
      </c>
      <c r="AY304" s="14"/>
      <c r="AZ304" s="14"/>
      <c r="BA304" s="1" t="s">
        <v>270</v>
      </c>
      <c r="BB304" s="2"/>
    </row>
    <row r="305" spans="1:54" ht="14.25" customHeight="1">
      <c r="A305" s="2">
        <v>43</v>
      </c>
      <c r="B305" s="2" t="s">
        <v>9</v>
      </c>
      <c r="C305" s="1" t="s">
        <v>85</v>
      </c>
      <c r="D305" s="1">
        <v>2023</v>
      </c>
      <c r="E305" s="1">
        <v>2020</v>
      </c>
      <c r="F305" s="1" t="s">
        <v>152</v>
      </c>
      <c r="G305" s="1" t="s">
        <v>159</v>
      </c>
      <c r="H305" s="1">
        <v>49.094827000000002</v>
      </c>
      <c r="I305" s="1">
        <v>-121.06218200000001</v>
      </c>
      <c r="J305" s="1" t="s">
        <v>128</v>
      </c>
      <c r="K305" s="1" t="s">
        <v>174</v>
      </c>
      <c r="L305" s="1" t="s">
        <v>175</v>
      </c>
      <c r="M305" s="1" t="s">
        <v>236</v>
      </c>
      <c r="N305" s="1" t="s">
        <v>238</v>
      </c>
      <c r="O305" s="1" t="s">
        <v>86</v>
      </c>
      <c r="P305" s="1" t="s">
        <v>210</v>
      </c>
      <c r="Q305" s="1" t="s">
        <v>93</v>
      </c>
      <c r="R305" s="1">
        <v>2020</v>
      </c>
      <c r="S305" s="1" t="s">
        <v>156</v>
      </c>
      <c r="T305" s="1">
        <v>11</v>
      </c>
      <c r="V305" s="1" t="s">
        <v>155</v>
      </c>
      <c r="W305" s="1">
        <v>4</v>
      </c>
      <c r="X305" s="1">
        <v>3</v>
      </c>
      <c r="Y305" s="1" t="s">
        <v>97</v>
      </c>
      <c r="Z305" s="1" t="s">
        <v>130</v>
      </c>
      <c r="AA305" s="1" t="s">
        <v>1</v>
      </c>
      <c r="AB305" s="1" t="s">
        <v>98</v>
      </c>
      <c r="AC305" s="1" t="s">
        <v>202</v>
      </c>
      <c r="AD305" s="1" t="s">
        <v>99</v>
      </c>
      <c r="AE305" s="1" t="s">
        <v>102</v>
      </c>
      <c r="AF305" s="1" t="s">
        <v>384</v>
      </c>
      <c r="AG305" s="1" t="s">
        <v>316</v>
      </c>
      <c r="AH305" s="1">
        <v>7.02</v>
      </c>
      <c r="AI305" s="1">
        <f>AJ305*SQRT(X305)</f>
        <v>7.0667672948810187</v>
      </c>
      <c r="AJ305" s="1">
        <f>9.06-4.98</f>
        <v>4.08</v>
      </c>
      <c r="AK305" s="1">
        <v>23.32</v>
      </c>
      <c r="AL305" s="1">
        <f>AM305*SQRT(W305)</f>
        <v>10.119999999999997</v>
      </c>
      <c r="AM305" s="1">
        <f>25.06-20</f>
        <v>5.0599999999999987</v>
      </c>
      <c r="AN305" s="12">
        <f>AH305-AK305</f>
        <v>-16.3</v>
      </c>
      <c r="AO305" s="1">
        <f>SQRT((((X305-1)*AI305^2)+((W305-1)*AL305^2))/(X305+W305-2))</f>
        <v>9.023542541596397</v>
      </c>
      <c r="AP305" s="1">
        <f>AN305/AO305</f>
        <v>-1.8063858983166374</v>
      </c>
      <c r="AQ305" s="1">
        <f>1/X305+1/W305+(AP305^2)/(2*(X305+W305))</f>
        <v>0.81640690573599084</v>
      </c>
      <c r="AR305" s="1">
        <f>1-(3/(4*(X305+W305-2)-1))</f>
        <v>0.84210526315789469</v>
      </c>
      <c r="AS305" s="21">
        <f>AP305*AR305</f>
        <v>-1.5211670722666419</v>
      </c>
      <c r="AT305" s="21">
        <f>AQ305*(AR305^2)</f>
        <v>0.5789478334305086</v>
      </c>
      <c r="AU305" s="21">
        <f>SQRT(AQ305*AR305^2)</f>
        <v>0.76088621582369897</v>
      </c>
      <c r="AV305" s="20">
        <f>1/AT305</f>
        <v>1.7272713399315804</v>
      </c>
      <c r="AW305" s="20">
        <f>AS305/AT305</f>
        <v>-2.627468287173802</v>
      </c>
      <c r="AX305" s="20">
        <f>((AS305)^2)/AT305</f>
        <v>3.9968182418736204</v>
      </c>
      <c r="AY305" s="14"/>
      <c r="AZ305" s="14"/>
      <c r="BA305" s="1" t="s">
        <v>270</v>
      </c>
      <c r="BB305" s="2"/>
    </row>
    <row r="306" spans="1:54" ht="14.25" customHeight="1">
      <c r="A306" s="2">
        <v>43</v>
      </c>
      <c r="B306" s="2" t="s">
        <v>9</v>
      </c>
      <c r="C306" s="1" t="s">
        <v>85</v>
      </c>
      <c r="D306" s="1">
        <v>2023</v>
      </c>
      <c r="E306" s="1">
        <v>2020</v>
      </c>
      <c r="F306" s="1" t="s">
        <v>152</v>
      </c>
      <c r="G306" s="1" t="s">
        <v>159</v>
      </c>
      <c r="H306" s="1">
        <v>49.094827000000002</v>
      </c>
      <c r="I306" s="1">
        <v>-121.06218200000001</v>
      </c>
      <c r="J306" s="1" t="s">
        <v>128</v>
      </c>
      <c r="K306" s="1" t="s">
        <v>174</v>
      </c>
      <c r="L306" s="1" t="s">
        <v>175</v>
      </c>
      <c r="M306" s="1" t="s">
        <v>236</v>
      </c>
      <c r="N306" s="1" t="s">
        <v>238</v>
      </c>
      <c r="O306" s="1" t="s">
        <v>86</v>
      </c>
      <c r="P306" s="1" t="s">
        <v>210</v>
      </c>
      <c r="Q306" s="1" t="s">
        <v>93</v>
      </c>
      <c r="R306" s="1">
        <v>2020</v>
      </c>
      <c r="S306" s="1" t="s">
        <v>156</v>
      </c>
      <c r="T306" s="1">
        <v>11</v>
      </c>
      <c r="V306" s="1" t="s">
        <v>155</v>
      </c>
      <c r="W306" s="1">
        <v>4</v>
      </c>
      <c r="X306" s="1">
        <v>3</v>
      </c>
      <c r="Y306" s="1" t="s">
        <v>97</v>
      </c>
      <c r="Z306" s="1" t="s">
        <v>130</v>
      </c>
      <c r="AA306" s="1" t="s">
        <v>1</v>
      </c>
      <c r="AB306" s="1" t="s">
        <v>98</v>
      </c>
      <c r="AC306" s="1" t="s">
        <v>202</v>
      </c>
      <c r="AD306" s="1" t="s">
        <v>99</v>
      </c>
      <c r="AE306" s="1" t="s">
        <v>102</v>
      </c>
      <c r="AF306" s="1" t="s">
        <v>150</v>
      </c>
      <c r="AG306" s="1" t="s">
        <v>316</v>
      </c>
      <c r="AH306" s="1">
        <v>44.19</v>
      </c>
      <c r="AI306" s="1">
        <f>AJ306*SQRT(X306)</f>
        <v>16.852854357645171</v>
      </c>
      <c r="AJ306" s="1">
        <f>51.12-41.39</f>
        <v>9.7299999999999969</v>
      </c>
      <c r="AK306" s="1">
        <v>77.34</v>
      </c>
      <c r="AL306" s="1">
        <f>AM306*SQRT(W306)</f>
        <v>29.580000000000013</v>
      </c>
      <c r="AM306" s="1">
        <f>84.64-69.85</f>
        <v>14.790000000000006</v>
      </c>
      <c r="AN306" s="12">
        <f>AH306-AK306</f>
        <v>-33.150000000000006</v>
      </c>
      <c r="AO306" s="1">
        <f>SQRT((((X306-1)*AI306^2)+((W306-1)*AL306^2))/(X306+W306-2))</f>
        <v>25.270404033176842</v>
      </c>
      <c r="AP306" s="1">
        <f>AN306/AO306</f>
        <v>-1.3118112380189193</v>
      </c>
      <c r="AQ306" s="1">
        <f>1/X306+1/W306+(AP306^2)/(2*(X306+W306))</f>
        <v>0.70625109934709962</v>
      </c>
      <c r="AR306" s="1">
        <f>1-(3/(4*(X306+W306-2)-1))</f>
        <v>0.84210526315789469</v>
      </c>
      <c r="AS306" s="21">
        <f>AP306*AR306</f>
        <v>-1.1046831478054058</v>
      </c>
      <c r="AT306" s="21">
        <f>AQ306*(AR306^2)</f>
        <v>0.5008318045231509</v>
      </c>
      <c r="AU306" s="21">
        <f>SQRT(AQ306*AR306^2)</f>
        <v>0.70769471138560225</v>
      </c>
      <c r="AV306" s="20">
        <f>1/AT306</f>
        <v>1.9966783079044157</v>
      </c>
      <c r="AW306" s="20">
        <f>AS306/AT306</f>
        <v>-2.2056968783306212</v>
      </c>
      <c r="AX306" s="20">
        <f>((AS306)^2)/AT306</f>
        <v>2.4365961706588277</v>
      </c>
      <c r="AY306" s="14"/>
      <c r="AZ306" s="14"/>
      <c r="BA306" s="1" t="s">
        <v>270</v>
      </c>
      <c r="BB306" s="2"/>
    </row>
    <row r="307" spans="1:54" ht="14.25" customHeight="1">
      <c r="A307" s="2">
        <v>43</v>
      </c>
      <c r="B307" s="2" t="s">
        <v>9</v>
      </c>
      <c r="C307" s="1" t="s">
        <v>85</v>
      </c>
      <c r="D307" s="1">
        <v>2023</v>
      </c>
      <c r="E307" s="1">
        <v>2020</v>
      </c>
      <c r="F307" s="1" t="s">
        <v>152</v>
      </c>
      <c r="G307" s="1" t="s">
        <v>159</v>
      </c>
      <c r="H307" s="1">
        <v>49.094827000000002</v>
      </c>
      <c r="I307" s="1">
        <v>-121.06218200000001</v>
      </c>
      <c r="J307" s="1" t="s">
        <v>128</v>
      </c>
      <c r="K307" s="1" t="s">
        <v>174</v>
      </c>
      <c r="L307" s="1" t="s">
        <v>175</v>
      </c>
      <c r="M307" s="1" t="s">
        <v>236</v>
      </c>
      <c r="N307" s="1" t="s">
        <v>238</v>
      </c>
      <c r="O307" s="1" t="s">
        <v>86</v>
      </c>
      <c r="P307" s="1" t="s">
        <v>210</v>
      </c>
      <c r="Q307" s="1" t="s">
        <v>93</v>
      </c>
      <c r="R307" s="1">
        <v>2020</v>
      </c>
      <c r="S307" s="1" t="s">
        <v>156</v>
      </c>
      <c r="T307" s="1">
        <v>11</v>
      </c>
      <c r="V307" s="1" t="s">
        <v>155</v>
      </c>
      <c r="W307" s="1">
        <v>4</v>
      </c>
      <c r="X307" s="1">
        <v>3</v>
      </c>
      <c r="Y307" s="1" t="s">
        <v>97</v>
      </c>
      <c r="Z307" s="1" t="s">
        <v>130</v>
      </c>
      <c r="AA307" s="1" t="s">
        <v>1</v>
      </c>
      <c r="AB307" s="1" t="s">
        <v>98</v>
      </c>
      <c r="AC307" s="1" t="s">
        <v>202</v>
      </c>
      <c r="AD307" s="1" t="s">
        <v>99</v>
      </c>
      <c r="AE307" s="1" t="s">
        <v>102</v>
      </c>
      <c r="AF307" s="12" t="s">
        <v>352</v>
      </c>
      <c r="AG307" s="1" t="s">
        <v>315</v>
      </c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" t="s">
        <v>285</v>
      </c>
    </row>
    <row r="308" spans="1:54" ht="14.25" customHeight="1">
      <c r="A308" s="2">
        <v>43</v>
      </c>
      <c r="B308" s="2" t="s">
        <v>9</v>
      </c>
      <c r="C308" s="1" t="s">
        <v>85</v>
      </c>
      <c r="D308" s="1">
        <v>2023</v>
      </c>
      <c r="E308" s="1">
        <v>2020</v>
      </c>
      <c r="F308" s="1" t="s">
        <v>152</v>
      </c>
      <c r="G308" s="1" t="s">
        <v>159</v>
      </c>
      <c r="H308" s="1">
        <v>49.094827000000002</v>
      </c>
      <c r="I308" s="1">
        <v>-121.06218200000001</v>
      </c>
      <c r="J308" s="1" t="s">
        <v>128</v>
      </c>
      <c r="K308" s="1" t="s">
        <v>174</v>
      </c>
      <c r="L308" s="1" t="s">
        <v>175</v>
      </c>
      <c r="M308" s="1" t="s">
        <v>236</v>
      </c>
      <c r="N308" s="1" t="s">
        <v>238</v>
      </c>
      <c r="O308" s="1" t="s">
        <v>86</v>
      </c>
      <c r="P308" s="1" t="s">
        <v>210</v>
      </c>
      <c r="Q308" s="1" t="s">
        <v>93</v>
      </c>
      <c r="R308" s="1">
        <v>2020</v>
      </c>
      <c r="S308" s="1" t="s">
        <v>156</v>
      </c>
      <c r="T308" s="1">
        <v>11</v>
      </c>
      <c r="V308" s="1" t="s">
        <v>155</v>
      </c>
      <c r="W308" s="1">
        <v>4</v>
      </c>
      <c r="X308" s="1">
        <v>3</v>
      </c>
      <c r="Y308" s="1" t="s">
        <v>97</v>
      </c>
      <c r="Z308" s="1" t="s">
        <v>232</v>
      </c>
      <c r="AA308" s="1" t="s">
        <v>1</v>
      </c>
      <c r="AB308" s="1" t="s">
        <v>98</v>
      </c>
      <c r="AC308" s="1" t="s">
        <v>202</v>
      </c>
      <c r="AD308" s="1" t="s">
        <v>99</v>
      </c>
      <c r="AE308" s="1" t="s">
        <v>102</v>
      </c>
      <c r="AF308" s="1" t="s">
        <v>149</v>
      </c>
      <c r="AG308" s="1" t="s">
        <v>318</v>
      </c>
      <c r="AH308" s="1">
        <v>2.98</v>
      </c>
      <c r="AI308" s="1">
        <f>AJ308*SQRT(X308)</f>
        <v>0.67549981495186229</v>
      </c>
      <c r="AJ308" s="1">
        <f>3.18-2.79</f>
        <v>0.39000000000000012</v>
      </c>
      <c r="AK308" s="1">
        <v>3.25</v>
      </c>
      <c r="AL308" s="1">
        <f>AM308*SQRT(W308)</f>
        <v>0.45999999999999996</v>
      </c>
      <c r="AM308" s="1">
        <f>3.36-3.13</f>
        <v>0.22999999999999998</v>
      </c>
      <c r="AN308" s="12">
        <f>AH308-AK308</f>
        <v>-0.27</v>
      </c>
      <c r="AO308" s="1">
        <f>SQRT((((X308-1)*AI308^2)+((W308-1)*AL308^2))/(X308+W308-2))</f>
        <v>0.5563092665056012</v>
      </c>
      <c r="AP308" s="1">
        <f>AN308/AO308</f>
        <v>-0.48534154697076493</v>
      </c>
      <c r="AQ308" s="1">
        <f>1/X308+1/W308+(AP308^2)/(2*(X308+W308))</f>
        <v>0.60015879170590292</v>
      </c>
      <c r="AR308" s="1">
        <f>1-(3/(4*(X308+W308-2)-1))</f>
        <v>0.84210526315789469</v>
      </c>
      <c r="AS308" s="21">
        <f>AP308*AR308</f>
        <v>-0.40870867113327569</v>
      </c>
      <c r="AT308" s="21">
        <f>AQ308*(AR308^2)</f>
        <v>0.42559737029559869</v>
      </c>
      <c r="AU308" s="21">
        <f>SQRT(AQ308*AR308^2)</f>
        <v>0.65237824173986569</v>
      </c>
      <c r="AV308" s="20">
        <f>1/AT308</f>
        <v>2.3496385781365374</v>
      </c>
      <c r="AW308" s="20">
        <f>AS308/AT308</f>
        <v>-0.96031766091366366</v>
      </c>
      <c r="AX308" s="20">
        <f>((AS308)^2)/AT308</f>
        <v>0.39249015505783907</v>
      </c>
      <c r="AY308" s="14"/>
      <c r="AZ308" s="14"/>
      <c r="BA308" s="1" t="s">
        <v>270</v>
      </c>
      <c r="BB308" s="2"/>
    </row>
    <row r="309" spans="1:54" ht="14.25" customHeight="1">
      <c r="A309" s="2">
        <v>43</v>
      </c>
      <c r="B309" s="2" t="s">
        <v>9</v>
      </c>
      <c r="C309" s="1" t="s">
        <v>85</v>
      </c>
      <c r="D309" s="1">
        <v>2023</v>
      </c>
      <c r="E309" s="1">
        <v>2020</v>
      </c>
      <c r="F309" s="1" t="s">
        <v>152</v>
      </c>
      <c r="G309" s="1" t="s">
        <v>159</v>
      </c>
      <c r="H309" s="1">
        <v>49.094827000000002</v>
      </c>
      <c r="I309" s="1">
        <v>-121.06218200000001</v>
      </c>
      <c r="J309" s="1" t="s">
        <v>128</v>
      </c>
      <c r="K309" s="1" t="s">
        <v>174</v>
      </c>
      <c r="L309" s="1" t="s">
        <v>175</v>
      </c>
      <c r="M309" s="1" t="s">
        <v>236</v>
      </c>
      <c r="N309" s="1" t="s">
        <v>238</v>
      </c>
      <c r="O309" s="1" t="s">
        <v>86</v>
      </c>
      <c r="P309" s="1" t="s">
        <v>210</v>
      </c>
      <c r="Q309" s="1" t="s">
        <v>93</v>
      </c>
      <c r="R309" s="1">
        <v>2020</v>
      </c>
      <c r="S309" s="1" t="s">
        <v>156</v>
      </c>
      <c r="T309" s="1">
        <v>11</v>
      </c>
      <c r="V309" s="1" t="s">
        <v>155</v>
      </c>
      <c r="W309" s="1">
        <v>4</v>
      </c>
      <c r="X309" s="1">
        <v>3</v>
      </c>
      <c r="Y309" s="1" t="s">
        <v>97</v>
      </c>
      <c r="Z309" s="1" t="s">
        <v>232</v>
      </c>
      <c r="AA309" s="1" t="s">
        <v>1</v>
      </c>
      <c r="AB309" s="1" t="s">
        <v>98</v>
      </c>
      <c r="AC309" s="1" t="s">
        <v>202</v>
      </c>
      <c r="AD309" s="1" t="s">
        <v>99</v>
      </c>
      <c r="AE309" s="1" t="s">
        <v>102</v>
      </c>
      <c r="AF309" s="1" t="s">
        <v>384</v>
      </c>
      <c r="AG309" s="1" t="s">
        <v>316</v>
      </c>
      <c r="AH309" s="1">
        <v>17.809999999999999</v>
      </c>
      <c r="AI309" s="1">
        <f>AJ309*SQRT(X309)</f>
        <v>12.297560733739024</v>
      </c>
      <c r="AJ309" s="1">
        <f>21.4-14.3</f>
        <v>7.0999999999999979</v>
      </c>
      <c r="AK309" s="1">
        <v>26.87</v>
      </c>
      <c r="AL309" s="1">
        <f>AM309*SQRT(W306)</f>
        <v>9.1999999999999957</v>
      </c>
      <c r="AM309" s="1">
        <f>29.7-25.1</f>
        <v>4.5999999999999979</v>
      </c>
      <c r="AN309" s="12">
        <f>AH309-AK309</f>
        <v>-9.0600000000000023</v>
      </c>
      <c r="AO309" s="1">
        <f>SQRT((((X309-1)*AI309^2)+((W309-1)*AL309^2))/(X309+W309-2))</f>
        <v>10.548744001064765</v>
      </c>
      <c r="AP309" s="1">
        <f>AN309/AO309</f>
        <v>-0.85887002273308621</v>
      </c>
      <c r="AQ309" s="1">
        <f>1/X309+1/W309+(AP309^2)/(2*(X309+W309))</f>
        <v>0.63602317018687127</v>
      </c>
      <c r="AR309" s="1">
        <f>1-(3/(4*(X309+W309-2)-1))</f>
        <v>0.84210526315789469</v>
      </c>
      <c r="AS309" s="21">
        <f>AP309*AR309</f>
        <v>-0.72325896651207255</v>
      </c>
      <c r="AT309" s="21">
        <f>AQ309*(AR309^2)</f>
        <v>0.45103028135135464</v>
      </c>
      <c r="AU309" s="21">
        <f>SQRT(AQ309*AR309^2)</f>
        <v>0.67158788058701202</v>
      </c>
      <c r="AV309" s="20">
        <f>1/AT309</f>
        <v>2.2171460350818339</v>
      </c>
      <c r="AW309" s="20">
        <f>AS309/AT309</f>
        <v>-1.6035707499396266</v>
      </c>
      <c r="AX309" s="20">
        <f>((AS309)^2)/AT309</f>
        <v>1.1597969233303236</v>
      </c>
      <c r="AY309" s="14"/>
      <c r="AZ309" s="14"/>
      <c r="BA309" s="1" t="s">
        <v>270</v>
      </c>
      <c r="BB309" s="2"/>
    </row>
    <row r="310" spans="1:54" ht="14.25" customHeight="1">
      <c r="A310" s="2">
        <v>43</v>
      </c>
      <c r="B310" s="2" t="s">
        <v>9</v>
      </c>
      <c r="C310" s="1" t="s">
        <v>85</v>
      </c>
      <c r="D310" s="1">
        <v>2023</v>
      </c>
      <c r="E310" s="1">
        <v>2020</v>
      </c>
      <c r="F310" s="1" t="s">
        <v>152</v>
      </c>
      <c r="G310" s="1" t="s">
        <v>159</v>
      </c>
      <c r="H310" s="1">
        <v>49.094827000000002</v>
      </c>
      <c r="I310" s="1">
        <v>-121.06218200000001</v>
      </c>
      <c r="J310" s="1" t="s">
        <v>128</v>
      </c>
      <c r="K310" s="1" t="s">
        <v>174</v>
      </c>
      <c r="L310" s="1" t="s">
        <v>175</v>
      </c>
      <c r="M310" s="1" t="s">
        <v>236</v>
      </c>
      <c r="N310" s="1" t="s">
        <v>238</v>
      </c>
      <c r="O310" s="1" t="s">
        <v>86</v>
      </c>
      <c r="P310" s="1" t="s">
        <v>210</v>
      </c>
      <c r="Q310" s="1" t="s">
        <v>93</v>
      </c>
      <c r="R310" s="1">
        <v>2020</v>
      </c>
      <c r="S310" s="1" t="s">
        <v>156</v>
      </c>
      <c r="T310" s="1">
        <v>11</v>
      </c>
      <c r="V310" s="1" t="s">
        <v>155</v>
      </c>
      <c r="W310" s="1">
        <v>4</v>
      </c>
      <c r="X310" s="1">
        <v>3</v>
      </c>
      <c r="Y310" s="1" t="s">
        <v>97</v>
      </c>
      <c r="Z310" s="1" t="s">
        <v>232</v>
      </c>
      <c r="AA310" s="1" t="s">
        <v>1</v>
      </c>
      <c r="AB310" s="1" t="s">
        <v>98</v>
      </c>
      <c r="AC310" s="1" t="s">
        <v>202</v>
      </c>
      <c r="AD310" s="1" t="s">
        <v>99</v>
      </c>
      <c r="AE310" s="1" t="s">
        <v>102</v>
      </c>
      <c r="AF310" s="1" t="s">
        <v>150</v>
      </c>
      <c r="AG310" s="1" t="s">
        <v>316</v>
      </c>
      <c r="AH310" s="1">
        <v>42.7</v>
      </c>
      <c r="AI310" s="1">
        <f>AJ310*SQRT(X310)</f>
        <v>15.553816251968511</v>
      </c>
      <c r="AJ310" s="1">
        <f>46.62-37.64</f>
        <v>8.9799999999999969</v>
      </c>
      <c r="AK310" s="1">
        <v>47.38</v>
      </c>
      <c r="AL310" s="1">
        <f>AM310*SQRT(W310)</f>
        <v>13.099999999999994</v>
      </c>
      <c r="AM310" s="1">
        <f>51.12-44.57</f>
        <v>6.5499999999999972</v>
      </c>
      <c r="AN310" s="12">
        <f>AH310-AK310</f>
        <v>-4.68</v>
      </c>
      <c r="AO310" s="1">
        <f>SQRT((((X310-1)*AI310^2)+((W310-1)*AL310^2))/(X310+W310-2))</f>
        <v>14.132744956306251</v>
      </c>
      <c r="AP310" s="1">
        <f>AN310/AO310</f>
        <v>-0.33114586122292616</v>
      </c>
      <c r="AQ310" s="1">
        <f>1/X310+1/W310+(AP310^2)/(2*(X310+W310))</f>
        <v>0.59116601771940991</v>
      </c>
      <c r="AR310" s="1">
        <f>1-(3/(4*(X310+W310-2)-1))</f>
        <v>0.84210526315789469</v>
      </c>
      <c r="AS310" s="21">
        <f>AP310*AR310</f>
        <v>-0.27885967260877992</v>
      </c>
      <c r="AT310" s="21">
        <f>AQ310*(AR310^2)</f>
        <v>0.41922022309188067</v>
      </c>
      <c r="AU310" s="21">
        <f>SQRT(AQ310*AR310^2)</f>
        <v>0.64747217939605761</v>
      </c>
      <c r="AV310" s="20">
        <f>1/AT310</f>
        <v>2.3853811073919244</v>
      </c>
      <c r="AW310" s="20">
        <f>AS310/AT310</f>
        <v>-0.66518659465448093</v>
      </c>
      <c r="AX310" s="20">
        <f>((AS310)^2)/AT310</f>
        <v>0.18549371600909775</v>
      </c>
      <c r="AY310" s="14"/>
      <c r="AZ310" s="14"/>
      <c r="BA310" s="1" t="s">
        <v>270</v>
      </c>
      <c r="BB310" s="2"/>
    </row>
    <row r="311" spans="1:54" ht="14.25" customHeight="1">
      <c r="A311" s="2">
        <v>43</v>
      </c>
      <c r="B311" s="2" t="s">
        <v>9</v>
      </c>
      <c r="C311" s="1" t="s">
        <v>85</v>
      </c>
      <c r="D311" s="1">
        <v>2023</v>
      </c>
      <c r="E311" s="1">
        <v>2020</v>
      </c>
      <c r="F311" s="1" t="s">
        <v>152</v>
      </c>
      <c r="G311" s="1" t="s">
        <v>159</v>
      </c>
      <c r="H311" s="1">
        <v>49.094827000000002</v>
      </c>
      <c r="I311" s="1">
        <v>-121.06218200000001</v>
      </c>
      <c r="J311" s="1" t="s">
        <v>128</v>
      </c>
      <c r="K311" s="1" t="s">
        <v>174</v>
      </c>
      <c r="L311" s="1" t="s">
        <v>175</v>
      </c>
      <c r="M311" s="1" t="s">
        <v>236</v>
      </c>
      <c r="N311" s="1" t="s">
        <v>238</v>
      </c>
      <c r="O311" s="1" t="s">
        <v>86</v>
      </c>
      <c r="P311" s="1" t="s">
        <v>210</v>
      </c>
      <c r="Q311" s="1" t="s">
        <v>93</v>
      </c>
      <c r="R311" s="1">
        <v>2020</v>
      </c>
      <c r="S311" s="1" t="s">
        <v>156</v>
      </c>
      <c r="T311" s="1">
        <v>11</v>
      </c>
      <c r="V311" s="1" t="s">
        <v>155</v>
      </c>
      <c r="W311" s="1">
        <v>4</v>
      </c>
      <c r="X311" s="1">
        <v>3</v>
      </c>
      <c r="Y311" s="1" t="s">
        <v>97</v>
      </c>
      <c r="Z311" s="1" t="s">
        <v>232</v>
      </c>
      <c r="AA311" s="1" t="s">
        <v>1</v>
      </c>
      <c r="AB311" s="1" t="s">
        <v>98</v>
      </c>
      <c r="AC311" s="1" t="s">
        <v>202</v>
      </c>
      <c r="AD311" s="1" t="s">
        <v>99</v>
      </c>
      <c r="AE311" s="1" t="s">
        <v>102</v>
      </c>
      <c r="AF311" s="12" t="s">
        <v>352</v>
      </c>
      <c r="AG311" s="1" t="s">
        <v>315</v>
      </c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" t="s">
        <v>285</v>
      </c>
    </row>
    <row r="312" spans="1:54" ht="14.25" customHeight="1">
      <c r="A312" s="2">
        <v>43</v>
      </c>
      <c r="B312" s="2" t="s">
        <v>9</v>
      </c>
      <c r="C312" s="1" t="s">
        <v>85</v>
      </c>
      <c r="D312" s="1">
        <v>2023</v>
      </c>
      <c r="E312" s="1">
        <v>2020</v>
      </c>
      <c r="F312" s="1" t="s">
        <v>152</v>
      </c>
      <c r="G312" s="1" t="s">
        <v>159</v>
      </c>
      <c r="H312" s="1">
        <v>49.094827000000002</v>
      </c>
      <c r="I312" s="1">
        <v>-121.06218200000001</v>
      </c>
      <c r="J312" s="1" t="s">
        <v>128</v>
      </c>
      <c r="K312" s="1" t="s">
        <v>174</v>
      </c>
      <c r="L312" s="1" t="s">
        <v>175</v>
      </c>
      <c r="M312" s="1" t="s">
        <v>236</v>
      </c>
      <c r="N312" s="1" t="s">
        <v>238</v>
      </c>
      <c r="O312" s="1" t="s">
        <v>86</v>
      </c>
      <c r="P312" s="1" t="s">
        <v>129</v>
      </c>
      <c r="Q312" s="1" t="s">
        <v>93</v>
      </c>
      <c r="R312" s="1">
        <v>2020</v>
      </c>
      <c r="S312" s="1" t="s">
        <v>156</v>
      </c>
      <c r="T312" s="1">
        <v>11</v>
      </c>
      <c r="V312" s="1" t="s">
        <v>155</v>
      </c>
      <c r="W312" s="1">
        <v>4</v>
      </c>
      <c r="X312" s="1">
        <v>4</v>
      </c>
      <c r="Y312" s="1" t="s">
        <v>97</v>
      </c>
      <c r="Z312" s="1" t="s">
        <v>130</v>
      </c>
      <c r="AA312" s="1" t="s">
        <v>1</v>
      </c>
      <c r="AB312" s="1" t="s">
        <v>98</v>
      </c>
      <c r="AC312" s="1" t="s">
        <v>202</v>
      </c>
      <c r="AD312" s="1" t="s">
        <v>99</v>
      </c>
      <c r="AE312" s="1" t="s">
        <v>102</v>
      </c>
      <c r="AF312" s="1" t="s">
        <v>149</v>
      </c>
      <c r="AG312" s="1" t="s">
        <v>318</v>
      </c>
      <c r="AH312" s="1">
        <v>2.5499999999999998</v>
      </c>
      <c r="AI312" s="1">
        <f>AJ312*SQRT(X312)</f>
        <v>0.63999999999999968</v>
      </c>
      <c r="AJ312" s="1">
        <f>2.67-2.35</f>
        <v>0.31999999999999984</v>
      </c>
      <c r="AK312" s="1">
        <v>4.09</v>
      </c>
      <c r="AL312" s="1">
        <f>AM312*SQRT(W312)</f>
        <v>0.37999999999999901</v>
      </c>
      <c r="AM312" s="1">
        <f>4.18-3.99</f>
        <v>0.1899999999999995</v>
      </c>
      <c r="AN312" s="12">
        <f>AH312-AK312</f>
        <v>-1.54</v>
      </c>
      <c r="AO312" s="1">
        <f>SQRT((((X312-1)*AI312^2)+((W312-1)*AL312^2))/(X312+W312-2))</f>
        <v>0.52630789467763017</v>
      </c>
      <c r="AP312" s="1">
        <f>AN312/AO312</f>
        <v>-2.9260438909875526</v>
      </c>
      <c r="AQ312" s="1">
        <f>1/X312+1/W312+(AP312^2)/(2*(X312+W312))</f>
        <v>1.0351083032490984</v>
      </c>
      <c r="AR312" s="1">
        <f>1-(3/(4*(X312+W312-2)-1))</f>
        <v>0.86956521739130432</v>
      </c>
      <c r="AS312" s="21">
        <f>AP312*AR312</f>
        <v>-2.5443859921630891</v>
      </c>
      <c r="AT312" s="21">
        <f>AQ312*(AR312^2)</f>
        <v>0.78269058846812734</v>
      </c>
      <c r="AU312" s="21">
        <f>SQRT(AQ312*AR312^2)</f>
        <v>0.88469802106036577</v>
      </c>
      <c r="AV312" s="20">
        <f>1/AT312</f>
        <v>1.2776440840526626</v>
      </c>
      <c r="AW312" s="20">
        <f>AS312/AT312</f>
        <v>-3.2508197104336349</v>
      </c>
      <c r="AX312" s="20">
        <f>((AS312)^2)/AT312</f>
        <v>8.271340134275011</v>
      </c>
      <c r="AY312" s="14"/>
      <c r="AZ312" s="14"/>
      <c r="BA312" s="1" t="s">
        <v>270</v>
      </c>
      <c r="BB312" s="2"/>
    </row>
    <row r="313" spans="1:54" ht="14.25" customHeight="1">
      <c r="A313" s="2">
        <v>43</v>
      </c>
      <c r="B313" s="2" t="s">
        <v>9</v>
      </c>
      <c r="C313" s="1" t="s">
        <v>85</v>
      </c>
      <c r="D313" s="1">
        <v>2023</v>
      </c>
      <c r="E313" s="1">
        <v>2020</v>
      </c>
      <c r="F313" s="1" t="s">
        <v>152</v>
      </c>
      <c r="G313" s="1" t="s">
        <v>159</v>
      </c>
      <c r="H313" s="1">
        <v>49.094827000000002</v>
      </c>
      <c r="I313" s="1">
        <v>-121.06218200000001</v>
      </c>
      <c r="J313" s="1" t="s">
        <v>128</v>
      </c>
      <c r="K313" s="1" t="s">
        <v>174</v>
      </c>
      <c r="L313" s="1" t="s">
        <v>175</v>
      </c>
      <c r="M313" s="1" t="s">
        <v>236</v>
      </c>
      <c r="N313" s="1" t="s">
        <v>238</v>
      </c>
      <c r="O313" s="1" t="s">
        <v>86</v>
      </c>
      <c r="P313" s="1" t="s">
        <v>129</v>
      </c>
      <c r="Q313" s="1" t="s">
        <v>93</v>
      </c>
      <c r="R313" s="1">
        <v>2020</v>
      </c>
      <c r="S313" s="1" t="s">
        <v>156</v>
      </c>
      <c r="T313" s="1">
        <v>11</v>
      </c>
      <c r="V313" s="1" t="s">
        <v>155</v>
      </c>
      <c r="W313" s="1">
        <v>4</v>
      </c>
      <c r="X313" s="1">
        <v>4</v>
      </c>
      <c r="Y313" s="1" t="s">
        <v>97</v>
      </c>
      <c r="Z313" s="1" t="s">
        <v>130</v>
      </c>
      <c r="AA313" s="1" t="s">
        <v>1</v>
      </c>
      <c r="AB313" s="1" t="s">
        <v>98</v>
      </c>
      <c r="AC313" s="1" t="s">
        <v>202</v>
      </c>
      <c r="AD313" s="1" t="s">
        <v>99</v>
      </c>
      <c r="AE313" s="1" t="s">
        <v>102</v>
      </c>
      <c r="AF313" s="1" t="s">
        <v>384</v>
      </c>
      <c r="AG313" s="1" t="s">
        <v>316</v>
      </c>
      <c r="AH313" s="1">
        <v>2.34</v>
      </c>
      <c r="AI313" s="1">
        <f>AJ313*SQRT(X313)</f>
        <v>3.3200000000000003</v>
      </c>
      <c r="AJ313" s="1">
        <f>3.47-1.81</f>
        <v>1.6600000000000001</v>
      </c>
      <c r="AK313" s="1">
        <v>23.32</v>
      </c>
      <c r="AL313" s="1">
        <f>AM313*SQRT(W313)</f>
        <v>10.119999999999997</v>
      </c>
      <c r="AM313" s="1">
        <f>25.06-20</f>
        <v>5.0599999999999987</v>
      </c>
      <c r="AN313" s="12">
        <f>AH313-AK313</f>
        <v>-20.98</v>
      </c>
      <c r="AO313" s="1">
        <f>SQRT((((X313-1)*AI313^2)+((W313-1)*AL313^2))/(X313+W313-2))</f>
        <v>7.5311619289456244</v>
      </c>
      <c r="AP313" s="1">
        <f>AN313/AO313</f>
        <v>-2.7857587179694643</v>
      </c>
      <c r="AQ313" s="1">
        <f>1/X313+1/W313+(AP313^2)/(2*(X313+W313))</f>
        <v>0.98502822717142957</v>
      </c>
      <c r="AR313" s="1">
        <f>1-(3/(4*(X313+W313-2)-1))</f>
        <v>0.86956521739130432</v>
      </c>
      <c r="AS313" s="21">
        <f>AP313*AR313</f>
        <v>-2.4223988851908382</v>
      </c>
      <c r="AT313" s="21">
        <f>AQ313*(AR313^2)</f>
        <v>0.7448228560842568</v>
      </c>
      <c r="AU313" s="21">
        <f>SQRT(AQ313*AR313^2)</f>
        <v>0.8630312022657447</v>
      </c>
      <c r="AV313" s="20">
        <f>1/AT313</f>
        <v>1.3426011189523388</v>
      </c>
      <c r="AW313" s="20">
        <f>AS313/AT313</f>
        <v>-3.2523154538061174</v>
      </c>
      <c r="AX313" s="20">
        <f>((AS313)^2)/AT313</f>
        <v>7.8784053295888743</v>
      </c>
      <c r="AY313" s="14"/>
      <c r="AZ313" s="14"/>
      <c r="BA313" s="1" t="s">
        <v>270</v>
      </c>
      <c r="BB313" s="2"/>
    </row>
    <row r="314" spans="1:54" ht="14.25" customHeight="1">
      <c r="A314" s="2">
        <v>43</v>
      </c>
      <c r="B314" s="2" t="s">
        <v>9</v>
      </c>
      <c r="C314" s="1" t="s">
        <v>85</v>
      </c>
      <c r="D314" s="1">
        <v>2023</v>
      </c>
      <c r="E314" s="1">
        <v>2020</v>
      </c>
      <c r="F314" s="1" t="s">
        <v>152</v>
      </c>
      <c r="G314" s="1" t="s">
        <v>159</v>
      </c>
      <c r="H314" s="1">
        <v>49.094827000000002</v>
      </c>
      <c r="I314" s="1">
        <v>-121.06218200000001</v>
      </c>
      <c r="J314" s="1" t="s">
        <v>128</v>
      </c>
      <c r="K314" s="1" t="s">
        <v>174</v>
      </c>
      <c r="L314" s="1" t="s">
        <v>175</v>
      </c>
      <c r="M314" s="1" t="s">
        <v>236</v>
      </c>
      <c r="N314" s="1" t="s">
        <v>238</v>
      </c>
      <c r="O314" s="1" t="s">
        <v>86</v>
      </c>
      <c r="P314" s="1" t="s">
        <v>129</v>
      </c>
      <c r="Q314" s="1" t="s">
        <v>93</v>
      </c>
      <c r="R314" s="1">
        <v>2020</v>
      </c>
      <c r="S314" s="1" t="s">
        <v>156</v>
      </c>
      <c r="T314" s="1">
        <v>11</v>
      </c>
      <c r="V314" s="1" t="s">
        <v>155</v>
      </c>
      <c r="W314" s="1">
        <v>4</v>
      </c>
      <c r="X314" s="1">
        <v>4</v>
      </c>
      <c r="Y314" s="1" t="s">
        <v>97</v>
      </c>
      <c r="Z314" s="1" t="s">
        <v>130</v>
      </c>
      <c r="AA314" s="1" t="s">
        <v>1</v>
      </c>
      <c r="AB314" s="1" t="s">
        <v>98</v>
      </c>
      <c r="AC314" s="1" t="s">
        <v>202</v>
      </c>
      <c r="AD314" s="1" t="s">
        <v>99</v>
      </c>
      <c r="AE314" s="1" t="s">
        <v>102</v>
      </c>
      <c r="AF314" s="1" t="s">
        <v>150</v>
      </c>
      <c r="AG314" s="1" t="s">
        <v>316</v>
      </c>
      <c r="AH314" s="1">
        <v>39.700000000000003</v>
      </c>
      <c r="AI314" s="1">
        <f>AJ314*SQRT(X314)</f>
        <v>16.86</v>
      </c>
      <c r="AJ314" s="1">
        <f>45.32-36.89</f>
        <v>8.43</v>
      </c>
      <c r="AK314" s="1">
        <v>77.34</v>
      </c>
      <c r="AL314" s="1">
        <f>AM314*SQRT(W314)</f>
        <v>29.580000000000013</v>
      </c>
      <c r="AM314" s="1">
        <f>84.64-69.85</f>
        <v>14.790000000000006</v>
      </c>
      <c r="AN314" s="12">
        <f>AH314-AK314</f>
        <v>-37.64</v>
      </c>
      <c r="AO314" s="1">
        <f>SQRT((((X314-1)*AI314^2)+((W314-1)*AL314^2))/(X314+W314-2))</f>
        <v>24.075257007973985</v>
      </c>
      <c r="AP314" s="1">
        <f>AN314/AO314</f>
        <v>-1.5634308696074657</v>
      </c>
      <c r="AQ314" s="1">
        <f>1/X314+1/W314+(AP314^2)/(2*(X314+W314))</f>
        <v>0.65276975525259728</v>
      </c>
      <c r="AR314" s="1">
        <f>1-(3/(4*(X314+W314-2)-1))</f>
        <v>0.86956521739130432</v>
      </c>
      <c r="AS314" s="21">
        <f>AP314*AR314</f>
        <v>-1.3595051040064918</v>
      </c>
      <c r="AT314" s="21">
        <f>AQ314*(AR314^2)</f>
        <v>0.49358771663712458</v>
      </c>
      <c r="AU314" s="21">
        <f>SQRT(AQ314*AR314^2)</f>
        <v>0.702557980978883</v>
      </c>
      <c r="AV314" s="20">
        <f>1/AT314</f>
        <v>2.0259823457786315</v>
      </c>
      <c r="AW314" s="20">
        <f>AS314/AT314</f>
        <v>-2.7543333397130945</v>
      </c>
      <c r="AX314" s="20">
        <f>((AS314)^2)/AT314</f>
        <v>3.7445302334751984</v>
      </c>
      <c r="AY314" s="14"/>
      <c r="AZ314" s="14"/>
      <c r="BA314" s="1" t="s">
        <v>270</v>
      </c>
      <c r="BB314" s="2"/>
    </row>
    <row r="315" spans="1:54" ht="14.25" customHeight="1">
      <c r="A315" s="2">
        <v>43</v>
      </c>
      <c r="B315" s="2" t="s">
        <v>9</v>
      </c>
      <c r="C315" s="1" t="s">
        <v>85</v>
      </c>
      <c r="D315" s="1">
        <v>2023</v>
      </c>
      <c r="E315" s="1">
        <v>2020</v>
      </c>
      <c r="F315" s="1" t="s">
        <v>152</v>
      </c>
      <c r="G315" s="1" t="s">
        <v>159</v>
      </c>
      <c r="H315" s="1">
        <v>49.094827000000002</v>
      </c>
      <c r="I315" s="1">
        <v>-121.06218200000001</v>
      </c>
      <c r="J315" s="1" t="s">
        <v>128</v>
      </c>
      <c r="K315" s="1" t="s">
        <v>174</v>
      </c>
      <c r="L315" s="1" t="s">
        <v>175</v>
      </c>
      <c r="M315" s="1" t="s">
        <v>236</v>
      </c>
      <c r="N315" s="1" t="s">
        <v>238</v>
      </c>
      <c r="O315" s="1" t="s">
        <v>86</v>
      </c>
      <c r="P315" s="1" t="s">
        <v>129</v>
      </c>
      <c r="Q315" s="1" t="s">
        <v>93</v>
      </c>
      <c r="R315" s="1">
        <v>2020</v>
      </c>
      <c r="S315" s="1" t="s">
        <v>156</v>
      </c>
      <c r="T315" s="1">
        <v>11</v>
      </c>
      <c r="V315" s="1" t="s">
        <v>155</v>
      </c>
      <c r="W315" s="1">
        <v>4</v>
      </c>
      <c r="X315" s="1">
        <v>4</v>
      </c>
      <c r="Y315" s="1" t="s">
        <v>97</v>
      </c>
      <c r="Z315" s="1" t="s">
        <v>130</v>
      </c>
      <c r="AA315" s="1" t="s">
        <v>1</v>
      </c>
      <c r="AB315" s="1" t="s">
        <v>98</v>
      </c>
      <c r="AC315" s="1" t="s">
        <v>202</v>
      </c>
      <c r="AD315" s="1" t="s">
        <v>99</v>
      </c>
      <c r="AE315" s="1" t="s">
        <v>102</v>
      </c>
      <c r="AF315" s="12" t="s">
        <v>352</v>
      </c>
      <c r="AG315" s="1" t="s">
        <v>315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" t="s">
        <v>285</v>
      </c>
    </row>
    <row r="316" spans="1:54" ht="14.25" customHeight="1">
      <c r="A316" s="2">
        <v>43</v>
      </c>
      <c r="B316" s="2" t="s">
        <v>9</v>
      </c>
      <c r="C316" s="1" t="s">
        <v>85</v>
      </c>
      <c r="D316" s="1">
        <v>2023</v>
      </c>
      <c r="E316" s="1">
        <v>2020</v>
      </c>
      <c r="F316" s="1" t="s">
        <v>152</v>
      </c>
      <c r="G316" s="1" t="s">
        <v>159</v>
      </c>
      <c r="H316" s="1">
        <v>49.094827000000002</v>
      </c>
      <c r="I316" s="1">
        <v>-121.06218200000001</v>
      </c>
      <c r="J316" s="1" t="s">
        <v>128</v>
      </c>
      <c r="K316" s="1" t="s">
        <v>174</v>
      </c>
      <c r="L316" s="1" t="s">
        <v>175</v>
      </c>
      <c r="M316" s="1" t="s">
        <v>236</v>
      </c>
      <c r="N316" s="1" t="s">
        <v>238</v>
      </c>
      <c r="O316" s="1" t="s">
        <v>86</v>
      </c>
      <c r="P316" s="1" t="s">
        <v>129</v>
      </c>
      <c r="Q316" s="1" t="s">
        <v>93</v>
      </c>
      <c r="R316" s="1">
        <v>2020</v>
      </c>
      <c r="S316" s="1" t="s">
        <v>156</v>
      </c>
      <c r="T316" s="1">
        <v>11</v>
      </c>
      <c r="V316" s="1" t="s">
        <v>155</v>
      </c>
      <c r="W316" s="1">
        <v>4</v>
      </c>
      <c r="X316" s="1">
        <v>4</v>
      </c>
      <c r="Y316" s="1" t="s">
        <v>97</v>
      </c>
      <c r="Z316" s="1" t="s">
        <v>232</v>
      </c>
      <c r="AA316" s="1" t="s">
        <v>1</v>
      </c>
      <c r="AB316" s="1" t="s">
        <v>98</v>
      </c>
      <c r="AC316" s="1" t="s">
        <v>202</v>
      </c>
      <c r="AD316" s="1" t="s">
        <v>99</v>
      </c>
      <c r="AE316" s="1" t="s">
        <v>102</v>
      </c>
      <c r="AF316" s="1" t="s">
        <v>149</v>
      </c>
      <c r="AG316" s="1" t="s">
        <v>318</v>
      </c>
      <c r="AH316" s="1">
        <v>2.64</v>
      </c>
      <c r="AI316" s="1">
        <f>AJ316*SQRT(X316)</f>
        <v>0.70000000000000018</v>
      </c>
      <c r="AJ316" s="1">
        <f>2.85-2.5</f>
        <v>0.35000000000000009</v>
      </c>
      <c r="AK316" s="1">
        <v>3.25</v>
      </c>
      <c r="AL316" s="1">
        <f>AM316*SQRT(W316)</f>
        <v>0.45999999999999996</v>
      </c>
      <c r="AM316" s="1">
        <f>3.36-3.13</f>
        <v>0.22999999999999998</v>
      </c>
      <c r="AN316" s="12">
        <f>AH316-AK316</f>
        <v>-0.60999999999999988</v>
      </c>
      <c r="AO316" s="1">
        <f>SQRT((((X316-1)*AI316^2)+((W316-1)*AL316^2))/(X316+W316-2))</f>
        <v>0.59228371579843397</v>
      </c>
      <c r="AP316" s="1">
        <f>AN316/AO316</f>
        <v>-1.0299118205160904</v>
      </c>
      <c r="AQ316" s="1">
        <f>1/X316+1/W316+(AP316^2)/(2*(X316+W316))</f>
        <v>0.566294897377423</v>
      </c>
      <c r="AR316" s="1">
        <f>1-(3/(4*(X316+W316-2)-1))</f>
        <v>0.86956521739130432</v>
      </c>
      <c r="AS316" s="21">
        <f>AP316*AR316</f>
        <v>-0.89557549610094822</v>
      </c>
      <c r="AT316" s="21">
        <f>AQ316*(AR316^2)</f>
        <v>0.42820030047442192</v>
      </c>
      <c r="AU316" s="21">
        <f>SQRT(AQ316*AR316^2)</f>
        <v>0.65437015554991651</v>
      </c>
      <c r="AV316" s="20">
        <f>1/AT316</f>
        <v>2.3353556709139531</v>
      </c>
      <c r="AW316" s="20">
        <f>AS316/AT316</f>
        <v>-2.0914873135509264</v>
      </c>
      <c r="AX316" s="20">
        <f>((AS316)^2)/AT316</f>
        <v>1.8730847884222104</v>
      </c>
      <c r="AY316" s="14"/>
      <c r="AZ316" s="14"/>
      <c r="BA316" s="1" t="s">
        <v>270</v>
      </c>
      <c r="BB316" s="2"/>
    </row>
    <row r="317" spans="1:54" ht="14.25" customHeight="1">
      <c r="A317" s="2">
        <v>43</v>
      </c>
      <c r="B317" s="2" t="s">
        <v>9</v>
      </c>
      <c r="C317" s="1" t="s">
        <v>85</v>
      </c>
      <c r="D317" s="1">
        <v>2023</v>
      </c>
      <c r="E317" s="1">
        <v>2020</v>
      </c>
      <c r="F317" s="1" t="s">
        <v>152</v>
      </c>
      <c r="G317" s="1" t="s">
        <v>159</v>
      </c>
      <c r="H317" s="1">
        <v>49.094827000000002</v>
      </c>
      <c r="I317" s="1">
        <v>-121.06218200000001</v>
      </c>
      <c r="J317" s="1" t="s">
        <v>128</v>
      </c>
      <c r="K317" s="1" t="s">
        <v>174</v>
      </c>
      <c r="L317" s="1" t="s">
        <v>175</v>
      </c>
      <c r="M317" s="1" t="s">
        <v>236</v>
      </c>
      <c r="N317" s="1" t="s">
        <v>238</v>
      </c>
      <c r="O317" s="1" t="s">
        <v>86</v>
      </c>
      <c r="P317" s="1" t="s">
        <v>129</v>
      </c>
      <c r="Q317" s="1" t="s">
        <v>93</v>
      </c>
      <c r="R317" s="1">
        <v>2020</v>
      </c>
      <c r="S317" s="1" t="s">
        <v>156</v>
      </c>
      <c r="T317" s="1">
        <v>11</v>
      </c>
      <c r="V317" s="1" t="s">
        <v>155</v>
      </c>
      <c r="W317" s="1">
        <v>4</v>
      </c>
      <c r="X317" s="1">
        <v>4</v>
      </c>
      <c r="Y317" s="1" t="s">
        <v>97</v>
      </c>
      <c r="Z317" s="1" t="s">
        <v>232</v>
      </c>
      <c r="AA317" s="1" t="s">
        <v>1</v>
      </c>
      <c r="AB317" s="1" t="s">
        <v>98</v>
      </c>
      <c r="AC317" s="1" t="s">
        <v>202</v>
      </c>
      <c r="AD317" s="1" t="s">
        <v>99</v>
      </c>
      <c r="AE317" s="1" t="s">
        <v>102</v>
      </c>
      <c r="AF317" s="1" t="s">
        <v>384</v>
      </c>
      <c r="AG317" s="1" t="s">
        <v>316</v>
      </c>
      <c r="AH317" s="1">
        <v>10.49</v>
      </c>
      <c r="AI317" s="1">
        <f>AJ317*SQRT(X317)</f>
        <v>4.9800000000000004</v>
      </c>
      <c r="AJ317" s="1">
        <f>11.77-9.28</f>
        <v>2.4900000000000002</v>
      </c>
      <c r="AK317" s="1">
        <v>26.87</v>
      </c>
      <c r="AL317" s="1">
        <f>AM317*SQRT(W314)</f>
        <v>9.1999999999999957</v>
      </c>
      <c r="AM317" s="1">
        <f>29.7-25.1</f>
        <v>4.5999999999999979</v>
      </c>
      <c r="AN317" s="12">
        <f>AH317-AK317</f>
        <v>-16.380000000000003</v>
      </c>
      <c r="AO317" s="1">
        <f>SQRT((((X317-1)*AI317^2)+((W317-1)*AL317^2))/(X317+W317-2))</f>
        <v>7.397310322002177</v>
      </c>
      <c r="AP317" s="1">
        <f>AN317/AO317</f>
        <v>-2.2143183518041929</v>
      </c>
      <c r="AQ317" s="1">
        <f>1/X317+1/W317+(AP317^2)/(2*(X317+W317))</f>
        <v>0.80645036019605232</v>
      </c>
      <c r="AR317" s="1">
        <f>1-(3/(4*(X317+W317-2)-1))</f>
        <v>0.86956521739130432</v>
      </c>
      <c r="AS317" s="21">
        <f>AP317*AR317</f>
        <v>-1.9254942189601676</v>
      </c>
      <c r="AT317" s="21">
        <f>AQ317*(AR317^2)</f>
        <v>0.60979233285145729</v>
      </c>
      <c r="AU317" s="21">
        <f>SQRT(AQ317*AR317^2)</f>
        <v>0.78089201100501549</v>
      </c>
      <c r="AV317" s="20">
        <f>1/AT317</f>
        <v>1.6399025473539295</v>
      </c>
      <c r="AW317" s="20">
        <f>AS317/AT317</f>
        <v>-3.1576228745880437</v>
      </c>
      <c r="AX317" s="20">
        <f>((AS317)^2)/AT317</f>
        <v>6.0799845906756644</v>
      </c>
      <c r="AY317" s="14"/>
      <c r="AZ317" s="14"/>
      <c r="BA317" s="1" t="s">
        <v>270</v>
      </c>
      <c r="BB317" s="2"/>
    </row>
    <row r="318" spans="1:54" ht="14.25" customHeight="1">
      <c r="A318" s="2">
        <v>43</v>
      </c>
      <c r="B318" s="2" t="s">
        <v>9</v>
      </c>
      <c r="C318" s="1" t="s">
        <v>85</v>
      </c>
      <c r="D318" s="1">
        <v>2023</v>
      </c>
      <c r="E318" s="1">
        <v>2020</v>
      </c>
      <c r="F318" s="1" t="s">
        <v>152</v>
      </c>
      <c r="G318" s="1" t="s">
        <v>159</v>
      </c>
      <c r="H318" s="1">
        <v>49.094827000000002</v>
      </c>
      <c r="I318" s="1">
        <v>-121.06218200000001</v>
      </c>
      <c r="J318" s="1" t="s">
        <v>128</v>
      </c>
      <c r="K318" s="1" t="s">
        <v>174</v>
      </c>
      <c r="L318" s="1" t="s">
        <v>175</v>
      </c>
      <c r="M318" s="1" t="s">
        <v>236</v>
      </c>
      <c r="N318" s="1" t="s">
        <v>238</v>
      </c>
      <c r="O318" s="1" t="s">
        <v>86</v>
      </c>
      <c r="P318" s="1" t="s">
        <v>129</v>
      </c>
      <c r="Q318" s="1" t="s">
        <v>93</v>
      </c>
      <c r="R318" s="1">
        <v>2020</v>
      </c>
      <c r="S318" s="1" t="s">
        <v>156</v>
      </c>
      <c r="T318" s="1">
        <v>11</v>
      </c>
      <c r="V318" s="1" t="s">
        <v>155</v>
      </c>
      <c r="W318" s="1">
        <v>4</v>
      </c>
      <c r="X318" s="1">
        <v>4</v>
      </c>
      <c r="Y318" s="1" t="s">
        <v>97</v>
      </c>
      <c r="Z318" s="1" t="s">
        <v>232</v>
      </c>
      <c r="AA318" s="1" t="s">
        <v>1</v>
      </c>
      <c r="AB318" s="1" t="s">
        <v>98</v>
      </c>
      <c r="AC318" s="1" t="s">
        <v>202</v>
      </c>
      <c r="AD318" s="1" t="s">
        <v>99</v>
      </c>
      <c r="AE318" s="1" t="s">
        <v>102</v>
      </c>
      <c r="AF318" s="1" t="s">
        <v>150</v>
      </c>
      <c r="AG318" s="1" t="s">
        <v>316</v>
      </c>
      <c r="AH318" s="1">
        <v>36.5</v>
      </c>
      <c r="AI318" s="1">
        <f>AJ318*SQRT(X318)</f>
        <v>10.840000000000003</v>
      </c>
      <c r="AJ318" s="1">
        <f>39.32-33.9</f>
        <v>5.4200000000000017</v>
      </c>
      <c r="AK318" s="1">
        <v>47.38</v>
      </c>
      <c r="AL318" s="1">
        <f>AM318*SQRT(W318)</f>
        <v>13.099999999999994</v>
      </c>
      <c r="AM318" s="1">
        <f>51.12-44.57</f>
        <v>6.5499999999999972</v>
      </c>
      <c r="AN318" s="12">
        <f>AH318-AK318</f>
        <v>-10.880000000000003</v>
      </c>
      <c r="AO318" s="1">
        <f>SQRT((((X318-1)*AI318^2)+((W318-1)*AL318^2))/(X318+W318-2))</f>
        <v>12.023219202859107</v>
      </c>
      <c r="AP318" s="1">
        <f>AN318/AO318</f>
        <v>-0.9049157148705026</v>
      </c>
      <c r="AQ318" s="1">
        <f>1/X318+1/W318+(AP318^2)/(2*(X318+W318))</f>
        <v>0.55117952818872451</v>
      </c>
      <c r="AR318" s="1">
        <f>1-(3/(4*(X318+W318-2)-1))</f>
        <v>0.86956521739130432</v>
      </c>
      <c r="AS318" s="21">
        <f>AP318*AR318</f>
        <v>-0.78688323032217611</v>
      </c>
      <c r="AT318" s="21">
        <f>AQ318*(AR318^2)</f>
        <v>0.41677090978353459</v>
      </c>
      <c r="AU318" s="21">
        <f>SQRT(AQ318*AR318^2)</f>
        <v>0.6455779656892997</v>
      </c>
      <c r="AV318" s="20">
        <f>1/AT318</f>
        <v>2.3993997098295248</v>
      </c>
      <c r="AW318" s="20">
        <f>AS318/AT318</f>
        <v>-1.8880473945047485</v>
      </c>
      <c r="AX318" s="20">
        <f>((AS318)^2)/AT318</f>
        <v>1.4856728327892648</v>
      </c>
      <c r="AY318" s="14"/>
      <c r="AZ318" s="14"/>
      <c r="BA318" s="1" t="s">
        <v>270</v>
      </c>
      <c r="BB318" s="2"/>
    </row>
    <row r="319" spans="1:54" ht="14.25" customHeight="1">
      <c r="A319" s="2">
        <v>43</v>
      </c>
      <c r="B319" s="2" t="s">
        <v>9</v>
      </c>
      <c r="C319" s="1" t="s">
        <v>85</v>
      </c>
      <c r="D319" s="1">
        <v>2023</v>
      </c>
      <c r="E319" s="1">
        <v>2020</v>
      </c>
      <c r="F319" s="1" t="s">
        <v>152</v>
      </c>
      <c r="G319" s="1" t="s">
        <v>159</v>
      </c>
      <c r="H319" s="1">
        <v>49.094827000000002</v>
      </c>
      <c r="I319" s="1">
        <v>-121.06218200000001</v>
      </c>
      <c r="J319" s="1" t="s">
        <v>128</v>
      </c>
      <c r="K319" s="1" t="s">
        <v>174</v>
      </c>
      <c r="L319" s="1" t="s">
        <v>175</v>
      </c>
      <c r="M319" s="1" t="s">
        <v>236</v>
      </c>
      <c r="N319" s="1" t="s">
        <v>238</v>
      </c>
      <c r="O319" s="1" t="s">
        <v>86</v>
      </c>
      <c r="P319" s="1" t="s">
        <v>129</v>
      </c>
      <c r="Q319" s="1" t="s">
        <v>93</v>
      </c>
      <c r="R319" s="1">
        <v>2020</v>
      </c>
      <c r="S319" s="1" t="s">
        <v>156</v>
      </c>
      <c r="T319" s="1">
        <v>11</v>
      </c>
      <c r="V319" s="1" t="s">
        <v>155</v>
      </c>
      <c r="W319" s="1">
        <v>4</v>
      </c>
      <c r="X319" s="1">
        <v>4</v>
      </c>
      <c r="Y319" s="1" t="s">
        <v>97</v>
      </c>
      <c r="Z319" s="1" t="s">
        <v>232</v>
      </c>
      <c r="AA319" s="1" t="s">
        <v>1</v>
      </c>
      <c r="AB319" s="1" t="s">
        <v>98</v>
      </c>
      <c r="AC319" s="1" t="s">
        <v>202</v>
      </c>
      <c r="AD319" s="1" t="s">
        <v>99</v>
      </c>
      <c r="AE319" s="1" t="s">
        <v>102</v>
      </c>
      <c r="AF319" s="12" t="s">
        <v>352</v>
      </c>
      <c r="AG319" s="1" t="s">
        <v>315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" t="s">
        <v>285</v>
      </c>
    </row>
    <row r="320" spans="1:54" ht="14.25" customHeight="1">
      <c r="A320" s="2">
        <v>410</v>
      </c>
      <c r="B320" s="2" t="s">
        <v>51</v>
      </c>
      <c r="C320" s="1" t="s">
        <v>85</v>
      </c>
      <c r="D320" s="1">
        <v>2013</v>
      </c>
      <c r="E320" s="1">
        <v>2011</v>
      </c>
      <c r="F320" s="1" t="s">
        <v>143</v>
      </c>
      <c r="G320" s="1" t="s">
        <v>142</v>
      </c>
      <c r="H320" s="1">
        <v>33.053629000000001</v>
      </c>
      <c r="I320" s="1">
        <v>-83.677790000000002</v>
      </c>
      <c r="J320" s="1" t="s">
        <v>128</v>
      </c>
      <c r="K320" s="1" t="s">
        <v>176</v>
      </c>
      <c r="L320" s="1" t="s">
        <v>208</v>
      </c>
      <c r="M320" s="1" t="s">
        <v>236</v>
      </c>
      <c r="N320" s="1" t="s">
        <v>238</v>
      </c>
      <c r="O320" s="1" t="s">
        <v>121</v>
      </c>
      <c r="P320" s="1" t="s">
        <v>146</v>
      </c>
      <c r="Q320" s="1" t="s">
        <v>93</v>
      </c>
      <c r="S320" s="1">
        <v>3</v>
      </c>
      <c r="T320" s="12">
        <f>S320*12</f>
        <v>36</v>
      </c>
      <c r="V320" s="1">
        <v>0.8</v>
      </c>
      <c r="W320" s="1">
        <v>4</v>
      </c>
      <c r="X320" s="1">
        <v>4</v>
      </c>
      <c r="Y320" s="1" t="s">
        <v>97</v>
      </c>
      <c r="Z320" s="1" t="s">
        <v>133</v>
      </c>
      <c r="AA320" s="1" t="s">
        <v>0</v>
      </c>
      <c r="AB320" s="1" t="s">
        <v>98</v>
      </c>
      <c r="AC320" s="1" t="s">
        <v>202</v>
      </c>
      <c r="AD320" s="1" t="s">
        <v>227</v>
      </c>
      <c r="AE320" s="1" t="s">
        <v>100</v>
      </c>
      <c r="AF320" s="1" t="s">
        <v>222</v>
      </c>
      <c r="AG320" s="1" t="s">
        <v>319</v>
      </c>
      <c r="AH320" s="1">
        <v>576.79</v>
      </c>
      <c r="AI320" s="1">
        <f>626.94-AH320</f>
        <v>50.150000000000091</v>
      </c>
      <c r="AK320" s="1">
        <v>578.69000000000005</v>
      </c>
      <c r="AL320" s="1">
        <f>623.67-AK320</f>
        <v>44.979999999999905</v>
      </c>
      <c r="AN320" s="12">
        <f>AH320-AK320</f>
        <v>-1.9000000000000909</v>
      </c>
      <c r="AO320" s="1">
        <f>SQRT((((X320-1)*AI320^2)+((W320-1)*AL320^2))/(X320+W320-2))</f>
        <v>47.635191298030918</v>
      </c>
      <c r="AP320" s="1">
        <f>AN320/AO320</f>
        <v>-3.9886477795642458E-2</v>
      </c>
      <c r="AQ320" s="1">
        <f>1/X320+1/W320+(AP320^2)/(2*(X320+W320))</f>
        <v>0.50009943319443384</v>
      </c>
      <c r="AR320" s="1">
        <f>1-(3/(4*(X320+W320-2)-1))</f>
        <v>0.86956521739130432</v>
      </c>
      <c r="AS320" s="21">
        <f>AP320*AR320</f>
        <v>-3.4683893735341267E-2</v>
      </c>
      <c r="AT320" s="21">
        <f>AQ320*(AR320^2)</f>
        <v>0.37814701942868345</v>
      </c>
      <c r="AU320" s="21">
        <f>SQRT(AQ320*AR320^2)</f>
        <v>0.61493659789337918</v>
      </c>
      <c r="AV320" s="20">
        <f>1/AT320</f>
        <v>2.644474102984685</v>
      </c>
      <c r="AW320" s="20">
        <f>AS320/AT320</f>
        <v>-9.1720658773782743E-2</v>
      </c>
      <c r="AX320" s="20">
        <f>((AS320)^2)/AT320</f>
        <v>3.1812295822453776E-3</v>
      </c>
      <c r="AY320" s="14"/>
      <c r="AZ320" s="14"/>
      <c r="BA320" s="1" t="s">
        <v>270</v>
      </c>
      <c r="BB320" s="2"/>
    </row>
    <row r="321" spans="1:54" s="16" customFormat="1" ht="14.25">
      <c r="A321" s="17">
        <v>257</v>
      </c>
      <c r="B321" s="17" t="s">
        <v>242</v>
      </c>
      <c r="C321" s="1" t="s">
        <v>85</v>
      </c>
      <c r="D321" s="16">
        <v>2025</v>
      </c>
      <c r="E321" s="16">
        <v>2019</v>
      </c>
      <c r="F321" s="16" t="s">
        <v>152</v>
      </c>
      <c r="G321" s="16" t="s">
        <v>159</v>
      </c>
      <c r="H321" s="16">
        <v>51.627439000000003</v>
      </c>
      <c r="I321" s="16">
        <v>-121.324494</v>
      </c>
      <c r="J321" s="1" t="s">
        <v>128</v>
      </c>
      <c r="K321" s="1" t="s">
        <v>174</v>
      </c>
      <c r="L321" s="1" t="s">
        <v>175</v>
      </c>
      <c r="M321" s="1" t="s">
        <v>236</v>
      </c>
      <c r="N321" s="1" t="s">
        <v>238</v>
      </c>
      <c r="O321" s="1" t="s">
        <v>86</v>
      </c>
      <c r="P321" s="16" t="s">
        <v>146</v>
      </c>
      <c r="Q321" s="16" t="s">
        <v>93</v>
      </c>
      <c r="R321" s="16">
        <v>2017</v>
      </c>
      <c r="S321" s="16">
        <v>2</v>
      </c>
      <c r="T321" s="1">
        <f>S321*12</f>
        <v>24</v>
      </c>
      <c r="V321" s="16">
        <v>5700</v>
      </c>
      <c r="W321" s="16">
        <v>9</v>
      </c>
      <c r="X321" s="16">
        <v>9</v>
      </c>
      <c r="Y321" s="1" t="s">
        <v>97</v>
      </c>
      <c r="Z321" s="16" t="s">
        <v>130</v>
      </c>
      <c r="AA321" s="1" t="s">
        <v>1</v>
      </c>
      <c r="AB321" s="1" t="s">
        <v>98</v>
      </c>
      <c r="AC321" s="1" t="s">
        <v>202</v>
      </c>
      <c r="AD321" s="16" t="s">
        <v>354</v>
      </c>
      <c r="AE321" s="16" t="s">
        <v>100</v>
      </c>
      <c r="AF321" s="16" t="s">
        <v>385</v>
      </c>
      <c r="AG321" s="16" t="s">
        <v>316</v>
      </c>
      <c r="AH321" s="16">
        <v>9.76</v>
      </c>
      <c r="AI321" s="16">
        <f>9.91-9.59</f>
        <v>0.32000000000000028</v>
      </c>
      <c r="AK321" s="16">
        <v>10.34</v>
      </c>
      <c r="AL321" s="16">
        <f>10.45-10.16</f>
        <v>0.28999999999999915</v>
      </c>
      <c r="AN321" s="12">
        <f>AH321-AK321</f>
        <v>-0.58000000000000007</v>
      </c>
      <c r="AO321" s="1">
        <f>SQRT((((X321-1)*AI321^2)+((W321-1)*AL321^2))/(X321+W321-2))</f>
        <v>0.30536862969204914</v>
      </c>
      <c r="AP321" s="1">
        <f>AN321/AO321</f>
        <v>-1.8993437557253494</v>
      </c>
      <c r="AQ321" s="1">
        <f>1/X321+1/W321+(AP321^2)/(2*(X321+W321))</f>
        <v>0.32243074173369096</v>
      </c>
      <c r="AR321" s="1">
        <f>1-(3/(4*(X321+W321-2)-1))</f>
        <v>0.95238095238095233</v>
      </c>
      <c r="AS321" s="21">
        <f>AP321*AR321</f>
        <v>-1.8088988149765231</v>
      </c>
      <c r="AT321" s="21">
        <f>AQ321*(AR321^2)</f>
        <v>0.29245418751355184</v>
      </c>
      <c r="AU321" s="21">
        <f>SQRT(AQ321*AR321^2)</f>
        <v>0.54079033600236592</v>
      </c>
      <c r="AV321" s="20">
        <f>1/AT321</f>
        <v>3.4193389689578702</v>
      </c>
      <c r="AW321" s="20">
        <f>AS321/AT321</f>
        <v>-6.1852382089509375</v>
      </c>
      <c r="AX321" s="20">
        <f>((AS321)^2)/AT321</f>
        <v>11.188470066518862</v>
      </c>
      <c r="AY321" s="13"/>
      <c r="AZ321" s="13"/>
      <c r="BA321" s="1" t="s">
        <v>270</v>
      </c>
      <c r="BB321" s="17"/>
    </row>
    <row r="322" spans="1:54" s="16" customFormat="1" ht="14.25">
      <c r="A322" s="17">
        <v>257</v>
      </c>
      <c r="B322" s="17" t="s">
        <v>242</v>
      </c>
      <c r="C322" s="1" t="s">
        <v>85</v>
      </c>
      <c r="D322" s="16">
        <v>2025</v>
      </c>
      <c r="E322" s="16">
        <v>2019</v>
      </c>
      <c r="F322" s="16" t="s">
        <v>152</v>
      </c>
      <c r="G322" s="16" t="s">
        <v>159</v>
      </c>
      <c r="H322" s="16">
        <v>51.627439000000003</v>
      </c>
      <c r="I322" s="16">
        <v>-121.324494</v>
      </c>
      <c r="J322" s="1" t="s">
        <v>128</v>
      </c>
      <c r="K322" s="1" t="s">
        <v>174</v>
      </c>
      <c r="L322" s="1" t="s">
        <v>175</v>
      </c>
      <c r="M322" s="1" t="s">
        <v>236</v>
      </c>
      <c r="N322" s="1" t="s">
        <v>238</v>
      </c>
      <c r="O322" s="1" t="s">
        <v>86</v>
      </c>
      <c r="P322" s="16" t="s">
        <v>146</v>
      </c>
      <c r="Q322" s="16" t="s">
        <v>93</v>
      </c>
      <c r="R322" s="16">
        <v>2017</v>
      </c>
      <c r="S322" s="16">
        <v>2</v>
      </c>
      <c r="T322" s="1">
        <f>S322*12</f>
        <v>24</v>
      </c>
      <c r="V322" s="16">
        <v>5700</v>
      </c>
      <c r="W322" s="16">
        <v>9</v>
      </c>
      <c r="X322" s="16">
        <v>9</v>
      </c>
      <c r="Y322" s="1" t="s">
        <v>97</v>
      </c>
      <c r="Z322" s="16" t="s">
        <v>130</v>
      </c>
      <c r="AA322" s="1" t="s">
        <v>1</v>
      </c>
      <c r="AB322" s="1" t="s">
        <v>98</v>
      </c>
      <c r="AC322" s="1" t="s">
        <v>202</v>
      </c>
      <c r="AD322" s="16" t="s">
        <v>354</v>
      </c>
      <c r="AE322" s="16" t="s">
        <v>100</v>
      </c>
      <c r="AF322" s="16" t="s">
        <v>363</v>
      </c>
      <c r="AG322" s="16" t="s">
        <v>316</v>
      </c>
      <c r="AH322" s="16">
        <v>8.35</v>
      </c>
      <c r="AI322" s="16">
        <f>8.48-8.2</f>
        <v>0.28000000000000114</v>
      </c>
      <c r="AK322" s="16">
        <v>7.92</v>
      </c>
      <c r="AL322" s="16">
        <f>7.99-7.82</f>
        <v>0.16999999999999993</v>
      </c>
      <c r="AN322" s="12">
        <f>AH322-AK322</f>
        <v>0.42999999999999972</v>
      </c>
      <c r="AO322" s="1">
        <f>SQRT((((X322-1)*AI322^2)+((W322-1)*AL322^2))/(X322+W322-2))</f>
        <v>0.23162469643801006</v>
      </c>
      <c r="AP322" s="1">
        <f>AN322/AO322</f>
        <v>1.8564514346382792</v>
      </c>
      <c r="AQ322" s="1">
        <f>1/X322+1/W322+(AP322^2)/(2*(X322+W322))</f>
        <v>0.31795588692140347</v>
      </c>
      <c r="AR322" s="1">
        <f>1-(3/(4*(X322+W322-2)-1))</f>
        <v>0.95238095238095233</v>
      </c>
      <c r="AS322" s="21">
        <f>AP322*AR322</f>
        <v>1.7680489853697896</v>
      </c>
      <c r="AT322" s="21">
        <f>AQ322*(AR322^2)</f>
        <v>0.28839536228698726</v>
      </c>
      <c r="AU322" s="21">
        <f>SQRT(AQ322*AR322^2)</f>
        <v>0.53702454533008759</v>
      </c>
      <c r="AV322" s="20">
        <f>1/AT322</f>
        <v>3.4674621397166665</v>
      </c>
      <c r="AW322" s="20">
        <f>AS322/AT322</f>
        <v>6.1306429179342112</v>
      </c>
      <c r="AX322" s="20">
        <f>((AS322)^2)/AT322</f>
        <v>10.839276990718069</v>
      </c>
      <c r="AY322" s="13"/>
      <c r="AZ322" s="13"/>
      <c r="BA322" s="1" t="s">
        <v>270</v>
      </c>
      <c r="BB322" s="17"/>
    </row>
    <row r="323" spans="1:54" s="16" customFormat="1" ht="14.25">
      <c r="A323" s="17">
        <v>257</v>
      </c>
      <c r="B323" s="17" t="s">
        <v>242</v>
      </c>
      <c r="C323" s="1" t="s">
        <v>85</v>
      </c>
      <c r="D323" s="16">
        <v>2025</v>
      </c>
      <c r="E323" s="16">
        <v>2019</v>
      </c>
      <c r="F323" s="16" t="s">
        <v>152</v>
      </c>
      <c r="G323" s="16" t="s">
        <v>159</v>
      </c>
      <c r="H323" s="16">
        <v>51.627439000000003</v>
      </c>
      <c r="I323" s="16">
        <v>-121.324494</v>
      </c>
      <c r="J323" s="1" t="s">
        <v>128</v>
      </c>
      <c r="K323" s="1" t="s">
        <v>174</v>
      </c>
      <c r="L323" s="1" t="s">
        <v>175</v>
      </c>
      <c r="M323" s="1" t="s">
        <v>236</v>
      </c>
      <c r="N323" s="1" t="s">
        <v>238</v>
      </c>
      <c r="O323" s="1" t="s">
        <v>86</v>
      </c>
      <c r="P323" s="16" t="s">
        <v>146</v>
      </c>
      <c r="Q323" s="16" t="s">
        <v>93</v>
      </c>
      <c r="R323" s="16">
        <v>2017</v>
      </c>
      <c r="S323" s="16">
        <v>2</v>
      </c>
      <c r="T323" s="16">
        <f>S323*12</f>
        <v>24</v>
      </c>
      <c r="V323" s="16">
        <v>5700</v>
      </c>
      <c r="W323" s="16">
        <v>9</v>
      </c>
      <c r="X323" s="16">
        <v>9</v>
      </c>
      <c r="Y323" s="1" t="s">
        <v>97</v>
      </c>
      <c r="Z323" s="16" t="s">
        <v>130</v>
      </c>
      <c r="AA323" s="1" t="s">
        <v>1</v>
      </c>
      <c r="AB323" s="1" t="s">
        <v>98</v>
      </c>
      <c r="AC323" s="1" t="s">
        <v>202</v>
      </c>
      <c r="AD323" s="16" t="s">
        <v>354</v>
      </c>
      <c r="AE323" s="16" t="s">
        <v>100</v>
      </c>
      <c r="AF323" s="16" t="s">
        <v>352</v>
      </c>
      <c r="AG323" s="16" t="s">
        <v>330</v>
      </c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6" t="s">
        <v>285</v>
      </c>
    </row>
    <row r="324" spans="1:54" s="16" customFormat="1" ht="14.25">
      <c r="A324" s="17">
        <v>257</v>
      </c>
      <c r="B324" s="17" t="s">
        <v>242</v>
      </c>
      <c r="C324" s="1" t="s">
        <v>85</v>
      </c>
      <c r="D324" s="16">
        <v>2025</v>
      </c>
      <c r="E324" s="16">
        <v>2019</v>
      </c>
      <c r="F324" s="16" t="s">
        <v>152</v>
      </c>
      <c r="G324" s="16" t="s">
        <v>159</v>
      </c>
      <c r="H324" s="16">
        <v>51.627439000000003</v>
      </c>
      <c r="I324" s="16">
        <v>-121.324494</v>
      </c>
      <c r="J324" s="1" t="s">
        <v>128</v>
      </c>
      <c r="K324" s="1" t="s">
        <v>174</v>
      </c>
      <c r="L324" s="1" t="s">
        <v>175</v>
      </c>
      <c r="M324" s="1" t="s">
        <v>236</v>
      </c>
      <c r="N324" s="1" t="s">
        <v>238</v>
      </c>
      <c r="O324" s="1" t="s">
        <v>86</v>
      </c>
      <c r="P324" s="16" t="s">
        <v>146</v>
      </c>
      <c r="Q324" s="16" t="s">
        <v>93</v>
      </c>
      <c r="R324" s="16">
        <v>2017</v>
      </c>
      <c r="S324" s="16">
        <v>2</v>
      </c>
      <c r="T324" s="1">
        <f>S324*12</f>
        <v>24</v>
      </c>
      <c r="V324" s="16">
        <v>5700</v>
      </c>
      <c r="W324" s="16">
        <v>9</v>
      </c>
      <c r="X324" s="16">
        <v>9</v>
      </c>
      <c r="Y324" s="1" t="s">
        <v>97</v>
      </c>
      <c r="Z324" s="16" t="s">
        <v>229</v>
      </c>
      <c r="AA324" s="1" t="s">
        <v>1</v>
      </c>
      <c r="AB324" s="1" t="s">
        <v>98</v>
      </c>
      <c r="AC324" s="1" t="s">
        <v>202</v>
      </c>
      <c r="AD324" s="16" t="s">
        <v>354</v>
      </c>
      <c r="AE324" s="16" t="s">
        <v>100</v>
      </c>
      <c r="AF324" s="16" t="s">
        <v>385</v>
      </c>
      <c r="AG324" s="16" t="s">
        <v>316</v>
      </c>
      <c r="AH324" s="16">
        <v>10.55</v>
      </c>
      <c r="AI324" s="16">
        <f>11.14-10.31</f>
        <v>0.83000000000000007</v>
      </c>
      <c r="AK324" s="16">
        <v>11.25</v>
      </c>
      <c r="AL324" s="16">
        <f>11.46-10.96</f>
        <v>0.5</v>
      </c>
      <c r="AN324" s="12">
        <f>AH324-AK324</f>
        <v>-0.69999999999999929</v>
      </c>
      <c r="AO324" s="1">
        <f>SQRT((((X324-1)*AI324^2)+((W324-1)*AL324^2))/(X324+W324-2))</f>
        <v>0.68516421389328264</v>
      </c>
      <c r="AP324" s="1">
        <f>AN324/AO324</f>
        <v>-1.021652891096597</v>
      </c>
      <c r="AQ324" s="1">
        <f>1/X324+1/W324+(AP324^2)/(2*(X324+W324))</f>
        <v>0.25121596194127876</v>
      </c>
      <c r="AR324" s="1">
        <f>1-(3/(4*(X324+W324-2)-1))</f>
        <v>0.95238095238095233</v>
      </c>
      <c r="AS324" s="21">
        <f>AP324*AR324</f>
        <v>-0.97300275342533038</v>
      </c>
      <c r="AT324" s="21">
        <f>AQ324*(AR324^2)</f>
        <v>0.22786028293993538</v>
      </c>
      <c r="AU324" s="21">
        <f>SQRT(AQ324*AR324^2)</f>
        <v>0.47734713044066301</v>
      </c>
      <c r="AV324" s="20">
        <f>1/AT324</f>
        <v>4.3886542538157158</v>
      </c>
      <c r="AW324" s="20">
        <f>AS324/AT324</f>
        <v>-4.2701726727944802</v>
      </c>
      <c r="AX324" s="20">
        <f>((AS324)^2)/AT324</f>
        <v>4.1548897682306318</v>
      </c>
      <c r="AY324" s="13"/>
      <c r="AZ324" s="13"/>
      <c r="BA324" s="1" t="s">
        <v>270</v>
      </c>
      <c r="BB324" s="17"/>
    </row>
    <row r="325" spans="1:54" s="16" customFormat="1" ht="14.25">
      <c r="A325" s="17">
        <v>257</v>
      </c>
      <c r="B325" s="17" t="s">
        <v>242</v>
      </c>
      <c r="C325" s="1" t="s">
        <v>85</v>
      </c>
      <c r="D325" s="16">
        <v>2025</v>
      </c>
      <c r="E325" s="16">
        <v>2019</v>
      </c>
      <c r="F325" s="16" t="s">
        <v>152</v>
      </c>
      <c r="G325" s="16" t="s">
        <v>159</v>
      </c>
      <c r="H325" s="16">
        <v>51.627439000000003</v>
      </c>
      <c r="I325" s="16">
        <v>-121.324494</v>
      </c>
      <c r="J325" s="1" t="s">
        <v>128</v>
      </c>
      <c r="K325" s="1" t="s">
        <v>174</v>
      </c>
      <c r="L325" s="1" t="s">
        <v>175</v>
      </c>
      <c r="M325" s="1" t="s">
        <v>236</v>
      </c>
      <c r="N325" s="1" t="s">
        <v>238</v>
      </c>
      <c r="O325" s="1" t="s">
        <v>86</v>
      </c>
      <c r="P325" s="16" t="s">
        <v>146</v>
      </c>
      <c r="Q325" s="16" t="s">
        <v>93</v>
      </c>
      <c r="R325" s="16">
        <v>2017</v>
      </c>
      <c r="S325" s="16">
        <v>2</v>
      </c>
      <c r="T325" s="1">
        <f>S325*12</f>
        <v>24</v>
      </c>
      <c r="V325" s="16">
        <v>5700</v>
      </c>
      <c r="W325" s="16">
        <v>9</v>
      </c>
      <c r="X325" s="16">
        <v>9</v>
      </c>
      <c r="Y325" s="1" t="s">
        <v>97</v>
      </c>
      <c r="Z325" s="16" t="s">
        <v>229</v>
      </c>
      <c r="AA325" s="1" t="s">
        <v>1</v>
      </c>
      <c r="AB325" s="1" t="s">
        <v>98</v>
      </c>
      <c r="AC325" s="1" t="s">
        <v>202</v>
      </c>
      <c r="AD325" s="16" t="s">
        <v>354</v>
      </c>
      <c r="AE325" s="16" t="s">
        <v>100</v>
      </c>
      <c r="AF325" s="16" t="s">
        <v>363</v>
      </c>
      <c r="AG325" s="16" t="s">
        <v>316</v>
      </c>
      <c r="AH325" s="16">
        <v>5.89</v>
      </c>
      <c r="AI325" s="16">
        <f>6.2-5.59</f>
        <v>0.61000000000000032</v>
      </c>
      <c r="AK325" s="16">
        <v>5.64</v>
      </c>
      <c r="AL325" s="16">
        <f>5.89-5.14</f>
        <v>0.75</v>
      </c>
      <c r="AN325" s="12">
        <f>AH325-AK325</f>
        <v>0.25</v>
      </c>
      <c r="AO325" s="1">
        <f>SQRT((((X325-1)*AI325^2)+((W325-1)*AL325^2))/(X325+W325-2))</f>
        <v>0.68359344642850417</v>
      </c>
      <c r="AP325" s="1">
        <f>AN325/AO325</f>
        <v>0.36571444812139092</v>
      </c>
      <c r="AQ325" s="1">
        <f>1/X325+1/W325+(AP325^2)/(2*(X325+W325))</f>
        <v>0.22593741826568703</v>
      </c>
      <c r="AR325" s="1">
        <f>1-(3/(4*(X325+W325-2)-1))</f>
        <v>0.95238095238095233</v>
      </c>
      <c r="AS325" s="21">
        <f>AP325*AR325</f>
        <v>0.34829947440132469</v>
      </c>
      <c r="AT325" s="21">
        <f>AQ325*(AR325^2)</f>
        <v>0.20493189865368436</v>
      </c>
      <c r="AU325" s="21">
        <f>SQRT(AQ325*AR325^2)</f>
        <v>0.45269404530398272</v>
      </c>
      <c r="AV325" s="20">
        <f>1/AT325</f>
        <v>4.8796698150438065</v>
      </c>
      <c r="AW325" s="20">
        <f>AS325/AT325</f>
        <v>1.6995864318317671</v>
      </c>
      <c r="AX325" s="20">
        <f>((AS325)^2)/AT325</f>
        <v>0.59196506090662737</v>
      </c>
      <c r="AY325" s="13"/>
      <c r="AZ325" s="13"/>
      <c r="BA325" s="1" t="s">
        <v>270</v>
      </c>
      <c r="BB325" s="17"/>
    </row>
    <row r="326" spans="1:54" s="16" customFormat="1" ht="14.25">
      <c r="A326" s="17">
        <v>257</v>
      </c>
      <c r="B326" s="17" t="s">
        <v>242</v>
      </c>
      <c r="C326" s="1" t="s">
        <v>85</v>
      </c>
      <c r="D326" s="16">
        <v>2025</v>
      </c>
      <c r="E326" s="16">
        <v>2019</v>
      </c>
      <c r="F326" s="16" t="s">
        <v>152</v>
      </c>
      <c r="G326" s="16" t="s">
        <v>159</v>
      </c>
      <c r="H326" s="16">
        <v>51.627439000000003</v>
      </c>
      <c r="I326" s="16">
        <v>-121.324494</v>
      </c>
      <c r="J326" s="1" t="s">
        <v>128</v>
      </c>
      <c r="K326" s="1" t="s">
        <v>174</v>
      </c>
      <c r="L326" s="1" t="s">
        <v>175</v>
      </c>
      <c r="M326" s="1" t="s">
        <v>236</v>
      </c>
      <c r="N326" s="1" t="s">
        <v>238</v>
      </c>
      <c r="O326" s="1" t="s">
        <v>86</v>
      </c>
      <c r="P326" s="16" t="s">
        <v>146</v>
      </c>
      <c r="Q326" s="16" t="s">
        <v>93</v>
      </c>
      <c r="R326" s="16">
        <v>2017</v>
      </c>
      <c r="S326" s="16">
        <v>2</v>
      </c>
      <c r="T326" s="16">
        <f>S326*12</f>
        <v>24</v>
      </c>
      <c r="V326" s="16">
        <v>5700</v>
      </c>
      <c r="W326" s="16">
        <v>9</v>
      </c>
      <c r="X326" s="16">
        <v>9</v>
      </c>
      <c r="Y326" s="1" t="s">
        <v>97</v>
      </c>
      <c r="Z326" s="16" t="s">
        <v>229</v>
      </c>
      <c r="AA326" s="1" t="s">
        <v>1</v>
      </c>
      <c r="AB326" s="1" t="s">
        <v>98</v>
      </c>
      <c r="AC326" s="1" t="s">
        <v>202</v>
      </c>
      <c r="AD326" s="16" t="s">
        <v>354</v>
      </c>
      <c r="AE326" s="16" t="s">
        <v>100</v>
      </c>
      <c r="AF326" s="16" t="s">
        <v>352</v>
      </c>
      <c r="AG326" s="16" t="s">
        <v>330</v>
      </c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6" t="s">
        <v>285</v>
      </c>
    </row>
    <row r="327" spans="1:54" s="16" customFormat="1" ht="14.25">
      <c r="A327" s="17">
        <v>257</v>
      </c>
      <c r="B327" s="17" t="s">
        <v>242</v>
      </c>
      <c r="C327" s="1" t="s">
        <v>85</v>
      </c>
      <c r="D327" s="16">
        <v>2025</v>
      </c>
      <c r="E327" s="16">
        <v>2019</v>
      </c>
      <c r="F327" s="16" t="s">
        <v>152</v>
      </c>
      <c r="G327" s="16" t="s">
        <v>159</v>
      </c>
      <c r="H327" s="16">
        <v>51.627439000000003</v>
      </c>
      <c r="I327" s="16">
        <v>-121.324494</v>
      </c>
      <c r="J327" s="1" t="s">
        <v>128</v>
      </c>
      <c r="K327" s="1" t="s">
        <v>174</v>
      </c>
      <c r="L327" s="1" t="s">
        <v>175</v>
      </c>
      <c r="M327" s="1" t="s">
        <v>236</v>
      </c>
      <c r="N327" s="1" t="s">
        <v>238</v>
      </c>
      <c r="O327" s="1" t="s">
        <v>86</v>
      </c>
      <c r="P327" s="16" t="s">
        <v>210</v>
      </c>
      <c r="Q327" s="16" t="s">
        <v>93</v>
      </c>
      <c r="R327" s="16">
        <v>2017</v>
      </c>
      <c r="S327" s="16">
        <v>2</v>
      </c>
      <c r="T327" s="1">
        <f>S327*12</f>
        <v>24</v>
      </c>
      <c r="V327" s="16">
        <v>5700</v>
      </c>
      <c r="W327" s="16">
        <v>9</v>
      </c>
      <c r="X327" s="16">
        <v>9</v>
      </c>
      <c r="Y327" s="1" t="s">
        <v>97</v>
      </c>
      <c r="Z327" s="16" t="s">
        <v>130</v>
      </c>
      <c r="AA327" s="1" t="s">
        <v>1</v>
      </c>
      <c r="AB327" s="1" t="s">
        <v>98</v>
      </c>
      <c r="AC327" s="1" t="s">
        <v>202</v>
      </c>
      <c r="AD327" s="16" t="s">
        <v>354</v>
      </c>
      <c r="AE327" s="16" t="s">
        <v>100</v>
      </c>
      <c r="AF327" s="16" t="s">
        <v>385</v>
      </c>
      <c r="AG327" s="16" t="s">
        <v>316</v>
      </c>
      <c r="AH327" s="16">
        <v>9.8000000000000007</v>
      </c>
      <c r="AI327" s="16">
        <f>9.87-9.6</f>
        <v>0.26999999999999957</v>
      </c>
      <c r="AK327" s="16">
        <v>10.34</v>
      </c>
      <c r="AL327" s="16">
        <f>10.45-10.16</f>
        <v>0.28999999999999915</v>
      </c>
      <c r="AN327" s="12">
        <f>AH327-AK327</f>
        <v>-0.53999999999999915</v>
      </c>
      <c r="AO327" s="1">
        <f>SQRT((((X327-1)*AI327^2)+((W327-1)*AL327^2))/(X327+W327-2))</f>
        <v>0.28017851452243736</v>
      </c>
      <c r="AP327" s="1">
        <f>AN327/AO327</f>
        <v>-1.9273426476702755</v>
      </c>
      <c r="AQ327" s="1">
        <f>1/X327+1/W327+(AP327^2)/(2*(X327+W327))</f>
        <v>0.32540693559801853</v>
      </c>
      <c r="AR327" s="1">
        <f>1-(3/(4*(X327+W327-2)-1))</f>
        <v>0.95238095238095233</v>
      </c>
      <c r="AS327" s="21">
        <f>AP327*AR327</f>
        <v>-1.8355644263526432</v>
      </c>
      <c r="AT327" s="21">
        <f>AQ327*(AR327^2)</f>
        <v>0.29515368308210294</v>
      </c>
      <c r="AU327" s="21">
        <f>SQRT(AQ327*AR327^2)</f>
        <v>0.54328048288347608</v>
      </c>
      <c r="AV327" s="20">
        <f>1/AT327</f>
        <v>3.3880654632448883</v>
      </c>
      <c r="AW327" s="20">
        <f>AS327/AT327</f>
        <v>-6.2190124384863052</v>
      </c>
      <c r="AX327" s="20">
        <f>((AS327)^2)/AT327</f>
        <v>11.415397999130066</v>
      </c>
      <c r="AY327" s="13"/>
      <c r="AZ327" s="13"/>
      <c r="BA327" s="1" t="s">
        <v>270</v>
      </c>
      <c r="BB327" s="17"/>
    </row>
    <row r="328" spans="1:54" s="16" customFormat="1" ht="14.25">
      <c r="A328" s="17">
        <v>257</v>
      </c>
      <c r="B328" s="17" t="s">
        <v>242</v>
      </c>
      <c r="C328" s="1" t="s">
        <v>85</v>
      </c>
      <c r="D328" s="16">
        <v>2025</v>
      </c>
      <c r="E328" s="16">
        <v>2019</v>
      </c>
      <c r="F328" s="16" t="s">
        <v>152</v>
      </c>
      <c r="G328" s="16" t="s">
        <v>159</v>
      </c>
      <c r="H328" s="16">
        <v>51.627439000000003</v>
      </c>
      <c r="I328" s="16">
        <v>-121.324494</v>
      </c>
      <c r="J328" s="1" t="s">
        <v>128</v>
      </c>
      <c r="K328" s="1" t="s">
        <v>174</v>
      </c>
      <c r="L328" s="1" t="s">
        <v>175</v>
      </c>
      <c r="M328" s="1" t="s">
        <v>236</v>
      </c>
      <c r="N328" s="1" t="s">
        <v>238</v>
      </c>
      <c r="O328" s="1" t="s">
        <v>86</v>
      </c>
      <c r="P328" s="16" t="s">
        <v>210</v>
      </c>
      <c r="Q328" s="16" t="s">
        <v>93</v>
      </c>
      <c r="R328" s="16">
        <v>2017</v>
      </c>
      <c r="S328" s="16">
        <v>2</v>
      </c>
      <c r="T328" s="1">
        <f>S328*12</f>
        <v>24</v>
      </c>
      <c r="V328" s="16">
        <v>5700</v>
      </c>
      <c r="W328" s="16">
        <v>9</v>
      </c>
      <c r="X328" s="16">
        <v>9</v>
      </c>
      <c r="Y328" s="1" t="s">
        <v>97</v>
      </c>
      <c r="Z328" s="16" t="s">
        <v>130</v>
      </c>
      <c r="AA328" s="1" t="s">
        <v>1</v>
      </c>
      <c r="AB328" s="1" t="s">
        <v>98</v>
      </c>
      <c r="AC328" s="1" t="s">
        <v>202</v>
      </c>
      <c r="AD328" s="16" t="s">
        <v>354</v>
      </c>
      <c r="AE328" s="16" t="s">
        <v>100</v>
      </c>
      <c r="AF328" s="16" t="s">
        <v>363</v>
      </c>
      <c r="AG328" s="16" t="s">
        <v>316</v>
      </c>
      <c r="AH328" s="16">
        <v>8.83</v>
      </c>
      <c r="AI328" s="16">
        <f>9.63-8.6</f>
        <v>1.0300000000000011</v>
      </c>
      <c r="AK328" s="16">
        <v>7.92</v>
      </c>
      <c r="AL328" s="16">
        <f>7.99-7.82</f>
        <v>0.16999999999999993</v>
      </c>
      <c r="AN328" s="12">
        <f>AH328-AK328</f>
        <v>0.91000000000000014</v>
      </c>
      <c r="AO328" s="1">
        <f>SQRT((((X328-1)*AI328^2)+((W328-1)*AL328^2))/(X328+W328-2))</f>
        <v>0.7381734213584239</v>
      </c>
      <c r="AP328" s="1">
        <f>AN328/AO328</f>
        <v>1.23277264348718</v>
      </c>
      <c r="AQ328" s="1">
        <f>1/X328+1/W328+(AP328^2)/(2*(X328+W328))</f>
        <v>0.26443689973695472</v>
      </c>
      <c r="AR328" s="1">
        <f>1-(3/(4*(X328+W328-2)-1))</f>
        <v>0.95238095238095233</v>
      </c>
      <c r="AS328" s="21">
        <f>AP328*AR328</f>
        <v>1.1740691842735047</v>
      </c>
      <c r="AT328" s="21">
        <f>AQ328*(AR328^2)</f>
        <v>0.23985206325347366</v>
      </c>
      <c r="AU328" s="21">
        <f>SQRT(AQ328*AR328^2)</f>
        <v>0.4897469379725346</v>
      </c>
      <c r="AV328" s="20">
        <f>1/AT328</f>
        <v>4.1692365970736232</v>
      </c>
      <c r="AW328" s="20">
        <f>AS328/AT328</f>
        <v>4.8949722105694713</v>
      </c>
      <c r="AX328" s="20">
        <f>((AS328)^2)/AT328</f>
        <v>5.7470360303047734</v>
      </c>
      <c r="AY328" s="13"/>
      <c r="AZ328" s="13"/>
      <c r="BA328" s="1" t="s">
        <v>270</v>
      </c>
      <c r="BB328" s="17"/>
    </row>
    <row r="329" spans="1:54" s="16" customFormat="1" ht="14.25">
      <c r="A329" s="17">
        <v>257</v>
      </c>
      <c r="B329" s="17" t="s">
        <v>242</v>
      </c>
      <c r="C329" s="1" t="s">
        <v>85</v>
      </c>
      <c r="D329" s="16">
        <v>2025</v>
      </c>
      <c r="E329" s="16">
        <v>2019</v>
      </c>
      <c r="F329" s="16" t="s">
        <v>152</v>
      </c>
      <c r="G329" s="16" t="s">
        <v>159</v>
      </c>
      <c r="H329" s="16">
        <v>51.627439000000003</v>
      </c>
      <c r="I329" s="16">
        <v>-121.324494</v>
      </c>
      <c r="J329" s="1" t="s">
        <v>128</v>
      </c>
      <c r="K329" s="1" t="s">
        <v>174</v>
      </c>
      <c r="L329" s="1" t="s">
        <v>175</v>
      </c>
      <c r="M329" s="1" t="s">
        <v>236</v>
      </c>
      <c r="N329" s="1" t="s">
        <v>238</v>
      </c>
      <c r="O329" s="1" t="s">
        <v>86</v>
      </c>
      <c r="P329" s="16" t="s">
        <v>210</v>
      </c>
      <c r="Q329" s="16" t="s">
        <v>93</v>
      </c>
      <c r="R329" s="16">
        <v>2017</v>
      </c>
      <c r="S329" s="16">
        <v>2</v>
      </c>
      <c r="T329" s="16">
        <f>S329*12</f>
        <v>24</v>
      </c>
      <c r="V329" s="16">
        <v>5700</v>
      </c>
      <c r="W329" s="16">
        <v>9</v>
      </c>
      <c r="X329" s="16">
        <v>9</v>
      </c>
      <c r="Y329" s="1" t="s">
        <v>97</v>
      </c>
      <c r="Z329" s="16" t="s">
        <v>130</v>
      </c>
      <c r="AA329" s="1" t="s">
        <v>1</v>
      </c>
      <c r="AB329" s="1" t="s">
        <v>98</v>
      </c>
      <c r="AC329" s="1" t="s">
        <v>202</v>
      </c>
      <c r="AD329" s="16" t="s">
        <v>354</v>
      </c>
      <c r="AE329" s="16" t="s">
        <v>100</v>
      </c>
      <c r="AF329" s="16" t="s">
        <v>352</v>
      </c>
      <c r="AG329" s="16" t="s">
        <v>330</v>
      </c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6" t="s">
        <v>285</v>
      </c>
    </row>
    <row r="330" spans="1:54" s="16" customFormat="1" ht="14.25">
      <c r="A330" s="17">
        <v>257</v>
      </c>
      <c r="B330" s="17" t="s">
        <v>242</v>
      </c>
      <c r="C330" s="1" t="s">
        <v>85</v>
      </c>
      <c r="D330" s="16">
        <v>2025</v>
      </c>
      <c r="E330" s="16">
        <v>2019</v>
      </c>
      <c r="F330" s="16" t="s">
        <v>152</v>
      </c>
      <c r="G330" s="16" t="s">
        <v>159</v>
      </c>
      <c r="H330" s="16">
        <v>51.627439000000003</v>
      </c>
      <c r="I330" s="16">
        <v>-121.324494</v>
      </c>
      <c r="J330" s="1" t="s">
        <v>128</v>
      </c>
      <c r="K330" s="1" t="s">
        <v>174</v>
      </c>
      <c r="L330" s="1" t="s">
        <v>175</v>
      </c>
      <c r="M330" s="1" t="s">
        <v>236</v>
      </c>
      <c r="N330" s="1" t="s">
        <v>238</v>
      </c>
      <c r="O330" s="1" t="s">
        <v>86</v>
      </c>
      <c r="P330" s="16" t="s">
        <v>210</v>
      </c>
      <c r="Q330" s="16" t="s">
        <v>93</v>
      </c>
      <c r="R330" s="16">
        <v>2017</v>
      </c>
      <c r="S330" s="16">
        <v>2</v>
      </c>
      <c r="T330" s="1">
        <f>S330*12</f>
        <v>24</v>
      </c>
      <c r="V330" s="16">
        <v>5700</v>
      </c>
      <c r="W330" s="16">
        <v>9</v>
      </c>
      <c r="X330" s="16">
        <v>9</v>
      </c>
      <c r="Y330" s="1" t="s">
        <v>97</v>
      </c>
      <c r="Z330" s="16" t="s">
        <v>229</v>
      </c>
      <c r="AA330" s="1" t="s">
        <v>1</v>
      </c>
      <c r="AB330" s="1" t="s">
        <v>98</v>
      </c>
      <c r="AC330" s="1" t="s">
        <v>202</v>
      </c>
      <c r="AD330" s="16" t="s">
        <v>354</v>
      </c>
      <c r="AE330" s="16" t="s">
        <v>100</v>
      </c>
      <c r="AF330" s="16" t="s">
        <v>385</v>
      </c>
      <c r="AG330" s="16" t="s">
        <v>316</v>
      </c>
      <c r="AH330" s="16">
        <v>9.98</v>
      </c>
      <c r="AI330" s="16">
        <f>10.69-9.85</f>
        <v>0.83999999999999986</v>
      </c>
      <c r="AK330" s="16">
        <v>11.25</v>
      </c>
      <c r="AL330" s="16">
        <f>11.46-10.96</f>
        <v>0.5</v>
      </c>
      <c r="AN330" s="12">
        <f>AH330-AK330</f>
        <v>-1.2699999999999996</v>
      </c>
      <c r="AO330" s="1">
        <f>SQRT((((X330-1)*AI330^2)+((W330-1)*AL330^2))/(X330+W330-2))</f>
        <v>0.6912307863514181</v>
      </c>
      <c r="AP330" s="1">
        <f>AN330/AO330</f>
        <v>-1.837302425002723</v>
      </c>
      <c r="AQ330" s="1">
        <f>1/X330+1/W330+(AP330^2)/(2*(X330+W330))</f>
        <v>0.31599111669224683</v>
      </c>
      <c r="AR330" s="1">
        <f>1-(3/(4*(X330+W330-2)-1))</f>
        <v>0.95238095238095233</v>
      </c>
      <c r="AS330" s="21">
        <f>AP330*AR330</f>
        <v>-1.7498118333359265</v>
      </c>
      <c r="AT330" s="21">
        <f>AQ330*(AR330^2)</f>
        <v>0.28661325777074542</v>
      </c>
      <c r="AU330" s="21">
        <f>SQRT(AQ330*AR330^2)</f>
        <v>0.53536273476097063</v>
      </c>
      <c r="AV330" s="20">
        <f>1/AT330</f>
        <v>3.4890221330929299</v>
      </c>
      <c r="AW330" s="20">
        <f>AS330/AT330</f>
        <v>-6.1051322152569645</v>
      </c>
      <c r="AX330" s="20">
        <f>((AS330)^2)/AT330</f>
        <v>10.682832594337016</v>
      </c>
      <c r="AY330" s="13"/>
      <c r="AZ330" s="13"/>
      <c r="BA330" s="1" t="s">
        <v>270</v>
      </c>
      <c r="BB330" s="17"/>
    </row>
    <row r="331" spans="1:54" s="16" customFormat="1" ht="14.25">
      <c r="A331" s="17">
        <v>257</v>
      </c>
      <c r="B331" s="17" t="s">
        <v>242</v>
      </c>
      <c r="C331" s="1" t="s">
        <v>85</v>
      </c>
      <c r="D331" s="16">
        <v>2025</v>
      </c>
      <c r="E331" s="16">
        <v>2019</v>
      </c>
      <c r="F331" s="16" t="s">
        <v>152</v>
      </c>
      <c r="G331" s="16" t="s">
        <v>159</v>
      </c>
      <c r="H331" s="16">
        <v>51.627439000000003</v>
      </c>
      <c r="I331" s="16">
        <v>-121.324494</v>
      </c>
      <c r="J331" s="1" t="s">
        <v>128</v>
      </c>
      <c r="K331" s="1" t="s">
        <v>174</v>
      </c>
      <c r="L331" s="1" t="s">
        <v>175</v>
      </c>
      <c r="M331" s="1" t="s">
        <v>236</v>
      </c>
      <c r="N331" s="1" t="s">
        <v>238</v>
      </c>
      <c r="O331" s="1" t="s">
        <v>86</v>
      </c>
      <c r="P331" s="16" t="s">
        <v>210</v>
      </c>
      <c r="Q331" s="16" t="s">
        <v>93</v>
      </c>
      <c r="R331" s="16">
        <v>2017</v>
      </c>
      <c r="S331" s="16">
        <v>2</v>
      </c>
      <c r="T331" s="1">
        <f>S331*12</f>
        <v>24</v>
      </c>
      <c r="V331" s="16">
        <v>5700</v>
      </c>
      <c r="W331" s="16">
        <v>9</v>
      </c>
      <c r="X331" s="16">
        <v>9</v>
      </c>
      <c r="Y331" s="1" t="s">
        <v>97</v>
      </c>
      <c r="Z331" s="16" t="s">
        <v>229</v>
      </c>
      <c r="AA331" s="1" t="s">
        <v>1</v>
      </c>
      <c r="AB331" s="1" t="s">
        <v>98</v>
      </c>
      <c r="AC331" s="1" t="s">
        <v>202</v>
      </c>
      <c r="AD331" s="16" t="s">
        <v>354</v>
      </c>
      <c r="AE331" s="16" t="s">
        <v>100</v>
      </c>
      <c r="AF331" s="16" t="s">
        <v>363</v>
      </c>
      <c r="AG331" s="16" t="s">
        <v>316</v>
      </c>
      <c r="AH331" s="16">
        <v>6.29</v>
      </c>
      <c r="AI331" s="16">
        <f>6.69-5.8</f>
        <v>0.89000000000000057</v>
      </c>
      <c r="AK331" s="16">
        <v>5.64</v>
      </c>
      <c r="AL331" s="16">
        <f>5.89-5.14</f>
        <v>0.75</v>
      </c>
      <c r="AN331" s="12">
        <f>AH331-AK331</f>
        <v>0.65000000000000036</v>
      </c>
      <c r="AO331" s="1">
        <f>SQRT((((X331-1)*AI331^2)+((W331-1)*AL331^2))/(X331+W331-2))</f>
        <v>0.82298238134239576</v>
      </c>
      <c r="AP331" s="1">
        <f>AN331/AO331</f>
        <v>0.78981034677773088</v>
      </c>
      <c r="AQ331" s="1">
        <f>1/X331+1/W331+(AP331^2)/(2*(X331+W331))</f>
        <v>0.23955001066325443</v>
      </c>
      <c r="AR331" s="1">
        <f>1-(3/(4*(X331+W331-2)-1))</f>
        <v>0.95238095238095233</v>
      </c>
      <c r="AS331" s="21">
        <f>AP331*AR331</f>
        <v>0.7522003302645055</v>
      </c>
      <c r="AT331" s="21">
        <f>AQ331*(AR331^2)</f>
        <v>0.21727892123651193</v>
      </c>
      <c r="AU331" s="21">
        <f>SQRT(AQ331*AR331^2)</f>
        <v>0.46613187107996801</v>
      </c>
      <c r="AV331" s="20">
        <f>1/AT331</f>
        <v>4.6023792566214112</v>
      </c>
      <c r="AW331" s="20">
        <f>AS331/AT331</f>
        <v>3.4619111968331349</v>
      </c>
      <c r="AX331" s="20">
        <f>((AS331)^2)/AT331</f>
        <v>2.6040507456042739</v>
      </c>
      <c r="AY331" s="13"/>
      <c r="AZ331" s="13"/>
      <c r="BA331" s="1" t="s">
        <v>270</v>
      </c>
      <c r="BB331" s="17"/>
    </row>
    <row r="332" spans="1:54" s="16" customFormat="1" ht="14.25">
      <c r="A332" s="17">
        <v>257</v>
      </c>
      <c r="B332" s="17" t="s">
        <v>242</v>
      </c>
      <c r="C332" s="1" t="s">
        <v>85</v>
      </c>
      <c r="D332" s="16">
        <v>2025</v>
      </c>
      <c r="E332" s="16">
        <v>2019</v>
      </c>
      <c r="F332" s="16" t="s">
        <v>152</v>
      </c>
      <c r="G332" s="16" t="s">
        <v>159</v>
      </c>
      <c r="H332" s="16">
        <v>51.627439000000003</v>
      </c>
      <c r="I332" s="16">
        <v>-121.324494</v>
      </c>
      <c r="J332" s="1" t="s">
        <v>128</v>
      </c>
      <c r="K332" s="1" t="s">
        <v>174</v>
      </c>
      <c r="L332" s="1" t="s">
        <v>175</v>
      </c>
      <c r="M332" s="1" t="s">
        <v>236</v>
      </c>
      <c r="N332" s="1" t="s">
        <v>238</v>
      </c>
      <c r="O332" s="1" t="s">
        <v>86</v>
      </c>
      <c r="P332" s="16" t="s">
        <v>210</v>
      </c>
      <c r="Q332" s="16" t="s">
        <v>93</v>
      </c>
      <c r="R332" s="16">
        <v>2017</v>
      </c>
      <c r="S332" s="16">
        <v>2</v>
      </c>
      <c r="T332" s="16">
        <f t="shared" ref="T332:T333" si="35">S332*12</f>
        <v>24</v>
      </c>
      <c r="V332" s="16">
        <v>5700</v>
      </c>
      <c r="W332" s="16">
        <v>9</v>
      </c>
      <c r="X332" s="16">
        <v>9</v>
      </c>
      <c r="Y332" s="1" t="s">
        <v>97</v>
      </c>
      <c r="Z332" s="16" t="s">
        <v>229</v>
      </c>
      <c r="AA332" s="1" t="s">
        <v>1</v>
      </c>
      <c r="AB332" s="1" t="s">
        <v>98</v>
      </c>
      <c r="AC332" s="1" t="s">
        <v>202</v>
      </c>
      <c r="AD332" s="16" t="s">
        <v>354</v>
      </c>
      <c r="AE332" s="16" t="s">
        <v>100</v>
      </c>
      <c r="AF332" s="16" t="s">
        <v>352</v>
      </c>
      <c r="AG332" s="16" t="s">
        <v>330</v>
      </c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6" t="s">
        <v>285</v>
      </c>
    </row>
    <row r="333" spans="1:54" s="16" customFormat="1" ht="14.25">
      <c r="A333" s="17">
        <v>257</v>
      </c>
      <c r="B333" s="17" t="s">
        <v>242</v>
      </c>
      <c r="C333" s="1" t="s">
        <v>85</v>
      </c>
      <c r="D333" s="16">
        <v>2025</v>
      </c>
      <c r="E333" s="16">
        <v>2019</v>
      </c>
      <c r="F333" s="16" t="s">
        <v>152</v>
      </c>
      <c r="G333" s="16" t="s">
        <v>159</v>
      </c>
      <c r="H333" s="16">
        <v>51.627439000000003</v>
      </c>
      <c r="I333" s="16">
        <v>-121.324494</v>
      </c>
      <c r="J333" s="1" t="s">
        <v>128</v>
      </c>
      <c r="K333" s="1" t="s">
        <v>174</v>
      </c>
      <c r="L333" s="1" t="s">
        <v>175</v>
      </c>
      <c r="M333" s="1" t="s">
        <v>236</v>
      </c>
      <c r="N333" s="1" t="s">
        <v>238</v>
      </c>
      <c r="O333" s="1" t="s">
        <v>86</v>
      </c>
      <c r="P333" s="16" t="s">
        <v>129</v>
      </c>
      <c r="Q333" s="16" t="s">
        <v>93</v>
      </c>
      <c r="R333" s="16">
        <v>2017</v>
      </c>
      <c r="S333" s="16">
        <v>2</v>
      </c>
      <c r="T333" s="16">
        <f t="shared" si="35"/>
        <v>24</v>
      </c>
      <c r="V333" s="16">
        <v>5700</v>
      </c>
      <c r="W333" s="16">
        <v>9</v>
      </c>
      <c r="X333" s="16">
        <v>9</v>
      </c>
      <c r="Y333" s="1" t="s">
        <v>97</v>
      </c>
      <c r="Z333" s="16" t="s">
        <v>130</v>
      </c>
      <c r="AA333" s="1" t="s">
        <v>1</v>
      </c>
      <c r="AB333" s="1" t="s">
        <v>98</v>
      </c>
      <c r="AC333" s="1" t="s">
        <v>202</v>
      </c>
      <c r="AD333" s="16" t="s">
        <v>354</v>
      </c>
      <c r="AE333" s="16" t="s">
        <v>100</v>
      </c>
      <c r="AF333" s="16" t="s">
        <v>352</v>
      </c>
      <c r="AG333" s="16" t="s">
        <v>330</v>
      </c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6" t="s">
        <v>285</v>
      </c>
    </row>
    <row r="334" spans="1:54" s="16" customFormat="1" ht="14.25">
      <c r="A334" s="17">
        <v>257</v>
      </c>
      <c r="B334" s="17" t="s">
        <v>242</v>
      </c>
      <c r="C334" s="1" t="s">
        <v>85</v>
      </c>
      <c r="D334" s="16">
        <v>2025</v>
      </c>
      <c r="E334" s="16">
        <v>2019</v>
      </c>
      <c r="F334" s="16" t="s">
        <v>152</v>
      </c>
      <c r="G334" s="16" t="s">
        <v>159</v>
      </c>
      <c r="H334" s="16">
        <v>51.627439000000003</v>
      </c>
      <c r="I334" s="16">
        <v>-121.324494</v>
      </c>
      <c r="J334" s="1" t="s">
        <v>128</v>
      </c>
      <c r="K334" s="1" t="s">
        <v>174</v>
      </c>
      <c r="L334" s="1" t="s">
        <v>175</v>
      </c>
      <c r="M334" s="1" t="s">
        <v>236</v>
      </c>
      <c r="N334" s="1" t="s">
        <v>238</v>
      </c>
      <c r="O334" s="1" t="s">
        <v>86</v>
      </c>
      <c r="P334" s="16" t="s">
        <v>129</v>
      </c>
      <c r="Q334" s="16" t="s">
        <v>93</v>
      </c>
      <c r="R334" s="16">
        <v>2017</v>
      </c>
      <c r="S334" s="16">
        <v>2</v>
      </c>
      <c r="T334" s="1">
        <f>S334*12</f>
        <v>24</v>
      </c>
      <c r="V334" s="16">
        <v>5700</v>
      </c>
      <c r="W334" s="16">
        <v>9</v>
      </c>
      <c r="X334" s="16">
        <v>9</v>
      </c>
      <c r="Y334" s="1" t="s">
        <v>97</v>
      </c>
      <c r="Z334" s="16" t="s">
        <v>229</v>
      </c>
      <c r="AA334" s="1" t="s">
        <v>1</v>
      </c>
      <c r="AB334" s="1" t="s">
        <v>98</v>
      </c>
      <c r="AC334" s="1" t="s">
        <v>202</v>
      </c>
      <c r="AD334" s="16" t="s">
        <v>354</v>
      </c>
      <c r="AE334" s="16" t="s">
        <v>100</v>
      </c>
      <c r="AF334" s="16" t="s">
        <v>385</v>
      </c>
      <c r="AG334" s="16" t="s">
        <v>316</v>
      </c>
      <c r="AH334" s="16">
        <v>8.94</v>
      </c>
      <c r="AI334" s="16">
        <f>9.5-8.76</f>
        <v>0.74000000000000021</v>
      </c>
      <c r="AK334" s="16">
        <v>11.25</v>
      </c>
      <c r="AL334" s="16">
        <f>11.46-10.96</f>
        <v>0.5</v>
      </c>
      <c r="AN334" s="12">
        <f>AH334-AK334</f>
        <v>-2.3100000000000005</v>
      </c>
      <c r="AO334" s="1">
        <f>SQRT((((X334-1)*AI334^2)+((W334-1)*AL334^2))/(X334+W334-2))</f>
        <v>0.63150613615387785</v>
      </c>
      <c r="AP334" s="1">
        <f>AN334/AO334</f>
        <v>-3.6579217013928229</v>
      </c>
      <c r="AQ334" s="1">
        <f>1/X334+1/W334+(AP334^2)/(2*(X334+W334))</f>
        <v>0.59389975482001567</v>
      </c>
      <c r="AR334" s="1">
        <f>1-(3/(4*(X334+W334-2)-1))</f>
        <v>0.95238095238095233</v>
      </c>
      <c r="AS334" s="21">
        <f>AP334*AR334</f>
        <v>-3.48373495370745</v>
      </c>
      <c r="AT334" s="21">
        <f>AQ334*(AR334^2)</f>
        <v>0.53868458487076243</v>
      </c>
      <c r="AU334" s="21">
        <f>SQRT(AQ334*AR334^2)</f>
        <v>0.73395135047955484</v>
      </c>
      <c r="AV334" s="20">
        <f>1/AT334</f>
        <v>1.8563738931566294</v>
      </c>
      <c r="AW334" s="20">
        <f>AS334/AT334</f>
        <v>-6.4671146187397293</v>
      </c>
      <c r="AX334" s="20">
        <f>((AS334)^2)/AT334</f>
        <v>22.529713246936026</v>
      </c>
      <c r="AY334" s="13"/>
      <c r="AZ334" s="13"/>
      <c r="BA334" s="1" t="s">
        <v>270</v>
      </c>
      <c r="BB334" s="17"/>
    </row>
    <row r="335" spans="1:54" s="16" customFormat="1" ht="14.25">
      <c r="A335" s="17">
        <v>257</v>
      </c>
      <c r="B335" s="17" t="s">
        <v>242</v>
      </c>
      <c r="C335" s="1" t="s">
        <v>85</v>
      </c>
      <c r="D335" s="16">
        <v>2025</v>
      </c>
      <c r="E335" s="16">
        <v>2019</v>
      </c>
      <c r="F335" s="16" t="s">
        <v>152</v>
      </c>
      <c r="G335" s="16" t="s">
        <v>159</v>
      </c>
      <c r="H335" s="16">
        <v>51.627439000000003</v>
      </c>
      <c r="I335" s="16">
        <v>-121.324494</v>
      </c>
      <c r="J335" s="1" t="s">
        <v>128</v>
      </c>
      <c r="K335" s="1" t="s">
        <v>174</v>
      </c>
      <c r="L335" s="1" t="s">
        <v>175</v>
      </c>
      <c r="M335" s="1" t="s">
        <v>236</v>
      </c>
      <c r="N335" s="1" t="s">
        <v>238</v>
      </c>
      <c r="O335" s="1" t="s">
        <v>86</v>
      </c>
      <c r="P335" s="16" t="s">
        <v>129</v>
      </c>
      <c r="Q335" s="16" t="s">
        <v>93</v>
      </c>
      <c r="R335" s="16">
        <v>2017</v>
      </c>
      <c r="S335" s="16">
        <v>2</v>
      </c>
      <c r="T335" s="1">
        <f>S335*12</f>
        <v>24</v>
      </c>
      <c r="V335" s="16">
        <v>5700</v>
      </c>
      <c r="W335" s="16">
        <v>9</v>
      </c>
      <c r="X335" s="16">
        <v>9</v>
      </c>
      <c r="Y335" s="1" t="s">
        <v>97</v>
      </c>
      <c r="Z335" s="16" t="s">
        <v>229</v>
      </c>
      <c r="AA335" s="1" t="s">
        <v>1</v>
      </c>
      <c r="AB335" s="1" t="s">
        <v>98</v>
      </c>
      <c r="AC335" s="1" t="s">
        <v>202</v>
      </c>
      <c r="AD335" s="16" t="s">
        <v>354</v>
      </c>
      <c r="AE335" s="16" t="s">
        <v>100</v>
      </c>
      <c r="AF335" s="16" t="s">
        <v>363</v>
      </c>
      <c r="AG335" s="16" t="s">
        <v>316</v>
      </c>
      <c r="AH335" s="16">
        <v>6.45</v>
      </c>
      <c r="AI335" s="16">
        <f>6.94-6.23</f>
        <v>0.71</v>
      </c>
      <c r="AK335" s="16">
        <v>5.64</v>
      </c>
      <c r="AL335" s="16">
        <f>5.89-5.14</f>
        <v>0.75</v>
      </c>
      <c r="AN335" s="12">
        <f>AH335-AK335</f>
        <v>0.8100000000000005</v>
      </c>
      <c r="AO335" s="1">
        <f>SQRT((((X335-1)*AI335^2)+((W335-1)*AL335^2))/(X335+W335-2))</f>
        <v>0.7302739212103907</v>
      </c>
      <c r="AP335" s="1">
        <f>AN335/AO335</f>
        <v>1.109172841140853</v>
      </c>
      <c r="AQ335" s="1">
        <f>1/X335+1/W335+(AP335^2)/(2*(X335+W335))</f>
        <v>0.25639623309790199</v>
      </c>
      <c r="AR335" s="1">
        <f>1-(3/(4*(X335+W335-2)-1))</f>
        <v>0.95238095238095233</v>
      </c>
      <c r="AS335" s="21">
        <f>AP335*AR335</f>
        <v>1.0563550868008122</v>
      </c>
      <c r="AT335" s="21">
        <f>AQ335*(AR335^2)</f>
        <v>0.23255894158539861</v>
      </c>
      <c r="AU335" s="21">
        <f>SQRT(AQ335*AR335^2)</f>
        <v>0.48224365375336836</v>
      </c>
      <c r="AV335" s="20">
        <f>1/AT335</f>
        <v>4.2999851701371252</v>
      </c>
      <c r="AW335" s="20">
        <f>AS335/AT335</f>
        <v>4.5423112076424079</v>
      </c>
      <c r="AX335" s="20">
        <f>((AS335)^2)/AT335</f>
        <v>4.7982935500253978</v>
      </c>
      <c r="AY335" s="13"/>
      <c r="AZ335" s="13"/>
      <c r="BA335" s="1" t="s">
        <v>270</v>
      </c>
      <c r="BB335" s="17"/>
    </row>
    <row r="336" spans="1:54" s="16" customFormat="1" ht="14.25">
      <c r="A336" s="17">
        <v>257</v>
      </c>
      <c r="B336" s="17" t="s">
        <v>242</v>
      </c>
      <c r="C336" s="1" t="s">
        <v>85</v>
      </c>
      <c r="D336" s="16">
        <v>2025</v>
      </c>
      <c r="E336" s="16">
        <v>2019</v>
      </c>
      <c r="F336" s="16" t="s">
        <v>152</v>
      </c>
      <c r="G336" s="16" t="s">
        <v>159</v>
      </c>
      <c r="H336" s="16">
        <v>51.627439000000003</v>
      </c>
      <c r="I336" s="16">
        <v>-121.324494</v>
      </c>
      <c r="J336" s="1" t="s">
        <v>128</v>
      </c>
      <c r="K336" s="1" t="s">
        <v>174</v>
      </c>
      <c r="L336" s="1" t="s">
        <v>175</v>
      </c>
      <c r="M336" s="1" t="s">
        <v>236</v>
      </c>
      <c r="N336" s="1" t="s">
        <v>238</v>
      </c>
      <c r="O336" s="1" t="s">
        <v>86</v>
      </c>
      <c r="P336" s="16" t="s">
        <v>129</v>
      </c>
      <c r="Q336" s="16" t="s">
        <v>93</v>
      </c>
      <c r="R336" s="16">
        <v>2017</v>
      </c>
      <c r="S336" s="16">
        <v>2</v>
      </c>
      <c r="T336" s="16">
        <f>S336*12</f>
        <v>24</v>
      </c>
      <c r="V336" s="16">
        <v>5700</v>
      </c>
      <c r="W336" s="16">
        <v>9</v>
      </c>
      <c r="X336" s="16">
        <v>9</v>
      </c>
      <c r="Y336" s="1" t="s">
        <v>97</v>
      </c>
      <c r="Z336" s="16" t="s">
        <v>229</v>
      </c>
      <c r="AA336" s="1" t="s">
        <v>1</v>
      </c>
      <c r="AB336" s="1" t="s">
        <v>98</v>
      </c>
      <c r="AC336" s="1" t="s">
        <v>202</v>
      </c>
      <c r="AD336" s="16" t="s">
        <v>354</v>
      </c>
      <c r="AE336" s="16" t="s">
        <v>100</v>
      </c>
      <c r="AF336" s="16" t="s">
        <v>352</v>
      </c>
      <c r="AG336" s="16" t="s">
        <v>330</v>
      </c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6" t="s">
        <v>285</v>
      </c>
    </row>
    <row r="337" spans="1:63" ht="14.25" customHeight="1">
      <c r="A337" s="2">
        <v>152</v>
      </c>
      <c r="B337" s="2" t="s">
        <v>22</v>
      </c>
      <c r="C337" s="1" t="s">
        <v>85</v>
      </c>
      <c r="D337" s="1">
        <v>2013</v>
      </c>
      <c r="E337" s="1">
        <v>2010</v>
      </c>
      <c r="F337" s="1" t="s">
        <v>143</v>
      </c>
      <c r="G337" s="1" t="s">
        <v>117</v>
      </c>
      <c r="H337" s="1">
        <v>63.826408000000001</v>
      </c>
      <c r="I337" s="1">
        <v>-145.86067399999999</v>
      </c>
      <c r="J337" s="1" t="s">
        <v>128</v>
      </c>
      <c r="K337" s="1" t="s">
        <v>103</v>
      </c>
      <c r="L337" s="1" t="s">
        <v>187</v>
      </c>
      <c r="M337" s="1" t="s">
        <v>236</v>
      </c>
      <c r="N337" s="16" t="s">
        <v>238</v>
      </c>
      <c r="O337" s="1" t="s">
        <v>86</v>
      </c>
      <c r="Q337" s="1" t="s">
        <v>93</v>
      </c>
      <c r="R337" s="1">
        <v>2010</v>
      </c>
      <c r="S337" s="1" t="s">
        <v>156</v>
      </c>
      <c r="T337" s="1">
        <v>11</v>
      </c>
      <c r="W337" s="1">
        <v>2</v>
      </c>
      <c r="X337" s="1">
        <v>2</v>
      </c>
      <c r="Y337" s="1" t="s">
        <v>97</v>
      </c>
      <c r="Z337" s="1" t="s">
        <v>133</v>
      </c>
      <c r="AA337" s="1" t="s">
        <v>1</v>
      </c>
      <c r="AB337" s="1" t="s">
        <v>98</v>
      </c>
      <c r="AC337" s="1" t="s">
        <v>202</v>
      </c>
      <c r="AD337" s="1" t="s">
        <v>228</v>
      </c>
      <c r="AE337" s="1" t="s">
        <v>131</v>
      </c>
      <c r="AF337" s="1" t="s">
        <v>222</v>
      </c>
      <c r="AG337" s="1" t="s">
        <v>331</v>
      </c>
      <c r="AH337" s="1">
        <v>121.2</v>
      </c>
      <c r="AI337" s="1">
        <f>AJ337*SQRT(X337)</f>
        <v>34.223968209428904</v>
      </c>
      <c r="AJ337" s="1">
        <v>24.2</v>
      </c>
      <c r="AK337" s="1">
        <v>122.3</v>
      </c>
      <c r="AL337" s="1">
        <f>AM337*SQRT(W337)</f>
        <v>26.728636328851497</v>
      </c>
      <c r="AM337" s="1">
        <v>18.899999999999999</v>
      </c>
      <c r="AN337" s="12">
        <f>AH337-AK337</f>
        <v>-1.0999999999999943</v>
      </c>
      <c r="AO337" s="1">
        <f>SQRT((((X337-1)*AI337^2)+((W337-1)*AL337^2))/(X337+W337-2))</f>
        <v>30.705862632402955</v>
      </c>
      <c r="AP337" s="1">
        <f>AN337/AO337</f>
        <v>-3.5823777796725957E-2</v>
      </c>
      <c r="AQ337" s="1">
        <f>1/X337+1/W337+(AP337^2)/(2*(X337+W337))</f>
        <v>1.0001604178819536</v>
      </c>
      <c r="AR337" s="1">
        <f>1-(3/(4*(X337+W337-2)-1))</f>
        <v>0.5714285714285714</v>
      </c>
      <c r="AS337" s="21">
        <f>AP337*AR337</f>
        <v>-2.047073016955769E-2</v>
      </c>
      <c r="AT337" s="21">
        <f>AQ337*(AR337^2)</f>
        <v>0.32658299359410731</v>
      </c>
      <c r="AU337" s="21">
        <f>SQRT(AQ337*AR337^2)</f>
        <v>0.57147440327114152</v>
      </c>
      <c r="AV337" s="20">
        <f>1/AT337</f>
        <v>3.0620087990339355</v>
      </c>
      <c r="AW337" s="20">
        <f>AS337/AT337</f>
        <v>-6.2681555901835093E-2</v>
      </c>
      <c r="AX337" s="20">
        <f>((AS337)^2)/AT337</f>
        <v>1.2831372174745125E-3</v>
      </c>
      <c r="AY337" s="14"/>
      <c r="AZ337" s="14"/>
      <c r="BA337" s="1" t="s">
        <v>270</v>
      </c>
      <c r="BB337" s="2"/>
    </row>
    <row r="338" spans="1:63" ht="14.25" customHeight="1">
      <c r="A338" s="2">
        <v>398</v>
      </c>
      <c r="B338" s="2" t="s">
        <v>49</v>
      </c>
      <c r="C338" s="1" t="s">
        <v>85</v>
      </c>
      <c r="D338" s="1">
        <v>2023</v>
      </c>
      <c r="E338" s="1">
        <v>2017</v>
      </c>
      <c r="F338" s="1" t="s">
        <v>143</v>
      </c>
      <c r="G338" s="16" t="s">
        <v>159</v>
      </c>
      <c r="H338" s="1">
        <v>49.513615000000001</v>
      </c>
      <c r="I338" s="1">
        <v>-91.655843000000004</v>
      </c>
      <c r="J338" s="1" t="s">
        <v>128</v>
      </c>
      <c r="K338" s="1" t="s">
        <v>176</v>
      </c>
      <c r="L338" s="1" t="s">
        <v>190</v>
      </c>
      <c r="M338" s="1" t="s">
        <v>236</v>
      </c>
      <c r="N338" s="1" t="s">
        <v>238</v>
      </c>
      <c r="O338" s="1" t="s">
        <v>86</v>
      </c>
      <c r="Q338" s="1" t="s">
        <v>93</v>
      </c>
      <c r="R338" s="1">
        <v>2005</v>
      </c>
      <c r="S338" s="1">
        <v>12</v>
      </c>
      <c r="T338" s="16">
        <f>S338*12</f>
        <v>144</v>
      </c>
      <c r="W338" s="1">
        <v>27</v>
      </c>
      <c r="X338" s="1">
        <v>27</v>
      </c>
      <c r="Y338" s="1" t="s">
        <v>97</v>
      </c>
      <c r="Z338" s="1" t="s">
        <v>133</v>
      </c>
      <c r="AA338" s="1" t="s">
        <v>1</v>
      </c>
      <c r="AB338" s="1" t="s">
        <v>98</v>
      </c>
      <c r="AC338" s="1" t="s">
        <v>202</v>
      </c>
      <c r="AD338" s="1" t="s">
        <v>99</v>
      </c>
      <c r="AE338" s="1" t="s">
        <v>100</v>
      </c>
      <c r="AF338" s="1" t="s">
        <v>256</v>
      </c>
      <c r="AG338" s="1" t="s">
        <v>315</v>
      </c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" t="s">
        <v>285</v>
      </c>
    </row>
    <row r="339" spans="1:63" ht="14.25" customHeight="1">
      <c r="A339" s="2">
        <v>11</v>
      </c>
      <c r="B339" s="2" t="s">
        <v>3</v>
      </c>
      <c r="C339" s="1" t="s">
        <v>91</v>
      </c>
      <c r="D339" s="1">
        <v>2010</v>
      </c>
      <c r="E339" s="1">
        <v>2007</v>
      </c>
      <c r="F339" s="1" t="s">
        <v>92</v>
      </c>
      <c r="G339" s="1" t="s">
        <v>109</v>
      </c>
      <c r="H339" s="1">
        <v>39.831530000000001</v>
      </c>
      <c r="I339" s="1">
        <v>-7.8358790000000003</v>
      </c>
      <c r="J339" s="1" t="s">
        <v>135</v>
      </c>
      <c r="K339" s="1" t="s">
        <v>176</v>
      </c>
      <c r="L339" s="1" t="s">
        <v>177</v>
      </c>
      <c r="M339" s="1" t="s">
        <v>236</v>
      </c>
      <c r="N339" s="12" t="s">
        <v>238</v>
      </c>
      <c r="O339" s="1" t="s">
        <v>86</v>
      </c>
      <c r="P339" s="1" t="s">
        <v>2</v>
      </c>
      <c r="Q339" s="1" t="s">
        <v>93</v>
      </c>
      <c r="R339" s="1">
        <v>2003</v>
      </c>
      <c r="S339" s="1">
        <v>4</v>
      </c>
      <c r="T339" s="12">
        <f>S339*12</f>
        <v>48</v>
      </c>
      <c r="V339" s="1" t="s">
        <v>2</v>
      </c>
      <c r="W339" s="1">
        <v>12</v>
      </c>
      <c r="X339" s="1">
        <v>12</v>
      </c>
      <c r="Y339" s="1" t="s">
        <v>134</v>
      </c>
      <c r="Z339" s="1" t="s">
        <v>147</v>
      </c>
      <c r="AA339" s="1" t="s">
        <v>0</v>
      </c>
      <c r="AB339" s="1" t="s">
        <v>98</v>
      </c>
      <c r="AC339" s="1" t="s">
        <v>158</v>
      </c>
      <c r="AD339" s="1" t="s">
        <v>144</v>
      </c>
      <c r="AE339" s="1" t="s">
        <v>100</v>
      </c>
      <c r="AF339" s="1" t="s">
        <v>222</v>
      </c>
      <c r="AG339" s="1" t="s">
        <v>331</v>
      </c>
      <c r="AH339" s="1">
        <v>2.57</v>
      </c>
      <c r="AI339" s="1">
        <f>AJ339*SQRT(X339)</f>
        <v>1.2782534959858314</v>
      </c>
      <c r="AJ339" s="1">
        <v>0.36899999999999999</v>
      </c>
      <c r="AK339" s="1">
        <v>2.5</v>
      </c>
      <c r="AL339" s="1">
        <f>AM339*SQRT(W339)</f>
        <v>0.57850496972800503</v>
      </c>
      <c r="AM339" s="1">
        <v>0.16700000000000001</v>
      </c>
      <c r="AN339" s="12">
        <f>AH339-AK339</f>
        <v>6.999999999999984E-2</v>
      </c>
      <c r="AO339" s="1">
        <f>SQRT((((X339-1)*AI339^2)+((W339-1)*AL339^2))/(X339+W339-2))</f>
        <v>0.99211894448196081</v>
      </c>
      <c r="AP339" s="1">
        <f>AN339/AO339</f>
        <v>7.055605619601453E-2</v>
      </c>
      <c r="AQ339" s="1">
        <f>1/X339+1/W339+(AP339^2)/(2*(X339+W339))</f>
        <v>0.16677037827220698</v>
      </c>
      <c r="AR339" s="1">
        <f>1-(3/(4*(X339+W339-2)-1))</f>
        <v>0.96551724137931039</v>
      </c>
      <c r="AS339" s="21">
        <f>AP339*AR339</f>
        <v>6.8123088740979554E-2</v>
      </c>
      <c r="AT339" s="21">
        <f>AQ339*(AR339^2)</f>
        <v>0.15546727296719415</v>
      </c>
      <c r="AU339" s="21">
        <f>SQRT(AQ339*AR339^2)</f>
        <v>0.39429338438172423</v>
      </c>
      <c r="AV339" s="20">
        <f>1/AT339</f>
        <v>6.4322219134249208</v>
      </c>
      <c r="AW339" s="20">
        <f>AS339/AT339</f>
        <v>0.43818282420991916</v>
      </c>
      <c r="AX339" s="20">
        <f>((AS339)^2)/AT339</f>
        <v>2.9850367418425366E-2</v>
      </c>
      <c r="AY339" s="14"/>
      <c r="AZ339" s="14"/>
      <c r="BA339" s="1" t="s">
        <v>270</v>
      </c>
      <c r="BB339" s="2"/>
    </row>
    <row r="340" spans="1:63" ht="14.25" customHeight="1">
      <c r="A340" s="2">
        <v>238</v>
      </c>
      <c r="B340" s="2" t="s">
        <v>37</v>
      </c>
      <c r="C340" s="1" t="s">
        <v>85</v>
      </c>
      <c r="D340" s="1">
        <v>2021</v>
      </c>
      <c r="E340" s="1">
        <v>2017</v>
      </c>
      <c r="F340" s="1" t="s">
        <v>143</v>
      </c>
      <c r="G340" s="16" t="s">
        <v>159</v>
      </c>
      <c r="H340" s="1">
        <v>48.602961000000001</v>
      </c>
      <c r="I340" s="1">
        <v>-119.23058899999999</v>
      </c>
      <c r="J340" s="1" t="s">
        <v>128</v>
      </c>
      <c r="K340" s="1" t="s">
        <v>176</v>
      </c>
      <c r="L340" s="1" t="s">
        <v>192</v>
      </c>
      <c r="M340" s="1" t="s">
        <v>236</v>
      </c>
      <c r="N340" s="1" t="s">
        <v>238</v>
      </c>
      <c r="O340" s="1" t="s">
        <v>86</v>
      </c>
      <c r="P340" s="1" t="s">
        <v>129</v>
      </c>
      <c r="Q340" s="1" t="s">
        <v>93</v>
      </c>
      <c r="R340" s="1">
        <v>2006</v>
      </c>
      <c r="S340" s="1">
        <v>11</v>
      </c>
      <c r="T340" s="1">
        <f>S340*12</f>
        <v>132</v>
      </c>
      <c r="V340" s="1">
        <v>17000</v>
      </c>
      <c r="W340" s="1">
        <v>3</v>
      </c>
      <c r="X340" s="1">
        <v>3</v>
      </c>
      <c r="Y340" s="1" t="s">
        <v>97</v>
      </c>
      <c r="Z340" s="1" t="s">
        <v>364</v>
      </c>
      <c r="AA340" s="1" t="s">
        <v>1</v>
      </c>
      <c r="AB340" s="1" t="s">
        <v>98</v>
      </c>
      <c r="AC340" s="1" t="s">
        <v>202</v>
      </c>
      <c r="AD340" s="1" t="s">
        <v>99</v>
      </c>
      <c r="AE340" s="1" t="s">
        <v>111</v>
      </c>
      <c r="AF340" s="1" t="s">
        <v>384</v>
      </c>
      <c r="AG340" s="1" t="s">
        <v>365</v>
      </c>
      <c r="AH340" s="10">
        <v>5.82</v>
      </c>
      <c r="AI340" s="10">
        <v>2.86</v>
      </c>
      <c r="AJ340" s="10"/>
      <c r="AK340" s="1">
        <v>12.89</v>
      </c>
      <c r="AL340" s="1">
        <v>5.0999999999999996</v>
      </c>
      <c r="AN340" s="12">
        <f>AH340-AK340</f>
        <v>-7.07</v>
      </c>
      <c r="AO340" s="1">
        <f>SQRT((((X340-1)*AI340^2)+((W340-1)*AL340^2))/(X340+W340-2))</f>
        <v>4.1345858317369588</v>
      </c>
      <c r="AP340" s="1">
        <f>AN340/AO340</f>
        <v>-1.7099657106477</v>
      </c>
      <c r="AQ340" s="1">
        <f>1/X340+1/W340+(AP340^2)/(2*(X340+W340))</f>
        <v>0.91033189429924111</v>
      </c>
      <c r="AR340" s="1">
        <f>1-(3/(4*(X340+W340-2)-1))</f>
        <v>0.8</v>
      </c>
      <c r="AS340" s="21">
        <f>AP340*AR340</f>
        <v>-1.3679725685181601</v>
      </c>
      <c r="AT340" s="21">
        <f>AQ340*(AR340^2)</f>
        <v>0.5826124123515144</v>
      </c>
      <c r="AU340" s="21">
        <f>SQRT(AQ340*AR340^2)</f>
        <v>0.76329051635109058</v>
      </c>
      <c r="AV340" s="20">
        <f>1/AT340</f>
        <v>1.7164069607852059</v>
      </c>
      <c r="AW340" s="20">
        <f>AS340/AT340</f>
        <v>-2.347997638767787</v>
      </c>
      <c r="AX340" s="20">
        <f>((AS340)^2)/AT340</f>
        <v>3.2119963607797448</v>
      </c>
      <c r="AY340" s="14"/>
      <c r="AZ340" s="14"/>
      <c r="BA340" s="1" t="s">
        <v>270</v>
      </c>
      <c r="BB340" s="2"/>
    </row>
    <row r="341" spans="1:63" ht="14.25" customHeight="1">
      <c r="A341" s="2">
        <v>238</v>
      </c>
      <c r="B341" s="2" t="s">
        <v>37</v>
      </c>
      <c r="C341" s="1" t="s">
        <v>85</v>
      </c>
      <c r="D341" s="1">
        <v>2021</v>
      </c>
      <c r="E341" s="1">
        <v>2017</v>
      </c>
      <c r="F341" s="1" t="s">
        <v>143</v>
      </c>
      <c r="G341" s="16" t="s">
        <v>159</v>
      </c>
      <c r="H341" s="1">
        <v>48.602961000000001</v>
      </c>
      <c r="I341" s="1">
        <v>-119.23058899999999</v>
      </c>
      <c r="J341" s="1" t="s">
        <v>128</v>
      </c>
      <c r="K341" s="1" t="s">
        <v>176</v>
      </c>
      <c r="L341" s="1" t="s">
        <v>192</v>
      </c>
      <c r="M341" s="1" t="s">
        <v>236</v>
      </c>
      <c r="N341" s="1" t="s">
        <v>238</v>
      </c>
      <c r="O341" s="1" t="s">
        <v>86</v>
      </c>
      <c r="P341" s="1" t="s">
        <v>129</v>
      </c>
      <c r="Q341" s="1" t="s">
        <v>93</v>
      </c>
      <c r="R341" s="1">
        <v>2006</v>
      </c>
      <c r="S341" s="1">
        <v>11</v>
      </c>
      <c r="T341" s="1">
        <f>S341*12</f>
        <v>132</v>
      </c>
      <c r="V341" s="1">
        <v>17000</v>
      </c>
      <c r="W341" s="1">
        <v>3</v>
      </c>
      <c r="X341" s="1">
        <v>3</v>
      </c>
      <c r="Y341" s="1" t="s">
        <v>97</v>
      </c>
      <c r="Z341" s="1" t="s">
        <v>364</v>
      </c>
      <c r="AA341" s="1" t="s">
        <v>1</v>
      </c>
      <c r="AB341" s="1" t="s">
        <v>98</v>
      </c>
      <c r="AC341" s="1" t="s">
        <v>202</v>
      </c>
      <c r="AD341" s="1" t="s">
        <v>99</v>
      </c>
      <c r="AE341" s="1" t="s">
        <v>111</v>
      </c>
      <c r="AF341" s="1" t="s">
        <v>150</v>
      </c>
      <c r="AG341" s="1" t="s">
        <v>365</v>
      </c>
      <c r="AH341" s="10">
        <v>86.12</v>
      </c>
      <c r="AI341" s="10">
        <v>16.22</v>
      </c>
      <c r="AJ341" s="10"/>
      <c r="AK341" s="1">
        <v>104.61</v>
      </c>
      <c r="AL341" s="1">
        <v>25.56</v>
      </c>
      <c r="AN341" s="12">
        <f>AH341-AK341</f>
        <v>-18.489999999999995</v>
      </c>
      <c r="AO341" s="1">
        <f>SQRT((((X341-1)*AI341^2)+((W341-1)*AL341^2))/(X341+W341-2))</f>
        <v>21.405630100513275</v>
      </c>
      <c r="AP341" s="1">
        <f>AN341/AO341</f>
        <v>-0.86379143772818123</v>
      </c>
      <c r="AQ341" s="1">
        <f>1/X341+1/W341+(AP341^2)/(2*(X341+W341))</f>
        <v>0.72884463732437654</v>
      </c>
      <c r="AR341" s="1">
        <f>1-(3/(4*(X341+W341-2)-1))</f>
        <v>0.8</v>
      </c>
      <c r="AS341" s="21">
        <f>AP341*AR341</f>
        <v>-0.69103315018254508</v>
      </c>
      <c r="AT341" s="21">
        <f>AQ341*(AR341^2)</f>
        <v>0.4664605678876011</v>
      </c>
      <c r="AU341" s="21">
        <f>SQRT(AQ341*AR341^2)</f>
        <v>0.6829791855449191</v>
      </c>
      <c r="AV341" s="20">
        <f>1/AT341</f>
        <v>2.1438039329424332</v>
      </c>
      <c r="AW341" s="20">
        <f>AS341/AT341</f>
        <v>-1.4814395851549391</v>
      </c>
      <c r="AX341" s="20">
        <f>((AS341)^2)/AT341</f>
        <v>1.0237238633347403</v>
      </c>
      <c r="AY341" s="14"/>
      <c r="AZ341" s="14"/>
      <c r="BA341" s="1" t="s">
        <v>270</v>
      </c>
      <c r="BB341" s="2"/>
    </row>
    <row r="342" spans="1:63" ht="14.25" customHeight="1">
      <c r="A342" s="2">
        <v>425</v>
      </c>
      <c r="B342" s="2" t="s">
        <v>53</v>
      </c>
      <c r="C342" s="1" t="s">
        <v>85</v>
      </c>
      <c r="D342" s="1">
        <v>2021</v>
      </c>
      <c r="F342" s="1" t="s">
        <v>143</v>
      </c>
      <c r="G342" s="1" t="s">
        <v>142</v>
      </c>
      <c r="H342" s="1">
        <v>30.75</v>
      </c>
      <c r="I342" s="1">
        <v>-84</v>
      </c>
      <c r="J342" s="1" t="s">
        <v>128</v>
      </c>
      <c r="K342" s="1" t="s">
        <v>176</v>
      </c>
      <c r="L342" s="1" t="s">
        <v>189</v>
      </c>
      <c r="M342" s="1" t="s">
        <v>236</v>
      </c>
      <c r="N342" s="16" t="s">
        <v>238</v>
      </c>
      <c r="O342" s="1" t="s">
        <v>121</v>
      </c>
      <c r="P342" s="1" t="s">
        <v>146</v>
      </c>
      <c r="Q342" s="1" t="s">
        <v>115</v>
      </c>
      <c r="R342" s="1">
        <v>2017</v>
      </c>
      <c r="S342" s="1" t="s">
        <v>156</v>
      </c>
      <c r="T342" s="1">
        <v>11</v>
      </c>
      <c r="W342" s="1">
        <v>9</v>
      </c>
      <c r="X342" s="1">
        <v>15</v>
      </c>
      <c r="Y342" s="1" t="s">
        <v>97</v>
      </c>
      <c r="Z342" s="1" t="s">
        <v>132</v>
      </c>
      <c r="AA342" s="1" t="s">
        <v>1</v>
      </c>
      <c r="AB342" s="1" t="s">
        <v>98</v>
      </c>
      <c r="AC342" s="1" t="s">
        <v>202</v>
      </c>
      <c r="AD342" s="1" t="s">
        <v>99</v>
      </c>
      <c r="AE342" s="1" t="s">
        <v>102</v>
      </c>
      <c r="AF342" s="12" t="s">
        <v>222</v>
      </c>
      <c r="AG342" s="12" t="s">
        <v>322</v>
      </c>
      <c r="AH342" s="16">
        <v>7.06</v>
      </c>
      <c r="AI342" s="12">
        <f>7.23-6.82</f>
        <v>0.41000000000000014</v>
      </c>
      <c r="AJ342" s="16"/>
      <c r="AK342" s="16">
        <v>7</v>
      </c>
      <c r="AL342" s="16">
        <f>7.2-6.81</f>
        <v>0.39000000000000057</v>
      </c>
      <c r="AM342" s="16"/>
      <c r="AN342" s="12">
        <f>AH342-AK342</f>
        <v>5.9999999999999609E-2</v>
      </c>
      <c r="AO342" s="1">
        <f>SQRT((((X342-1)*AI342^2)+((W342-1)*AL342^2))/(X342+W342-2))</f>
        <v>0.40284217527689231</v>
      </c>
      <c r="AP342" s="1">
        <f>AN342/AO342</f>
        <v>0.1489417039284896</v>
      </c>
      <c r="AQ342" s="1">
        <f>1/X342+1/W342+(AP342^2)/(2*(X342+W342))</f>
        <v>0.17823993676046779</v>
      </c>
      <c r="AR342" s="1">
        <f>1-(3/(4*(X342+W342-2)-1))</f>
        <v>0.96551724137931039</v>
      </c>
      <c r="AS342" s="21">
        <f>AP342*AR342</f>
        <v>0.14380578310336928</v>
      </c>
      <c r="AT342" s="21">
        <f>AQ342*(AR342^2)</f>
        <v>0.16615946542236237</v>
      </c>
      <c r="AU342" s="21">
        <f>SQRT(AQ342*AR342^2)</f>
        <v>0.40762662501652464</v>
      </c>
      <c r="AV342" s="20">
        <f>1/AT342</f>
        <v>6.0183149810821197</v>
      </c>
      <c r="AW342" s="20">
        <f>AS342/AT342</f>
        <v>0.8654684988172533</v>
      </c>
      <c r="AX342" s="20">
        <f>((AS342)^2)/AT342</f>
        <v>0.12445937522371255</v>
      </c>
      <c r="AY342" s="14"/>
      <c r="AZ342" s="14"/>
      <c r="BA342" s="1" t="s">
        <v>270</v>
      </c>
      <c r="BB342" s="2"/>
    </row>
    <row r="343" spans="1:63" ht="14.25" customHeight="1">
      <c r="A343" s="2">
        <v>238</v>
      </c>
      <c r="B343" s="2" t="s">
        <v>37</v>
      </c>
      <c r="C343" s="1" t="s">
        <v>85</v>
      </c>
      <c r="D343" s="1">
        <v>2021</v>
      </c>
      <c r="E343" s="1">
        <v>2017</v>
      </c>
      <c r="F343" s="1" t="s">
        <v>143</v>
      </c>
      <c r="G343" s="16" t="s">
        <v>159</v>
      </c>
      <c r="H343" s="1">
        <v>48.602961000000001</v>
      </c>
      <c r="I343" s="1">
        <v>-119.23058899999999</v>
      </c>
      <c r="J343" s="1" t="s">
        <v>128</v>
      </c>
      <c r="K343" s="1" t="s">
        <v>176</v>
      </c>
      <c r="L343" s="1" t="s">
        <v>192</v>
      </c>
      <c r="M343" s="1" t="s">
        <v>236</v>
      </c>
      <c r="N343" s="1" t="s">
        <v>238</v>
      </c>
      <c r="O343" s="1" t="s">
        <v>86</v>
      </c>
      <c r="P343" s="1" t="s">
        <v>129</v>
      </c>
      <c r="Q343" s="1" t="s">
        <v>93</v>
      </c>
      <c r="R343" s="1">
        <v>2012</v>
      </c>
      <c r="S343" s="1">
        <v>5</v>
      </c>
      <c r="T343" s="1">
        <f>S343*12</f>
        <v>60</v>
      </c>
      <c r="V343" s="1">
        <v>17000</v>
      </c>
      <c r="W343" s="1">
        <v>3</v>
      </c>
      <c r="X343" s="1">
        <v>3</v>
      </c>
      <c r="Y343" s="1" t="s">
        <v>97</v>
      </c>
      <c r="Z343" s="1" t="s">
        <v>364</v>
      </c>
      <c r="AA343" s="1" t="s">
        <v>1</v>
      </c>
      <c r="AB343" s="1" t="s">
        <v>98</v>
      </c>
      <c r="AC343" s="1" t="s">
        <v>202</v>
      </c>
      <c r="AD343" s="1" t="s">
        <v>99</v>
      </c>
      <c r="AE343" s="1" t="s">
        <v>111</v>
      </c>
      <c r="AF343" s="1" t="s">
        <v>384</v>
      </c>
      <c r="AG343" s="1" t="s">
        <v>365</v>
      </c>
      <c r="AH343" s="10">
        <v>7.48</v>
      </c>
      <c r="AI343" s="10">
        <v>3.14</v>
      </c>
      <c r="AJ343" s="10"/>
      <c r="AK343" s="1">
        <v>12.89</v>
      </c>
      <c r="AL343" s="1">
        <v>5.0999999999999996</v>
      </c>
      <c r="AN343" s="12">
        <f>AH343-AK343</f>
        <v>-5.41</v>
      </c>
      <c r="AO343" s="1">
        <f>SQRT((((X343-1)*AI343^2)+((W343-1)*AL343^2))/(X343+W343-2))</f>
        <v>4.2349498226071107</v>
      </c>
      <c r="AP343" s="1">
        <f>AN343/AO343</f>
        <v>-1.2774649586448954</v>
      </c>
      <c r="AQ343" s="1">
        <f>1/X343+1/W343+(AP343^2)/(2*(X343+W343))</f>
        <v>0.80265972671380026</v>
      </c>
      <c r="AR343" s="1">
        <f>1-(3/(4*(X343+W343-2)-1))</f>
        <v>0.8</v>
      </c>
      <c r="AS343" s="21">
        <f>AP343*AR343</f>
        <v>-1.0219719669159164</v>
      </c>
      <c r="AT343" s="21">
        <f>AQ343*(AR343^2)</f>
        <v>0.51370222509683228</v>
      </c>
      <c r="AU343" s="21">
        <f>SQRT(AQ343*AR343^2)</f>
        <v>0.71673023174471462</v>
      </c>
      <c r="AV343" s="20">
        <f>1/AT343</f>
        <v>1.9466530436217231</v>
      </c>
      <c r="AW343" s="20">
        <f>AS343/AT343</f>
        <v>-1.9894248398929475</v>
      </c>
      <c r="AX343" s="20">
        <f>((AS343)^2)/AT343</f>
        <v>2.0331364166567778</v>
      </c>
      <c r="AY343" s="14"/>
      <c r="AZ343" s="14"/>
      <c r="BA343" s="1" t="s">
        <v>270</v>
      </c>
      <c r="BB343" s="2"/>
    </row>
    <row r="344" spans="1:63" ht="14.25" customHeight="1">
      <c r="A344" s="2">
        <v>238</v>
      </c>
      <c r="B344" s="2" t="s">
        <v>37</v>
      </c>
      <c r="C344" s="1" t="s">
        <v>85</v>
      </c>
      <c r="D344" s="1">
        <v>2021</v>
      </c>
      <c r="E344" s="1">
        <v>2017</v>
      </c>
      <c r="F344" s="1" t="s">
        <v>143</v>
      </c>
      <c r="G344" s="16" t="s">
        <v>159</v>
      </c>
      <c r="H344" s="1">
        <v>48.602961000000001</v>
      </c>
      <c r="I344" s="1">
        <v>-119.23058899999999</v>
      </c>
      <c r="J344" s="1" t="s">
        <v>128</v>
      </c>
      <c r="K344" s="1" t="s">
        <v>176</v>
      </c>
      <c r="L344" s="1" t="s">
        <v>192</v>
      </c>
      <c r="M344" s="1" t="s">
        <v>236</v>
      </c>
      <c r="N344" s="1" t="s">
        <v>238</v>
      </c>
      <c r="O344" s="1" t="s">
        <v>86</v>
      </c>
      <c r="P344" s="1" t="s">
        <v>129</v>
      </c>
      <c r="Q344" s="1" t="s">
        <v>93</v>
      </c>
      <c r="R344" s="1">
        <v>2012</v>
      </c>
      <c r="S344" s="1">
        <v>5</v>
      </c>
      <c r="T344" s="1">
        <f>S344*12</f>
        <v>60</v>
      </c>
      <c r="V344" s="1">
        <v>17000</v>
      </c>
      <c r="W344" s="1">
        <v>3</v>
      </c>
      <c r="X344" s="1">
        <v>3</v>
      </c>
      <c r="Y344" s="1" t="s">
        <v>97</v>
      </c>
      <c r="Z344" s="1" t="s">
        <v>364</v>
      </c>
      <c r="AA344" s="1" t="s">
        <v>1</v>
      </c>
      <c r="AB344" s="1" t="s">
        <v>98</v>
      </c>
      <c r="AC344" s="1" t="s">
        <v>202</v>
      </c>
      <c r="AD344" s="1" t="s">
        <v>99</v>
      </c>
      <c r="AE344" s="1" t="s">
        <v>111</v>
      </c>
      <c r="AF344" s="1" t="s">
        <v>150</v>
      </c>
      <c r="AG344" s="1" t="s">
        <v>365</v>
      </c>
      <c r="AH344" s="10">
        <v>89.19</v>
      </c>
      <c r="AI344" s="10">
        <v>15</v>
      </c>
      <c r="AJ344" s="10"/>
      <c r="AK344" s="1">
        <v>104.61</v>
      </c>
      <c r="AL344" s="1">
        <v>25.56</v>
      </c>
      <c r="AN344" s="12">
        <f>AH344-AK344</f>
        <v>-15.420000000000002</v>
      </c>
      <c r="AO344" s="1">
        <f>SQRT((((X344-1)*AI344^2)+((W344-1)*AL344^2))/(X344+W344-2))</f>
        <v>20.956068333540049</v>
      </c>
      <c r="AP344" s="1">
        <f>AN344/AO344</f>
        <v>-0.73582504860038056</v>
      </c>
      <c r="AQ344" s="1">
        <f>1/X344+1/W344+(AP344^2)/(2*(X344+W344))</f>
        <v>0.71178654184564605</v>
      </c>
      <c r="AR344" s="1">
        <f>1-(3/(4*(X344+W344-2)-1))</f>
        <v>0.8</v>
      </c>
      <c r="AS344" s="21">
        <f>AP344*AR344</f>
        <v>-0.58866003888030449</v>
      </c>
      <c r="AT344" s="21">
        <f>AQ344*(AR344^2)</f>
        <v>0.45554338678121353</v>
      </c>
      <c r="AU344" s="21">
        <f>SQRT(AQ344*AR344^2)</f>
        <v>0.67493954305642334</v>
      </c>
      <c r="AV344" s="20">
        <f>1/AT344</f>
        <v>2.1951805887597615</v>
      </c>
      <c r="AW344" s="20">
        <f>AS344/AT344</f>
        <v>-1.2922150907286107</v>
      </c>
      <c r="AX344" s="20">
        <f>((AS344)^2)/AT344</f>
        <v>0.76067538555002034</v>
      </c>
      <c r="AY344" s="14"/>
      <c r="AZ344" s="14"/>
      <c r="BA344" s="1" t="s">
        <v>270</v>
      </c>
      <c r="BB344" s="2"/>
    </row>
    <row r="345" spans="1:63" ht="14.25" customHeight="1">
      <c r="A345" s="2">
        <v>96</v>
      </c>
      <c r="B345" s="2" t="s">
        <v>13</v>
      </c>
      <c r="C345" s="1" t="s">
        <v>85</v>
      </c>
      <c r="D345" s="1">
        <v>2011</v>
      </c>
      <c r="E345" s="1">
        <v>2006</v>
      </c>
      <c r="F345" s="1" t="s">
        <v>164</v>
      </c>
      <c r="G345" s="1" t="s">
        <v>161</v>
      </c>
      <c r="H345" s="1">
        <v>-41.255277999999997</v>
      </c>
      <c r="I345" s="1">
        <v>-71.281389000000004</v>
      </c>
      <c r="J345" s="1" t="s">
        <v>135</v>
      </c>
      <c r="K345" s="1" t="s">
        <v>196</v>
      </c>
      <c r="L345" s="1" t="s">
        <v>197</v>
      </c>
      <c r="M345" s="1" t="s">
        <v>237</v>
      </c>
      <c r="N345" s="1" t="s">
        <v>238</v>
      </c>
      <c r="O345" s="1" t="s">
        <v>86</v>
      </c>
      <c r="Q345" s="1" t="s">
        <v>93</v>
      </c>
      <c r="R345" s="1">
        <v>1999</v>
      </c>
      <c r="S345" s="19">
        <v>7</v>
      </c>
      <c r="T345" s="12">
        <f>S345*12</f>
        <v>84</v>
      </c>
      <c r="U345" s="9"/>
      <c r="W345" s="1">
        <v>30</v>
      </c>
      <c r="X345" s="1">
        <v>30</v>
      </c>
      <c r="Y345" s="1" t="s">
        <v>134</v>
      </c>
      <c r="Z345" s="1" t="s">
        <v>154</v>
      </c>
      <c r="AA345" s="1" t="s">
        <v>1</v>
      </c>
      <c r="AB345" s="1" t="s">
        <v>148</v>
      </c>
      <c r="AC345" s="1" t="s">
        <v>2</v>
      </c>
      <c r="AD345" s="12" t="s">
        <v>2</v>
      </c>
      <c r="AE345" s="12" t="s">
        <v>2</v>
      </c>
      <c r="AF345" s="12" t="s">
        <v>222</v>
      </c>
      <c r="AG345" s="12" t="s">
        <v>318</v>
      </c>
      <c r="AH345" s="12">
        <v>10</v>
      </c>
      <c r="AI345" s="12">
        <f>AJ345*SQRT(X345)</f>
        <v>3.2863353450309964</v>
      </c>
      <c r="AJ345" s="12">
        <v>0.6</v>
      </c>
      <c r="AK345" s="12">
        <v>9.1</v>
      </c>
      <c r="AL345" s="12">
        <f>AM345*SQRT(W345)</f>
        <v>6.0249481325568253</v>
      </c>
      <c r="AM345" s="12">
        <f>10.2-AK345</f>
        <v>1.0999999999999996</v>
      </c>
      <c r="AN345" s="12">
        <f>AH345-AK345</f>
        <v>0.90000000000000036</v>
      </c>
      <c r="AO345" s="1">
        <f>SQRT((((X345-1)*AI345^2)+((W345-1)*AL345^2))/(X345+W345-2))</f>
        <v>4.8528342234203707</v>
      </c>
      <c r="AP345" s="1">
        <f>AN345/AO345</f>
        <v>0.18545863274217991</v>
      </c>
      <c r="AQ345" s="1">
        <f>1/X345+1/W345+(AP345^2)/(2*(X345+W345))</f>
        <v>6.6953290870488319E-2</v>
      </c>
      <c r="AR345" s="1">
        <f>1-(3/(4*(X345+W345-2)-1))</f>
        <v>0.98701298701298701</v>
      </c>
      <c r="AS345" s="21">
        <f>AP345*AR345</f>
        <v>0.18305007907020354</v>
      </c>
      <c r="AT345" s="21">
        <f>AQ345*(AR345^2)</f>
        <v>6.5225536864216657E-2</v>
      </c>
      <c r="AU345" s="21">
        <f>SQRT(AQ345*AR345^2)</f>
        <v>0.25539290684006216</v>
      </c>
      <c r="AV345" s="20">
        <f>1/AT345</f>
        <v>15.331418460866811</v>
      </c>
      <c r="AW345" s="20">
        <f>AS345/AT345</f>
        <v>2.8064173615200483</v>
      </c>
      <c r="AX345" s="20">
        <f>((AS345)^2)/AT345</f>
        <v>0.51371491993023688</v>
      </c>
      <c r="AY345" s="14"/>
      <c r="AZ345" s="14"/>
      <c r="BA345" s="1" t="s">
        <v>270</v>
      </c>
      <c r="BB345" s="2"/>
    </row>
    <row r="346" spans="1:63" ht="14.25" customHeight="1">
      <c r="A346" s="2">
        <v>238</v>
      </c>
      <c r="B346" s="2" t="s">
        <v>37</v>
      </c>
      <c r="C346" s="1" t="s">
        <v>85</v>
      </c>
      <c r="D346" s="1">
        <v>2021</v>
      </c>
      <c r="E346" s="1">
        <v>2017</v>
      </c>
      <c r="F346" s="1" t="s">
        <v>143</v>
      </c>
      <c r="G346" s="16" t="s">
        <v>159</v>
      </c>
      <c r="H346" s="1">
        <v>48.602961000000001</v>
      </c>
      <c r="I346" s="1">
        <v>-119.23058899999999</v>
      </c>
      <c r="J346" s="1" t="s">
        <v>128</v>
      </c>
      <c r="K346" s="1" t="s">
        <v>176</v>
      </c>
      <c r="L346" s="1" t="s">
        <v>192</v>
      </c>
      <c r="M346" s="1" t="s">
        <v>236</v>
      </c>
      <c r="N346" s="1" t="s">
        <v>238</v>
      </c>
      <c r="O346" s="1" t="s">
        <v>86</v>
      </c>
      <c r="P346" s="1" t="s">
        <v>129</v>
      </c>
      <c r="Q346" s="1" t="s">
        <v>93</v>
      </c>
      <c r="R346" s="1">
        <v>2014</v>
      </c>
      <c r="S346" s="1">
        <v>3</v>
      </c>
      <c r="T346" s="1">
        <f>S346*12</f>
        <v>36</v>
      </c>
      <c r="V346" s="1">
        <v>17000</v>
      </c>
      <c r="W346" s="1">
        <v>3</v>
      </c>
      <c r="X346" s="1">
        <v>3</v>
      </c>
      <c r="Y346" s="1" t="s">
        <v>97</v>
      </c>
      <c r="Z346" s="1" t="s">
        <v>364</v>
      </c>
      <c r="AA346" s="1" t="s">
        <v>1</v>
      </c>
      <c r="AB346" s="1" t="s">
        <v>98</v>
      </c>
      <c r="AC346" s="1" t="s">
        <v>202</v>
      </c>
      <c r="AD346" s="1" t="s">
        <v>99</v>
      </c>
      <c r="AE346" s="1" t="s">
        <v>111</v>
      </c>
      <c r="AF346" s="1" t="s">
        <v>384</v>
      </c>
      <c r="AG346" s="1" t="s">
        <v>365</v>
      </c>
      <c r="AH346" s="1">
        <v>7.71</v>
      </c>
      <c r="AI346" s="1">
        <v>2.94</v>
      </c>
      <c r="AK346" s="1">
        <v>12.89</v>
      </c>
      <c r="AL346" s="1">
        <v>5.0999999999999996</v>
      </c>
      <c r="AN346" s="12">
        <f>AH346-AK346</f>
        <v>-5.1800000000000006</v>
      </c>
      <c r="AO346" s="1">
        <f>SQRT((((X346-1)*AI346^2)+((W346-1)*AL346^2))/(X346+W346-2))</f>
        <v>4.1625472970285875</v>
      </c>
      <c r="AP346" s="1">
        <f>AN346/AO346</f>
        <v>-1.2444303044190552</v>
      </c>
      <c r="AQ346" s="1">
        <f>1/X346+1/W346+(AP346^2)/(2*(X346+W346))</f>
        <v>0.79571723187970855</v>
      </c>
      <c r="AR346" s="1">
        <f>1-(3/(4*(X346+W346-2)-1))</f>
        <v>0.8</v>
      </c>
      <c r="AS346" s="21">
        <f>AP346*AR346</f>
        <v>-0.99554424353524418</v>
      </c>
      <c r="AT346" s="21">
        <f>AQ346*(AR346^2)</f>
        <v>0.50925902840301362</v>
      </c>
      <c r="AU346" s="21">
        <f>SQRT(AQ346*AR346^2)</f>
        <v>0.71362387039883524</v>
      </c>
      <c r="AV346" s="20">
        <f>1/AT346</f>
        <v>1.9636372537879239</v>
      </c>
      <c r="AW346" s="20">
        <f>AS346/AT346</f>
        <v>-1.954887764399923</v>
      </c>
      <c r="AX346" s="20">
        <f>((AS346)^2)/AT346</f>
        <v>1.9461772606058261</v>
      </c>
      <c r="AY346" s="14"/>
      <c r="AZ346" s="14"/>
      <c r="BA346" s="1" t="s">
        <v>270</v>
      </c>
      <c r="BB346" s="2"/>
    </row>
    <row r="347" spans="1:63" ht="14.25" customHeight="1">
      <c r="A347" s="2">
        <v>238</v>
      </c>
      <c r="B347" s="2" t="s">
        <v>37</v>
      </c>
      <c r="C347" s="1" t="s">
        <v>85</v>
      </c>
      <c r="D347" s="1">
        <v>2021</v>
      </c>
      <c r="E347" s="1">
        <v>2017</v>
      </c>
      <c r="F347" s="1" t="s">
        <v>143</v>
      </c>
      <c r="G347" s="16" t="s">
        <v>159</v>
      </c>
      <c r="H347" s="1">
        <v>48.602961000000001</v>
      </c>
      <c r="I347" s="1">
        <v>-119.23058899999999</v>
      </c>
      <c r="J347" s="1" t="s">
        <v>128</v>
      </c>
      <c r="K347" s="1" t="s">
        <v>176</v>
      </c>
      <c r="L347" s="1" t="s">
        <v>192</v>
      </c>
      <c r="M347" s="1" t="s">
        <v>236</v>
      </c>
      <c r="N347" s="1" t="s">
        <v>238</v>
      </c>
      <c r="O347" s="1" t="s">
        <v>86</v>
      </c>
      <c r="P347" s="1" t="s">
        <v>129</v>
      </c>
      <c r="Q347" s="1" t="s">
        <v>93</v>
      </c>
      <c r="R347" s="1">
        <v>2014</v>
      </c>
      <c r="S347" s="1">
        <v>3</v>
      </c>
      <c r="T347" s="1">
        <f>S347*12</f>
        <v>36</v>
      </c>
      <c r="V347" s="1">
        <v>17000</v>
      </c>
      <c r="W347" s="1">
        <v>3</v>
      </c>
      <c r="X347" s="1">
        <v>3</v>
      </c>
      <c r="Y347" s="1" t="s">
        <v>97</v>
      </c>
      <c r="Z347" s="1" t="s">
        <v>364</v>
      </c>
      <c r="AA347" s="1" t="s">
        <v>1</v>
      </c>
      <c r="AB347" s="1" t="s">
        <v>98</v>
      </c>
      <c r="AC347" s="1" t="s">
        <v>202</v>
      </c>
      <c r="AD347" s="1" t="s">
        <v>99</v>
      </c>
      <c r="AE347" s="1" t="s">
        <v>111</v>
      </c>
      <c r="AF347" s="1" t="s">
        <v>150</v>
      </c>
      <c r="AG347" s="1" t="s">
        <v>365</v>
      </c>
      <c r="AH347" s="1">
        <v>98.15</v>
      </c>
      <c r="AI347" s="1">
        <v>26.5</v>
      </c>
      <c r="AK347" s="1">
        <v>104.61</v>
      </c>
      <c r="AL347" s="1">
        <v>25.56</v>
      </c>
      <c r="AN347" s="12">
        <f>AH347-AK347</f>
        <v>-6.4599999999999937</v>
      </c>
      <c r="AO347" s="1">
        <f>SQRT((((X347-1)*AI347^2)+((W347-1)*AL347^2))/(X347+W347-2))</f>
        <v>26.034242835158466</v>
      </c>
      <c r="AP347" s="1">
        <f>AN347/AO347</f>
        <v>-0.24813473704239852</v>
      </c>
      <c r="AQ347" s="1">
        <f>1/X347+1/W347+(AP347^2)/(2*(X347+W347))</f>
        <v>0.67179757064392498</v>
      </c>
      <c r="AR347" s="1">
        <f>1-(3/(4*(X347+W347-2)-1))</f>
        <v>0.8</v>
      </c>
      <c r="AS347" s="21">
        <f>AP347*AR347</f>
        <v>-0.19850778963391882</v>
      </c>
      <c r="AT347" s="21">
        <f>AQ347*(AR347^2)</f>
        <v>0.42995044521211206</v>
      </c>
      <c r="AU347" s="21">
        <f>SQRT(AQ347*AR347^2)</f>
        <v>0.65570606616998139</v>
      </c>
      <c r="AV347" s="20">
        <f>1/AT347</f>
        <v>2.3258494348265164</v>
      </c>
      <c r="AW347" s="20">
        <f>AS347/AT347</f>
        <v>-0.46169923032871113</v>
      </c>
      <c r="AX347" s="20">
        <f>((AS347)^2)/AT347</f>
        <v>9.1650893688234022E-2</v>
      </c>
      <c r="AY347" s="14"/>
      <c r="AZ347" s="14"/>
      <c r="BA347" s="1" t="s">
        <v>270</v>
      </c>
      <c r="BB347" s="2"/>
    </row>
    <row r="348" spans="1:63" ht="14.25" customHeight="1">
      <c r="A348" s="2">
        <v>521</v>
      </c>
      <c r="B348" s="2" t="s">
        <v>67</v>
      </c>
      <c r="C348" s="12" t="s">
        <v>85</v>
      </c>
      <c r="D348" s="12">
        <v>2020</v>
      </c>
      <c r="E348" s="12">
        <v>2014</v>
      </c>
      <c r="F348" s="12" t="s">
        <v>120</v>
      </c>
      <c r="G348" s="12" t="s">
        <v>109</v>
      </c>
      <c r="H348" s="12">
        <v>41.696944000000002</v>
      </c>
      <c r="I348" s="12">
        <v>-6.2241109999999997</v>
      </c>
      <c r="J348" s="12" t="s">
        <v>128</v>
      </c>
      <c r="K348" s="12" t="s">
        <v>184</v>
      </c>
      <c r="L348" s="12" t="s">
        <v>185</v>
      </c>
      <c r="M348" s="12" t="s">
        <v>237</v>
      </c>
      <c r="N348" s="12" t="s">
        <v>238</v>
      </c>
      <c r="O348" s="12" t="s">
        <v>121</v>
      </c>
      <c r="P348" s="1" t="s">
        <v>146</v>
      </c>
      <c r="Q348" s="12" t="s">
        <v>93</v>
      </c>
      <c r="R348" s="12">
        <v>2010</v>
      </c>
      <c r="S348" s="12">
        <v>4</v>
      </c>
      <c r="T348" s="12">
        <f>S348*12</f>
        <v>48</v>
      </c>
      <c r="U348" s="12"/>
      <c r="V348" s="12"/>
      <c r="W348" s="12">
        <v>15</v>
      </c>
      <c r="X348" s="12">
        <v>15</v>
      </c>
      <c r="Y348" s="12" t="s">
        <v>97</v>
      </c>
      <c r="Z348" s="1" t="s">
        <v>147</v>
      </c>
      <c r="AA348" s="12" t="s">
        <v>0</v>
      </c>
      <c r="AB348" s="12" t="s">
        <v>98</v>
      </c>
      <c r="AC348" s="12" t="s">
        <v>202</v>
      </c>
      <c r="AD348" s="12" t="s">
        <v>99</v>
      </c>
      <c r="AE348" s="12" t="s">
        <v>111</v>
      </c>
      <c r="AF348" s="12" t="s">
        <v>222</v>
      </c>
      <c r="AG348" s="12" t="s">
        <v>330</v>
      </c>
      <c r="AH348" s="12">
        <v>71.19</v>
      </c>
      <c r="AI348" s="12">
        <f>79.28-69.26</f>
        <v>10.019999999999996</v>
      </c>
      <c r="AJ348" s="12"/>
      <c r="AK348" s="12">
        <v>69</v>
      </c>
      <c r="AL348" s="12">
        <f>73.89-60.9</f>
        <v>12.990000000000002</v>
      </c>
      <c r="AM348" s="12"/>
      <c r="AN348" s="12">
        <f>AH348-AK348</f>
        <v>2.1899999999999977</v>
      </c>
      <c r="AO348" s="12">
        <f>SQRT((((X348-1)*AI348^2)+((W348-1)*AL348^2))/(X348+W348-2))</f>
        <v>11.60044180193151</v>
      </c>
      <c r="AP348" s="12">
        <f>AN348/AO348</f>
        <v>0.18878591327748878</v>
      </c>
      <c r="AQ348" s="12">
        <f>1/X348+1/W348+(AP348^2)/(2*(X348+W348))</f>
        <v>0.13392733535086693</v>
      </c>
      <c r="AR348" s="12">
        <f>1-(3/(4*(X348+W348-2)-1))</f>
        <v>0.97297297297297303</v>
      </c>
      <c r="AS348" s="21">
        <f>AP348*AR348</f>
        <v>0.18368359129701611</v>
      </c>
      <c r="AT348" s="21">
        <f>AQ348*(AR348^2)</f>
        <v>0.12678584851331157</v>
      </c>
      <c r="AU348" s="21">
        <f>SQRT(AQ348*AR348^2)</f>
        <v>0.35607000507387809</v>
      </c>
      <c r="AV348" s="20">
        <f>1/AT348</f>
        <v>7.8873155933882284</v>
      </c>
      <c r="AW348" s="20">
        <f>AS348/AT348</f>
        <v>1.4487704538865054</v>
      </c>
      <c r="AX348" s="20">
        <f>((AS348)^2)/AT348</f>
        <v>0.26611535993488139</v>
      </c>
      <c r="AY348" s="14"/>
      <c r="AZ348" s="14"/>
      <c r="BA348" s="12" t="s">
        <v>270</v>
      </c>
      <c r="BB348" s="2"/>
      <c r="BC348" s="12"/>
      <c r="BD348" s="12"/>
      <c r="BE348" s="12"/>
      <c r="BF348" s="12"/>
      <c r="BG348" s="12"/>
      <c r="BH348" s="12"/>
      <c r="BI348" s="12"/>
      <c r="BJ348" s="12"/>
      <c r="BK348" s="12"/>
    </row>
    <row r="349" spans="1:63" ht="14.25" customHeight="1">
      <c r="A349" s="2">
        <v>238</v>
      </c>
      <c r="B349" s="2" t="s">
        <v>37</v>
      </c>
      <c r="C349" s="1" t="s">
        <v>85</v>
      </c>
      <c r="D349" s="1">
        <v>2021</v>
      </c>
      <c r="E349" s="1">
        <v>2017</v>
      </c>
      <c r="F349" s="1" t="s">
        <v>143</v>
      </c>
      <c r="G349" s="16" t="s">
        <v>159</v>
      </c>
      <c r="H349" s="1">
        <v>48.602961000000001</v>
      </c>
      <c r="I349" s="1">
        <v>-119.23058899999999</v>
      </c>
      <c r="J349" s="1" t="s">
        <v>128</v>
      </c>
      <c r="K349" s="1" t="s">
        <v>176</v>
      </c>
      <c r="L349" s="1" t="s">
        <v>192</v>
      </c>
      <c r="M349" s="1" t="s">
        <v>236</v>
      </c>
      <c r="N349" s="1" t="s">
        <v>238</v>
      </c>
      <c r="O349" s="1" t="s">
        <v>86</v>
      </c>
      <c r="P349" s="1" t="s">
        <v>129</v>
      </c>
      <c r="Q349" s="1" t="s">
        <v>93</v>
      </c>
      <c r="R349" s="1">
        <v>2016</v>
      </c>
      <c r="S349" s="1">
        <v>2</v>
      </c>
      <c r="T349" s="1">
        <f>S349*12</f>
        <v>24</v>
      </c>
      <c r="V349" s="1">
        <v>17000</v>
      </c>
      <c r="W349" s="1">
        <v>3</v>
      </c>
      <c r="X349" s="1">
        <v>3</v>
      </c>
      <c r="Y349" s="1" t="s">
        <v>97</v>
      </c>
      <c r="Z349" s="1" t="s">
        <v>364</v>
      </c>
      <c r="AA349" s="1" t="s">
        <v>1</v>
      </c>
      <c r="AB349" s="1" t="s">
        <v>98</v>
      </c>
      <c r="AC349" s="1" t="s">
        <v>202</v>
      </c>
      <c r="AD349" s="1" t="s">
        <v>99</v>
      </c>
      <c r="AE349" s="1" t="s">
        <v>111</v>
      </c>
      <c r="AF349" s="1" t="s">
        <v>384</v>
      </c>
      <c r="AG349" s="1" t="s">
        <v>365</v>
      </c>
      <c r="AH349" s="1">
        <v>8.0399999999999991</v>
      </c>
      <c r="AI349" s="1">
        <v>3.63</v>
      </c>
      <c r="AK349" s="1">
        <v>12.89</v>
      </c>
      <c r="AL349" s="1">
        <v>5.0999999999999996</v>
      </c>
      <c r="AN349" s="12">
        <f>AH349-AK349</f>
        <v>-4.8500000000000014</v>
      </c>
      <c r="AO349" s="1">
        <f>SQRT((((X349-1)*AI349^2)+((W349-1)*AL349^2))/(X349+W349-2))</f>
        <v>4.4264489153270477</v>
      </c>
      <c r="AP349" s="1">
        <f>AN349/AO349</f>
        <v>-1.0956864278284932</v>
      </c>
      <c r="AQ349" s="1">
        <f>1/X349+1/W349+(AP349^2)/(2*(X349+W349))</f>
        <v>0.76671072901063031</v>
      </c>
      <c r="AR349" s="1">
        <f>1-(3/(4*(X349+W349-2)-1))</f>
        <v>0.8</v>
      </c>
      <c r="AS349" s="21">
        <f>AP349*AR349</f>
        <v>-0.87654914226279468</v>
      </c>
      <c r="AT349" s="21">
        <f>AQ349*(AR349^2)</f>
        <v>0.4906948665668035</v>
      </c>
      <c r="AU349" s="21">
        <f>SQRT(AQ349*AR349^2)</f>
        <v>0.70049615742472382</v>
      </c>
      <c r="AV349" s="20">
        <f>1/AT349</f>
        <v>2.0379263532887588</v>
      </c>
      <c r="AW349" s="20">
        <f>AS349/AT349</f>
        <v>-1.7863425969700066</v>
      </c>
      <c r="AX349" s="20">
        <f>((AS349)^2)/AT349</f>
        <v>1.5658170711615524</v>
      </c>
      <c r="AY349" s="14"/>
      <c r="AZ349" s="14"/>
      <c r="BA349" s="1" t="s">
        <v>270</v>
      </c>
      <c r="BB349" s="2"/>
    </row>
    <row r="350" spans="1:63" ht="14.25" customHeight="1">
      <c r="A350" s="2">
        <v>238</v>
      </c>
      <c r="B350" s="2" t="s">
        <v>37</v>
      </c>
      <c r="C350" s="1" t="s">
        <v>85</v>
      </c>
      <c r="D350" s="1">
        <v>2021</v>
      </c>
      <c r="E350" s="1">
        <v>2017</v>
      </c>
      <c r="F350" s="1" t="s">
        <v>143</v>
      </c>
      <c r="G350" s="16" t="s">
        <v>159</v>
      </c>
      <c r="H350" s="1">
        <v>48.602961000000001</v>
      </c>
      <c r="I350" s="1">
        <v>-119.23058899999999</v>
      </c>
      <c r="J350" s="1" t="s">
        <v>128</v>
      </c>
      <c r="K350" s="1" t="s">
        <v>176</v>
      </c>
      <c r="L350" s="1" t="s">
        <v>192</v>
      </c>
      <c r="M350" s="1" t="s">
        <v>236</v>
      </c>
      <c r="N350" s="1" t="s">
        <v>238</v>
      </c>
      <c r="O350" s="1" t="s">
        <v>86</v>
      </c>
      <c r="P350" s="1" t="s">
        <v>129</v>
      </c>
      <c r="Q350" s="1" t="s">
        <v>93</v>
      </c>
      <c r="R350" s="1">
        <v>2016</v>
      </c>
      <c r="S350" s="1">
        <v>2</v>
      </c>
      <c r="T350" s="1">
        <f>S350*12</f>
        <v>24</v>
      </c>
      <c r="V350" s="1">
        <v>17000</v>
      </c>
      <c r="W350" s="1">
        <v>3</v>
      </c>
      <c r="X350" s="1">
        <v>3</v>
      </c>
      <c r="Y350" s="1" t="s">
        <v>97</v>
      </c>
      <c r="Z350" s="1" t="s">
        <v>364</v>
      </c>
      <c r="AA350" s="1" t="s">
        <v>1</v>
      </c>
      <c r="AB350" s="1" t="s">
        <v>98</v>
      </c>
      <c r="AC350" s="1" t="s">
        <v>202</v>
      </c>
      <c r="AD350" s="1" t="s">
        <v>99</v>
      </c>
      <c r="AE350" s="1" t="s">
        <v>111</v>
      </c>
      <c r="AF350" s="1" t="s">
        <v>150</v>
      </c>
      <c r="AG350" s="1" t="s">
        <v>365</v>
      </c>
      <c r="AH350" s="1">
        <v>93.41</v>
      </c>
      <c r="AI350" s="1">
        <v>25.79</v>
      </c>
      <c r="AK350" s="1">
        <v>104.61</v>
      </c>
      <c r="AL350" s="1">
        <v>25.56</v>
      </c>
      <c r="AN350" s="12">
        <f>AH350-AK350</f>
        <v>-11.200000000000003</v>
      </c>
      <c r="AO350" s="1">
        <f>SQRT((((X350-1)*AI350^2)+((W350-1)*AL350^2))/(X350+W350-2))</f>
        <v>25.675257544959504</v>
      </c>
      <c r="AP350" s="1">
        <f>AN350/AO350</f>
        <v>-0.43621763015961473</v>
      </c>
      <c r="AQ350" s="1">
        <f>1/X350+1/W350+(AP350^2)/(2*(X350+W350))</f>
        <v>0.68252381840517251</v>
      </c>
      <c r="AR350" s="1">
        <f>1-(3/(4*(X350+W350-2)-1))</f>
        <v>0.8</v>
      </c>
      <c r="AS350" s="21">
        <f>AP350*AR350</f>
        <v>-0.34897410412769181</v>
      </c>
      <c r="AT350" s="21">
        <f>AQ350*(AR350^2)</f>
        <v>0.43681524377931047</v>
      </c>
      <c r="AU350" s="21">
        <f>SQRT(AQ350*AR350^2)</f>
        <v>0.66091999801739276</v>
      </c>
      <c r="AV350" s="20">
        <f>1/AT350</f>
        <v>2.2892973957319676</v>
      </c>
      <c r="AW350" s="20">
        <f>AS350/AT350</f>
        <v>-0.79890550775742131</v>
      </c>
      <c r="AX350" s="20">
        <f>((AS350)^2)/AT350</f>
        <v>0.27879733385232486</v>
      </c>
      <c r="AY350" s="14"/>
      <c r="AZ350" s="14"/>
      <c r="BA350" s="1" t="s">
        <v>270</v>
      </c>
      <c r="BB350" s="2"/>
    </row>
    <row r="351" spans="1:63" ht="14.25" customHeight="1">
      <c r="A351" s="2">
        <v>238</v>
      </c>
      <c r="B351" s="2" t="s">
        <v>37</v>
      </c>
      <c r="C351" s="1" t="s">
        <v>85</v>
      </c>
      <c r="D351" s="1">
        <v>2021</v>
      </c>
      <c r="E351" s="1">
        <v>2017</v>
      </c>
      <c r="F351" s="1" t="s">
        <v>143</v>
      </c>
      <c r="G351" s="16" t="s">
        <v>159</v>
      </c>
      <c r="H351" s="1">
        <v>48.602961000000001</v>
      </c>
      <c r="I351" s="1">
        <v>-119.23058899999999</v>
      </c>
      <c r="J351" s="1" t="s">
        <v>128</v>
      </c>
      <c r="K351" s="1" t="s">
        <v>176</v>
      </c>
      <c r="L351" s="1" t="s">
        <v>192</v>
      </c>
      <c r="M351" s="1" t="s">
        <v>236</v>
      </c>
      <c r="N351" s="1" t="s">
        <v>238</v>
      </c>
      <c r="O351" s="1" t="s">
        <v>86</v>
      </c>
      <c r="P351" s="1" t="s">
        <v>129</v>
      </c>
      <c r="Q351" s="1" t="s">
        <v>93</v>
      </c>
      <c r="R351" s="1">
        <v>2006</v>
      </c>
      <c r="S351" s="1">
        <v>11</v>
      </c>
      <c r="T351" s="16">
        <f t="shared" ref="T351:T354" si="36">S351*12</f>
        <v>132</v>
      </c>
      <c r="V351" s="1">
        <v>17000</v>
      </c>
      <c r="W351" s="1">
        <v>3</v>
      </c>
      <c r="X351" s="1">
        <v>3</v>
      </c>
      <c r="Y351" s="1" t="s">
        <v>97</v>
      </c>
      <c r="Z351" s="1" t="s">
        <v>364</v>
      </c>
      <c r="AA351" s="1" t="s">
        <v>1</v>
      </c>
      <c r="AB351" s="1" t="s">
        <v>98</v>
      </c>
      <c r="AC351" s="1" t="s">
        <v>202</v>
      </c>
      <c r="AD351" s="1" t="s">
        <v>99</v>
      </c>
      <c r="AE351" s="1" t="s">
        <v>111</v>
      </c>
      <c r="AF351" s="1" t="s">
        <v>256</v>
      </c>
      <c r="AG351" s="1" t="s">
        <v>366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" t="s">
        <v>285</v>
      </c>
    </row>
    <row r="352" spans="1:63" ht="14.25" customHeight="1">
      <c r="A352" s="2">
        <v>238</v>
      </c>
      <c r="B352" s="2" t="s">
        <v>37</v>
      </c>
      <c r="C352" s="1" t="s">
        <v>85</v>
      </c>
      <c r="D352" s="1">
        <v>2021</v>
      </c>
      <c r="E352" s="1">
        <v>2017</v>
      </c>
      <c r="F352" s="1" t="s">
        <v>143</v>
      </c>
      <c r="G352" s="16" t="s">
        <v>159</v>
      </c>
      <c r="H352" s="1">
        <v>48.602961000000001</v>
      </c>
      <c r="I352" s="1">
        <v>-119.23058899999999</v>
      </c>
      <c r="J352" s="1" t="s">
        <v>128</v>
      </c>
      <c r="K352" s="1" t="s">
        <v>176</v>
      </c>
      <c r="L352" s="1" t="s">
        <v>192</v>
      </c>
      <c r="M352" s="1" t="s">
        <v>236</v>
      </c>
      <c r="N352" s="1" t="s">
        <v>238</v>
      </c>
      <c r="O352" s="1" t="s">
        <v>86</v>
      </c>
      <c r="P352" s="1" t="s">
        <v>129</v>
      </c>
      <c r="Q352" s="1" t="s">
        <v>93</v>
      </c>
      <c r="R352" s="1">
        <v>2012</v>
      </c>
      <c r="S352" s="1">
        <v>5</v>
      </c>
      <c r="T352" s="16">
        <f t="shared" si="36"/>
        <v>60</v>
      </c>
      <c r="V352" s="1">
        <v>17000</v>
      </c>
      <c r="W352" s="1">
        <v>3</v>
      </c>
      <c r="X352" s="1">
        <v>3</v>
      </c>
      <c r="Y352" s="1" t="s">
        <v>97</v>
      </c>
      <c r="Z352" s="1" t="s">
        <v>364</v>
      </c>
      <c r="AA352" s="1" t="s">
        <v>1</v>
      </c>
      <c r="AB352" s="1" t="s">
        <v>98</v>
      </c>
      <c r="AC352" s="1" t="s">
        <v>202</v>
      </c>
      <c r="AD352" s="1" t="s">
        <v>99</v>
      </c>
      <c r="AE352" s="1" t="s">
        <v>111</v>
      </c>
      <c r="AF352" s="1" t="s">
        <v>256</v>
      </c>
      <c r="AG352" s="1" t="s">
        <v>366</v>
      </c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" t="s">
        <v>285</v>
      </c>
    </row>
    <row r="353" spans="1:63" ht="14.25" customHeight="1">
      <c r="A353" s="2">
        <v>238</v>
      </c>
      <c r="B353" s="2" t="s">
        <v>37</v>
      </c>
      <c r="C353" s="1" t="s">
        <v>85</v>
      </c>
      <c r="D353" s="1">
        <v>2021</v>
      </c>
      <c r="E353" s="1">
        <v>2017</v>
      </c>
      <c r="F353" s="1" t="s">
        <v>143</v>
      </c>
      <c r="G353" s="16" t="s">
        <v>159</v>
      </c>
      <c r="H353" s="1">
        <v>48.602961000000001</v>
      </c>
      <c r="I353" s="1">
        <v>-119.23058899999999</v>
      </c>
      <c r="J353" s="1" t="s">
        <v>128</v>
      </c>
      <c r="K353" s="1" t="s">
        <v>176</v>
      </c>
      <c r="L353" s="1" t="s">
        <v>192</v>
      </c>
      <c r="M353" s="1" t="s">
        <v>236</v>
      </c>
      <c r="N353" s="1" t="s">
        <v>238</v>
      </c>
      <c r="O353" s="1" t="s">
        <v>86</v>
      </c>
      <c r="P353" s="1" t="s">
        <v>129</v>
      </c>
      <c r="Q353" s="1" t="s">
        <v>93</v>
      </c>
      <c r="R353" s="1">
        <v>2014</v>
      </c>
      <c r="S353" s="1">
        <v>3</v>
      </c>
      <c r="T353" s="16">
        <f t="shared" si="36"/>
        <v>36</v>
      </c>
      <c r="V353" s="1">
        <v>17000</v>
      </c>
      <c r="W353" s="1">
        <v>3</v>
      </c>
      <c r="X353" s="1">
        <v>3</v>
      </c>
      <c r="Y353" s="1" t="s">
        <v>97</v>
      </c>
      <c r="Z353" s="1" t="s">
        <v>364</v>
      </c>
      <c r="AA353" s="1" t="s">
        <v>1</v>
      </c>
      <c r="AB353" s="1" t="s">
        <v>98</v>
      </c>
      <c r="AC353" s="1" t="s">
        <v>202</v>
      </c>
      <c r="AD353" s="1" t="s">
        <v>99</v>
      </c>
      <c r="AE353" s="1" t="s">
        <v>111</v>
      </c>
      <c r="AF353" s="1" t="s">
        <v>256</v>
      </c>
      <c r="AG353" s="1" t="s">
        <v>366</v>
      </c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" t="s">
        <v>285</v>
      </c>
    </row>
    <row r="354" spans="1:63" ht="14.25" customHeight="1">
      <c r="A354" s="2">
        <v>238</v>
      </c>
      <c r="B354" s="2" t="s">
        <v>37</v>
      </c>
      <c r="C354" s="1" t="s">
        <v>85</v>
      </c>
      <c r="D354" s="1">
        <v>2021</v>
      </c>
      <c r="E354" s="1">
        <v>2017</v>
      </c>
      <c r="F354" s="1" t="s">
        <v>143</v>
      </c>
      <c r="G354" s="16" t="s">
        <v>159</v>
      </c>
      <c r="H354" s="1">
        <v>48.602961000000001</v>
      </c>
      <c r="I354" s="1">
        <v>-119.23058899999999</v>
      </c>
      <c r="J354" s="1" t="s">
        <v>128</v>
      </c>
      <c r="K354" s="1" t="s">
        <v>176</v>
      </c>
      <c r="L354" s="1" t="s">
        <v>192</v>
      </c>
      <c r="M354" s="1" t="s">
        <v>236</v>
      </c>
      <c r="N354" s="1" t="s">
        <v>238</v>
      </c>
      <c r="O354" s="1" t="s">
        <v>86</v>
      </c>
      <c r="P354" s="1" t="s">
        <v>129</v>
      </c>
      <c r="Q354" s="1" t="s">
        <v>93</v>
      </c>
      <c r="R354" s="1">
        <v>2016</v>
      </c>
      <c r="S354" s="1">
        <v>2</v>
      </c>
      <c r="T354" s="16">
        <f t="shared" si="36"/>
        <v>24</v>
      </c>
      <c r="V354" s="1">
        <v>17000</v>
      </c>
      <c r="W354" s="1">
        <v>3</v>
      </c>
      <c r="X354" s="1">
        <v>3</v>
      </c>
      <c r="Y354" s="1" t="s">
        <v>97</v>
      </c>
      <c r="Z354" s="1" t="s">
        <v>364</v>
      </c>
      <c r="AA354" s="1" t="s">
        <v>1</v>
      </c>
      <c r="AB354" s="1" t="s">
        <v>98</v>
      </c>
      <c r="AC354" s="1" t="s">
        <v>202</v>
      </c>
      <c r="AD354" s="1" t="s">
        <v>99</v>
      </c>
      <c r="AE354" s="1" t="s">
        <v>111</v>
      </c>
      <c r="AF354" s="1" t="s">
        <v>256</v>
      </c>
      <c r="AG354" s="1" t="s">
        <v>366</v>
      </c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" t="s">
        <v>285</v>
      </c>
    </row>
    <row r="355" spans="1:63" ht="14.25" customHeight="1">
      <c r="A355" s="2">
        <v>279</v>
      </c>
      <c r="B355" s="2" t="s">
        <v>43</v>
      </c>
      <c r="C355" s="1" t="s">
        <v>85</v>
      </c>
      <c r="D355" s="1">
        <v>2015</v>
      </c>
      <c r="E355" s="1">
        <v>2011</v>
      </c>
      <c r="F355" s="1" t="s">
        <v>143</v>
      </c>
      <c r="G355" s="1" t="s">
        <v>142</v>
      </c>
      <c r="H355" s="1">
        <v>33.056356000000001</v>
      </c>
      <c r="I355" s="1">
        <v>-83.680222000000001</v>
      </c>
      <c r="J355" s="1" t="s">
        <v>128</v>
      </c>
      <c r="K355" s="1" t="s">
        <v>176</v>
      </c>
      <c r="L355" s="1" t="s">
        <v>208</v>
      </c>
      <c r="M355" s="1" t="s">
        <v>236</v>
      </c>
      <c r="N355" s="1" t="s">
        <v>238</v>
      </c>
      <c r="O355" s="1" t="s">
        <v>121</v>
      </c>
      <c r="P355" s="1" t="s">
        <v>146</v>
      </c>
      <c r="Q355" s="1" t="s">
        <v>93</v>
      </c>
      <c r="R355" s="1">
        <v>2001</v>
      </c>
      <c r="S355" s="1">
        <v>10</v>
      </c>
      <c r="T355" s="12">
        <f>S355*12</f>
        <v>120</v>
      </c>
      <c r="U355" s="1" t="s">
        <v>351</v>
      </c>
      <c r="W355" s="1">
        <v>4</v>
      </c>
      <c r="X355" s="1">
        <v>4</v>
      </c>
      <c r="Y355" s="1" t="s">
        <v>97</v>
      </c>
      <c r="Z355" s="1" t="s">
        <v>133</v>
      </c>
      <c r="AA355" s="1" t="s">
        <v>1</v>
      </c>
      <c r="AB355" s="1" t="s">
        <v>98</v>
      </c>
      <c r="AC355" s="1" t="s">
        <v>202</v>
      </c>
      <c r="AD355" s="1" t="s">
        <v>99</v>
      </c>
      <c r="AE355" s="1" t="s">
        <v>102</v>
      </c>
      <c r="AF355" s="1" t="s">
        <v>222</v>
      </c>
      <c r="AG355" s="1" t="s">
        <v>331</v>
      </c>
      <c r="AH355" s="1">
        <v>687.5</v>
      </c>
      <c r="AI355" s="1">
        <v>43.02</v>
      </c>
      <c r="AK355" s="1">
        <v>668</v>
      </c>
      <c r="AL355" s="1">
        <v>77.42</v>
      </c>
      <c r="AN355" s="12">
        <f>AH355-AK355</f>
        <v>19.5</v>
      </c>
      <c r="AO355" s="1">
        <f>SQRT((((X355-1)*AI355^2)+((W355-1)*AL355^2))/(X355+W355-2))</f>
        <v>62.628175767780441</v>
      </c>
      <c r="AP355" s="1">
        <f>AN355/AO355</f>
        <v>0.31136145610091248</v>
      </c>
      <c r="AQ355" s="1">
        <f>1/X355+1/W355+(AP355^2)/(2*(X355+W355))</f>
        <v>0.50605912227158001</v>
      </c>
      <c r="AR355" s="1">
        <f>1-(3/(4*(X355+W355-2)-1))</f>
        <v>0.86956521739130432</v>
      </c>
      <c r="AS355" s="21">
        <f>AP355*AR355</f>
        <v>0.27074909226166299</v>
      </c>
      <c r="AT355" s="21">
        <f>AQ355*(AR355^2)</f>
        <v>0.38265340058342534</v>
      </c>
      <c r="AU355" s="21">
        <f>SQRT(AQ355*AR355^2)</f>
        <v>0.61858984843224296</v>
      </c>
      <c r="AV355" s="20">
        <f>1/AT355</f>
        <v>2.6133310156797678</v>
      </c>
      <c r="AW355" s="20">
        <f>AS355/AT355</f>
        <v>0.70755700027454693</v>
      </c>
      <c r="AX355" s="20">
        <f>((AS355)^2)/AT355</f>
        <v>0.19157041554771881</v>
      </c>
      <c r="AY355" s="14"/>
      <c r="AZ355" s="14"/>
      <c r="BA355" s="1" t="s">
        <v>270</v>
      </c>
      <c r="BB355" s="2"/>
    </row>
    <row r="356" spans="1:63" ht="14.25" customHeight="1">
      <c r="A356" s="2">
        <v>534</v>
      </c>
      <c r="B356" s="2" t="s">
        <v>68</v>
      </c>
      <c r="C356" s="1" t="s">
        <v>85</v>
      </c>
      <c r="D356" s="1">
        <v>2022</v>
      </c>
      <c r="E356" s="1">
        <v>2018</v>
      </c>
      <c r="F356" s="1" t="s">
        <v>143</v>
      </c>
      <c r="G356" s="1" t="s">
        <v>109</v>
      </c>
      <c r="H356" s="1">
        <v>33.299100000000003</v>
      </c>
      <c r="I356" s="1">
        <v>-116.800786</v>
      </c>
      <c r="J356" s="1" t="s">
        <v>128</v>
      </c>
      <c r="K356" s="1" t="s">
        <v>218</v>
      </c>
      <c r="L356" s="1" t="s">
        <v>219</v>
      </c>
      <c r="M356" s="1" t="s">
        <v>237</v>
      </c>
      <c r="N356" s="1" t="s">
        <v>238</v>
      </c>
      <c r="O356" s="1" t="s">
        <v>86</v>
      </c>
      <c r="P356" s="1" t="s">
        <v>210</v>
      </c>
      <c r="Q356" s="1" t="s">
        <v>93</v>
      </c>
      <c r="R356" s="1">
        <v>2018</v>
      </c>
      <c r="S356" s="1" t="s">
        <v>367</v>
      </c>
      <c r="T356" s="23">
        <f>2/4.345</f>
        <v>0.46029919447640971</v>
      </c>
      <c r="V356" s="1">
        <v>9400</v>
      </c>
      <c r="W356" s="1">
        <v>3</v>
      </c>
      <c r="X356" s="1">
        <v>6</v>
      </c>
      <c r="Y356" s="1" t="s">
        <v>97</v>
      </c>
      <c r="Z356" s="1" t="s">
        <v>133</v>
      </c>
      <c r="AA356" s="1" t="s">
        <v>0</v>
      </c>
      <c r="AB356" s="1" t="s">
        <v>98</v>
      </c>
      <c r="AC356" s="1" t="s">
        <v>202</v>
      </c>
      <c r="AD356" s="1" t="s">
        <v>99</v>
      </c>
      <c r="AE356" s="1" t="s">
        <v>102</v>
      </c>
      <c r="AF356" s="1" t="s">
        <v>384</v>
      </c>
      <c r="AG356" s="1" t="s">
        <v>366</v>
      </c>
      <c r="AH356" s="1">
        <v>4.55</v>
      </c>
      <c r="AI356" s="1">
        <f>AJ356*SQRT(X356)</f>
        <v>4.1886274601592337</v>
      </c>
      <c r="AJ356" s="1">
        <f>5.41-3.7</f>
        <v>1.71</v>
      </c>
      <c r="AK356" s="1">
        <v>5.45</v>
      </c>
      <c r="AL356" s="1">
        <f>AM356*SQRT(W356)</f>
        <v>5.0922293742524998</v>
      </c>
      <c r="AM356" s="1">
        <f>6.9-3.96</f>
        <v>2.9400000000000004</v>
      </c>
      <c r="AN356" s="12">
        <f>AH356-AK356</f>
        <v>-0.90000000000000036</v>
      </c>
      <c r="AO356" s="1">
        <f>SQRT((((X356-1)*AI356^2)+((W356-1)*AL356^2))/(X356+W356-2))</f>
        <v>4.4654962930067628</v>
      </c>
      <c r="AP356" s="1">
        <f>AN356/AO356</f>
        <v>-0.20154534702211147</v>
      </c>
      <c r="AQ356" s="1">
        <f>1/X356+1/W356+(AP356^2)/(2*(X356+W356))</f>
        <v>0.50225669593923683</v>
      </c>
      <c r="AR356" s="1">
        <f>1-(3/(4*(X356+W356-2)-1))</f>
        <v>0.88888888888888884</v>
      </c>
      <c r="AS356" s="21">
        <f>AP356*AR356</f>
        <v>-0.17915141957521019</v>
      </c>
      <c r="AT356" s="21">
        <f>AQ356*(AR356^2)</f>
        <v>0.39684479679149576</v>
      </c>
      <c r="AU356" s="21">
        <f>SQRT(AQ356*AR356^2)</f>
        <v>0.62995618640624185</v>
      </c>
      <c r="AV356" s="20">
        <f>1/AT356</f>
        <v>2.519876808477862</v>
      </c>
      <c r="AW356" s="20">
        <f>AS356/AT356</f>
        <v>-0.45143950739345901</v>
      </c>
      <c r="AX356" s="20">
        <f>((AS356)^2)/AT356</f>
        <v>8.0876028601871791E-2</v>
      </c>
      <c r="AY356" s="14"/>
      <c r="AZ356" s="14"/>
      <c r="BA356" s="1" t="s">
        <v>270</v>
      </c>
      <c r="BB356" s="2"/>
    </row>
    <row r="357" spans="1:63" ht="14.25" customHeight="1">
      <c r="A357" s="2">
        <v>534</v>
      </c>
      <c r="B357" s="2" t="s">
        <v>68</v>
      </c>
      <c r="C357" s="1" t="s">
        <v>85</v>
      </c>
      <c r="D357" s="1">
        <v>2022</v>
      </c>
      <c r="E357" s="1">
        <v>2018</v>
      </c>
      <c r="F357" s="1" t="s">
        <v>143</v>
      </c>
      <c r="G357" s="1" t="s">
        <v>109</v>
      </c>
      <c r="H357" s="1">
        <v>33.299100000000003</v>
      </c>
      <c r="I357" s="1">
        <v>-116.800786</v>
      </c>
      <c r="J357" s="1" t="s">
        <v>128</v>
      </c>
      <c r="K357" s="1" t="s">
        <v>218</v>
      </c>
      <c r="L357" s="1" t="s">
        <v>219</v>
      </c>
      <c r="M357" s="1" t="s">
        <v>237</v>
      </c>
      <c r="N357" s="1" t="s">
        <v>238</v>
      </c>
      <c r="O357" s="1" t="s">
        <v>86</v>
      </c>
      <c r="P357" s="1" t="s">
        <v>210</v>
      </c>
      <c r="Q357" s="1" t="s">
        <v>93</v>
      </c>
      <c r="R357" s="1">
        <v>2018</v>
      </c>
      <c r="S357" s="1" t="s">
        <v>367</v>
      </c>
      <c r="T357" s="23">
        <f>2/4.345</f>
        <v>0.46029919447640971</v>
      </c>
      <c r="V357" s="1">
        <v>9400</v>
      </c>
      <c r="W357" s="1">
        <v>3</v>
      </c>
      <c r="X357" s="1">
        <v>6</v>
      </c>
      <c r="Y357" s="1" t="s">
        <v>97</v>
      </c>
      <c r="Z357" s="1" t="s">
        <v>133</v>
      </c>
      <c r="AA357" s="1" t="s">
        <v>0</v>
      </c>
      <c r="AB357" s="1" t="s">
        <v>98</v>
      </c>
      <c r="AC357" s="1" t="s">
        <v>202</v>
      </c>
      <c r="AD357" s="1" t="s">
        <v>99</v>
      </c>
      <c r="AE357" s="1" t="s">
        <v>102</v>
      </c>
      <c r="AF357" s="1" t="s">
        <v>312</v>
      </c>
      <c r="AG357" s="1" t="s">
        <v>366</v>
      </c>
      <c r="AH357" s="1">
        <v>0.45</v>
      </c>
      <c r="AI357" s="1">
        <f>AJ357*SQRT(X357)</f>
        <v>0.73484692283495334</v>
      </c>
      <c r="AJ357" s="1">
        <f>0.59-0.29</f>
        <v>0.3</v>
      </c>
      <c r="AK357" s="1">
        <v>0.82</v>
      </c>
      <c r="AL357" s="1">
        <f>AM357*SQRT(W357)</f>
        <v>1.3163586137523466</v>
      </c>
      <c r="AM357" s="1">
        <f>1.19-0.43</f>
        <v>0.76</v>
      </c>
      <c r="AN357" s="12">
        <f>AH357-AK357</f>
        <v>-0.36999999999999994</v>
      </c>
      <c r="AO357" s="1">
        <f>SQRT((((X357-1)*AI357^2)+((W357-1)*AL357^2))/(X357+W357-2))</f>
        <v>0.93850945653200524</v>
      </c>
      <c r="AP357" s="1">
        <f>AN357/AO357</f>
        <v>-0.39424216498279058</v>
      </c>
      <c r="AQ357" s="1">
        <f>1/X357+1/W357+(AP357^2)/(2*(X357+W357))</f>
        <v>0.50863482692501771</v>
      </c>
      <c r="AR357" s="1">
        <f>1-(3/(4*(X357+W357-2)-1))</f>
        <v>0.88888888888888884</v>
      </c>
      <c r="AS357" s="21">
        <f>AP357*AR357</f>
        <v>-0.3504374799847027</v>
      </c>
      <c r="AT357" s="21">
        <f>AQ357*(AR357^2)</f>
        <v>0.40188430769384115</v>
      </c>
      <c r="AU357" s="21">
        <f>SQRT(AQ357*AR357^2)</f>
        <v>0.63394345780506411</v>
      </c>
      <c r="AV357" s="20">
        <f>1/AT357</f>
        <v>2.48827829516003</v>
      </c>
      <c r="AW357" s="20">
        <f>AS357/AT357</f>
        <v>-0.87198597525651322</v>
      </c>
      <c r="AX357" s="20">
        <f>((AS357)^2)/AT357</f>
        <v>0.30557656775089581</v>
      </c>
      <c r="AY357" s="14"/>
      <c r="AZ357" s="14"/>
      <c r="BA357" s="1" t="s">
        <v>270</v>
      </c>
      <c r="BB357" s="2"/>
    </row>
    <row r="358" spans="1:63" ht="14.25" customHeight="1">
      <c r="A358" s="2">
        <v>534</v>
      </c>
      <c r="B358" s="2" t="s">
        <v>68</v>
      </c>
      <c r="C358" s="1" t="s">
        <v>85</v>
      </c>
      <c r="D358" s="1">
        <v>2022</v>
      </c>
      <c r="E358" s="1">
        <v>2018</v>
      </c>
      <c r="F358" s="1" t="s">
        <v>143</v>
      </c>
      <c r="G358" s="1" t="s">
        <v>109</v>
      </c>
      <c r="H358" s="1">
        <v>33.299100000000003</v>
      </c>
      <c r="I358" s="1">
        <v>-116.800786</v>
      </c>
      <c r="J358" s="1" t="s">
        <v>128</v>
      </c>
      <c r="K358" s="1" t="s">
        <v>218</v>
      </c>
      <c r="L358" s="1" t="s">
        <v>219</v>
      </c>
      <c r="M358" s="1" t="s">
        <v>237</v>
      </c>
      <c r="N358" s="1" t="s">
        <v>238</v>
      </c>
      <c r="O358" s="1" t="s">
        <v>86</v>
      </c>
      <c r="P358" s="1" t="s">
        <v>210</v>
      </c>
      <c r="Q358" s="1" t="s">
        <v>93</v>
      </c>
      <c r="R358" s="1">
        <v>2018</v>
      </c>
      <c r="S358" s="1" t="s">
        <v>367</v>
      </c>
      <c r="T358" s="23">
        <f>2/4.345</f>
        <v>0.46029919447640971</v>
      </c>
      <c r="V358" s="1">
        <v>9400</v>
      </c>
      <c r="W358" s="1">
        <v>3</v>
      </c>
      <c r="X358" s="1">
        <v>6</v>
      </c>
      <c r="Y358" s="1" t="s">
        <v>97</v>
      </c>
      <c r="Z358" s="1" t="s">
        <v>133</v>
      </c>
      <c r="AA358" s="1" t="s">
        <v>0</v>
      </c>
      <c r="AB358" s="1" t="s">
        <v>98</v>
      </c>
      <c r="AC358" s="1" t="s">
        <v>202</v>
      </c>
      <c r="AD358" s="1" t="s">
        <v>99</v>
      </c>
      <c r="AE358" s="1" t="s">
        <v>102</v>
      </c>
      <c r="AF358" s="1" t="s">
        <v>150</v>
      </c>
      <c r="AG358" s="1" t="s">
        <v>366</v>
      </c>
      <c r="AH358" s="1">
        <v>0.61</v>
      </c>
      <c r="AI358" s="1">
        <f>AJ358*SQRT(X358)</f>
        <v>1.3227244611029161</v>
      </c>
      <c r="AJ358" s="1">
        <f>0.89-0.35</f>
        <v>0.54</v>
      </c>
      <c r="AK358" s="1">
        <v>1.1000000000000001</v>
      </c>
      <c r="AL358" s="1">
        <f>AM358*SQRT(W358)</f>
        <v>0.86602540378443882</v>
      </c>
      <c r="AM358" s="1">
        <f>1.35-0.85</f>
        <v>0.50000000000000011</v>
      </c>
      <c r="AN358" s="12">
        <f>AH358-AK358</f>
        <v>-0.4900000000000001</v>
      </c>
      <c r="AO358" s="1">
        <f>SQRT((((X358-1)*AI358^2)+((W358-1)*AL358^2))/(X358+W358-2))</f>
        <v>1.2099586769803339</v>
      </c>
      <c r="AP358" s="1">
        <f>AN358/AO358</f>
        <v>-0.40497250800571294</v>
      </c>
      <c r="AQ358" s="1">
        <f>1/X358+1/W358+(AP358^2)/(2*(X358+W358))</f>
        <v>0.50911126290224651</v>
      </c>
      <c r="AR358" s="1">
        <f>1-(3/(4*(X358+W358-2)-1))</f>
        <v>0.88888888888888884</v>
      </c>
      <c r="AS358" s="21">
        <f>AP358*AR358</f>
        <v>-0.3599755626717448</v>
      </c>
      <c r="AT358" s="21">
        <f>AQ358*(AR358^2)</f>
        <v>0.40226075093510832</v>
      </c>
      <c r="AU358" s="21">
        <f>SQRT(AQ358*AR358^2)</f>
        <v>0.63424029431683726</v>
      </c>
      <c r="AV358" s="20">
        <f>1/AT358</f>
        <v>2.48594971713091</v>
      </c>
      <c r="AW358" s="20">
        <f>AS358/AT358</f>
        <v>-0.89488114819786413</v>
      </c>
      <c r="AX358" s="20">
        <f>((AS358)^2)/AT358</f>
        <v>0.32213534484686318</v>
      </c>
      <c r="AY358" s="14"/>
      <c r="AZ358" s="14"/>
      <c r="BA358" s="1" t="s">
        <v>270</v>
      </c>
      <c r="BB358" s="2"/>
    </row>
    <row r="359" spans="1:63" ht="14.25" customHeight="1">
      <c r="A359" s="2">
        <v>534</v>
      </c>
      <c r="B359" s="2" t="s">
        <v>68</v>
      </c>
      <c r="C359" s="1" t="s">
        <v>85</v>
      </c>
      <c r="D359" s="1">
        <v>2022</v>
      </c>
      <c r="E359" s="1">
        <v>2018</v>
      </c>
      <c r="F359" s="1" t="s">
        <v>143</v>
      </c>
      <c r="G359" s="1" t="s">
        <v>109</v>
      </c>
      <c r="H359" s="1">
        <v>33.299100000000003</v>
      </c>
      <c r="I359" s="1">
        <v>-116.800786</v>
      </c>
      <c r="J359" s="1" t="s">
        <v>128</v>
      </c>
      <c r="K359" s="1" t="s">
        <v>218</v>
      </c>
      <c r="L359" s="1" t="s">
        <v>219</v>
      </c>
      <c r="M359" s="1" t="s">
        <v>237</v>
      </c>
      <c r="N359" s="1" t="s">
        <v>238</v>
      </c>
      <c r="O359" s="1" t="s">
        <v>86</v>
      </c>
      <c r="P359" s="1" t="s">
        <v>210</v>
      </c>
      <c r="Q359" s="1" t="s">
        <v>93</v>
      </c>
      <c r="R359" s="1">
        <v>2018</v>
      </c>
      <c r="S359" s="1" t="s">
        <v>367</v>
      </c>
      <c r="T359" s="23">
        <f>2/4.345</f>
        <v>0.46029919447640971</v>
      </c>
      <c r="V359" s="1">
        <v>9400</v>
      </c>
      <c r="W359" s="1">
        <v>3</v>
      </c>
      <c r="X359" s="1">
        <v>6</v>
      </c>
      <c r="Y359" s="1" t="s">
        <v>97</v>
      </c>
      <c r="Z359" s="1" t="s">
        <v>133</v>
      </c>
      <c r="AA359" s="1" t="s">
        <v>0</v>
      </c>
      <c r="AB359" s="1" t="s">
        <v>98</v>
      </c>
      <c r="AC359" s="1" t="s">
        <v>202</v>
      </c>
      <c r="AD359" s="1" t="s">
        <v>99</v>
      </c>
      <c r="AE359" s="1" t="s">
        <v>102</v>
      </c>
      <c r="AF359" s="1" t="s">
        <v>256</v>
      </c>
      <c r="AG359" s="1" t="s">
        <v>368</v>
      </c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2" t="s">
        <v>285</v>
      </c>
    </row>
    <row r="360" spans="1:63" ht="14.25" customHeight="1">
      <c r="A360" s="17">
        <v>191</v>
      </c>
      <c r="B360" s="17" t="s">
        <v>240</v>
      </c>
      <c r="C360" s="1" t="s">
        <v>85</v>
      </c>
      <c r="D360" s="16">
        <v>2025</v>
      </c>
      <c r="E360" s="16">
        <v>2020</v>
      </c>
      <c r="F360" s="16" t="s">
        <v>120</v>
      </c>
      <c r="G360" s="16" t="s">
        <v>109</v>
      </c>
      <c r="H360" s="16">
        <v>40.551667000000002</v>
      </c>
      <c r="I360" s="16">
        <v>-2.108889</v>
      </c>
      <c r="J360" s="1" t="s">
        <v>128</v>
      </c>
      <c r="K360" s="16" t="s">
        <v>176</v>
      </c>
      <c r="L360" s="16" t="s">
        <v>191</v>
      </c>
      <c r="M360" s="16" t="s">
        <v>236</v>
      </c>
      <c r="N360" s="16" t="s">
        <v>238</v>
      </c>
      <c r="O360" s="16" t="s">
        <v>121</v>
      </c>
      <c r="P360" s="16" t="s">
        <v>146</v>
      </c>
      <c r="Q360" s="16" t="s">
        <v>93</v>
      </c>
      <c r="R360" s="16">
        <v>2019</v>
      </c>
      <c r="S360" s="16">
        <v>1</v>
      </c>
      <c r="T360" s="16">
        <f>S360*12</f>
        <v>12</v>
      </c>
      <c r="U360" s="16"/>
      <c r="V360" s="16"/>
      <c r="W360" s="16">
        <v>9</v>
      </c>
      <c r="X360" s="16">
        <v>9</v>
      </c>
      <c r="Y360" s="16" t="s">
        <v>97</v>
      </c>
      <c r="Z360" s="16" t="s">
        <v>147</v>
      </c>
      <c r="AA360" s="16" t="s">
        <v>1</v>
      </c>
      <c r="AB360" s="16" t="s">
        <v>98</v>
      </c>
      <c r="AC360" s="16" t="s">
        <v>202</v>
      </c>
      <c r="AD360" s="16" t="s">
        <v>99</v>
      </c>
      <c r="AE360" s="16" t="s">
        <v>102</v>
      </c>
      <c r="AF360" s="16" t="s">
        <v>222</v>
      </c>
      <c r="AG360" s="16" t="s">
        <v>335</v>
      </c>
      <c r="AH360" s="16">
        <v>705.67</v>
      </c>
      <c r="AI360" s="12">
        <f>783.69-586.52</f>
        <v>197.17000000000007</v>
      </c>
      <c r="AJ360" s="16"/>
      <c r="AK360" s="16">
        <v>636.16999999999996</v>
      </c>
      <c r="AL360" s="16">
        <f>800-522.7</f>
        <v>277.29999999999995</v>
      </c>
      <c r="AM360" s="16"/>
      <c r="AN360" s="12">
        <f>AH360-AK360</f>
        <v>69.5</v>
      </c>
      <c r="AO360" s="1">
        <f>SQRT((((X360-1)*AI360^2)+((W360-1)*AL360^2))/(X360+W360-2))</f>
        <v>240.59436703713578</v>
      </c>
      <c r="AP360" s="1">
        <f>AN360/AO360</f>
        <v>0.2888679434014873</v>
      </c>
      <c r="AQ360" s="1">
        <f>1/X360+1/W360+(AP360^2)/(2*(X360+W360))</f>
        <v>0.22454013024236125</v>
      </c>
      <c r="AR360" s="1">
        <f>1-(3/(4*(X360+W360-2)-1))</f>
        <v>0.95238095238095233</v>
      </c>
      <c r="AS360" s="21">
        <f>AP360*AR360</f>
        <v>0.27511232704903549</v>
      </c>
      <c r="AT360" s="21">
        <f>AQ360*(AR360^2)</f>
        <v>0.20366451722663151</v>
      </c>
      <c r="AU360" s="21">
        <f>SQRT(AQ360*AR360^2)</f>
        <v>0.45129205313924098</v>
      </c>
      <c r="AV360" s="20">
        <f>1/AT360</f>
        <v>4.9100354525046264</v>
      </c>
      <c r="AW360" s="20">
        <f>AS360/AT360</f>
        <v>1.3508112792318119</v>
      </c>
      <c r="AX360" s="20">
        <f>((AS360)^2)/AT360</f>
        <v>0.37162483443354821</v>
      </c>
      <c r="AY360" s="14"/>
      <c r="AZ360" s="14"/>
      <c r="BA360" s="1" t="s">
        <v>270</v>
      </c>
      <c r="BB360" s="17"/>
      <c r="BC360" s="16"/>
      <c r="BD360" s="16"/>
      <c r="BE360" s="16"/>
      <c r="BF360" s="16"/>
      <c r="BG360" s="16"/>
      <c r="BH360" s="16"/>
      <c r="BI360" s="16"/>
      <c r="BJ360" s="16"/>
      <c r="BK360" s="16"/>
    </row>
    <row r="361" spans="1:63" ht="14.25" customHeight="1">
      <c r="A361" s="2">
        <v>534</v>
      </c>
      <c r="B361" s="2" t="s">
        <v>68</v>
      </c>
      <c r="C361" s="1" t="s">
        <v>85</v>
      </c>
      <c r="D361" s="1">
        <v>2022</v>
      </c>
      <c r="E361" s="1">
        <v>2018</v>
      </c>
      <c r="F361" s="1" t="s">
        <v>143</v>
      </c>
      <c r="G361" s="1" t="s">
        <v>109</v>
      </c>
      <c r="H361" s="1">
        <v>33.299100000000003</v>
      </c>
      <c r="I361" s="1">
        <v>-116.800786</v>
      </c>
      <c r="J361" s="1" t="s">
        <v>128</v>
      </c>
      <c r="K361" s="1" t="s">
        <v>218</v>
      </c>
      <c r="L361" s="1" t="s">
        <v>219</v>
      </c>
      <c r="M361" s="1" t="s">
        <v>237</v>
      </c>
      <c r="N361" s="1" t="s">
        <v>238</v>
      </c>
      <c r="O361" s="1" t="s">
        <v>86</v>
      </c>
      <c r="P361" s="1" t="s">
        <v>210</v>
      </c>
      <c r="Q361" s="1" t="s">
        <v>93</v>
      </c>
      <c r="R361" s="1">
        <v>2018</v>
      </c>
      <c r="S361" s="1" t="s">
        <v>369</v>
      </c>
      <c r="T361" s="23">
        <f>6/4.345</f>
        <v>1.380897583429229</v>
      </c>
      <c r="V361" s="1">
        <v>9400</v>
      </c>
      <c r="W361" s="1">
        <v>3</v>
      </c>
      <c r="X361" s="1">
        <v>6</v>
      </c>
      <c r="Y361" s="1" t="s">
        <v>97</v>
      </c>
      <c r="Z361" s="1" t="s">
        <v>133</v>
      </c>
      <c r="AA361" s="1" t="s">
        <v>0</v>
      </c>
      <c r="AB361" s="1" t="s">
        <v>98</v>
      </c>
      <c r="AC361" s="1" t="s">
        <v>202</v>
      </c>
      <c r="AD361" s="1" t="s">
        <v>99</v>
      </c>
      <c r="AE361" s="1" t="s">
        <v>102</v>
      </c>
      <c r="AF361" s="1" t="s">
        <v>384</v>
      </c>
      <c r="AG361" s="1" t="s">
        <v>366</v>
      </c>
      <c r="AH361" s="1">
        <v>0.95</v>
      </c>
      <c r="AI361" s="1">
        <f>AJ361*SQRT(X361)</f>
        <v>2.0820662813657016</v>
      </c>
      <c r="AJ361" s="1">
        <f>1.35-0.5</f>
        <v>0.85000000000000009</v>
      </c>
      <c r="AK361" s="1">
        <v>4.53</v>
      </c>
      <c r="AL361" s="1">
        <f>AM361*SQRT(W361)</f>
        <v>2.2516660498395407</v>
      </c>
      <c r="AM361" s="1">
        <f>5.19-3.89</f>
        <v>1.3000000000000003</v>
      </c>
      <c r="AN361" s="12">
        <f>AH361-AK361</f>
        <v>-3.58</v>
      </c>
      <c r="AO361" s="1">
        <f>SQRT((((X361-1)*AI361^2)+((W361-1)*AL361^2))/(X361+W361-2))</f>
        <v>2.1319005605327845</v>
      </c>
      <c r="AP361" s="1">
        <f>AN361/AO361</f>
        <v>-1.6792528067562964</v>
      </c>
      <c r="AQ361" s="1">
        <f>1/X361+1/W361+(AP361^2)/(2*(X361+W361))</f>
        <v>0.65666055494438336</v>
      </c>
      <c r="AR361" s="1">
        <f>1-(3/(4*(X361+W361-2)-1))</f>
        <v>0.88888888888888884</v>
      </c>
      <c r="AS361" s="21">
        <f>AP361*AR361</f>
        <v>-1.4926691615611523</v>
      </c>
      <c r="AT361" s="21">
        <f>AQ361*(AR361^2)</f>
        <v>0.51884290761037699</v>
      </c>
      <c r="AU361" s="21">
        <f>SQRT(AQ361*AR361^2)</f>
        <v>0.72030750906149588</v>
      </c>
      <c r="AV361" s="20">
        <f>1/AT361</f>
        <v>1.9273656540968775</v>
      </c>
      <c r="AW361" s="20">
        <f>AS361/AT361</f>
        <v>-2.8769192749225478</v>
      </c>
      <c r="AX361" s="20">
        <f>((AS361)^2)/AT361</f>
        <v>4.2942886819777577</v>
      </c>
      <c r="AY361" s="14"/>
      <c r="AZ361" s="14"/>
      <c r="BA361" s="1" t="s">
        <v>270</v>
      </c>
      <c r="BB361" s="2"/>
    </row>
    <row r="362" spans="1:63" ht="14.25" customHeight="1">
      <c r="A362" s="2">
        <v>534</v>
      </c>
      <c r="B362" s="2" t="s">
        <v>68</v>
      </c>
      <c r="C362" s="1" t="s">
        <v>85</v>
      </c>
      <c r="D362" s="1">
        <v>2022</v>
      </c>
      <c r="E362" s="1">
        <v>2018</v>
      </c>
      <c r="F362" s="1" t="s">
        <v>143</v>
      </c>
      <c r="G362" s="1" t="s">
        <v>109</v>
      </c>
      <c r="H362" s="1">
        <v>33.299100000000003</v>
      </c>
      <c r="I362" s="1">
        <v>-116.800786</v>
      </c>
      <c r="J362" s="1" t="s">
        <v>128</v>
      </c>
      <c r="K362" s="1" t="s">
        <v>218</v>
      </c>
      <c r="L362" s="1" t="s">
        <v>219</v>
      </c>
      <c r="M362" s="1" t="s">
        <v>237</v>
      </c>
      <c r="N362" s="1" t="s">
        <v>238</v>
      </c>
      <c r="O362" s="1" t="s">
        <v>86</v>
      </c>
      <c r="P362" s="1" t="s">
        <v>210</v>
      </c>
      <c r="Q362" s="1" t="s">
        <v>93</v>
      </c>
      <c r="R362" s="1">
        <v>2018</v>
      </c>
      <c r="S362" s="1" t="s">
        <v>369</v>
      </c>
      <c r="T362" s="23">
        <f>6/4.345</f>
        <v>1.380897583429229</v>
      </c>
      <c r="V362" s="1">
        <v>9400</v>
      </c>
      <c r="W362" s="1">
        <v>3</v>
      </c>
      <c r="X362" s="1">
        <v>6</v>
      </c>
      <c r="Y362" s="1" t="s">
        <v>97</v>
      </c>
      <c r="Z362" s="1" t="s">
        <v>133</v>
      </c>
      <c r="AA362" s="1" t="s">
        <v>0</v>
      </c>
      <c r="AB362" s="1" t="s">
        <v>98</v>
      </c>
      <c r="AC362" s="1" t="s">
        <v>202</v>
      </c>
      <c r="AD362" s="1" t="s">
        <v>99</v>
      </c>
      <c r="AE362" s="1" t="s">
        <v>102</v>
      </c>
      <c r="AF362" s="1" t="s">
        <v>312</v>
      </c>
      <c r="AG362" s="1" t="s">
        <v>366</v>
      </c>
      <c r="AH362" s="1">
        <v>0.04</v>
      </c>
      <c r="AI362" s="1">
        <f>AJ362*SQRT(X362)</f>
        <v>0.19595917942265423</v>
      </c>
      <c r="AJ362" s="1">
        <f>0.08-0</f>
        <v>0.08</v>
      </c>
      <c r="AK362" s="1">
        <v>0.36</v>
      </c>
      <c r="AL362" s="1">
        <f>AM362*SQRT(W362)</f>
        <v>0.5022947341949745</v>
      </c>
      <c r="AM362" s="1">
        <f>0.5-0.21</f>
        <v>0.29000000000000004</v>
      </c>
      <c r="AN362" s="12">
        <f>AH362-AK362</f>
        <v>-0.32</v>
      </c>
      <c r="AO362" s="1">
        <f>SQRT((((X362-1)*AI362^2)+((W362-1)*AL362^2))/(X362+W362-2))</f>
        <v>0.31545884947847913</v>
      </c>
      <c r="AP362" s="1">
        <f>AN362/AO362</f>
        <v>-1.0143953816132543</v>
      </c>
      <c r="AQ362" s="1">
        <f>1/X362+1/W362+(AP362^2)/(2*(X362+W362))</f>
        <v>0.55716655501323886</v>
      </c>
      <c r="AR362" s="1">
        <f>1-(3/(4*(X362+W362-2)-1))</f>
        <v>0.88888888888888884</v>
      </c>
      <c r="AS362" s="21">
        <f>AP362*AR362</f>
        <v>-0.90168478365622595</v>
      </c>
      <c r="AT362" s="21">
        <f>AQ362*(AR362^2)</f>
        <v>0.44023036445490477</v>
      </c>
      <c r="AU362" s="21">
        <f>SQRT(AQ362*AR362^2)</f>
        <v>0.66349857909034349</v>
      </c>
      <c r="AV362" s="20">
        <f>1/AT362</f>
        <v>2.2715379963356335</v>
      </c>
      <c r="AW362" s="20">
        <f>AS362/AT362</f>
        <v>-2.0482112467927927</v>
      </c>
      <c r="AX362" s="20">
        <f>((AS362)^2)/AT362</f>
        <v>1.8468409149466078</v>
      </c>
      <c r="AY362" s="14"/>
      <c r="AZ362" s="14"/>
      <c r="BA362" s="1" t="s">
        <v>270</v>
      </c>
      <c r="BB362" s="2"/>
    </row>
    <row r="363" spans="1:63" ht="14.25" customHeight="1">
      <c r="A363" s="2">
        <v>534</v>
      </c>
      <c r="B363" s="2" t="s">
        <v>68</v>
      </c>
      <c r="C363" s="1" t="s">
        <v>85</v>
      </c>
      <c r="D363" s="1">
        <v>2022</v>
      </c>
      <c r="E363" s="1">
        <v>2018</v>
      </c>
      <c r="F363" s="1" t="s">
        <v>143</v>
      </c>
      <c r="G363" s="1" t="s">
        <v>109</v>
      </c>
      <c r="H363" s="1">
        <v>33.299100000000003</v>
      </c>
      <c r="I363" s="1">
        <v>-116.800786</v>
      </c>
      <c r="J363" s="1" t="s">
        <v>128</v>
      </c>
      <c r="K363" s="1" t="s">
        <v>218</v>
      </c>
      <c r="L363" s="1" t="s">
        <v>219</v>
      </c>
      <c r="M363" s="1" t="s">
        <v>237</v>
      </c>
      <c r="N363" s="1" t="s">
        <v>238</v>
      </c>
      <c r="O363" s="1" t="s">
        <v>86</v>
      </c>
      <c r="P363" s="1" t="s">
        <v>210</v>
      </c>
      <c r="Q363" s="1" t="s">
        <v>93</v>
      </c>
      <c r="R363" s="1">
        <v>2018</v>
      </c>
      <c r="S363" s="1" t="s">
        <v>369</v>
      </c>
      <c r="T363" s="23">
        <f>6/4.345</f>
        <v>1.380897583429229</v>
      </c>
      <c r="V363" s="1">
        <v>9400</v>
      </c>
      <c r="W363" s="1">
        <v>3</v>
      </c>
      <c r="X363" s="1">
        <v>6</v>
      </c>
      <c r="Y363" s="1" t="s">
        <v>97</v>
      </c>
      <c r="Z363" s="1" t="s">
        <v>133</v>
      </c>
      <c r="AA363" s="1" t="s">
        <v>0</v>
      </c>
      <c r="AB363" s="1" t="s">
        <v>98</v>
      </c>
      <c r="AC363" s="1" t="s">
        <v>202</v>
      </c>
      <c r="AD363" s="1" t="s">
        <v>99</v>
      </c>
      <c r="AE363" s="1" t="s">
        <v>102</v>
      </c>
      <c r="AF363" s="1" t="s">
        <v>150</v>
      </c>
      <c r="AG363" s="1" t="s">
        <v>366</v>
      </c>
      <c r="AH363" s="1">
        <v>0.25</v>
      </c>
      <c r="AI363" s="1">
        <f>AJ363*SQRT(X363)</f>
        <v>0.53888774341229906</v>
      </c>
      <c r="AJ363" s="1">
        <f>0.36-0.14</f>
        <v>0.21999999999999997</v>
      </c>
      <c r="AK363" s="1">
        <v>1.37</v>
      </c>
      <c r="AL363" s="1">
        <f>AM363*SQRT(W363)</f>
        <v>1.4895636945092345</v>
      </c>
      <c r="AM363" s="1">
        <f>1.8-0.94</f>
        <v>0.8600000000000001</v>
      </c>
      <c r="AN363" s="12">
        <f>AH363-AK363</f>
        <v>-1.1200000000000001</v>
      </c>
      <c r="AO363" s="1">
        <f>SQRT((((X363-1)*AI363^2)+((W363-1)*AL363^2))/(X363+W363-2))</f>
        <v>0.91726300948606254</v>
      </c>
      <c r="AP363" s="1">
        <f>AN363/AO363</f>
        <v>-1.2210238376750089</v>
      </c>
      <c r="AQ363" s="1">
        <f>1/X363+1/W363+(AP363^2)/(2*(X363+W363))</f>
        <v>0.58282773400947807</v>
      </c>
      <c r="AR363" s="1">
        <f>1-(3/(4*(X363+W363-2)-1))</f>
        <v>0.88888888888888884</v>
      </c>
      <c r="AS363" s="21">
        <f>AP363*AR363</f>
        <v>-1.0853545223777856</v>
      </c>
      <c r="AT363" s="21">
        <f>AQ363*(AR363^2)</f>
        <v>0.46050586390872339</v>
      </c>
      <c r="AU363" s="21">
        <f>SQRT(AQ363*AR363^2)</f>
        <v>0.67860582366254663</v>
      </c>
      <c r="AV363" s="20">
        <f>1/AT363</f>
        <v>2.1715250084159829</v>
      </c>
      <c r="AW363" s="20">
        <f>AS363/AT363</f>
        <v>-2.356874488340746</v>
      </c>
      <c r="AX363" s="20">
        <f>((AS363)^2)/AT363</f>
        <v>2.5580443845974581</v>
      </c>
      <c r="AY363" s="14"/>
      <c r="AZ363" s="14"/>
      <c r="BA363" s="1" t="s">
        <v>270</v>
      </c>
      <c r="BB363" s="2"/>
    </row>
    <row r="364" spans="1:63" ht="14.25" customHeight="1">
      <c r="A364" s="2">
        <v>534</v>
      </c>
      <c r="B364" s="2" t="s">
        <v>68</v>
      </c>
      <c r="C364" s="1" t="s">
        <v>85</v>
      </c>
      <c r="D364" s="1">
        <v>2022</v>
      </c>
      <c r="E364" s="1">
        <v>2018</v>
      </c>
      <c r="F364" s="1" t="s">
        <v>143</v>
      </c>
      <c r="G364" s="1" t="s">
        <v>109</v>
      </c>
      <c r="H364" s="1">
        <v>33.299100000000003</v>
      </c>
      <c r="I364" s="1">
        <v>-116.800786</v>
      </c>
      <c r="J364" s="1" t="s">
        <v>128</v>
      </c>
      <c r="K364" s="1" t="s">
        <v>218</v>
      </c>
      <c r="L364" s="1" t="s">
        <v>219</v>
      </c>
      <c r="M364" s="1" t="s">
        <v>237</v>
      </c>
      <c r="N364" s="1" t="s">
        <v>238</v>
      </c>
      <c r="O364" s="1" t="s">
        <v>86</v>
      </c>
      <c r="P364" s="1" t="s">
        <v>210</v>
      </c>
      <c r="Q364" s="1" t="s">
        <v>93</v>
      </c>
      <c r="R364" s="1">
        <v>2018</v>
      </c>
      <c r="S364" s="1" t="s">
        <v>369</v>
      </c>
      <c r="T364" s="1">
        <v>6</v>
      </c>
      <c r="V364" s="1">
        <v>9400</v>
      </c>
      <c r="W364" s="1">
        <v>3</v>
      </c>
      <c r="X364" s="1">
        <v>6</v>
      </c>
      <c r="Y364" s="1" t="s">
        <v>97</v>
      </c>
      <c r="Z364" s="1" t="s">
        <v>133</v>
      </c>
      <c r="AA364" s="1" t="s">
        <v>0</v>
      </c>
      <c r="AB364" s="1" t="s">
        <v>98</v>
      </c>
      <c r="AC364" s="1" t="s">
        <v>202</v>
      </c>
      <c r="AD364" s="1" t="s">
        <v>99</v>
      </c>
      <c r="AE364" s="1" t="s">
        <v>102</v>
      </c>
      <c r="AF364" s="1" t="s">
        <v>256</v>
      </c>
      <c r="AG364" s="1" t="s">
        <v>368</v>
      </c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2" t="s">
        <v>285</v>
      </c>
    </row>
    <row r="365" spans="1:63" ht="14.25" customHeight="1">
      <c r="A365" s="2">
        <v>152</v>
      </c>
      <c r="B365" s="2" t="s">
        <v>22</v>
      </c>
      <c r="C365" s="1" t="s">
        <v>85</v>
      </c>
      <c r="D365" s="1">
        <v>2013</v>
      </c>
      <c r="E365" s="1">
        <v>2010</v>
      </c>
      <c r="F365" s="1" t="s">
        <v>143</v>
      </c>
      <c r="G365" s="1" t="s">
        <v>117</v>
      </c>
      <c r="H365" s="1">
        <v>63.826408000000001</v>
      </c>
      <c r="I365" s="1">
        <v>-145.86067399999999</v>
      </c>
      <c r="J365" s="1" t="s">
        <v>128</v>
      </c>
      <c r="K365" s="1" t="s">
        <v>103</v>
      </c>
      <c r="L365" s="1" t="s">
        <v>187</v>
      </c>
      <c r="M365" s="1" t="s">
        <v>236</v>
      </c>
      <c r="N365" s="16" t="s">
        <v>238</v>
      </c>
      <c r="O365" s="1" t="s">
        <v>86</v>
      </c>
      <c r="Q365" s="1" t="s">
        <v>93</v>
      </c>
      <c r="R365" s="1">
        <v>1999</v>
      </c>
      <c r="S365" s="1">
        <v>11</v>
      </c>
      <c r="T365" s="1">
        <f>S365*12</f>
        <v>132</v>
      </c>
      <c r="W365" s="1">
        <v>2</v>
      </c>
      <c r="X365" s="1">
        <v>2</v>
      </c>
      <c r="Y365" s="1" t="s">
        <v>97</v>
      </c>
      <c r="Z365" s="1" t="s">
        <v>133</v>
      </c>
      <c r="AA365" s="1" t="s">
        <v>1</v>
      </c>
      <c r="AB365" s="1" t="s">
        <v>98</v>
      </c>
      <c r="AC365" s="1" t="s">
        <v>202</v>
      </c>
      <c r="AD365" s="1" t="s">
        <v>228</v>
      </c>
      <c r="AE365" s="1" t="s">
        <v>131</v>
      </c>
      <c r="AF365" s="1" t="s">
        <v>222</v>
      </c>
      <c r="AG365" s="1" t="s">
        <v>331</v>
      </c>
      <c r="AH365" s="1">
        <v>134.30000000000001</v>
      </c>
      <c r="AI365" s="1">
        <f>AJ365*SQRT(X365)</f>
        <v>20.930360723121808</v>
      </c>
      <c r="AJ365" s="1">
        <v>14.8</v>
      </c>
      <c r="AK365" s="1">
        <v>122.3</v>
      </c>
      <c r="AL365" s="1">
        <f>AM365*SQRT(W365)</f>
        <v>26.728636328851497</v>
      </c>
      <c r="AM365" s="1">
        <v>18.899999999999999</v>
      </c>
      <c r="AN365" s="12">
        <f>AH365-AK365</f>
        <v>12.000000000000014</v>
      </c>
      <c r="AO365" s="1">
        <f>SQRT((((X365-1)*AI365^2)+((W365-1)*AL365^2))/(X365+W365-2))</f>
        <v>24.005207768315607</v>
      </c>
      <c r="AP365" s="1">
        <f>AN365/AO365</f>
        <v>0.49989152836405665</v>
      </c>
      <c r="AQ365" s="1">
        <f>1/X365+1/W365+(AP365^2)/(2*(X365+W365))</f>
        <v>1.031236442516269</v>
      </c>
      <c r="AR365" s="1">
        <f>1-(3/(4*(X365+W365-2)-1))</f>
        <v>0.5714285714285714</v>
      </c>
      <c r="AS365" s="21">
        <f>AP365*AR365</f>
        <v>0.28565230192231805</v>
      </c>
      <c r="AT365" s="21">
        <f>AQ365*(AR365^2)</f>
        <v>0.33673026694408781</v>
      </c>
      <c r="AU365" s="21">
        <f>SQRT(AQ365*AR365^2)</f>
        <v>0.58028464303657723</v>
      </c>
      <c r="AV365" s="20">
        <f>1/AT365</f>
        <v>2.9697360117795544</v>
      </c>
      <c r="AW365" s="20">
        <f>AS365/AT365</f>
        <v>0.84831192786643395</v>
      </c>
      <c r="AX365" s="20">
        <f>((AS365)^2)/AT365</f>
        <v>0.24232225494320628</v>
      </c>
      <c r="AY365" s="14"/>
      <c r="AZ365" s="14"/>
      <c r="BA365" s="1" t="s">
        <v>270</v>
      </c>
      <c r="BB365" s="2"/>
    </row>
    <row r="366" spans="1:63" ht="14.25" customHeight="1">
      <c r="A366" s="2">
        <v>534</v>
      </c>
      <c r="B366" s="2" t="s">
        <v>68</v>
      </c>
      <c r="C366" s="1" t="s">
        <v>85</v>
      </c>
      <c r="D366" s="1">
        <v>2022</v>
      </c>
      <c r="E366" s="1">
        <v>2018</v>
      </c>
      <c r="F366" s="1" t="s">
        <v>143</v>
      </c>
      <c r="G366" s="1" t="s">
        <v>109</v>
      </c>
      <c r="H366" s="1">
        <v>33.299100000000003</v>
      </c>
      <c r="I366" s="1">
        <v>-116.800786</v>
      </c>
      <c r="J366" s="1" t="s">
        <v>128</v>
      </c>
      <c r="K366" s="1" t="s">
        <v>218</v>
      </c>
      <c r="L366" s="1" t="s">
        <v>219</v>
      </c>
      <c r="M366" s="1" t="s">
        <v>237</v>
      </c>
      <c r="N366" s="1" t="s">
        <v>238</v>
      </c>
      <c r="O366" s="1" t="s">
        <v>86</v>
      </c>
      <c r="P366" s="1" t="s">
        <v>210</v>
      </c>
      <c r="Q366" s="1" t="s">
        <v>93</v>
      </c>
      <c r="R366" s="1">
        <v>2018</v>
      </c>
      <c r="S366" s="1">
        <v>1</v>
      </c>
      <c r="T366" s="1">
        <f>S366*12</f>
        <v>12</v>
      </c>
      <c r="V366" s="1">
        <v>9400</v>
      </c>
      <c r="W366" s="1">
        <v>3</v>
      </c>
      <c r="X366" s="1">
        <v>6</v>
      </c>
      <c r="Y366" s="1" t="s">
        <v>97</v>
      </c>
      <c r="Z366" s="1" t="s">
        <v>133</v>
      </c>
      <c r="AA366" s="1" t="s">
        <v>0</v>
      </c>
      <c r="AB366" s="1" t="s">
        <v>98</v>
      </c>
      <c r="AC366" s="1" t="s">
        <v>202</v>
      </c>
      <c r="AD366" s="1" t="s">
        <v>99</v>
      </c>
      <c r="AE366" s="1" t="s">
        <v>102</v>
      </c>
      <c r="AF366" s="1" t="s">
        <v>384</v>
      </c>
      <c r="AG366" s="1" t="s">
        <v>366</v>
      </c>
      <c r="AH366" s="1">
        <v>0.36</v>
      </c>
      <c r="AI366" s="1">
        <f>AJ366*SQRT(X366)</f>
        <v>0.80833161511844875</v>
      </c>
      <c r="AJ366" s="1">
        <f>0.52-0.19</f>
        <v>0.33</v>
      </c>
      <c r="AK366" s="1">
        <v>4.55</v>
      </c>
      <c r="AL366" s="1">
        <f>AM366*SQRT(W366)</f>
        <v>2.0957814771583414</v>
      </c>
      <c r="AM366" s="1">
        <f>5.17-3.96</f>
        <v>1.21</v>
      </c>
      <c r="AN366" s="12">
        <f>AH366-AK366</f>
        <v>-4.1899999999999995</v>
      </c>
      <c r="AO366" s="1">
        <f>SQRT((((X366-1)*AI366^2)+((W366-1)*AL366^2))/(X366+W366-2))</f>
        <v>1.3121193325521665</v>
      </c>
      <c r="AP366" s="1">
        <f>AN366/AO366</f>
        <v>-3.1933071147196253</v>
      </c>
      <c r="AQ366" s="1">
        <f>1/X366+1/W366+(AP366^2)/(2*(X366+W366))</f>
        <v>1.0665116849399432</v>
      </c>
      <c r="AR366" s="1">
        <f>1-(3/(4*(X366+W366-2)-1))</f>
        <v>0.88888888888888884</v>
      </c>
      <c r="AS366" s="21">
        <f>AP366*AR366</f>
        <v>-2.8384952130841112</v>
      </c>
      <c r="AT366" s="21">
        <f>AQ366*(AR366^2)</f>
        <v>0.84267589921180697</v>
      </c>
      <c r="AU366" s="21">
        <f>SQRT(AQ366*AR366^2)</f>
        <v>0.91797380093976921</v>
      </c>
      <c r="AV366" s="20">
        <f>1/AT366</f>
        <v>1.1866958589124781</v>
      </c>
      <c r="AW366" s="20">
        <f>AS366/AT366</f>
        <v>-3.3684305149098064</v>
      </c>
      <c r="AX366" s="20">
        <f>((AS366)^2)/AT366</f>
        <v>9.561273892177935</v>
      </c>
      <c r="AY366" s="14"/>
      <c r="AZ366" s="14"/>
      <c r="BA366" s="1" t="s">
        <v>270</v>
      </c>
      <c r="BB366" s="2"/>
    </row>
    <row r="367" spans="1:63" ht="14.25" customHeight="1">
      <c r="A367" s="2">
        <v>534</v>
      </c>
      <c r="B367" s="2" t="s">
        <v>68</v>
      </c>
      <c r="C367" s="1" t="s">
        <v>85</v>
      </c>
      <c r="D367" s="1">
        <v>2022</v>
      </c>
      <c r="E367" s="1">
        <v>2018</v>
      </c>
      <c r="F367" s="1" t="s">
        <v>143</v>
      </c>
      <c r="G367" s="1" t="s">
        <v>109</v>
      </c>
      <c r="H367" s="1">
        <v>33.299100000000003</v>
      </c>
      <c r="I367" s="1">
        <v>-116.800786</v>
      </c>
      <c r="J367" s="1" t="s">
        <v>128</v>
      </c>
      <c r="K367" s="1" t="s">
        <v>218</v>
      </c>
      <c r="L367" s="1" t="s">
        <v>219</v>
      </c>
      <c r="M367" s="1" t="s">
        <v>237</v>
      </c>
      <c r="N367" s="1" t="s">
        <v>238</v>
      </c>
      <c r="O367" s="1" t="s">
        <v>86</v>
      </c>
      <c r="P367" s="1" t="s">
        <v>210</v>
      </c>
      <c r="Q367" s="1" t="s">
        <v>93</v>
      </c>
      <c r="R367" s="1">
        <v>2018</v>
      </c>
      <c r="S367" s="1">
        <v>1</v>
      </c>
      <c r="T367" s="1">
        <f>S367*12</f>
        <v>12</v>
      </c>
      <c r="V367" s="1">
        <v>9400</v>
      </c>
      <c r="W367" s="1">
        <v>3</v>
      </c>
      <c r="X367" s="1">
        <v>6</v>
      </c>
      <c r="Y367" s="1" t="s">
        <v>97</v>
      </c>
      <c r="Z367" s="1" t="s">
        <v>133</v>
      </c>
      <c r="AA367" s="1" t="s">
        <v>0</v>
      </c>
      <c r="AB367" s="1" t="s">
        <v>98</v>
      </c>
      <c r="AC367" s="1" t="s">
        <v>202</v>
      </c>
      <c r="AD367" s="1" t="s">
        <v>99</v>
      </c>
      <c r="AE367" s="1" t="s">
        <v>102</v>
      </c>
      <c r="AF367" s="1" t="s">
        <v>312</v>
      </c>
      <c r="AG367" s="1" t="s">
        <v>366</v>
      </c>
      <c r="AH367" s="1">
        <v>0.13</v>
      </c>
      <c r="AI367" s="1">
        <f>AJ367*SQRT(X367)</f>
        <v>0.36742346141747667</v>
      </c>
      <c r="AJ367" s="1">
        <f>0.21-0.06</f>
        <v>0.15</v>
      </c>
      <c r="AK367" s="1">
        <v>0.41</v>
      </c>
      <c r="AL367" s="1">
        <f>AM367*SQRT(W367)</f>
        <v>0.65817930687617332</v>
      </c>
      <c r="AM367" s="1">
        <f>0.61-0.23</f>
        <v>0.38</v>
      </c>
      <c r="AN367" s="12">
        <f>AH367-AK367</f>
        <v>-0.27999999999999997</v>
      </c>
      <c r="AO367" s="1">
        <f>SQRT((((X367-1)*AI367^2)+((W367-1)*AL367^2))/(X367+W367-2))</f>
        <v>0.46925472826600262</v>
      </c>
      <c r="AP367" s="1">
        <f>AN367/AO367</f>
        <v>-0.59669084429827768</v>
      </c>
      <c r="AQ367" s="1">
        <f>1/X367+1/W367+(AP367^2)/(2*(X367+W367))</f>
        <v>0.51977999798163288</v>
      </c>
      <c r="AR367" s="1">
        <f>1-(3/(4*(X367+W367-2)-1))</f>
        <v>0.88888888888888884</v>
      </c>
      <c r="AS367" s="21">
        <f>AP367*AR367</f>
        <v>-0.53039186159846907</v>
      </c>
      <c r="AT367" s="21">
        <f>AQ367*(AR367^2)</f>
        <v>0.41069036877561116</v>
      </c>
      <c r="AU367" s="21">
        <f>SQRT(AQ367*AR367^2)</f>
        <v>0.640851284445628</v>
      </c>
      <c r="AV367" s="20">
        <f>1/AT367</f>
        <v>2.4349244005436366</v>
      </c>
      <c r="AW367" s="20">
        <f>AS367/AT367</f>
        <v>-1.2914640856558757</v>
      </c>
      <c r="AX367" s="20">
        <f>((AS367)^2)/AT367</f>
        <v>0.68498204057858469</v>
      </c>
      <c r="AY367" s="14"/>
      <c r="AZ367" s="14"/>
      <c r="BA367" s="1" t="s">
        <v>270</v>
      </c>
      <c r="BB367" s="2"/>
    </row>
    <row r="368" spans="1:63" ht="14.25" customHeight="1">
      <c r="A368" s="2">
        <v>534</v>
      </c>
      <c r="B368" s="2" t="s">
        <v>68</v>
      </c>
      <c r="C368" s="1" t="s">
        <v>85</v>
      </c>
      <c r="D368" s="1">
        <v>2022</v>
      </c>
      <c r="E368" s="1">
        <v>2018</v>
      </c>
      <c r="F368" s="1" t="s">
        <v>143</v>
      </c>
      <c r="G368" s="1" t="s">
        <v>109</v>
      </c>
      <c r="H368" s="1">
        <v>33.299100000000003</v>
      </c>
      <c r="I368" s="1">
        <v>-116.800786</v>
      </c>
      <c r="J368" s="1" t="s">
        <v>128</v>
      </c>
      <c r="K368" s="1" t="s">
        <v>218</v>
      </c>
      <c r="L368" s="1" t="s">
        <v>219</v>
      </c>
      <c r="M368" s="1" t="s">
        <v>237</v>
      </c>
      <c r="N368" s="1" t="s">
        <v>238</v>
      </c>
      <c r="O368" s="1" t="s">
        <v>86</v>
      </c>
      <c r="P368" s="1" t="s">
        <v>210</v>
      </c>
      <c r="Q368" s="1" t="s">
        <v>93</v>
      </c>
      <c r="R368" s="1">
        <v>2018</v>
      </c>
      <c r="S368" s="1">
        <v>1</v>
      </c>
      <c r="T368" s="1">
        <f>S368*12</f>
        <v>12</v>
      </c>
      <c r="V368" s="1">
        <v>9400</v>
      </c>
      <c r="W368" s="1">
        <v>3</v>
      </c>
      <c r="X368" s="1">
        <v>6</v>
      </c>
      <c r="Y368" s="1" t="s">
        <v>97</v>
      </c>
      <c r="Z368" s="1" t="s">
        <v>133</v>
      </c>
      <c r="AA368" s="1" t="s">
        <v>0</v>
      </c>
      <c r="AB368" s="1" t="s">
        <v>98</v>
      </c>
      <c r="AC368" s="1" t="s">
        <v>202</v>
      </c>
      <c r="AD368" s="1" t="s">
        <v>99</v>
      </c>
      <c r="AE368" s="1" t="s">
        <v>102</v>
      </c>
      <c r="AF368" s="1" t="s">
        <v>150</v>
      </c>
      <c r="AG368" s="1" t="s">
        <v>366</v>
      </c>
      <c r="AH368" s="1">
        <v>0.27</v>
      </c>
      <c r="AI368" s="1">
        <f>AJ368*SQRT(X368)</f>
        <v>0.53888774341229917</v>
      </c>
      <c r="AJ368" s="1">
        <f>0.37-0.15</f>
        <v>0.22</v>
      </c>
      <c r="AK368" s="1">
        <v>0.67</v>
      </c>
      <c r="AL368" s="1">
        <f>AM368*SQRT(W368)</f>
        <v>0.77942286340599476</v>
      </c>
      <c r="AM368" s="1">
        <f>0.89-0.44</f>
        <v>0.45</v>
      </c>
      <c r="AN368" s="12">
        <f>AH368-AK368</f>
        <v>-0.4</v>
      </c>
      <c r="AO368" s="1">
        <f>SQRT((((X368-1)*AI368^2)+((W368-1)*AL368^2))/(X368+W368-2))</f>
        <v>0.61725197448043856</v>
      </c>
      <c r="AP368" s="1">
        <f>AN368/AO368</f>
        <v>-0.64803356900833453</v>
      </c>
      <c r="AQ368" s="1">
        <f>1/X368+1/W368+(AP368^2)/(2*(X368+W368))</f>
        <v>0.52333041703120442</v>
      </c>
      <c r="AR368" s="1">
        <f>1-(3/(4*(X368+W368-2)-1))</f>
        <v>0.88888888888888884</v>
      </c>
      <c r="AS368" s="21">
        <f>AP368*AR368</f>
        <v>-0.57602983911851957</v>
      </c>
      <c r="AT368" s="21">
        <f>AQ368*(AR368^2)</f>
        <v>0.41349563814811213</v>
      </c>
      <c r="AU368" s="21">
        <f>SQRT(AQ368*AR368^2)</f>
        <v>0.6430362650334055</v>
      </c>
      <c r="AV368" s="20">
        <f>1/AT368</f>
        <v>2.4184051964335471</v>
      </c>
      <c r="AW368" s="20">
        <f>AS368/AT368</f>
        <v>-1.3930735562250078</v>
      </c>
      <c r="AX368" s="20">
        <f>((AS368)^2)/AT368</f>
        <v>0.80245193647255519</v>
      </c>
      <c r="AY368" s="14"/>
      <c r="AZ368" s="14"/>
      <c r="BA368" s="1" t="s">
        <v>270</v>
      </c>
      <c r="BB368" s="2"/>
    </row>
    <row r="369" spans="1:54" ht="14.25" customHeight="1">
      <c r="A369" s="2">
        <v>534</v>
      </c>
      <c r="B369" s="2" t="s">
        <v>68</v>
      </c>
      <c r="C369" s="1" t="s">
        <v>85</v>
      </c>
      <c r="D369" s="1">
        <v>2022</v>
      </c>
      <c r="E369" s="1">
        <v>2018</v>
      </c>
      <c r="F369" s="1" t="s">
        <v>143</v>
      </c>
      <c r="G369" s="1" t="s">
        <v>109</v>
      </c>
      <c r="H369" s="1">
        <v>33.299100000000003</v>
      </c>
      <c r="I369" s="1">
        <v>-116.800786</v>
      </c>
      <c r="J369" s="1" t="s">
        <v>128</v>
      </c>
      <c r="K369" s="1" t="s">
        <v>218</v>
      </c>
      <c r="L369" s="1" t="s">
        <v>219</v>
      </c>
      <c r="M369" s="1" t="s">
        <v>237</v>
      </c>
      <c r="N369" s="1" t="s">
        <v>238</v>
      </c>
      <c r="O369" s="1" t="s">
        <v>86</v>
      </c>
      <c r="P369" s="1" t="s">
        <v>210</v>
      </c>
      <c r="Q369" s="1" t="s">
        <v>93</v>
      </c>
      <c r="R369" s="1">
        <v>2018</v>
      </c>
      <c r="S369" s="1">
        <v>1</v>
      </c>
      <c r="T369" s="1">
        <v>12</v>
      </c>
      <c r="V369" s="1">
        <v>9400</v>
      </c>
      <c r="W369" s="1">
        <v>3</v>
      </c>
      <c r="X369" s="1">
        <v>6</v>
      </c>
      <c r="Y369" s="1" t="s">
        <v>97</v>
      </c>
      <c r="Z369" s="1" t="s">
        <v>133</v>
      </c>
      <c r="AA369" s="1" t="s">
        <v>0</v>
      </c>
      <c r="AB369" s="1" t="s">
        <v>98</v>
      </c>
      <c r="AC369" s="1" t="s">
        <v>202</v>
      </c>
      <c r="AD369" s="1" t="s">
        <v>99</v>
      </c>
      <c r="AE369" s="1" t="s">
        <v>102</v>
      </c>
      <c r="AF369" s="1" t="s">
        <v>256</v>
      </c>
      <c r="AG369" s="1" t="s">
        <v>368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2" t="s">
        <v>285</v>
      </c>
    </row>
    <row r="370" spans="1:54" ht="14.25" customHeight="1">
      <c r="A370" s="2">
        <v>186</v>
      </c>
      <c r="B370" s="2" t="s">
        <v>27</v>
      </c>
      <c r="C370" s="1" t="s">
        <v>91</v>
      </c>
      <c r="D370" s="1">
        <v>2020</v>
      </c>
      <c r="E370" s="1">
        <v>2016</v>
      </c>
      <c r="F370" s="1" t="s">
        <v>152</v>
      </c>
      <c r="G370" s="1" t="s">
        <v>117</v>
      </c>
      <c r="H370" s="1">
        <v>54.283183999999999</v>
      </c>
      <c r="I370" s="1">
        <v>-118.216606</v>
      </c>
      <c r="J370" s="1" t="s">
        <v>128</v>
      </c>
      <c r="K370" s="1" t="s">
        <v>176</v>
      </c>
      <c r="L370" s="1" t="s">
        <v>186</v>
      </c>
      <c r="M370" s="1" t="s">
        <v>236</v>
      </c>
      <c r="N370" s="1" t="s">
        <v>238</v>
      </c>
      <c r="O370" s="1" t="s">
        <v>86</v>
      </c>
      <c r="P370" s="1" t="s">
        <v>2</v>
      </c>
      <c r="Q370" s="1" t="s">
        <v>93</v>
      </c>
      <c r="R370" s="1" t="s">
        <v>2</v>
      </c>
      <c r="S370" s="7" t="s">
        <v>48</v>
      </c>
      <c r="T370" s="7"/>
      <c r="W370" s="1">
        <v>16</v>
      </c>
      <c r="X370" s="1">
        <v>16</v>
      </c>
      <c r="Y370" s="1" t="s">
        <v>204</v>
      </c>
      <c r="AA370" s="1" t="s">
        <v>0</v>
      </c>
      <c r="AB370" s="1" t="s">
        <v>98</v>
      </c>
      <c r="AC370" s="1" t="s">
        <v>202</v>
      </c>
      <c r="AD370" s="1" t="s">
        <v>99</v>
      </c>
      <c r="AE370" s="1" t="s">
        <v>111</v>
      </c>
      <c r="AF370" s="1" t="s">
        <v>222</v>
      </c>
      <c r="AG370" s="1" t="s">
        <v>317</v>
      </c>
      <c r="AH370" s="12">
        <v>2.4</v>
      </c>
      <c r="AI370" s="12">
        <f>AJ370*SQRT(X370)</f>
        <v>3.32</v>
      </c>
      <c r="AJ370" s="12">
        <v>0.83</v>
      </c>
      <c r="AK370" s="12">
        <v>1.5</v>
      </c>
      <c r="AL370" s="12">
        <f>AM370*SQRT(W370)</f>
        <v>1.04</v>
      </c>
      <c r="AM370" s="12">
        <v>0.26</v>
      </c>
      <c r="AN370" s="12">
        <f>AH370-AK370</f>
        <v>0.89999999999999991</v>
      </c>
      <c r="AO370" s="1">
        <f>SQRT((((X370-1)*AI370^2)+((W370-1)*AL370^2))/(X370+W370-2))</f>
        <v>2.4600812994695924</v>
      </c>
      <c r="AP370" s="1">
        <f>AN370/AO370</f>
        <v>0.36584156799779138</v>
      </c>
      <c r="AQ370" s="1">
        <f>1/X370+1/W370+(AP370^2)/(2*(X370+W370))</f>
        <v>0.12709125082617317</v>
      </c>
      <c r="AR370" s="1">
        <f>1-(3/(4*(X370+W370-2)-1))</f>
        <v>0.97478991596638653</v>
      </c>
      <c r="AS370" s="21">
        <f>AP370*AR370</f>
        <v>0.35661867132557817</v>
      </c>
      <c r="AT370" s="21">
        <f>AQ370*(AR370^2)</f>
        <v>0.12076406123275095</v>
      </c>
      <c r="AU370" s="21">
        <f>SQRT(AQ370*AR370^2)</f>
        <v>0.34751123900206587</v>
      </c>
      <c r="AV370" s="20">
        <f>1/AT370</f>
        <v>8.2806092292033835</v>
      </c>
      <c r="AW370" s="20">
        <f>AS370/AT370</f>
        <v>2.9530198610848304</v>
      </c>
      <c r="AX370" s="20">
        <f>((AS370)^2)/AT370</f>
        <v>1.0531020192581158</v>
      </c>
      <c r="AY370" s="14"/>
      <c r="AZ370" s="14"/>
      <c r="BA370" s="1" t="s">
        <v>270</v>
      </c>
      <c r="BB370" s="2"/>
    </row>
    <row r="371" spans="1:54" ht="14.25" customHeight="1">
      <c r="A371" s="2">
        <v>294</v>
      </c>
      <c r="B371" s="2" t="s">
        <v>44</v>
      </c>
      <c r="C371" s="1" t="s">
        <v>85</v>
      </c>
      <c r="D371" s="1">
        <v>2016</v>
      </c>
      <c r="E371" s="1">
        <v>2013</v>
      </c>
      <c r="F371" s="1" t="s">
        <v>143</v>
      </c>
      <c r="G371" s="1" t="s">
        <v>159</v>
      </c>
      <c r="H371" s="1">
        <v>43.7</v>
      </c>
      <c r="I371" s="1">
        <v>-121.61666700000001</v>
      </c>
      <c r="J371" s="1" t="s">
        <v>128</v>
      </c>
      <c r="K371" s="1" t="s">
        <v>176</v>
      </c>
      <c r="L371" s="1" t="s">
        <v>192</v>
      </c>
      <c r="M371" s="1" t="s">
        <v>236</v>
      </c>
      <c r="N371" s="1" t="s">
        <v>238</v>
      </c>
      <c r="O371" s="1" t="s">
        <v>121</v>
      </c>
      <c r="P371" s="1" t="s">
        <v>146</v>
      </c>
      <c r="Q371" s="1" t="s">
        <v>115</v>
      </c>
      <c r="R371" s="1">
        <v>2013</v>
      </c>
      <c r="S371" s="1" t="s">
        <v>308</v>
      </c>
      <c r="T371" s="23">
        <f>3/4.345</f>
        <v>0.69044879171461448</v>
      </c>
      <c r="V371" s="1">
        <v>199</v>
      </c>
      <c r="W371" s="1">
        <v>10</v>
      </c>
      <c r="X371" s="1">
        <v>10</v>
      </c>
      <c r="Y371" s="1" t="s">
        <v>97</v>
      </c>
      <c r="Z371" s="1" t="s">
        <v>133</v>
      </c>
      <c r="AA371" s="1" t="s">
        <v>0</v>
      </c>
      <c r="AB371" s="1" t="s">
        <v>98</v>
      </c>
      <c r="AC371" s="1" t="s">
        <v>202</v>
      </c>
      <c r="AD371" s="1" t="s">
        <v>99</v>
      </c>
      <c r="AE371" s="1" t="s">
        <v>111</v>
      </c>
      <c r="AF371" s="1" t="s">
        <v>261</v>
      </c>
      <c r="AG371" s="1" t="s">
        <v>317</v>
      </c>
      <c r="AH371" s="1">
        <v>74.81</v>
      </c>
      <c r="AI371" s="1">
        <v>20.48</v>
      </c>
      <c r="AK371" s="1">
        <v>111.4</v>
      </c>
      <c r="AL371" s="1">
        <v>21.23</v>
      </c>
      <c r="AN371" s="12">
        <f>AH371-AK371</f>
        <v>-36.590000000000003</v>
      </c>
      <c r="AO371" s="1">
        <f>SQRT((((X371-1)*AI371^2)+((W371-1)*AL371^2))/(X371+W371-2))</f>
        <v>20.858371221166816</v>
      </c>
      <c r="AP371" s="1">
        <f>AN371/AO371</f>
        <v>-1.7542117556556345</v>
      </c>
      <c r="AQ371" s="1">
        <f>1/X371+1/W371+(AP371^2)/(2*(X371+W371))</f>
        <v>0.27693147209201063</v>
      </c>
      <c r="AR371" s="1">
        <f>1-(3/(4*(X371+W371-2)-1))</f>
        <v>0.95774647887323949</v>
      </c>
      <c r="AS371" s="21">
        <f>AP371*AR371</f>
        <v>-1.6800901321772275</v>
      </c>
      <c r="AT371" s="21">
        <f>AQ371*(AR371^2)</f>
        <v>0.25402323486480011</v>
      </c>
      <c r="AU371" s="21">
        <f>SQRT(AQ371*AR371^2)</f>
        <v>0.50400717739413203</v>
      </c>
      <c r="AV371" s="20">
        <f>1/AT371</f>
        <v>3.9366477658322649</v>
      </c>
      <c r="AW371" s="20">
        <f>AS371/AT371</f>
        <v>-6.6139230652323171</v>
      </c>
      <c r="AX371" s="20">
        <f>((AS371)^2)/AT371</f>
        <v>11.111986876876177</v>
      </c>
      <c r="AY371" s="14"/>
      <c r="AZ371" s="14"/>
      <c r="BA371" s="1" t="s">
        <v>270</v>
      </c>
      <c r="BB371" s="2"/>
    </row>
    <row r="372" spans="1:54" ht="14.25" customHeight="1">
      <c r="A372" s="2">
        <v>294</v>
      </c>
      <c r="B372" s="2" t="s">
        <v>44</v>
      </c>
      <c r="C372" s="1" t="s">
        <v>85</v>
      </c>
      <c r="D372" s="1">
        <v>2016</v>
      </c>
      <c r="E372" s="1">
        <v>2013</v>
      </c>
      <c r="F372" s="1" t="s">
        <v>143</v>
      </c>
      <c r="G372" s="1" t="s">
        <v>159</v>
      </c>
      <c r="H372" s="1">
        <v>43.7</v>
      </c>
      <c r="I372" s="1">
        <v>-121.61666700000001</v>
      </c>
      <c r="J372" s="1" t="s">
        <v>128</v>
      </c>
      <c r="K372" s="1" t="s">
        <v>176</v>
      </c>
      <c r="L372" s="1" t="s">
        <v>192</v>
      </c>
      <c r="M372" s="1" t="s">
        <v>236</v>
      </c>
      <c r="N372" s="1" t="s">
        <v>238</v>
      </c>
      <c r="O372" s="1" t="s">
        <v>121</v>
      </c>
      <c r="P372" s="1" t="s">
        <v>146</v>
      </c>
      <c r="Q372" s="1" t="s">
        <v>115</v>
      </c>
      <c r="R372" s="1">
        <v>2013</v>
      </c>
      <c r="S372" s="1" t="s">
        <v>308</v>
      </c>
      <c r="T372" s="23">
        <f>3/4.345</f>
        <v>0.69044879171461448</v>
      </c>
      <c r="V372" s="1">
        <v>199</v>
      </c>
      <c r="W372" s="1">
        <v>10</v>
      </c>
      <c r="X372" s="1">
        <v>10</v>
      </c>
      <c r="Y372" s="1" t="s">
        <v>97</v>
      </c>
      <c r="Z372" s="1" t="s">
        <v>133</v>
      </c>
      <c r="AA372" s="1" t="s">
        <v>0</v>
      </c>
      <c r="AB372" s="1" t="s">
        <v>98</v>
      </c>
      <c r="AC372" s="1" t="s">
        <v>202</v>
      </c>
      <c r="AD372" s="1" t="s">
        <v>99</v>
      </c>
      <c r="AE372" s="1" t="s">
        <v>111</v>
      </c>
      <c r="AF372" s="1" t="s">
        <v>149</v>
      </c>
      <c r="AG372" s="1" t="s">
        <v>317</v>
      </c>
      <c r="AH372" s="1">
        <v>1.96</v>
      </c>
      <c r="AI372" s="1">
        <v>0.34</v>
      </c>
      <c r="AK372" s="1">
        <v>2.46</v>
      </c>
      <c r="AL372" s="1">
        <v>0.4</v>
      </c>
      <c r="AN372" s="12">
        <f>AH372-AK372</f>
        <v>-0.5</v>
      </c>
      <c r="AO372" s="1">
        <f>SQRT((((X372-1)*AI372^2)+((W372-1)*AL372^2))/(X372+W372-2))</f>
        <v>0.37121422386541175</v>
      </c>
      <c r="AP372" s="1">
        <f>AN372/AO372</f>
        <v>-1.3469311461009132</v>
      </c>
      <c r="AQ372" s="1">
        <f>1/X372+1/W372+(AP372^2)/(2*(X372+W372))</f>
        <v>0.24535558780841799</v>
      </c>
      <c r="AR372" s="1">
        <f>1-(3/(4*(X372+W372-2)-1))</f>
        <v>0.95774647887323949</v>
      </c>
      <c r="AS372" s="21">
        <f>AP372*AR372</f>
        <v>-1.2900185624628466</v>
      </c>
      <c r="AT372" s="21">
        <f>AQ372*(AR372^2)</f>
        <v>0.22505936084628542</v>
      </c>
      <c r="AU372" s="21">
        <f>SQRT(AQ372*AR372^2)</f>
        <v>0.4744042167248152</v>
      </c>
      <c r="AV372" s="20">
        <f>1/AT372</f>
        <v>4.4432721937880011</v>
      </c>
      <c r="AW372" s="20">
        <f>AS372/AT372</f>
        <v>-5.7319036080615362</v>
      </c>
      <c r="AX372" s="20">
        <f>((AS372)^2)/AT372</f>
        <v>7.3942620526471465</v>
      </c>
      <c r="AY372" s="14"/>
      <c r="AZ372" s="14"/>
      <c r="BA372" s="1" t="s">
        <v>270</v>
      </c>
      <c r="BB372" s="2"/>
    </row>
    <row r="373" spans="1:54" ht="14.25" customHeight="1">
      <c r="A373" s="2">
        <v>294</v>
      </c>
      <c r="B373" s="2" t="s">
        <v>44</v>
      </c>
      <c r="C373" s="1" t="s">
        <v>85</v>
      </c>
      <c r="D373" s="1">
        <v>2016</v>
      </c>
      <c r="E373" s="1">
        <v>2013</v>
      </c>
      <c r="F373" s="1" t="s">
        <v>143</v>
      </c>
      <c r="G373" s="1" t="s">
        <v>159</v>
      </c>
      <c r="H373" s="1">
        <v>43.7</v>
      </c>
      <c r="I373" s="1">
        <v>-121.61666700000001</v>
      </c>
      <c r="J373" s="1" t="s">
        <v>128</v>
      </c>
      <c r="K373" s="1" t="s">
        <v>176</v>
      </c>
      <c r="L373" s="1" t="s">
        <v>192</v>
      </c>
      <c r="M373" s="1" t="s">
        <v>236</v>
      </c>
      <c r="N373" s="1" t="s">
        <v>238</v>
      </c>
      <c r="O373" s="1" t="s">
        <v>121</v>
      </c>
      <c r="P373" s="1" t="s">
        <v>146</v>
      </c>
      <c r="Q373" s="1" t="s">
        <v>115</v>
      </c>
      <c r="R373" s="1">
        <v>2013</v>
      </c>
      <c r="S373" s="1" t="s">
        <v>308</v>
      </c>
      <c r="T373" s="23">
        <f>3/4.345</f>
        <v>0.69044879171461448</v>
      </c>
      <c r="V373" s="1">
        <v>199</v>
      </c>
      <c r="W373" s="1">
        <v>10</v>
      </c>
      <c r="X373" s="1">
        <v>10</v>
      </c>
      <c r="Y373" s="1" t="s">
        <v>97</v>
      </c>
      <c r="Z373" s="1" t="s">
        <v>133</v>
      </c>
      <c r="AA373" s="1" t="s">
        <v>0</v>
      </c>
      <c r="AB373" s="1" t="s">
        <v>98</v>
      </c>
      <c r="AC373" s="1" t="s">
        <v>202</v>
      </c>
      <c r="AD373" s="1" t="s">
        <v>99</v>
      </c>
      <c r="AE373" s="1" t="s">
        <v>111</v>
      </c>
      <c r="AF373" s="1" t="s">
        <v>256</v>
      </c>
      <c r="AG373" s="1" t="s">
        <v>319</v>
      </c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" t="s">
        <v>285</v>
      </c>
    </row>
    <row r="374" spans="1:54" ht="14.25" customHeight="1">
      <c r="A374" s="2">
        <v>410</v>
      </c>
      <c r="B374" s="2" t="s">
        <v>51</v>
      </c>
      <c r="C374" s="1" t="s">
        <v>85</v>
      </c>
      <c r="D374" s="1">
        <v>2013</v>
      </c>
      <c r="E374" s="1">
        <v>2011</v>
      </c>
      <c r="F374" s="1" t="s">
        <v>143</v>
      </c>
      <c r="G374" s="1" t="s">
        <v>142</v>
      </c>
      <c r="H374" s="1">
        <v>33.053629000000001</v>
      </c>
      <c r="I374" s="1">
        <v>-83.677790000000002</v>
      </c>
      <c r="J374" s="1" t="s">
        <v>128</v>
      </c>
      <c r="K374" s="1" t="s">
        <v>176</v>
      </c>
      <c r="L374" s="1" t="s">
        <v>208</v>
      </c>
      <c r="M374" s="1" t="s">
        <v>236</v>
      </c>
      <c r="N374" s="1" t="s">
        <v>238</v>
      </c>
      <c r="O374" s="1" t="s">
        <v>121</v>
      </c>
      <c r="P374" s="1" t="s">
        <v>146</v>
      </c>
      <c r="Q374" s="1" t="s">
        <v>93</v>
      </c>
      <c r="S374" s="1">
        <v>6</v>
      </c>
      <c r="T374" s="12">
        <f>S374*12</f>
        <v>72</v>
      </c>
      <c r="V374" s="1">
        <v>0.8</v>
      </c>
      <c r="W374" s="1">
        <v>4</v>
      </c>
      <c r="X374" s="1">
        <v>4</v>
      </c>
      <c r="Y374" s="1" t="s">
        <v>97</v>
      </c>
      <c r="Z374" s="1" t="s">
        <v>133</v>
      </c>
      <c r="AA374" s="1" t="s">
        <v>0</v>
      </c>
      <c r="AB374" s="1" t="s">
        <v>98</v>
      </c>
      <c r="AC374" s="1" t="s">
        <v>202</v>
      </c>
      <c r="AD374" s="1" t="s">
        <v>227</v>
      </c>
      <c r="AE374" s="1" t="s">
        <v>100</v>
      </c>
      <c r="AF374" s="1" t="s">
        <v>222</v>
      </c>
      <c r="AG374" s="1" t="s">
        <v>319</v>
      </c>
      <c r="AH374" s="1">
        <v>614.95000000000005</v>
      </c>
      <c r="AI374" s="1">
        <f>686.92-AH374</f>
        <v>71.969999999999914</v>
      </c>
      <c r="AK374" s="1">
        <v>578.69000000000005</v>
      </c>
      <c r="AL374" s="1">
        <f>623.67-AK374</f>
        <v>44.979999999999905</v>
      </c>
      <c r="AN374" s="12">
        <f>AH374-AK374</f>
        <v>36.259999999999991</v>
      </c>
      <c r="AO374" s="1">
        <f>SQRT((((X374-1)*AI374^2)+((W374-1)*AL374^2))/(X374+W374-2))</f>
        <v>60.012004215823268</v>
      </c>
      <c r="AP374" s="1">
        <f>AN374/AO374</f>
        <v>0.60421244838944033</v>
      </c>
      <c r="AQ374" s="1">
        <f>1/X374+1/W374+(AP374^2)/(2*(X374+W374))</f>
        <v>0.52281704267429763</v>
      </c>
      <c r="AR374" s="1">
        <f>1-(3/(4*(X374+W374-2)-1))</f>
        <v>0.86956521739130432</v>
      </c>
      <c r="AS374" s="21">
        <f>AP374*AR374</f>
        <v>0.52540212903429595</v>
      </c>
      <c r="AT374" s="21">
        <f>AQ374*(AR374^2)</f>
        <v>0.39532479597300391</v>
      </c>
      <c r="AU374" s="21">
        <f>SQRT(AQ374*AR374^2)</f>
        <v>0.62874859520559079</v>
      </c>
      <c r="AV374" s="20">
        <f>1/AT374</f>
        <v>2.5295655880596177</v>
      </c>
      <c r="AW374" s="20">
        <f>AS374/AT374</f>
        <v>1.3290391454984141</v>
      </c>
      <c r="AX374" s="20">
        <f>((AS374)^2)/AT374</f>
        <v>0.69827999661478812</v>
      </c>
      <c r="AY374" s="14"/>
      <c r="AZ374" s="14"/>
      <c r="BA374" s="1" t="s">
        <v>270</v>
      </c>
      <c r="BB374" s="2"/>
    </row>
    <row r="375" spans="1:54" ht="14.25" customHeight="1">
      <c r="A375" s="2">
        <v>294</v>
      </c>
      <c r="B375" s="2" t="s">
        <v>44</v>
      </c>
      <c r="C375" s="1" t="s">
        <v>85</v>
      </c>
      <c r="D375" s="1">
        <v>2016</v>
      </c>
      <c r="E375" s="1">
        <v>2013</v>
      </c>
      <c r="F375" s="1" t="s">
        <v>143</v>
      </c>
      <c r="G375" s="1" t="s">
        <v>159</v>
      </c>
      <c r="H375" s="1">
        <v>43.7</v>
      </c>
      <c r="I375" s="1">
        <v>-121.61666700000001</v>
      </c>
      <c r="J375" s="1" t="s">
        <v>128</v>
      </c>
      <c r="K375" s="1" t="s">
        <v>176</v>
      </c>
      <c r="L375" s="1" t="s">
        <v>192</v>
      </c>
      <c r="M375" s="1" t="s">
        <v>236</v>
      </c>
      <c r="N375" s="1" t="s">
        <v>238</v>
      </c>
      <c r="O375" s="1" t="s">
        <v>121</v>
      </c>
      <c r="P375" s="1" t="s">
        <v>129</v>
      </c>
      <c r="Q375" s="1" t="s">
        <v>115</v>
      </c>
      <c r="R375" s="1">
        <v>2013</v>
      </c>
      <c r="S375" s="1" t="s">
        <v>308</v>
      </c>
      <c r="T375" s="23">
        <f>3/4.345</f>
        <v>0.69044879171461448</v>
      </c>
      <c r="V375" s="1">
        <v>199</v>
      </c>
      <c r="W375" s="1">
        <v>10</v>
      </c>
      <c r="X375" s="1">
        <v>10</v>
      </c>
      <c r="Y375" s="1" t="s">
        <v>97</v>
      </c>
      <c r="Z375" s="1" t="s">
        <v>133</v>
      </c>
      <c r="AA375" s="1" t="s">
        <v>0</v>
      </c>
      <c r="AB375" s="1" t="s">
        <v>98</v>
      </c>
      <c r="AC375" s="1" t="s">
        <v>202</v>
      </c>
      <c r="AD375" s="1" t="s">
        <v>99</v>
      </c>
      <c r="AE375" s="1" t="s">
        <v>111</v>
      </c>
      <c r="AF375" s="1" t="s">
        <v>261</v>
      </c>
      <c r="AG375" s="1" t="s">
        <v>317</v>
      </c>
      <c r="AH375" s="1">
        <v>56.51</v>
      </c>
      <c r="AI375" s="1">
        <v>24.54</v>
      </c>
      <c r="AK375" s="1">
        <v>104.28</v>
      </c>
      <c r="AL375" s="1">
        <v>13.42</v>
      </c>
      <c r="AN375" s="12">
        <f>AH375-AK375</f>
        <v>-47.77</v>
      </c>
      <c r="AO375" s="1">
        <f>SQRT((((X375-1)*AI375^2)+((W375-1)*AL375^2))/(X375+W375-2))</f>
        <v>19.777613607308641</v>
      </c>
      <c r="AP375" s="1">
        <f>AN375/AO375</f>
        <v>-2.4153571279371655</v>
      </c>
      <c r="AQ375" s="1">
        <f>1/X375+1/W375+(AP375^2)/(2*(X375+W375))</f>
        <v>0.34584875138692184</v>
      </c>
      <c r="AR375" s="1">
        <f>1-(3/(4*(X375+W375-2)-1))</f>
        <v>0.95774647887323949</v>
      </c>
      <c r="AS375" s="21">
        <f>AP375*AR375</f>
        <v>-2.3132997845032008</v>
      </c>
      <c r="AT375" s="21">
        <f>AQ375*(AR375^2)</f>
        <v>0.31723956088338162</v>
      </c>
      <c r="AU375" s="21">
        <f>SQRT(AQ375*AR375^2)</f>
        <v>0.56324023372214949</v>
      </c>
      <c r="AV375" s="20">
        <f>1/AT375</f>
        <v>3.1521919814017254</v>
      </c>
      <c r="AW375" s="20">
        <f>AS375/AT375</f>
        <v>-7.2919650312893287</v>
      </c>
      <c r="AX375" s="20">
        <f>((AS375)^2)/AT375</f>
        <v>16.868501135486479</v>
      </c>
      <c r="AY375" s="14"/>
      <c r="AZ375" s="14"/>
      <c r="BA375" s="1" t="s">
        <v>270</v>
      </c>
      <c r="BB375" s="2"/>
    </row>
    <row r="376" spans="1:54" ht="14.25" customHeight="1">
      <c r="A376" s="2">
        <v>294</v>
      </c>
      <c r="B376" s="2" t="s">
        <v>44</v>
      </c>
      <c r="C376" s="1" t="s">
        <v>85</v>
      </c>
      <c r="D376" s="1">
        <v>2016</v>
      </c>
      <c r="E376" s="1">
        <v>2013</v>
      </c>
      <c r="F376" s="1" t="s">
        <v>143</v>
      </c>
      <c r="G376" s="1" t="s">
        <v>159</v>
      </c>
      <c r="H376" s="1">
        <v>43.7</v>
      </c>
      <c r="I376" s="1">
        <v>-121.61666700000001</v>
      </c>
      <c r="J376" s="1" t="s">
        <v>128</v>
      </c>
      <c r="K376" s="1" t="s">
        <v>176</v>
      </c>
      <c r="L376" s="1" t="s">
        <v>192</v>
      </c>
      <c r="M376" s="1" t="s">
        <v>236</v>
      </c>
      <c r="N376" s="1" t="s">
        <v>238</v>
      </c>
      <c r="O376" s="1" t="s">
        <v>121</v>
      </c>
      <c r="P376" s="1" t="s">
        <v>129</v>
      </c>
      <c r="Q376" s="1" t="s">
        <v>115</v>
      </c>
      <c r="R376" s="1">
        <v>2013</v>
      </c>
      <c r="S376" s="1" t="s">
        <v>308</v>
      </c>
      <c r="T376" s="23">
        <f>3/4.345</f>
        <v>0.69044879171461448</v>
      </c>
      <c r="V376" s="1">
        <v>199</v>
      </c>
      <c r="W376" s="1">
        <v>10</v>
      </c>
      <c r="X376" s="1">
        <v>10</v>
      </c>
      <c r="Y376" s="1" t="s">
        <v>97</v>
      </c>
      <c r="Z376" s="1" t="s">
        <v>133</v>
      </c>
      <c r="AA376" s="1" t="s">
        <v>0</v>
      </c>
      <c r="AB376" s="1" t="s">
        <v>98</v>
      </c>
      <c r="AC376" s="1" t="s">
        <v>202</v>
      </c>
      <c r="AD376" s="1" t="s">
        <v>99</v>
      </c>
      <c r="AE376" s="1" t="s">
        <v>111</v>
      </c>
      <c r="AF376" s="1" t="s">
        <v>149</v>
      </c>
      <c r="AG376" s="1" t="s">
        <v>317</v>
      </c>
      <c r="AH376" s="1">
        <v>0.79</v>
      </c>
      <c r="AI376" s="1">
        <v>0.47</v>
      </c>
      <c r="AK376" s="1">
        <v>2.5299999999999998</v>
      </c>
      <c r="AL376" s="1">
        <v>0.57999999999999996</v>
      </c>
      <c r="AN376" s="12">
        <f>AH376-AK376</f>
        <v>-1.7399999999999998</v>
      </c>
      <c r="AO376" s="1">
        <f>SQRT((((X376-1)*AI376^2)+((W376-1)*AL376^2))/(X376+W376-2))</f>
        <v>0.52787309080876621</v>
      </c>
      <c r="AP376" s="1">
        <f>AN376/AO376</f>
        <v>-3.2962468257931214</v>
      </c>
      <c r="AQ376" s="1">
        <f>1/X376+1/W376+(AP376^2)/(2*(X376+W376))</f>
        <v>0.47163107841378071</v>
      </c>
      <c r="AR376" s="1">
        <f>1-(3/(4*(X376+W376-2)-1))</f>
        <v>0.95774647887323949</v>
      </c>
      <c r="AS376" s="21">
        <f>AP376*AR376</f>
        <v>-3.1569687909004545</v>
      </c>
      <c r="AT376" s="21">
        <f>AQ376*(AR376^2)</f>
        <v>0.43261696222680462</v>
      </c>
      <c r="AU376" s="21">
        <f>SQRT(AQ376*AR376^2)</f>
        <v>0.65773624062142466</v>
      </c>
      <c r="AV376" s="20">
        <f>1/AT376</f>
        <v>2.3115136190053915</v>
      </c>
      <c r="AW376" s="20">
        <f>AS376/AT376</f>
        <v>-7.2973763549413855</v>
      </c>
      <c r="AX376" s="20">
        <f>((AS376)^2)/AT376</f>
        <v>23.03758940800487</v>
      </c>
      <c r="AY376" s="14"/>
      <c r="AZ376" s="14"/>
      <c r="BA376" s="1" t="s">
        <v>270</v>
      </c>
      <c r="BB376" s="2"/>
    </row>
    <row r="377" spans="1:54" ht="14.25" customHeight="1">
      <c r="A377" s="2">
        <v>294</v>
      </c>
      <c r="B377" s="2" t="s">
        <v>44</v>
      </c>
      <c r="C377" s="1" t="s">
        <v>85</v>
      </c>
      <c r="D377" s="1">
        <v>2016</v>
      </c>
      <c r="E377" s="1">
        <v>2013</v>
      </c>
      <c r="F377" s="1" t="s">
        <v>143</v>
      </c>
      <c r="G377" s="1" t="s">
        <v>159</v>
      </c>
      <c r="H377" s="1">
        <v>43.7</v>
      </c>
      <c r="I377" s="1">
        <v>-121.61666700000001</v>
      </c>
      <c r="J377" s="1" t="s">
        <v>128</v>
      </c>
      <c r="K377" s="1" t="s">
        <v>176</v>
      </c>
      <c r="L377" s="1" t="s">
        <v>192</v>
      </c>
      <c r="M377" s="1" t="s">
        <v>236</v>
      </c>
      <c r="N377" s="1" t="s">
        <v>238</v>
      </c>
      <c r="O377" s="1" t="s">
        <v>121</v>
      </c>
      <c r="P377" s="1" t="s">
        <v>129</v>
      </c>
      <c r="Q377" s="1" t="s">
        <v>115</v>
      </c>
      <c r="R377" s="1">
        <v>2013</v>
      </c>
      <c r="S377" s="1" t="s">
        <v>308</v>
      </c>
      <c r="T377" s="23">
        <f>3/4.345</f>
        <v>0.69044879171461448</v>
      </c>
      <c r="V377" s="1">
        <v>199</v>
      </c>
      <c r="W377" s="1">
        <v>10</v>
      </c>
      <c r="X377" s="1">
        <v>10</v>
      </c>
      <c r="Y377" s="1" t="s">
        <v>97</v>
      </c>
      <c r="Z377" s="1" t="s">
        <v>133</v>
      </c>
      <c r="AA377" s="1" t="s">
        <v>0</v>
      </c>
      <c r="AB377" s="1" t="s">
        <v>98</v>
      </c>
      <c r="AC377" s="1" t="s">
        <v>202</v>
      </c>
      <c r="AD377" s="1" t="s">
        <v>99</v>
      </c>
      <c r="AE377" s="1" t="s">
        <v>111</v>
      </c>
      <c r="AF377" s="1" t="s">
        <v>256</v>
      </c>
      <c r="AG377" s="1" t="s">
        <v>319</v>
      </c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" t="s">
        <v>285</v>
      </c>
    </row>
    <row r="378" spans="1:54" ht="14.25" customHeight="1">
      <c r="A378" s="2">
        <v>213</v>
      </c>
      <c r="B378" s="2" t="s">
        <v>33</v>
      </c>
      <c r="C378" s="1" t="s">
        <v>85</v>
      </c>
      <c r="D378" s="1">
        <v>2014</v>
      </c>
      <c r="E378" s="1">
        <v>2008</v>
      </c>
      <c r="F378" s="1" t="s">
        <v>120</v>
      </c>
      <c r="G378" s="1" t="s">
        <v>109</v>
      </c>
      <c r="H378" s="1">
        <v>41.05</v>
      </c>
      <c r="I378" s="1">
        <v>-2.4333330000000002</v>
      </c>
      <c r="J378" s="1" t="s">
        <v>382</v>
      </c>
      <c r="K378" s="1" t="s">
        <v>176</v>
      </c>
      <c r="L378" s="1" t="s">
        <v>177</v>
      </c>
      <c r="M378" s="1" t="s">
        <v>236</v>
      </c>
      <c r="N378" s="1" t="s">
        <v>238</v>
      </c>
      <c r="O378" s="1" t="s">
        <v>86</v>
      </c>
      <c r="P378" s="1" t="s">
        <v>129</v>
      </c>
      <c r="Q378" s="1" t="s">
        <v>93</v>
      </c>
      <c r="R378" s="1">
        <v>1994</v>
      </c>
      <c r="S378" s="1">
        <v>14</v>
      </c>
      <c r="T378" s="1">
        <f>S378*12</f>
        <v>168</v>
      </c>
      <c r="W378" s="1">
        <v>3</v>
      </c>
      <c r="X378" s="1">
        <v>3</v>
      </c>
      <c r="Y378" s="1" t="s">
        <v>134</v>
      </c>
      <c r="Z378" s="1" t="s">
        <v>147</v>
      </c>
      <c r="AA378" s="1" t="s">
        <v>1</v>
      </c>
      <c r="AB378" s="1" t="s">
        <v>98</v>
      </c>
      <c r="AC378" s="1" t="s">
        <v>158</v>
      </c>
      <c r="AD378" s="1" t="s">
        <v>373</v>
      </c>
      <c r="AE378" s="1" t="s">
        <v>100</v>
      </c>
      <c r="AF378" s="12" t="s">
        <v>346</v>
      </c>
      <c r="AG378" s="12" t="s">
        <v>319</v>
      </c>
      <c r="AH378" s="12">
        <v>82.39</v>
      </c>
      <c r="AI378" s="12">
        <f>83.1-80.96</f>
        <v>2.1400000000000006</v>
      </c>
      <c r="AJ378" s="12"/>
      <c r="AK378" s="12">
        <v>70.2</v>
      </c>
      <c r="AL378" s="12">
        <f>71.02-68.17</f>
        <v>2.8499999999999943</v>
      </c>
      <c r="AM378" s="12"/>
      <c r="AN378" s="12">
        <f>AH378-AK378</f>
        <v>12.189999999999998</v>
      </c>
      <c r="AO378" s="1">
        <f>SQRT((((X378-1)*AI378^2)+((W378-1)*AL378^2))/(X378+W378-2))</f>
        <v>2.5201289649539733</v>
      </c>
      <c r="AP378" s="1">
        <f>AN378/AO378</f>
        <v>4.8370540434713947</v>
      </c>
      <c r="AQ378" s="1">
        <f>1/X378+1/W378+(AP378^2)/(2*(X378+W378))</f>
        <v>2.6164243182885807</v>
      </c>
      <c r="AR378" s="1">
        <f>1-(3/(4*(X378+W378-2)-1))</f>
        <v>0.8</v>
      </c>
      <c r="AS378" s="21">
        <f>AP378*AR378</f>
        <v>3.8696432347771159</v>
      </c>
      <c r="AT378" s="21">
        <f>AQ378*(AR378^2)</f>
        <v>1.6745115637046919</v>
      </c>
      <c r="AU378" s="21">
        <f>SQRT(AQ378*AR378^2)</f>
        <v>1.2940291973926601</v>
      </c>
      <c r="AV378" s="20">
        <f>1/AT378</f>
        <v>0.59718906794981963</v>
      </c>
      <c r="AW378" s="20">
        <f>AS378/AT378</f>
        <v>2.310908636674871</v>
      </c>
      <c r="AX378" s="20">
        <f>((AS378)^2)/AT378</f>
        <v>8.9423919720969227</v>
      </c>
      <c r="AY378" s="14"/>
      <c r="AZ378" s="14"/>
      <c r="BA378" s="12" t="s">
        <v>270</v>
      </c>
      <c r="BB378" s="2"/>
    </row>
    <row r="379" spans="1:54" ht="14.25" customHeight="1">
      <c r="A379" s="2">
        <v>213</v>
      </c>
      <c r="B379" s="2" t="s">
        <v>33</v>
      </c>
      <c r="C379" s="1" t="s">
        <v>85</v>
      </c>
      <c r="D379" s="1">
        <v>2014</v>
      </c>
      <c r="E379" s="1">
        <v>2008</v>
      </c>
      <c r="F379" s="1" t="s">
        <v>120</v>
      </c>
      <c r="G379" s="1" t="s">
        <v>109</v>
      </c>
      <c r="H379" s="1">
        <v>41.05</v>
      </c>
      <c r="I379" s="1">
        <v>-2.4333330000000002</v>
      </c>
      <c r="J379" s="1" t="s">
        <v>382</v>
      </c>
      <c r="K379" s="1" t="s">
        <v>176</v>
      </c>
      <c r="L379" s="1" t="s">
        <v>177</v>
      </c>
      <c r="M379" s="1" t="s">
        <v>236</v>
      </c>
      <c r="N379" s="1" t="s">
        <v>238</v>
      </c>
      <c r="O379" s="1" t="s">
        <v>86</v>
      </c>
      <c r="P379" s="1" t="s">
        <v>129</v>
      </c>
      <c r="Q379" s="1" t="s">
        <v>93</v>
      </c>
      <c r="R379" s="1">
        <v>1994</v>
      </c>
      <c r="S379" s="1">
        <v>14</v>
      </c>
      <c r="T379" s="1">
        <f>S379*12</f>
        <v>168</v>
      </c>
      <c r="W379" s="1">
        <v>3</v>
      </c>
      <c r="X379" s="1">
        <v>3</v>
      </c>
      <c r="Y379" s="1" t="s">
        <v>134</v>
      </c>
      <c r="Z379" s="1" t="s">
        <v>147</v>
      </c>
      <c r="AA379" s="1" t="s">
        <v>1</v>
      </c>
      <c r="AB379" s="1" t="s">
        <v>98</v>
      </c>
      <c r="AC379" s="1" t="s">
        <v>158</v>
      </c>
      <c r="AD379" s="1" t="s">
        <v>373</v>
      </c>
      <c r="AE379" s="1" t="s">
        <v>100</v>
      </c>
      <c r="AF379" s="12" t="str">
        <f>J379&amp;"_"&amp;"Richness"</f>
        <v>ECM_Richness</v>
      </c>
      <c r="AG379" s="12" t="s">
        <v>319</v>
      </c>
      <c r="AH379" s="12">
        <v>10.07</v>
      </c>
      <c r="AI379" s="12">
        <f>12.63-9.03</f>
        <v>3.6000000000000014</v>
      </c>
      <c r="AJ379" s="12"/>
      <c r="AK379" s="12">
        <v>12.06</v>
      </c>
      <c r="AL379" s="12">
        <f>12.96-11.53</f>
        <v>1.4300000000000015</v>
      </c>
      <c r="AM379" s="12"/>
      <c r="AN379" s="12">
        <f>AH379-AK379</f>
        <v>-1.9900000000000002</v>
      </c>
      <c r="AO379" s="1">
        <f>SQRT((((X379-1)*AI379^2)+((W379-1)*AL379^2))/(X379+W379-2))</f>
        <v>2.7390600577570412</v>
      </c>
      <c r="AP379" s="1">
        <f>AN379/AO379</f>
        <v>-0.72652660330112273</v>
      </c>
      <c r="AQ379" s="1">
        <f>1/X379+1/W379+(AP379^2)/(2*(X379+W379))</f>
        <v>0.71065340877535554</v>
      </c>
      <c r="AR379" s="1">
        <f>1-(3/(4*(X379+W379-2)-1))</f>
        <v>0.8</v>
      </c>
      <c r="AS379" s="21">
        <f>AP379*AR379</f>
        <v>-0.58122128264089823</v>
      </c>
      <c r="AT379" s="21">
        <f>AQ379*(AR379^2)</f>
        <v>0.45481818161622761</v>
      </c>
      <c r="AU379" s="21">
        <f>SQRT(AQ379*AR379^2)</f>
        <v>0.67440209194235723</v>
      </c>
      <c r="AV379" s="20">
        <f>1/AT379</f>
        <v>2.1986807925013716</v>
      </c>
      <c r="AW379" s="20">
        <f>AS379/AT379</f>
        <v>-1.2779200703355538</v>
      </c>
      <c r="AX379" s="20">
        <f>((AS379)^2)/AT379</f>
        <v>0.74275434239297744</v>
      </c>
      <c r="AY379" s="14"/>
      <c r="AZ379" s="14"/>
      <c r="BA379" s="12" t="s">
        <v>270</v>
      </c>
      <c r="BB379" s="2"/>
    </row>
    <row r="380" spans="1:54" ht="14.25" customHeight="1">
      <c r="A380" s="2">
        <v>213</v>
      </c>
      <c r="B380" s="2" t="s">
        <v>33</v>
      </c>
      <c r="C380" s="1" t="s">
        <v>85</v>
      </c>
      <c r="D380" s="1">
        <v>2014</v>
      </c>
      <c r="E380" s="1">
        <v>2008</v>
      </c>
      <c r="F380" s="1" t="s">
        <v>120</v>
      </c>
      <c r="G380" s="1" t="s">
        <v>109</v>
      </c>
      <c r="H380" s="1">
        <v>41.05</v>
      </c>
      <c r="I380" s="1">
        <v>-2.4333330000000002</v>
      </c>
      <c r="J380" s="1" t="s">
        <v>382</v>
      </c>
      <c r="K380" s="1" t="s">
        <v>176</v>
      </c>
      <c r="L380" s="1" t="s">
        <v>177</v>
      </c>
      <c r="M380" s="1" t="s">
        <v>236</v>
      </c>
      <c r="N380" s="1" t="s">
        <v>238</v>
      </c>
      <c r="O380" s="1" t="s">
        <v>86</v>
      </c>
      <c r="P380" s="1" t="s">
        <v>129</v>
      </c>
      <c r="Q380" s="1" t="s">
        <v>93</v>
      </c>
      <c r="R380" s="1">
        <v>1994</v>
      </c>
      <c r="S380" s="1">
        <v>14</v>
      </c>
      <c r="T380" s="1">
        <f>S380*12</f>
        <v>168</v>
      </c>
      <c r="W380" s="1">
        <v>3</v>
      </c>
      <c r="X380" s="1">
        <v>3</v>
      </c>
      <c r="Y380" s="1" t="s">
        <v>134</v>
      </c>
      <c r="Z380" s="1" t="s">
        <v>147</v>
      </c>
      <c r="AA380" s="1" t="s">
        <v>1</v>
      </c>
      <c r="AB380" s="1" t="s">
        <v>98</v>
      </c>
      <c r="AC380" s="1" t="s">
        <v>158</v>
      </c>
      <c r="AD380" s="1" t="s">
        <v>373</v>
      </c>
      <c r="AE380" s="1" t="s">
        <v>100</v>
      </c>
      <c r="AF380" s="12" t="str">
        <f xml:space="preserve"> J380&amp;"_"&amp;"Shannon_diversity"</f>
        <v>ECM_Shannon_diversity</v>
      </c>
      <c r="AG380" s="12" t="s">
        <v>319</v>
      </c>
      <c r="AH380" s="12">
        <v>2.31</v>
      </c>
      <c r="AI380" s="12">
        <f>2.51-2.17</f>
        <v>0.33999999999999986</v>
      </c>
      <c r="AJ380" s="12"/>
      <c r="AK380" s="12">
        <v>2.5499999999999998</v>
      </c>
      <c r="AL380" s="12">
        <f>2.66-2.48</f>
        <v>0.18000000000000016</v>
      </c>
      <c r="AM380" s="12"/>
      <c r="AN380" s="12">
        <f>AH380-AK380</f>
        <v>-0.23999999999999977</v>
      </c>
      <c r="AO380" s="1">
        <f>SQRT((((X380-1)*AI380^2)+((W380-1)*AL380^2))/(X380+W380-2))</f>
        <v>0.27202941017470883</v>
      </c>
      <c r="AP380" s="1">
        <f>AN380/AO380</f>
        <v>-0.8822575465125686</v>
      </c>
      <c r="AQ380" s="1">
        <f>1/X380+1/W380+(AP380^2)/(2*(X380+W380))</f>
        <v>0.73153153153153139</v>
      </c>
      <c r="AR380" s="1">
        <f>1-(3/(4*(X380+W380-2)-1))</f>
        <v>0.8</v>
      </c>
      <c r="AS380" s="21">
        <f>AP380*AR380</f>
        <v>-0.70580603721005497</v>
      </c>
      <c r="AT380" s="21">
        <f>AQ380*(AR380^2)</f>
        <v>0.46818018018018021</v>
      </c>
      <c r="AU380" s="21">
        <f>SQRT(AQ380*AR380^2)</f>
        <v>0.68423693277999853</v>
      </c>
      <c r="AV380" s="20">
        <f>1/AT380</f>
        <v>2.135929802955665</v>
      </c>
      <c r="AW380" s="20">
        <f>AS380/AT380</f>
        <v>-1.5075521499829914</v>
      </c>
      <c r="AX380" s="20">
        <f>((AS380)^2)/AT380</f>
        <v>1.0640394088669936</v>
      </c>
      <c r="AY380" s="14"/>
      <c r="AZ380" s="14"/>
      <c r="BA380" s="12" t="s">
        <v>270</v>
      </c>
      <c r="BB380" s="2"/>
    </row>
    <row r="381" spans="1:54" ht="14.25" customHeight="1">
      <c r="A381" s="2">
        <v>213</v>
      </c>
      <c r="B381" s="2" t="s">
        <v>33</v>
      </c>
      <c r="C381" s="1" t="s">
        <v>85</v>
      </c>
      <c r="D381" s="1">
        <v>2014</v>
      </c>
      <c r="E381" s="1">
        <v>2008</v>
      </c>
      <c r="F381" s="1" t="s">
        <v>120</v>
      </c>
      <c r="G381" s="1" t="s">
        <v>109</v>
      </c>
      <c r="H381" s="1">
        <v>41.05</v>
      </c>
      <c r="I381" s="1">
        <v>-2.4333330000000002</v>
      </c>
      <c r="J381" s="1" t="s">
        <v>382</v>
      </c>
      <c r="K381" s="1" t="s">
        <v>176</v>
      </c>
      <c r="L381" s="1" t="s">
        <v>177</v>
      </c>
      <c r="M381" s="1" t="s">
        <v>236</v>
      </c>
      <c r="N381" s="1" t="s">
        <v>238</v>
      </c>
      <c r="O381" s="1" t="s">
        <v>86</v>
      </c>
      <c r="P381" s="1" t="s">
        <v>129</v>
      </c>
      <c r="Q381" s="1" t="s">
        <v>93</v>
      </c>
      <c r="R381" s="1">
        <v>1994</v>
      </c>
      <c r="S381" s="1">
        <v>14</v>
      </c>
      <c r="T381" s="1">
        <f>S381*12</f>
        <v>168</v>
      </c>
      <c r="W381" s="1">
        <v>3</v>
      </c>
      <c r="X381" s="1">
        <v>3</v>
      </c>
      <c r="Y381" s="1" t="s">
        <v>134</v>
      </c>
      <c r="Z381" s="1" t="s">
        <v>147</v>
      </c>
      <c r="AA381" s="1" t="s">
        <v>1</v>
      </c>
      <c r="AB381" s="1" t="s">
        <v>98</v>
      </c>
      <c r="AC381" s="1" t="s">
        <v>158</v>
      </c>
      <c r="AD381" s="1" t="s">
        <v>373</v>
      </c>
      <c r="AE381" s="1" t="s">
        <v>100</v>
      </c>
      <c r="AF381" s="1" t="str">
        <f>J381&amp;"_"&amp;"Simpson_diversity"</f>
        <v>ECM_Simpson_diversity</v>
      </c>
      <c r="AG381" s="12" t="s">
        <v>319</v>
      </c>
      <c r="AH381" s="12">
        <v>0.13</v>
      </c>
      <c r="AI381" s="12">
        <f>0.14-0.12</f>
        <v>2.0000000000000018E-2</v>
      </c>
      <c r="AJ381" s="12"/>
      <c r="AK381" s="12">
        <v>0.12</v>
      </c>
      <c r="AL381" s="12">
        <f>0.13-0.11</f>
        <v>2.0000000000000004E-2</v>
      </c>
      <c r="AM381" s="12"/>
      <c r="AN381" s="12">
        <f>AH381-AK381</f>
        <v>1.0000000000000009E-2</v>
      </c>
      <c r="AO381" s="1">
        <f>SQRT((((X381-1)*AI381^2)+((W381-1)*AL381^2))/(X381+W381-2))</f>
        <v>2.0000000000000011E-2</v>
      </c>
      <c r="AP381" s="1">
        <f>AN381/AO381</f>
        <v>0.50000000000000022</v>
      </c>
      <c r="AQ381" s="1">
        <f>1/X381+1/W381+(AP381^2)/(2*(X381+W381))</f>
        <v>0.6875</v>
      </c>
      <c r="AR381" s="1">
        <f>1-(3/(4*(X381+W381-2)-1))</f>
        <v>0.8</v>
      </c>
      <c r="AS381" s="21">
        <f>AP381*AR381</f>
        <v>0.40000000000000019</v>
      </c>
      <c r="AT381" s="21">
        <f>AQ381*(AR381^2)</f>
        <v>0.44000000000000006</v>
      </c>
      <c r="AU381" s="21">
        <f>SQRT(AQ381*AR381^2)</f>
        <v>0.66332495807108005</v>
      </c>
      <c r="AV381" s="20">
        <f>1/AT381</f>
        <v>2.2727272727272725</v>
      </c>
      <c r="AW381" s="20">
        <f>AS381/AT381</f>
        <v>0.90909090909090939</v>
      </c>
      <c r="AX381" s="20">
        <f>((AS381)^2)/AT381</f>
        <v>0.36363636363636392</v>
      </c>
      <c r="AY381" s="14"/>
      <c r="AZ381" s="14"/>
      <c r="BA381" s="12" t="s">
        <v>270</v>
      </c>
      <c r="BB381" s="2"/>
    </row>
    <row r="382" spans="1:54" ht="14.25" customHeight="1">
      <c r="A382" s="2">
        <v>213</v>
      </c>
      <c r="B382" s="2" t="s">
        <v>33</v>
      </c>
      <c r="C382" s="1" t="s">
        <v>85</v>
      </c>
      <c r="D382" s="1">
        <v>2014</v>
      </c>
      <c r="E382" s="1">
        <v>2008</v>
      </c>
      <c r="F382" s="1" t="s">
        <v>120</v>
      </c>
      <c r="G382" s="1" t="s">
        <v>109</v>
      </c>
      <c r="H382" s="1">
        <v>41.05</v>
      </c>
      <c r="I382" s="1">
        <v>-2.4333330000000002</v>
      </c>
      <c r="J382" s="1" t="s">
        <v>382</v>
      </c>
      <c r="K382" s="1" t="s">
        <v>176</v>
      </c>
      <c r="L382" s="1" t="s">
        <v>177</v>
      </c>
      <c r="M382" s="1" t="s">
        <v>236</v>
      </c>
      <c r="N382" s="1" t="s">
        <v>238</v>
      </c>
      <c r="O382" s="1" t="s">
        <v>86</v>
      </c>
      <c r="P382" s="1" t="s">
        <v>129</v>
      </c>
      <c r="Q382" s="1" t="s">
        <v>93</v>
      </c>
      <c r="R382" s="1">
        <v>2005</v>
      </c>
      <c r="S382" s="1">
        <v>3</v>
      </c>
      <c r="T382" s="1">
        <f>S382*12</f>
        <v>36</v>
      </c>
      <c r="W382" s="1">
        <v>3</v>
      </c>
      <c r="X382" s="1">
        <v>3</v>
      </c>
      <c r="Y382" s="1" t="s">
        <v>134</v>
      </c>
      <c r="Z382" s="1" t="s">
        <v>147</v>
      </c>
      <c r="AA382" s="1" t="s">
        <v>1</v>
      </c>
      <c r="AB382" s="1" t="s">
        <v>98</v>
      </c>
      <c r="AC382" s="1" t="s">
        <v>158</v>
      </c>
      <c r="AD382" s="1" t="s">
        <v>373</v>
      </c>
      <c r="AE382" s="1" t="s">
        <v>100</v>
      </c>
      <c r="AF382" s="12" t="s">
        <v>346</v>
      </c>
      <c r="AG382" s="12" t="s">
        <v>319</v>
      </c>
      <c r="AH382" s="12">
        <v>61.07</v>
      </c>
      <c r="AI382" s="12">
        <f>66.85-59.75</f>
        <v>7.0999999999999943</v>
      </c>
      <c r="AJ382" s="12"/>
      <c r="AK382" s="12">
        <v>70.2</v>
      </c>
      <c r="AL382" s="12">
        <f>71.02-68.17</f>
        <v>2.8499999999999943</v>
      </c>
      <c r="AM382" s="12"/>
      <c r="AN382" s="12">
        <f>AH382-AK382</f>
        <v>-9.1300000000000026</v>
      </c>
      <c r="AO382" s="1">
        <f>SQRT((((X382-1)*AI382^2)+((W382-1)*AL382^2))/(X382+W382-2))</f>
        <v>5.4098290176307735</v>
      </c>
      <c r="AP382" s="1">
        <f>AN382/AO382</f>
        <v>-1.6876688653643388</v>
      </c>
      <c r="AQ382" s="1">
        <f>1/X382+1/W382+(AP382^2)/(2*(X382+W382))</f>
        <v>0.90401884992667947</v>
      </c>
      <c r="AR382" s="1">
        <f>1-(3/(4*(X382+W382-2)-1))</f>
        <v>0.8</v>
      </c>
      <c r="AS382" s="21">
        <f>AP382*AR382</f>
        <v>-1.3501350922914712</v>
      </c>
      <c r="AT382" s="21">
        <f>AQ382*(AR382^2)</f>
        <v>0.57857206395307492</v>
      </c>
      <c r="AU382" s="21">
        <f>SQRT(AQ382*AR382^2)</f>
        <v>0.76063924691871831</v>
      </c>
      <c r="AV382" s="20">
        <f>1/AT382</f>
        <v>1.7283931636234426</v>
      </c>
      <c r="AW382" s="20">
        <f>AS382/AT382</f>
        <v>-2.3335642634846847</v>
      </c>
      <c r="AX382" s="20">
        <f>((AS382)^2)/AT382</f>
        <v>3.1506270022479739</v>
      </c>
      <c r="AY382" s="14"/>
      <c r="AZ382" s="14"/>
      <c r="BA382" s="12" t="s">
        <v>270</v>
      </c>
      <c r="BB382" s="2"/>
    </row>
    <row r="383" spans="1:54" ht="14.25" customHeight="1">
      <c r="A383" s="2">
        <v>213</v>
      </c>
      <c r="B383" s="2" t="s">
        <v>33</v>
      </c>
      <c r="C383" s="1" t="s">
        <v>85</v>
      </c>
      <c r="D383" s="1">
        <v>2014</v>
      </c>
      <c r="E383" s="1">
        <v>2008</v>
      </c>
      <c r="F383" s="1" t="s">
        <v>120</v>
      </c>
      <c r="G383" s="1" t="s">
        <v>109</v>
      </c>
      <c r="H383" s="1">
        <v>41.05</v>
      </c>
      <c r="I383" s="1">
        <v>-2.4333330000000002</v>
      </c>
      <c r="J383" s="1" t="s">
        <v>382</v>
      </c>
      <c r="K383" s="1" t="s">
        <v>176</v>
      </c>
      <c r="L383" s="1" t="s">
        <v>177</v>
      </c>
      <c r="M383" s="1" t="s">
        <v>236</v>
      </c>
      <c r="N383" s="1" t="s">
        <v>238</v>
      </c>
      <c r="O383" s="1" t="s">
        <v>86</v>
      </c>
      <c r="P383" s="1" t="s">
        <v>129</v>
      </c>
      <c r="Q383" s="1" t="s">
        <v>93</v>
      </c>
      <c r="R383" s="1">
        <v>2005</v>
      </c>
      <c r="S383" s="1">
        <v>3</v>
      </c>
      <c r="T383" s="1">
        <f>S383*12</f>
        <v>36</v>
      </c>
      <c r="W383" s="1">
        <v>3</v>
      </c>
      <c r="X383" s="1">
        <v>3</v>
      </c>
      <c r="Y383" s="1" t="s">
        <v>134</v>
      </c>
      <c r="Z383" s="1" t="s">
        <v>147</v>
      </c>
      <c r="AA383" s="1" t="s">
        <v>1</v>
      </c>
      <c r="AB383" s="1" t="s">
        <v>98</v>
      </c>
      <c r="AC383" s="1" t="s">
        <v>158</v>
      </c>
      <c r="AD383" s="1" t="s">
        <v>373</v>
      </c>
      <c r="AE383" s="1" t="s">
        <v>100</v>
      </c>
      <c r="AF383" s="12" t="str">
        <f>J383&amp;"_"&amp;"Richness"</f>
        <v>ECM_Richness</v>
      </c>
      <c r="AG383" s="12" t="s">
        <v>319</v>
      </c>
      <c r="AH383" s="12">
        <v>9.08</v>
      </c>
      <c r="AI383" s="12">
        <f>10.59-8.46</f>
        <v>2.129999999999999</v>
      </c>
      <c r="AJ383" s="12"/>
      <c r="AK383" s="12">
        <v>12.06</v>
      </c>
      <c r="AL383" s="12">
        <f>12.96-11.53</f>
        <v>1.4300000000000015</v>
      </c>
      <c r="AM383" s="12"/>
      <c r="AN383" s="12">
        <f>AH383-AK383</f>
        <v>-2.9800000000000004</v>
      </c>
      <c r="AO383" s="1">
        <f>SQRT((((X383-1)*AI383^2)+((W383-1)*AL383^2))/(X383+W383-2))</f>
        <v>1.814083790788066</v>
      </c>
      <c r="AP383" s="1">
        <f>AN383/AO383</f>
        <v>-1.6427025119415473</v>
      </c>
      <c r="AQ383" s="1">
        <f>1/X383+1/W383+(AP383^2)/(2*(X383+W383))</f>
        <v>0.8915392952282557</v>
      </c>
      <c r="AR383" s="1">
        <f>1-(3/(4*(X383+W383-2)-1))</f>
        <v>0.8</v>
      </c>
      <c r="AS383" s="21">
        <f>AP383*AR383</f>
        <v>-1.3141620095532378</v>
      </c>
      <c r="AT383" s="21">
        <f>AQ383*(AR383^2)</f>
        <v>0.57058514894608381</v>
      </c>
      <c r="AU383" s="21">
        <f>SQRT(AQ383*AR383^2)</f>
        <v>0.7553708684785797</v>
      </c>
      <c r="AV383" s="20">
        <f>1/AT383</f>
        <v>1.7525867994410294</v>
      </c>
      <c r="AW383" s="20">
        <f>AS383/AT383</f>
        <v>-2.3031829902699004</v>
      </c>
      <c r="AX383" s="20">
        <f>((AS383)^2)/AT383</f>
        <v>3.0267555868619276</v>
      </c>
      <c r="AY383" s="14"/>
      <c r="AZ383" s="14"/>
      <c r="BA383" s="12" t="s">
        <v>270</v>
      </c>
      <c r="BB383" s="2"/>
    </row>
    <row r="384" spans="1:54" ht="14.25" customHeight="1">
      <c r="A384" s="2">
        <v>213</v>
      </c>
      <c r="B384" s="2" t="s">
        <v>33</v>
      </c>
      <c r="C384" s="1" t="s">
        <v>85</v>
      </c>
      <c r="D384" s="1">
        <v>2014</v>
      </c>
      <c r="E384" s="1">
        <v>2008</v>
      </c>
      <c r="F384" s="1" t="s">
        <v>120</v>
      </c>
      <c r="G384" s="1" t="s">
        <v>109</v>
      </c>
      <c r="H384" s="1">
        <v>41.05</v>
      </c>
      <c r="I384" s="1">
        <v>-2.4333330000000002</v>
      </c>
      <c r="J384" s="1" t="s">
        <v>382</v>
      </c>
      <c r="K384" s="1" t="s">
        <v>176</v>
      </c>
      <c r="L384" s="1" t="s">
        <v>177</v>
      </c>
      <c r="M384" s="1" t="s">
        <v>236</v>
      </c>
      <c r="N384" s="1" t="s">
        <v>238</v>
      </c>
      <c r="O384" s="1" t="s">
        <v>86</v>
      </c>
      <c r="P384" s="1" t="s">
        <v>129</v>
      </c>
      <c r="Q384" s="1" t="s">
        <v>93</v>
      </c>
      <c r="R384" s="1">
        <v>2005</v>
      </c>
      <c r="S384" s="1">
        <v>3</v>
      </c>
      <c r="T384" s="1">
        <f>S384*12</f>
        <v>36</v>
      </c>
      <c r="W384" s="1">
        <v>3</v>
      </c>
      <c r="X384" s="1">
        <v>3</v>
      </c>
      <c r="Y384" s="1" t="s">
        <v>134</v>
      </c>
      <c r="Z384" s="1" t="s">
        <v>147</v>
      </c>
      <c r="AA384" s="1" t="s">
        <v>1</v>
      </c>
      <c r="AB384" s="1" t="s">
        <v>98</v>
      </c>
      <c r="AC384" s="1" t="s">
        <v>158</v>
      </c>
      <c r="AD384" s="1" t="s">
        <v>373</v>
      </c>
      <c r="AE384" s="1" t="s">
        <v>100</v>
      </c>
      <c r="AF384" s="12" t="str">
        <f xml:space="preserve"> J384&amp;"_"&amp;"Shannon_diversity"</f>
        <v>ECM_Shannon_diversity</v>
      </c>
      <c r="AG384" s="12" t="s">
        <v>319</v>
      </c>
      <c r="AH384" s="12">
        <v>2.06</v>
      </c>
      <c r="AI384" s="12">
        <f>2.28-1.99</f>
        <v>0.28999999999999981</v>
      </c>
      <c r="AJ384" s="12"/>
      <c r="AK384" s="12">
        <v>2.5499999999999998</v>
      </c>
      <c r="AL384" s="12">
        <f>2.66-2.48</f>
        <v>0.18000000000000016</v>
      </c>
      <c r="AM384" s="12"/>
      <c r="AN384" s="12">
        <f>AH384-AK384</f>
        <v>-0.48999999999999977</v>
      </c>
      <c r="AO384" s="1">
        <f>SQRT((((X384-1)*AI384^2)+((W384-1)*AL384^2))/(X384+W384-2))</f>
        <v>0.24135036772294335</v>
      </c>
      <c r="AP384" s="1">
        <f>AN384/AO384</f>
        <v>-2.0302434366393518</v>
      </c>
      <c r="AQ384" s="1">
        <f>1/X384+1/W384+(AP384^2)/(2*(X384+W384))</f>
        <v>1.0101573676680971</v>
      </c>
      <c r="AR384" s="1">
        <f>1-(3/(4*(X384+W384-2)-1))</f>
        <v>0.8</v>
      </c>
      <c r="AS384" s="21">
        <f>AP384*AR384</f>
        <v>-1.6241947493114814</v>
      </c>
      <c r="AT384" s="21">
        <f>AQ384*(AR384^2)</f>
        <v>0.64650071530758224</v>
      </c>
      <c r="AU384" s="21">
        <f>SQRT(AQ384*AR384^2)</f>
        <v>0.80405268192300827</v>
      </c>
      <c r="AV384" s="20">
        <f>1/AT384</f>
        <v>1.546788698484634</v>
      </c>
      <c r="AW384" s="20">
        <f>AS384/AT384</f>
        <v>-2.5122860823730826</v>
      </c>
      <c r="AX384" s="20">
        <f>((AS384)^2)/AT384</f>
        <v>4.080441863758673</v>
      </c>
      <c r="AY384" s="14"/>
      <c r="AZ384" s="14"/>
      <c r="BA384" s="12" t="s">
        <v>270</v>
      </c>
      <c r="BB384" s="2"/>
    </row>
    <row r="385" spans="1:54" ht="14.25" customHeight="1">
      <c r="A385" s="2">
        <v>213</v>
      </c>
      <c r="B385" s="2" t="s">
        <v>33</v>
      </c>
      <c r="C385" s="1" t="s">
        <v>85</v>
      </c>
      <c r="D385" s="1">
        <v>2014</v>
      </c>
      <c r="E385" s="1">
        <v>2008</v>
      </c>
      <c r="F385" s="1" t="s">
        <v>120</v>
      </c>
      <c r="G385" s="1" t="s">
        <v>109</v>
      </c>
      <c r="H385" s="1">
        <v>41.05</v>
      </c>
      <c r="I385" s="1">
        <v>-2.4333330000000002</v>
      </c>
      <c r="J385" s="1" t="s">
        <v>382</v>
      </c>
      <c r="K385" s="1" t="s">
        <v>176</v>
      </c>
      <c r="L385" s="1" t="s">
        <v>177</v>
      </c>
      <c r="M385" s="1" t="s">
        <v>236</v>
      </c>
      <c r="N385" s="1" t="s">
        <v>238</v>
      </c>
      <c r="O385" s="1" t="s">
        <v>86</v>
      </c>
      <c r="P385" s="1" t="s">
        <v>129</v>
      </c>
      <c r="Q385" s="1" t="s">
        <v>93</v>
      </c>
      <c r="R385" s="1">
        <v>2005</v>
      </c>
      <c r="S385" s="1">
        <v>3</v>
      </c>
      <c r="T385" s="1">
        <f>S385*12</f>
        <v>36</v>
      </c>
      <c r="W385" s="1">
        <v>3</v>
      </c>
      <c r="X385" s="1">
        <v>3</v>
      </c>
      <c r="Y385" s="1" t="s">
        <v>134</v>
      </c>
      <c r="Z385" s="1" t="s">
        <v>147</v>
      </c>
      <c r="AA385" s="1" t="s">
        <v>1</v>
      </c>
      <c r="AB385" s="1" t="s">
        <v>98</v>
      </c>
      <c r="AC385" s="1" t="s">
        <v>158</v>
      </c>
      <c r="AD385" s="1" t="s">
        <v>373</v>
      </c>
      <c r="AE385" s="1" t="s">
        <v>100</v>
      </c>
      <c r="AF385" s="1" t="str">
        <f>J385&amp;"_"&amp;"Simpson_diversity"</f>
        <v>ECM_Simpson_diversity</v>
      </c>
      <c r="AG385" s="12" t="s">
        <v>319</v>
      </c>
      <c r="AH385" s="12">
        <v>0.15</v>
      </c>
      <c r="AI385" s="12">
        <f>0.2-0.13</f>
        <v>7.0000000000000007E-2</v>
      </c>
      <c r="AJ385" s="12"/>
      <c r="AK385" s="12">
        <v>0.12</v>
      </c>
      <c r="AL385" s="12">
        <f>0.13-0.11</f>
        <v>2.0000000000000004E-2</v>
      </c>
      <c r="AM385" s="12"/>
      <c r="AN385" s="12">
        <f>AH385-AK385</f>
        <v>0.03</v>
      </c>
      <c r="AO385" s="1">
        <f>SQRT((((X385-1)*AI385^2)+((W385-1)*AL385^2))/(X385+W385-2))</f>
        <v>5.1478150704935006E-2</v>
      </c>
      <c r="AP385" s="1">
        <f>AN385/AO385</f>
        <v>0.5827715174143584</v>
      </c>
      <c r="AQ385" s="1">
        <f>1/X385+1/W385+(AP385^2)/(2*(X385+W385))</f>
        <v>0.69496855345911945</v>
      </c>
      <c r="AR385" s="1">
        <f>1-(3/(4*(X385+W385-2)-1))</f>
        <v>0.8</v>
      </c>
      <c r="AS385" s="21">
        <f>AP385*AR385</f>
        <v>0.46621721393148674</v>
      </c>
      <c r="AT385" s="21">
        <f>AQ385*(AR385^2)</f>
        <v>0.44477987421383652</v>
      </c>
      <c r="AU385" s="21">
        <f>SQRT(AQ385*AR385^2)</f>
        <v>0.66691819154513732</v>
      </c>
      <c r="AV385" s="20">
        <f>1/AT385</f>
        <v>2.248303167420814</v>
      </c>
      <c r="AW385" s="20">
        <f>AS385/AT385</f>
        <v>1.048197638788269</v>
      </c>
      <c r="AX385" s="20">
        <f>((AS385)^2)/AT385</f>
        <v>0.48868778280542968</v>
      </c>
      <c r="AY385" s="14"/>
      <c r="AZ385" s="14"/>
      <c r="BA385" s="12" t="s">
        <v>270</v>
      </c>
      <c r="BB385" s="2"/>
    </row>
    <row r="386" spans="1:54" ht="14.25" customHeight="1">
      <c r="A386" s="2">
        <v>213</v>
      </c>
      <c r="B386" s="2" t="s">
        <v>33</v>
      </c>
      <c r="C386" s="1" t="s">
        <v>85</v>
      </c>
      <c r="D386" s="1">
        <v>2014</v>
      </c>
      <c r="E386" s="1">
        <v>2008</v>
      </c>
      <c r="F386" s="1" t="s">
        <v>120</v>
      </c>
      <c r="G386" s="1" t="s">
        <v>109</v>
      </c>
      <c r="H386" s="1">
        <v>41.05</v>
      </c>
      <c r="I386" s="1">
        <v>-2.4333330000000002</v>
      </c>
      <c r="J386" s="1" t="s">
        <v>382</v>
      </c>
      <c r="K386" s="1" t="s">
        <v>176</v>
      </c>
      <c r="L386" s="1" t="s">
        <v>177</v>
      </c>
      <c r="M386" s="1" t="s">
        <v>236</v>
      </c>
      <c r="N386" s="1" t="s">
        <v>238</v>
      </c>
      <c r="O386" s="1" t="s">
        <v>86</v>
      </c>
      <c r="P386" s="1" t="s">
        <v>129</v>
      </c>
      <c r="Q386" s="1" t="s">
        <v>93</v>
      </c>
      <c r="R386" s="1">
        <v>1994</v>
      </c>
      <c r="S386" s="1">
        <v>14</v>
      </c>
      <c r="T386" s="1">
        <f>S386*12</f>
        <v>168</v>
      </c>
      <c r="W386" s="1">
        <v>3</v>
      </c>
      <c r="X386" s="1">
        <v>3</v>
      </c>
      <c r="Y386" s="1" t="s">
        <v>134</v>
      </c>
      <c r="Z386" s="1" t="s">
        <v>147</v>
      </c>
      <c r="AA386" s="1" t="s">
        <v>1</v>
      </c>
      <c r="AB386" s="1" t="s">
        <v>98</v>
      </c>
      <c r="AC386" s="1" t="s">
        <v>158</v>
      </c>
      <c r="AD386" s="1" t="s">
        <v>373</v>
      </c>
      <c r="AE386" s="1" t="s">
        <v>100</v>
      </c>
      <c r="AF386" s="12" t="str">
        <f>J386&amp;"_"&amp;"NMDS_ordination"</f>
        <v>ECM_NMDS_ordination</v>
      </c>
      <c r="AG386" s="1" t="s">
        <v>315</v>
      </c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" t="s">
        <v>285</v>
      </c>
    </row>
    <row r="387" spans="1:54" ht="14.25" customHeight="1">
      <c r="A387" s="2">
        <v>213</v>
      </c>
      <c r="B387" s="2" t="s">
        <v>33</v>
      </c>
      <c r="C387" s="1" t="s">
        <v>85</v>
      </c>
      <c r="D387" s="1">
        <v>2014</v>
      </c>
      <c r="E387" s="1">
        <v>2008</v>
      </c>
      <c r="F387" s="1" t="s">
        <v>120</v>
      </c>
      <c r="G387" s="1" t="s">
        <v>109</v>
      </c>
      <c r="H387" s="1">
        <v>41.05</v>
      </c>
      <c r="I387" s="1">
        <v>-2.4333330000000002</v>
      </c>
      <c r="J387" s="1" t="s">
        <v>382</v>
      </c>
      <c r="K387" s="1" t="s">
        <v>176</v>
      </c>
      <c r="L387" s="1" t="s">
        <v>177</v>
      </c>
      <c r="M387" s="1" t="s">
        <v>236</v>
      </c>
      <c r="N387" s="1" t="s">
        <v>238</v>
      </c>
      <c r="O387" s="1" t="s">
        <v>86</v>
      </c>
      <c r="P387" s="1" t="s">
        <v>129</v>
      </c>
      <c r="Q387" s="1" t="s">
        <v>93</v>
      </c>
      <c r="R387" s="1">
        <v>2005</v>
      </c>
      <c r="S387" s="1">
        <v>3</v>
      </c>
      <c r="T387" s="1">
        <f>S387*12</f>
        <v>36</v>
      </c>
      <c r="W387" s="1">
        <v>3</v>
      </c>
      <c r="X387" s="1">
        <v>3</v>
      </c>
      <c r="Y387" s="1" t="s">
        <v>134</v>
      </c>
      <c r="Z387" s="1" t="s">
        <v>147</v>
      </c>
      <c r="AA387" s="1" t="s">
        <v>1</v>
      </c>
      <c r="AB387" s="1" t="s">
        <v>98</v>
      </c>
      <c r="AC387" s="1" t="s">
        <v>158</v>
      </c>
      <c r="AD387" s="1" t="s">
        <v>373</v>
      </c>
      <c r="AE387" s="1" t="s">
        <v>100</v>
      </c>
      <c r="AF387" s="12" t="str">
        <f>J387&amp;"_"&amp;"NMDS_ordination"</f>
        <v>ECM_NMDS_ordination</v>
      </c>
      <c r="AG387" s="1" t="s">
        <v>315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" t="s">
        <v>285</v>
      </c>
    </row>
    <row r="388" spans="1:54" ht="14.25" customHeight="1">
      <c r="A388" s="2">
        <v>152</v>
      </c>
      <c r="B388" s="2" t="s">
        <v>22</v>
      </c>
      <c r="C388" s="1" t="s">
        <v>85</v>
      </c>
      <c r="D388" s="1">
        <v>2013</v>
      </c>
      <c r="E388" s="1">
        <v>2010</v>
      </c>
      <c r="F388" s="1" t="s">
        <v>143</v>
      </c>
      <c r="G388" s="1" t="s">
        <v>117</v>
      </c>
      <c r="H388" s="1">
        <v>63.826408000000001</v>
      </c>
      <c r="I388" s="1">
        <v>-145.86067399999999</v>
      </c>
      <c r="J388" s="1" t="s">
        <v>128</v>
      </c>
      <c r="K388" s="1" t="s">
        <v>103</v>
      </c>
      <c r="L388" s="1" t="s">
        <v>187</v>
      </c>
      <c r="M388" s="1" t="s">
        <v>236</v>
      </c>
      <c r="N388" s="16" t="s">
        <v>238</v>
      </c>
      <c r="O388" s="1" t="s">
        <v>86</v>
      </c>
      <c r="Q388" s="1" t="s">
        <v>93</v>
      </c>
      <c r="R388" s="1">
        <v>2004</v>
      </c>
      <c r="S388" s="1">
        <v>6</v>
      </c>
      <c r="T388" s="1">
        <f>S388*12</f>
        <v>72</v>
      </c>
      <c r="W388" s="1">
        <v>2</v>
      </c>
      <c r="X388" s="1">
        <v>2</v>
      </c>
      <c r="Y388" s="1" t="s">
        <v>97</v>
      </c>
      <c r="Z388" s="1" t="s">
        <v>133</v>
      </c>
      <c r="AA388" s="1" t="s">
        <v>1</v>
      </c>
      <c r="AB388" s="1" t="s">
        <v>98</v>
      </c>
      <c r="AC388" s="1" t="s">
        <v>202</v>
      </c>
      <c r="AD388" s="1" t="s">
        <v>228</v>
      </c>
      <c r="AE388" s="1" t="s">
        <v>131</v>
      </c>
      <c r="AF388" s="1" t="s">
        <v>222</v>
      </c>
      <c r="AG388" s="1" t="s">
        <v>331</v>
      </c>
      <c r="AH388" s="1">
        <v>142.1</v>
      </c>
      <c r="AI388" s="1">
        <f>AJ388*SQRT(X388)</f>
        <v>1.8384776310850237</v>
      </c>
      <c r="AJ388" s="1">
        <v>1.3</v>
      </c>
      <c r="AK388" s="1">
        <v>122.3</v>
      </c>
      <c r="AL388" s="1">
        <f>AM388*SQRT(W388)</f>
        <v>26.728636328851497</v>
      </c>
      <c r="AM388" s="1">
        <v>18.899999999999999</v>
      </c>
      <c r="AN388" s="12">
        <f>AH388-AK388</f>
        <v>19.799999999999997</v>
      </c>
      <c r="AO388" s="1">
        <f>SQRT((((X388-1)*AI388^2)+((W388-1)*AL388^2))/(X388+W388-2))</f>
        <v>18.944656238633627</v>
      </c>
      <c r="AP388" s="1">
        <f>AN388/AO388</f>
        <v>1.0451496058092666</v>
      </c>
      <c r="AQ388" s="1">
        <f>1/X388+1/W388+(AP388^2)/(2*(X388+W388))</f>
        <v>1.1365422123154081</v>
      </c>
      <c r="AR388" s="1">
        <f>1-(3/(4*(X388+W388-2)-1))</f>
        <v>0.5714285714285714</v>
      </c>
      <c r="AS388" s="21">
        <f>AP388*AR388</f>
        <v>0.59722834617672371</v>
      </c>
      <c r="AT388" s="21">
        <f>AQ388*(AR388^2)</f>
        <v>0.37111582442952096</v>
      </c>
      <c r="AU388" s="21">
        <f>SQRT(AQ388*AR388^2)</f>
        <v>0.60919276459058591</v>
      </c>
      <c r="AV388" s="20">
        <f>1/AT388</f>
        <v>2.6945765558156931</v>
      </c>
      <c r="AW388" s="20">
        <f>AS388/AT388</f>
        <v>1.6092775000763786</v>
      </c>
      <c r="AX388" s="20">
        <f>((AS388)^2)/AT388</f>
        <v>0.96110613991002791</v>
      </c>
      <c r="AY388" s="14"/>
      <c r="AZ388" s="14"/>
      <c r="BA388" s="1" t="s">
        <v>270</v>
      </c>
      <c r="BB388" s="2"/>
    </row>
    <row r="389" spans="1:54" ht="14.25" customHeight="1">
      <c r="A389" s="2">
        <v>398</v>
      </c>
      <c r="B389" s="2" t="s">
        <v>49</v>
      </c>
      <c r="C389" s="1" t="s">
        <v>85</v>
      </c>
      <c r="D389" s="1">
        <v>2023</v>
      </c>
      <c r="E389" s="1">
        <v>2017</v>
      </c>
      <c r="F389" s="1" t="s">
        <v>143</v>
      </c>
      <c r="G389" s="16" t="s">
        <v>159</v>
      </c>
      <c r="H389" s="1">
        <v>49.513615000000001</v>
      </c>
      <c r="I389" s="1">
        <v>-91.655843000000004</v>
      </c>
      <c r="J389" s="1" t="s">
        <v>128</v>
      </c>
      <c r="K389" s="1" t="s">
        <v>176</v>
      </c>
      <c r="L389" s="1" t="s">
        <v>190</v>
      </c>
      <c r="M389" s="1" t="s">
        <v>236</v>
      </c>
      <c r="N389" s="1" t="s">
        <v>238</v>
      </c>
      <c r="O389" s="1" t="s">
        <v>86</v>
      </c>
      <c r="Q389" s="1" t="s">
        <v>93</v>
      </c>
      <c r="R389" s="1">
        <v>2005</v>
      </c>
      <c r="S389" s="1">
        <v>12</v>
      </c>
      <c r="T389" s="1">
        <f>S389*12</f>
        <v>144</v>
      </c>
      <c r="W389" s="1">
        <v>27</v>
      </c>
      <c r="X389" s="1">
        <v>27</v>
      </c>
      <c r="Y389" s="1" t="s">
        <v>97</v>
      </c>
      <c r="Z389" s="1" t="s">
        <v>133</v>
      </c>
      <c r="AA389" s="1" t="s">
        <v>1</v>
      </c>
      <c r="AB389" s="1" t="s">
        <v>98</v>
      </c>
      <c r="AC389" s="1" t="s">
        <v>202</v>
      </c>
      <c r="AD389" s="1" t="s">
        <v>99</v>
      </c>
      <c r="AE389" s="1" t="s">
        <v>100</v>
      </c>
      <c r="AF389" s="1" t="s">
        <v>222</v>
      </c>
      <c r="AG389" s="1" t="s">
        <v>319</v>
      </c>
      <c r="AH389" s="1">
        <v>300.81</v>
      </c>
      <c r="AI389" s="1">
        <f>326.92-273.79</f>
        <v>53.129999999999995</v>
      </c>
      <c r="AK389" s="1">
        <v>264.68</v>
      </c>
      <c r="AL389" s="1">
        <f>271.96-207.29</f>
        <v>64.669999999999987</v>
      </c>
      <c r="AN389" s="12">
        <f>AH389-AK389</f>
        <v>36.129999999999995</v>
      </c>
      <c r="AO389" s="1">
        <f>SQRT((((X389-1)*AI389^2)+((W389-1)*AL389^2))/(X389+W389-2))</f>
        <v>59.181947416420819</v>
      </c>
      <c r="AP389" s="1">
        <f>AN389/AO389</f>
        <v>0.61049021833937234</v>
      </c>
      <c r="AQ389" s="1">
        <f>1/X389+1/W389+(AP389^2)/(2*(X389+W389))</f>
        <v>7.752498432118568E-2</v>
      </c>
      <c r="AR389" s="1">
        <f>1-(3/(4*(X389+W389-2)-1))</f>
        <v>0.98550724637681164</v>
      </c>
      <c r="AS389" s="21">
        <f>AP389*AR389</f>
        <v>0.6016425340156133</v>
      </c>
      <c r="AT389" s="21">
        <f>AQ389*(AR389^2)</f>
        <v>7.5294166666910856E-2</v>
      </c>
      <c r="AU389" s="21">
        <f>SQRT(AQ389*AR389^2)</f>
        <v>0.27439782555062431</v>
      </c>
      <c r="AV389" s="20">
        <f>1/AT389</f>
        <v>13.281241353315421</v>
      </c>
      <c r="AW389" s="20">
        <f>AS389/AT389</f>
        <v>7.9905597026816428</v>
      </c>
      <c r="AX389" s="20">
        <f>((AS389)^2)/AT389</f>
        <v>4.807460587724429</v>
      </c>
      <c r="AY389" s="14"/>
      <c r="AZ389" s="14"/>
      <c r="BA389" s="1" t="s">
        <v>270</v>
      </c>
      <c r="BB389" s="2"/>
    </row>
    <row r="390" spans="1:54" ht="14.25" customHeight="1">
      <c r="A390" s="2">
        <v>188</v>
      </c>
      <c r="B390" s="2" t="s">
        <v>28</v>
      </c>
      <c r="C390" s="1" t="s">
        <v>85</v>
      </c>
      <c r="D390" s="1">
        <v>2008</v>
      </c>
      <c r="E390" s="1">
        <v>1998</v>
      </c>
      <c r="F390" s="1" t="s">
        <v>96</v>
      </c>
      <c r="H390" s="1">
        <v>-34.461578000000003</v>
      </c>
      <c r="I390" s="1">
        <v>116.173176</v>
      </c>
      <c r="J390" s="1" t="s">
        <v>126</v>
      </c>
      <c r="K390" s="1" t="s">
        <v>112</v>
      </c>
      <c r="L390" s="1" t="s">
        <v>181</v>
      </c>
      <c r="M390" s="1" t="s">
        <v>237</v>
      </c>
      <c r="O390" s="1" t="s">
        <v>86</v>
      </c>
      <c r="Q390" s="1" t="s">
        <v>93</v>
      </c>
      <c r="R390" s="1">
        <v>1997</v>
      </c>
      <c r="S390" s="1">
        <v>1</v>
      </c>
      <c r="T390" s="1">
        <f t="shared" ref="T390:T391" si="37">S390*12</f>
        <v>12</v>
      </c>
      <c r="V390" s="1">
        <v>1600</v>
      </c>
      <c r="W390" s="1">
        <v>5</v>
      </c>
      <c r="X390" s="1">
        <v>5</v>
      </c>
      <c r="Y390" s="1" t="s">
        <v>114</v>
      </c>
      <c r="Z390" s="1" t="s">
        <v>2</v>
      </c>
      <c r="AB390" s="1" t="s">
        <v>113</v>
      </c>
      <c r="AE390" s="1" t="s">
        <v>2</v>
      </c>
      <c r="AF390" s="1" t="s">
        <v>256</v>
      </c>
      <c r="AG390" s="1" t="s">
        <v>374</v>
      </c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" t="s">
        <v>285</v>
      </c>
    </row>
    <row r="391" spans="1:54" ht="14.25" customHeight="1">
      <c r="A391" s="2">
        <v>188</v>
      </c>
      <c r="B391" s="2" t="s">
        <v>28</v>
      </c>
      <c r="C391" s="1" t="s">
        <v>85</v>
      </c>
      <c r="D391" s="1">
        <v>2008</v>
      </c>
      <c r="E391" s="1">
        <v>1998</v>
      </c>
      <c r="F391" s="1" t="s">
        <v>96</v>
      </c>
      <c r="H391" s="1">
        <v>-34.461578000000003</v>
      </c>
      <c r="I391" s="1">
        <v>116.173176</v>
      </c>
      <c r="J391" s="1" t="s">
        <v>126</v>
      </c>
      <c r="K391" s="1" t="s">
        <v>112</v>
      </c>
      <c r="L391" s="1" t="s">
        <v>181</v>
      </c>
      <c r="M391" s="1" t="s">
        <v>237</v>
      </c>
      <c r="O391" s="1" t="s">
        <v>86</v>
      </c>
      <c r="Q391" s="1" t="s">
        <v>93</v>
      </c>
      <c r="R391" s="1">
        <v>1997</v>
      </c>
      <c r="S391" s="1">
        <v>5</v>
      </c>
      <c r="T391" s="1">
        <f t="shared" si="37"/>
        <v>60</v>
      </c>
      <c r="V391" s="1">
        <v>1600</v>
      </c>
      <c r="W391" s="1">
        <v>5</v>
      </c>
      <c r="X391" s="1">
        <v>5</v>
      </c>
      <c r="Y391" s="1" t="s">
        <v>114</v>
      </c>
      <c r="Z391" s="1" t="s">
        <v>2</v>
      </c>
      <c r="AB391" s="1" t="s">
        <v>113</v>
      </c>
      <c r="AE391" s="1" t="s">
        <v>2</v>
      </c>
      <c r="AF391" s="1" t="s">
        <v>256</v>
      </c>
      <c r="AG391" s="1" t="s">
        <v>374</v>
      </c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" t="s">
        <v>285</v>
      </c>
    </row>
    <row r="392" spans="1:54" ht="14.25" customHeight="1">
      <c r="A392" s="2">
        <v>221</v>
      </c>
      <c r="B392" s="2" t="s">
        <v>35</v>
      </c>
      <c r="C392" s="1" t="s">
        <v>85</v>
      </c>
      <c r="D392" s="1">
        <v>2021</v>
      </c>
      <c r="E392" s="1">
        <v>2016</v>
      </c>
      <c r="F392" s="1" t="s">
        <v>152</v>
      </c>
      <c r="G392" s="1" t="s">
        <v>159</v>
      </c>
      <c r="H392" s="1">
        <v>53.646073000000001</v>
      </c>
      <c r="I392" s="1" t="s">
        <v>209</v>
      </c>
      <c r="J392" s="1" t="s">
        <v>128</v>
      </c>
      <c r="K392" s="1" t="s">
        <v>176</v>
      </c>
      <c r="L392" s="1" t="s">
        <v>187</v>
      </c>
      <c r="M392" s="1" t="s">
        <v>236</v>
      </c>
      <c r="N392" s="1" t="s">
        <v>238</v>
      </c>
      <c r="O392" s="1" t="s">
        <v>86</v>
      </c>
      <c r="Q392" s="1" t="s">
        <v>93</v>
      </c>
      <c r="R392" s="1">
        <v>2012</v>
      </c>
      <c r="S392" s="1">
        <v>4</v>
      </c>
      <c r="T392" s="1">
        <f>S392*12</f>
        <v>48</v>
      </c>
      <c r="W392" s="1">
        <v>14</v>
      </c>
      <c r="X392" s="1">
        <v>3</v>
      </c>
      <c r="Y392" s="1" t="s">
        <v>97</v>
      </c>
      <c r="Z392" s="1" t="s">
        <v>359</v>
      </c>
      <c r="AA392" s="1" t="s">
        <v>1</v>
      </c>
      <c r="AB392" s="1" t="s">
        <v>98</v>
      </c>
      <c r="AC392" s="1" t="s">
        <v>202</v>
      </c>
      <c r="AD392" s="1" t="s">
        <v>99</v>
      </c>
      <c r="AE392" s="1" t="s">
        <v>111</v>
      </c>
      <c r="AF392" s="1" t="s">
        <v>387</v>
      </c>
      <c r="AG392" s="1" t="s">
        <v>316</v>
      </c>
      <c r="AH392" s="1">
        <v>14.24</v>
      </c>
      <c r="AI392" s="1">
        <f>AJ392*SQRT(X392)</f>
        <v>1.299038105676658</v>
      </c>
      <c r="AJ392" s="1">
        <f>14.99-AH392</f>
        <v>0.75</v>
      </c>
      <c r="AK392" s="1">
        <v>34.950000000000003</v>
      </c>
      <c r="AL392" s="1">
        <f>AM392*SQRT(W392)</f>
        <v>10.663723552305711</v>
      </c>
      <c r="AM392" s="1">
        <f>37.8-AK392</f>
        <v>2.8499999999999943</v>
      </c>
      <c r="AN392" s="12">
        <f>AH392-AK392</f>
        <v>-20.71</v>
      </c>
      <c r="AO392" s="1">
        <f>SQRT((((X392-1)*AI392^2)+((W392-1)*AL392^2))/(X392+W392-2))</f>
        <v>9.93871219021859</v>
      </c>
      <c r="AP392" s="1">
        <f>AN392/AO392</f>
        <v>-2.0837709759200211</v>
      </c>
      <c r="AQ392" s="1">
        <f>1/X392+1/W392+(AP392^2)/(2*(X392+W392))</f>
        <v>0.53247077182327762</v>
      </c>
      <c r="AR392" s="1">
        <f>1-(3/(4*(X392+W392-2)-1))</f>
        <v>0.94915254237288138</v>
      </c>
      <c r="AS392" s="21">
        <f>AP392*AR392</f>
        <v>-1.9778165195173083</v>
      </c>
      <c r="AT392" s="21">
        <f>AQ392*(AR392^2)</f>
        <v>0.47969788579080691</v>
      </c>
      <c r="AU392" s="21">
        <f>SQRT(AQ392*AR392^2)</f>
        <v>0.69260225655913576</v>
      </c>
      <c r="AV392" s="20">
        <f>1/AT392</f>
        <v>2.0846454187544481</v>
      </c>
      <c r="AW392" s="20">
        <f>AS392/AT392</f>
        <v>-4.1230461465486234</v>
      </c>
      <c r="AX392" s="20">
        <f>((AS392)^2)/AT392</f>
        <v>8.1546287793760488</v>
      </c>
      <c r="AY392" s="14"/>
      <c r="AZ392" s="14"/>
      <c r="BA392" s="1" t="s">
        <v>270</v>
      </c>
      <c r="BB392" s="2"/>
    </row>
    <row r="393" spans="1:54" ht="14.25" customHeight="1">
      <c r="A393" s="2">
        <v>221</v>
      </c>
      <c r="B393" s="2" t="s">
        <v>35</v>
      </c>
      <c r="C393" s="1" t="s">
        <v>85</v>
      </c>
      <c r="D393" s="1">
        <v>2021</v>
      </c>
      <c r="E393" s="1">
        <v>2016</v>
      </c>
      <c r="F393" s="1" t="s">
        <v>152</v>
      </c>
      <c r="G393" s="1" t="s">
        <v>159</v>
      </c>
      <c r="H393" s="1">
        <v>53.646073000000001</v>
      </c>
      <c r="I393" s="1" t="s">
        <v>209</v>
      </c>
      <c r="J393" s="1" t="s">
        <v>128</v>
      </c>
      <c r="K393" s="1" t="s">
        <v>176</v>
      </c>
      <c r="L393" s="1" t="s">
        <v>187</v>
      </c>
      <c r="M393" s="1" t="s">
        <v>236</v>
      </c>
      <c r="N393" s="1" t="s">
        <v>238</v>
      </c>
      <c r="O393" s="1" t="s">
        <v>86</v>
      </c>
      <c r="Q393" s="1" t="s">
        <v>93</v>
      </c>
      <c r="R393" s="1">
        <v>2012</v>
      </c>
      <c r="S393" s="1">
        <v>4</v>
      </c>
      <c r="T393" s="1">
        <f>S393*12</f>
        <v>48</v>
      </c>
      <c r="W393" s="1">
        <v>14</v>
      </c>
      <c r="X393" s="1">
        <v>3</v>
      </c>
      <c r="Y393" s="1" t="s">
        <v>97</v>
      </c>
      <c r="Z393" s="1" t="s">
        <v>359</v>
      </c>
      <c r="AA393" s="1" t="s">
        <v>1</v>
      </c>
      <c r="AB393" s="1" t="s">
        <v>98</v>
      </c>
      <c r="AC393" s="1" t="s">
        <v>202</v>
      </c>
      <c r="AD393" s="1" t="s">
        <v>99</v>
      </c>
      <c r="AE393" s="1" t="s">
        <v>111</v>
      </c>
      <c r="AF393" s="1" t="s">
        <v>295</v>
      </c>
      <c r="AG393" s="1" t="s">
        <v>316</v>
      </c>
      <c r="AH393" s="1">
        <v>20.16</v>
      </c>
      <c r="AI393" s="1">
        <f>AJ393*SQRT(X393)</f>
        <v>6.131459858793824</v>
      </c>
      <c r="AJ393" s="1">
        <f>23.7-AH393</f>
        <v>3.5399999999999991</v>
      </c>
      <c r="AK393" s="1">
        <v>26.5</v>
      </c>
      <c r="AL393" s="1">
        <f>AM393*SQRT(W393)</f>
        <v>10.963056143247647</v>
      </c>
      <c r="AM393" s="1">
        <f>29.43-AK393</f>
        <v>2.9299999999999997</v>
      </c>
      <c r="AN393" s="12">
        <f>AH393-AK393</f>
        <v>-6.34</v>
      </c>
      <c r="AO393" s="1">
        <f>SQRT((((X393-1)*AI393^2)+((W393-1)*AL393^2))/(X393+W393-2))</f>
        <v>10.448736446735237</v>
      </c>
      <c r="AP393" s="1">
        <f>AN393/AO393</f>
        <v>-0.60677193192876122</v>
      </c>
      <c r="AQ393" s="1">
        <f>1/X393+1/W393+(AP393^2)/(2*(X393+W393))</f>
        <v>0.41559049821415656</v>
      </c>
      <c r="AR393" s="1">
        <f>1-(3/(4*(X393+W393-2)-1))</f>
        <v>0.94915254237288138</v>
      </c>
      <c r="AS393" s="21">
        <f>AP393*AR393</f>
        <v>-0.57591912183068861</v>
      </c>
      <c r="AT393" s="21">
        <f>AQ393*(AR393^2)</f>
        <v>0.37440155196770902</v>
      </c>
      <c r="AU393" s="21">
        <f>SQRT(AQ393*AR393^2)</f>
        <v>0.61188360982110723</v>
      </c>
      <c r="AV393" s="20">
        <f>1/AT393</f>
        <v>2.6709290993704187</v>
      </c>
      <c r="AW393" s="20">
        <f>AS393/AT393</f>
        <v>-1.5382391413814434</v>
      </c>
      <c r="AX393" s="20">
        <f>((AS393)^2)/AT393</f>
        <v>0.88590133546999339</v>
      </c>
      <c r="AY393" s="14"/>
      <c r="AZ393" s="14"/>
      <c r="BA393" s="1" t="s">
        <v>270</v>
      </c>
      <c r="BB393" s="2"/>
    </row>
    <row r="394" spans="1:54" ht="14.25" customHeight="1">
      <c r="A394" s="2">
        <v>221</v>
      </c>
      <c r="B394" s="2" t="s">
        <v>35</v>
      </c>
      <c r="C394" s="1" t="s">
        <v>85</v>
      </c>
      <c r="D394" s="1">
        <v>2021</v>
      </c>
      <c r="E394" s="1">
        <v>2016</v>
      </c>
      <c r="F394" s="1" t="s">
        <v>152</v>
      </c>
      <c r="G394" s="1" t="s">
        <v>159</v>
      </c>
      <c r="H394" s="1">
        <v>53.646073000000001</v>
      </c>
      <c r="I394" s="1" t="s">
        <v>209</v>
      </c>
      <c r="J394" s="1" t="s">
        <v>128</v>
      </c>
      <c r="K394" s="1" t="s">
        <v>176</v>
      </c>
      <c r="L394" s="1" t="s">
        <v>187</v>
      </c>
      <c r="M394" s="1" t="s">
        <v>236</v>
      </c>
      <c r="N394" s="1" t="s">
        <v>238</v>
      </c>
      <c r="O394" s="1" t="s">
        <v>86</v>
      </c>
      <c r="Q394" s="1" t="s">
        <v>93</v>
      </c>
      <c r="R394" s="1">
        <v>2012</v>
      </c>
      <c r="S394" s="1">
        <v>4</v>
      </c>
      <c r="T394" s="1">
        <f>S394*12</f>
        <v>48</v>
      </c>
      <c r="W394" s="1">
        <v>14</v>
      </c>
      <c r="X394" s="1">
        <v>3</v>
      </c>
      <c r="Y394" s="1" t="s">
        <v>97</v>
      </c>
      <c r="Z394" s="1" t="s">
        <v>359</v>
      </c>
      <c r="AA394" s="1" t="s">
        <v>1</v>
      </c>
      <c r="AB394" s="1" t="s">
        <v>98</v>
      </c>
      <c r="AC394" s="1" t="s">
        <v>202</v>
      </c>
      <c r="AD394" s="1" t="s">
        <v>99</v>
      </c>
      <c r="AE394" s="1" t="s">
        <v>111</v>
      </c>
      <c r="AF394" s="1" t="s">
        <v>362</v>
      </c>
      <c r="AG394" s="1" t="s">
        <v>316</v>
      </c>
      <c r="AH394" s="1">
        <v>6.74</v>
      </c>
      <c r="AI394" s="1">
        <f>AJ394*SQRT(X394)</f>
        <v>2.476832654823494</v>
      </c>
      <c r="AJ394" s="1">
        <f>8.17-AH394</f>
        <v>1.4299999999999997</v>
      </c>
      <c r="AK394" s="1">
        <v>10.76</v>
      </c>
      <c r="AL394" s="1">
        <f>AM394*SQRT(W394)</f>
        <v>5.3505700630867352</v>
      </c>
      <c r="AM394" s="1">
        <f>12.19-AK394</f>
        <v>1.4299999999999997</v>
      </c>
      <c r="AN394" s="12">
        <f>AH394-AK394</f>
        <v>-4.0199999999999996</v>
      </c>
      <c r="AO394" s="1">
        <f>SQRT((((X394-1)*AI394^2)+((W394-1)*AL394^2))/(X394+W394-2))</f>
        <v>5.0625500820568012</v>
      </c>
      <c r="AP394" s="1">
        <f>AN394/AO394</f>
        <v>-0.79406621857393322</v>
      </c>
      <c r="AQ394" s="1">
        <f>1/X394+1/W394+(AP394^2)/(2*(X394+W394))</f>
        <v>0.42330723298191375</v>
      </c>
      <c r="AR394" s="1">
        <f>1-(3/(4*(X394+W394-2)-1))</f>
        <v>0.94915254237288138</v>
      </c>
      <c r="AS394" s="21">
        <f>AP394*AR394</f>
        <v>-0.75368997017186889</v>
      </c>
      <c r="AT394" s="21">
        <f>AQ394*(AR394^2)</f>
        <v>0.3813534853867514</v>
      </c>
      <c r="AU394" s="21">
        <f>SQRT(AQ394*AR394^2)</f>
        <v>0.61753824609229779</v>
      </c>
      <c r="AV394" s="20">
        <f>1/AT394</f>
        <v>2.6222390467622065</v>
      </c>
      <c r="AW394" s="20">
        <f>AS394/AT394</f>
        <v>-1.9763552689377173</v>
      </c>
      <c r="AX394" s="20">
        <f>((AS394)^2)/AT394</f>
        <v>1.489559143694684</v>
      </c>
      <c r="AY394" s="14"/>
      <c r="AZ394" s="14"/>
      <c r="BA394" s="1" t="s">
        <v>270</v>
      </c>
      <c r="BB394" s="2"/>
    </row>
    <row r="395" spans="1:54" ht="14.25" customHeight="1">
      <c r="A395" s="2">
        <v>221</v>
      </c>
      <c r="B395" s="2" t="s">
        <v>35</v>
      </c>
      <c r="C395" s="1" t="s">
        <v>85</v>
      </c>
      <c r="D395" s="1">
        <v>2021</v>
      </c>
      <c r="E395" s="1">
        <v>2016</v>
      </c>
      <c r="F395" s="1" t="s">
        <v>152</v>
      </c>
      <c r="G395" s="1" t="s">
        <v>159</v>
      </c>
      <c r="H395" s="1">
        <v>53.646073000000001</v>
      </c>
      <c r="I395" s="1" t="s">
        <v>209</v>
      </c>
      <c r="J395" s="1" t="s">
        <v>128</v>
      </c>
      <c r="K395" s="1" t="s">
        <v>176</v>
      </c>
      <c r="L395" s="1" t="s">
        <v>187</v>
      </c>
      <c r="M395" s="1" t="s">
        <v>236</v>
      </c>
      <c r="N395" s="1" t="s">
        <v>238</v>
      </c>
      <c r="O395" s="1" t="s">
        <v>86</v>
      </c>
      <c r="Q395" s="1" t="s">
        <v>93</v>
      </c>
      <c r="R395" s="1">
        <v>2012</v>
      </c>
      <c r="S395" s="1">
        <v>4</v>
      </c>
      <c r="T395" s="1">
        <f t="shared" ref="T395:T398" si="38">S395*12</f>
        <v>48</v>
      </c>
      <c r="W395" s="1">
        <v>14</v>
      </c>
      <c r="X395" s="1">
        <v>3</v>
      </c>
      <c r="Y395" s="1" t="s">
        <v>97</v>
      </c>
      <c r="Z395" s="1" t="s">
        <v>359</v>
      </c>
      <c r="AA395" s="1" t="s">
        <v>1</v>
      </c>
      <c r="AB395" s="1" t="s">
        <v>98</v>
      </c>
      <c r="AC395" s="1" t="s">
        <v>202</v>
      </c>
      <c r="AD395" s="1" t="s">
        <v>99</v>
      </c>
      <c r="AE395" s="1" t="s">
        <v>111</v>
      </c>
      <c r="AF395" s="1" t="s">
        <v>256</v>
      </c>
      <c r="AG395" s="1" t="s">
        <v>361</v>
      </c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" t="s">
        <v>285</v>
      </c>
    </row>
    <row r="396" spans="1:54" ht="14.25" customHeight="1">
      <c r="A396" s="2">
        <v>38</v>
      </c>
      <c r="B396" s="2" t="s">
        <v>7</v>
      </c>
      <c r="C396" s="1" t="s">
        <v>85</v>
      </c>
      <c r="D396" s="1">
        <v>2018</v>
      </c>
      <c r="E396" s="1">
        <v>2004</v>
      </c>
      <c r="F396" s="1" t="s">
        <v>153</v>
      </c>
      <c r="G396" s="1" t="s">
        <v>117</v>
      </c>
      <c r="H396" s="1">
        <v>63.266666999999998</v>
      </c>
      <c r="I396" s="1">
        <v>30.75</v>
      </c>
      <c r="J396" s="1" t="s">
        <v>126</v>
      </c>
      <c r="K396" s="1" t="s">
        <v>176</v>
      </c>
      <c r="L396" s="1" t="s">
        <v>182</v>
      </c>
      <c r="M396" s="1" t="s">
        <v>236</v>
      </c>
      <c r="N396" s="1" t="s">
        <v>238</v>
      </c>
      <c r="O396" s="1" t="s">
        <v>86</v>
      </c>
      <c r="P396" s="1" t="s">
        <v>146</v>
      </c>
      <c r="Q396" s="1" t="s">
        <v>93</v>
      </c>
      <c r="R396" s="1">
        <v>1992</v>
      </c>
      <c r="S396" s="1">
        <v>12</v>
      </c>
      <c r="T396" s="1">
        <f t="shared" si="38"/>
        <v>144</v>
      </c>
      <c r="V396" s="1">
        <v>143</v>
      </c>
      <c r="W396" s="1">
        <v>6</v>
      </c>
      <c r="X396" s="1">
        <v>4</v>
      </c>
      <c r="Y396" s="1" t="s">
        <v>114</v>
      </c>
      <c r="Z396" s="1" t="s">
        <v>2</v>
      </c>
      <c r="AA396" s="1" t="s">
        <v>0</v>
      </c>
      <c r="AB396" s="1" t="s">
        <v>113</v>
      </c>
      <c r="AE396" s="1" t="s">
        <v>2</v>
      </c>
      <c r="AF396" s="1" t="s">
        <v>256</v>
      </c>
      <c r="AG396" s="1" t="s">
        <v>315</v>
      </c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" t="s">
        <v>285</v>
      </c>
    </row>
    <row r="397" spans="1:54" ht="14.25" customHeight="1">
      <c r="A397" s="2">
        <v>38</v>
      </c>
      <c r="B397" s="2" t="s">
        <v>7</v>
      </c>
      <c r="C397" s="1" t="s">
        <v>85</v>
      </c>
      <c r="D397" s="1">
        <v>2018</v>
      </c>
      <c r="E397" s="1">
        <v>2004</v>
      </c>
      <c r="F397" s="1" t="s">
        <v>153</v>
      </c>
      <c r="G397" s="1" t="s">
        <v>117</v>
      </c>
      <c r="H397" s="1">
        <v>63.266666999999998</v>
      </c>
      <c r="I397" s="1">
        <v>30.75</v>
      </c>
      <c r="J397" s="1" t="s">
        <v>126</v>
      </c>
      <c r="K397" s="1" t="s">
        <v>176</v>
      </c>
      <c r="L397" s="1" t="s">
        <v>182</v>
      </c>
      <c r="M397" s="1" t="s">
        <v>236</v>
      </c>
      <c r="N397" s="1" t="s">
        <v>238</v>
      </c>
      <c r="O397" s="1" t="s">
        <v>86</v>
      </c>
      <c r="P397" s="1" t="s">
        <v>210</v>
      </c>
      <c r="Q397" s="1" t="s">
        <v>93</v>
      </c>
      <c r="R397" s="1">
        <v>1992</v>
      </c>
      <c r="S397" s="1">
        <v>12</v>
      </c>
      <c r="T397" s="1">
        <f t="shared" si="38"/>
        <v>144</v>
      </c>
      <c r="V397" s="1">
        <v>143</v>
      </c>
      <c r="W397" s="1">
        <v>6</v>
      </c>
      <c r="X397" s="1">
        <v>4</v>
      </c>
      <c r="Y397" s="1" t="s">
        <v>114</v>
      </c>
      <c r="Z397" s="1" t="s">
        <v>2</v>
      </c>
      <c r="AA397" s="1" t="s">
        <v>0</v>
      </c>
      <c r="AB397" s="1" t="s">
        <v>113</v>
      </c>
      <c r="AE397" s="1" t="s">
        <v>2</v>
      </c>
      <c r="AF397" s="1" t="s">
        <v>256</v>
      </c>
      <c r="AG397" s="1" t="s">
        <v>315</v>
      </c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" t="s">
        <v>285</v>
      </c>
    </row>
    <row r="398" spans="1:54" ht="14.25" customHeight="1">
      <c r="A398" s="2">
        <v>38</v>
      </c>
      <c r="B398" s="2" t="s">
        <v>7</v>
      </c>
      <c r="C398" s="1" t="s">
        <v>85</v>
      </c>
      <c r="D398" s="1">
        <v>2018</v>
      </c>
      <c r="E398" s="1">
        <v>2004</v>
      </c>
      <c r="F398" s="1" t="s">
        <v>153</v>
      </c>
      <c r="G398" s="1" t="s">
        <v>117</v>
      </c>
      <c r="H398" s="1">
        <v>63.266666999999998</v>
      </c>
      <c r="I398" s="1">
        <v>30.75</v>
      </c>
      <c r="J398" s="1" t="s">
        <v>126</v>
      </c>
      <c r="K398" s="1" t="s">
        <v>176</v>
      </c>
      <c r="L398" s="1" t="s">
        <v>182</v>
      </c>
      <c r="M398" s="1" t="s">
        <v>236</v>
      </c>
      <c r="N398" s="1" t="s">
        <v>238</v>
      </c>
      <c r="O398" s="1" t="s">
        <v>86</v>
      </c>
      <c r="P398" s="1" t="s">
        <v>129</v>
      </c>
      <c r="Q398" s="1" t="s">
        <v>93</v>
      </c>
      <c r="R398" s="1">
        <v>1992</v>
      </c>
      <c r="S398" s="1">
        <v>12</v>
      </c>
      <c r="T398" s="1">
        <f t="shared" si="38"/>
        <v>144</v>
      </c>
      <c r="V398" s="1">
        <v>143</v>
      </c>
      <c r="W398" s="1">
        <v>6</v>
      </c>
      <c r="X398" s="1">
        <v>4</v>
      </c>
      <c r="Y398" s="1" t="s">
        <v>114</v>
      </c>
      <c r="Z398" s="1" t="s">
        <v>2</v>
      </c>
      <c r="AA398" s="1" t="s">
        <v>0</v>
      </c>
      <c r="AB398" s="1" t="s">
        <v>113</v>
      </c>
      <c r="AE398" s="1" t="s">
        <v>2</v>
      </c>
      <c r="AF398" s="1" t="s">
        <v>256</v>
      </c>
      <c r="AG398" s="1" t="s">
        <v>315</v>
      </c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" t="s">
        <v>285</v>
      </c>
    </row>
    <row r="399" spans="1:54" ht="14.25" customHeight="1">
      <c r="A399" s="2">
        <v>327</v>
      </c>
      <c r="B399" s="2" t="s">
        <v>46</v>
      </c>
      <c r="C399" s="1" t="s">
        <v>85</v>
      </c>
      <c r="D399" s="1">
        <v>2022</v>
      </c>
      <c r="E399" s="1">
        <v>2020</v>
      </c>
      <c r="F399" s="1" t="s">
        <v>120</v>
      </c>
      <c r="G399" s="1" t="s">
        <v>109</v>
      </c>
      <c r="H399" s="1">
        <v>40.578930999999997</v>
      </c>
      <c r="I399" s="1">
        <v>-2.0713569999999999</v>
      </c>
      <c r="J399" s="1" t="s">
        <v>128</v>
      </c>
      <c r="K399" s="1" t="s">
        <v>176</v>
      </c>
      <c r="L399" s="1" t="s">
        <v>191</v>
      </c>
      <c r="M399" s="1" t="s">
        <v>236</v>
      </c>
      <c r="N399" s="1" t="s">
        <v>238</v>
      </c>
      <c r="O399" s="1" t="s">
        <v>121</v>
      </c>
      <c r="P399" s="1" t="s">
        <v>146</v>
      </c>
      <c r="Q399" s="1" t="s">
        <v>93</v>
      </c>
      <c r="R399" s="1">
        <v>2016</v>
      </c>
      <c r="S399" s="1">
        <v>4</v>
      </c>
      <c r="T399" s="16">
        <f>S399*12</f>
        <v>48</v>
      </c>
      <c r="W399" s="1">
        <v>15</v>
      </c>
      <c r="X399" s="1">
        <v>15</v>
      </c>
      <c r="Y399" s="1" t="s">
        <v>97</v>
      </c>
      <c r="Z399" s="1" t="s">
        <v>147</v>
      </c>
      <c r="AA399" s="1" t="s">
        <v>1</v>
      </c>
      <c r="AB399" s="1" t="s">
        <v>98</v>
      </c>
      <c r="AC399" s="1" t="s">
        <v>202</v>
      </c>
      <c r="AD399" s="1" t="s">
        <v>110</v>
      </c>
      <c r="AE399" s="1" t="s">
        <v>102</v>
      </c>
      <c r="AF399" s="1" t="s">
        <v>222</v>
      </c>
      <c r="AG399" s="1" t="s">
        <v>319</v>
      </c>
      <c r="AH399" s="1">
        <v>359.7</v>
      </c>
      <c r="AI399" s="1">
        <f>397.88-330.61</f>
        <v>67.269999999999982</v>
      </c>
      <c r="AK399" s="1">
        <v>293</v>
      </c>
      <c r="AL399" s="1">
        <f>396.67-264.54</f>
        <v>132.13</v>
      </c>
      <c r="AN399" s="12">
        <f>AH399-AK399</f>
        <v>66.699999999999989</v>
      </c>
      <c r="AO399" s="1">
        <f>SQRT((((X399-1)*AI399^2)+((W399-1)*AL399^2))/(X399+W399-2))</f>
        <v>104.84176124045226</v>
      </c>
      <c r="AP399" s="1">
        <f>AN399/AO399</f>
        <v>0.63619686669537168</v>
      </c>
      <c r="AQ399" s="1">
        <f>1/X399+1/W399+(AP399^2)/(2*(X399+W399))</f>
        <v>0.14007910755321681</v>
      </c>
      <c r="AR399" s="1">
        <f>1-(3/(4*(X399+W399-2)-1))</f>
        <v>0.97297297297297303</v>
      </c>
      <c r="AS399" s="21">
        <f>AP399*AR399</f>
        <v>0.61900235678468596</v>
      </c>
      <c r="AT399" s="21">
        <f>AQ399*(AR399^2)</f>
        <v>0.1326095861131987</v>
      </c>
      <c r="AU399" s="21">
        <f>SQRT(AQ399*AR399^2)</f>
        <v>0.3641559914558577</v>
      </c>
      <c r="AV399" s="20">
        <f>1/AT399</f>
        <v>7.5409329695545253</v>
      </c>
      <c r="AW399" s="20">
        <f>AS399/AT399</f>
        <v>4.6678552805095919</v>
      </c>
      <c r="AX399" s="20">
        <f>((AS399)^2)/AT399</f>
        <v>2.8894134197652783</v>
      </c>
      <c r="AY399" s="14"/>
      <c r="AZ399" s="14"/>
      <c r="BA399" s="1" t="s">
        <v>270</v>
      </c>
      <c r="BB399" s="2"/>
    </row>
    <row r="400" spans="1:54" ht="14.25" customHeight="1">
      <c r="A400" s="2">
        <v>170</v>
      </c>
      <c r="B400" s="2" t="s">
        <v>23</v>
      </c>
      <c r="C400" s="1" t="s">
        <v>85</v>
      </c>
      <c r="D400" s="1">
        <v>2021</v>
      </c>
      <c r="E400" s="1">
        <v>2017</v>
      </c>
      <c r="F400" s="1" t="s">
        <v>143</v>
      </c>
      <c r="G400" s="1" t="s">
        <v>109</v>
      </c>
      <c r="H400" s="1">
        <v>38.460099999999997</v>
      </c>
      <c r="I400" s="1">
        <v>-122.5515</v>
      </c>
      <c r="J400" s="1" t="s">
        <v>128</v>
      </c>
      <c r="K400" s="1" t="s">
        <v>174</v>
      </c>
      <c r="L400" s="1" t="s">
        <v>175</v>
      </c>
      <c r="M400" s="1" t="s">
        <v>236</v>
      </c>
      <c r="N400" s="1" t="s">
        <v>238</v>
      </c>
      <c r="O400" s="1" t="s">
        <v>86</v>
      </c>
      <c r="P400" s="1" t="s">
        <v>129</v>
      </c>
      <c r="Q400" s="1" t="s">
        <v>93</v>
      </c>
      <c r="R400" s="1">
        <v>2017</v>
      </c>
      <c r="S400" s="1" t="s">
        <v>151</v>
      </c>
      <c r="T400" s="1">
        <v>2</v>
      </c>
      <c r="V400" s="1">
        <v>90000</v>
      </c>
      <c r="W400" s="1">
        <v>45</v>
      </c>
      <c r="X400" s="1">
        <v>45</v>
      </c>
      <c r="Y400" s="1" t="s">
        <v>97</v>
      </c>
      <c r="Z400" s="1" t="s">
        <v>133</v>
      </c>
      <c r="AA400" s="1" t="s">
        <v>1</v>
      </c>
      <c r="AB400" s="1" t="s">
        <v>98</v>
      </c>
      <c r="AC400" s="1" t="s">
        <v>202</v>
      </c>
      <c r="AD400" s="1" t="s">
        <v>99</v>
      </c>
      <c r="AE400" s="1" t="s">
        <v>100</v>
      </c>
      <c r="AF400" s="1" t="s">
        <v>384</v>
      </c>
      <c r="AG400" s="1" t="s">
        <v>319</v>
      </c>
      <c r="AH400" s="1">
        <v>16.14</v>
      </c>
      <c r="AI400" s="1">
        <f>25.53-6.67</f>
        <v>18.86</v>
      </c>
      <c r="AK400" s="1">
        <v>34.18</v>
      </c>
      <c r="AL400" s="1">
        <f>41.72-26.4</f>
        <v>15.32</v>
      </c>
      <c r="AN400" s="12">
        <f>AH400-AK400</f>
        <v>-18.04</v>
      </c>
      <c r="AO400" s="1">
        <f>SQRT((((X400-1)*AI400^2)+((W400-1)*AL400^2))/(X400+W400-2))</f>
        <v>17.1814143771693</v>
      </c>
      <c r="AP400" s="1">
        <f>AN400/AO400</f>
        <v>-1.0499717662343089</v>
      </c>
      <c r="AQ400" s="1">
        <f>1/X400+1/W400+(AP400^2)/(2*(X400+W400))</f>
        <v>5.0569115054939967E-2</v>
      </c>
      <c r="AR400" s="1">
        <f>1-(3/(4*(X400+W400-2)-1))</f>
        <v>0.99145299145299148</v>
      </c>
      <c r="AS400" s="21">
        <f>AP400*AR400</f>
        <v>-1.0409976485741865</v>
      </c>
      <c r="AT400" s="21">
        <f>AQ400*(AR400^2)</f>
        <v>4.9708379880142615E-2</v>
      </c>
      <c r="AU400" s="21">
        <f>SQRT(AQ400*AR400^2)</f>
        <v>0.2229537617537381</v>
      </c>
      <c r="AV400" s="20">
        <f>1/AT400</f>
        <v>20.117332377583232</v>
      </c>
      <c r="AW400" s="20">
        <f>AS400/AT400</f>
        <v>-20.942095700649496</v>
      </c>
      <c r="AX400" s="20">
        <f>((AS400)^2)/AT400</f>
        <v>21.800672380591706</v>
      </c>
      <c r="AY400" s="14"/>
      <c r="AZ400" s="14"/>
      <c r="BA400" s="1" t="s">
        <v>270</v>
      </c>
      <c r="BB400" s="2"/>
    </row>
    <row r="401" spans="1:54" ht="14.25" customHeight="1">
      <c r="A401" s="2">
        <v>170</v>
      </c>
      <c r="B401" s="2" t="s">
        <v>23</v>
      </c>
      <c r="C401" s="1" t="s">
        <v>85</v>
      </c>
      <c r="D401" s="1">
        <v>2021</v>
      </c>
      <c r="E401" s="1">
        <v>2017</v>
      </c>
      <c r="F401" s="1" t="s">
        <v>143</v>
      </c>
      <c r="G401" s="1" t="s">
        <v>109</v>
      </c>
      <c r="H401" s="1">
        <v>38.460099999999997</v>
      </c>
      <c r="I401" s="1">
        <v>-122.5515</v>
      </c>
      <c r="J401" s="1" t="s">
        <v>128</v>
      </c>
      <c r="K401" s="1" t="s">
        <v>174</v>
      </c>
      <c r="L401" s="1" t="s">
        <v>175</v>
      </c>
      <c r="M401" s="1" t="s">
        <v>236</v>
      </c>
      <c r="N401" s="1" t="s">
        <v>238</v>
      </c>
      <c r="O401" s="1" t="s">
        <v>86</v>
      </c>
      <c r="P401" s="1" t="s">
        <v>129</v>
      </c>
      <c r="Q401" s="1" t="s">
        <v>93</v>
      </c>
      <c r="R401" s="1">
        <v>2017</v>
      </c>
      <c r="S401" s="1" t="s">
        <v>151</v>
      </c>
      <c r="T401" s="1">
        <v>2</v>
      </c>
      <c r="V401" s="1">
        <v>90000</v>
      </c>
      <c r="W401" s="1">
        <v>45</v>
      </c>
      <c r="X401" s="1">
        <v>45</v>
      </c>
      <c r="Y401" s="1" t="s">
        <v>97</v>
      </c>
      <c r="Z401" s="1" t="s">
        <v>133</v>
      </c>
      <c r="AA401" s="1" t="s">
        <v>1</v>
      </c>
      <c r="AB401" s="1" t="s">
        <v>98</v>
      </c>
      <c r="AC401" s="1" t="s">
        <v>202</v>
      </c>
      <c r="AD401" s="1" t="s">
        <v>99</v>
      </c>
      <c r="AE401" s="1" t="s">
        <v>100</v>
      </c>
      <c r="AF401" s="1" t="s">
        <v>150</v>
      </c>
      <c r="AG401" s="1" t="s">
        <v>319</v>
      </c>
      <c r="AH401" s="1">
        <v>86.75</v>
      </c>
      <c r="AI401" s="1">
        <f>120.03-53.47</f>
        <v>66.56</v>
      </c>
      <c r="AK401" s="1">
        <v>133.94</v>
      </c>
      <c r="AL401" s="1">
        <f>167.72-99</f>
        <v>68.72</v>
      </c>
      <c r="AN401" s="12">
        <f>AH401-AK401</f>
        <v>-47.19</v>
      </c>
      <c r="AO401" s="1">
        <f>SQRT((((X401-1)*AI401^2)+((W401-1)*AL401^2))/(X401+W401-2))</f>
        <v>67.648621567626932</v>
      </c>
      <c r="AP401" s="1">
        <f>AN401/AO401</f>
        <v>-0.69757518936029062</v>
      </c>
      <c r="AQ401" s="1">
        <f>1/X401+1/W401+(AP401^2)/(2*(X401+W401))</f>
        <v>4.71478396933947E-2</v>
      </c>
      <c r="AR401" s="1">
        <f>1-(3/(4*(X401+W401-2)-1))</f>
        <v>0.99145299145299148</v>
      </c>
      <c r="AS401" s="21">
        <f>AP401*AR401</f>
        <v>-0.69161300825464711</v>
      </c>
      <c r="AT401" s="21">
        <f>AQ401*(AR401^2)</f>
        <v>4.6345337929309602E-2</v>
      </c>
      <c r="AU401" s="21">
        <f>SQRT(AQ401*AR401^2)</f>
        <v>0.21527967374861381</v>
      </c>
      <c r="AV401" s="20">
        <f>1/AT401</f>
        <v>21.577143347736442</v>
      </c>
      <c r="AW401" s="20">
        <f>AS401/AT401</f>
        <v>-14.923033020269747</v>
      </c>
      <c r="AX401" s="20">
        <f>((AS401)^2)/AT401</f>
        <v>10.320963759432193</v>
      </c>
      <c r="AY401" s="14"/>
      <c r="AZ401" s="14"/>
      <c r="BA401" s="1" t="s">
        <v>270</v>
      </c>
      <c r="BB401" s="2"/>
    </row>
    <row r="402" spans="1:54" ht="14.25" customHeight="1">
      <c r="A402" s="2">
        <v>170</v>
      </c>
      <c r="B402" s="2" t="s">
        <v>23</v>
      </c>
      <c r="C402" s="1" t="s">
        <v>85</v>
      </c>
      <c r="D402" s="1">
        <v>2021</v>
      </c>
      <c r="E402" s="1">
        <v>2017</v>
      </c>
      <c r="F402" s="1" t="s">
        <v>143</v>
      </c>
      <c r="G402" s="1" t="s">
        <v>109</v>
      </c>
      <c r="H402" s="1">
        <v>38.460099999999997</v>
      </c>
      <c r="I402" s="1">
        <v>-122.5515</v>
      </c>
      <c r="J402" s="1" t="s">
        <v>128</v>
      </c>
      <c r="K402" s="1" t="s">
        <v>174</v>
      </c>
      <c r="L402" s="1" t="s">
        <v>175</v>
      </c>
      <c r="M402" s="1" t="s">
        <v>236</v>
      </c>
      <c r="N402" s="1" t="s">
        <v>238</v>
      </c>
      <c r="O402" s="1" t="s">
        <v>86</v>
      </c>
      <c r="P402" s="1" t="s">
        <v>129</v>
      </c>
      <c r="Q402" s="1" t="s">
        <v>93</v>
      </c>
      <c r="R402" s="1">
        <v>2017</v>
      </c>
      <c r="S402" s="1" t="s">
        <v>151</v>
      </c>
      <c r="T402" s="1">
        <v>2</v>
      </c>
      <c r="V402" s="1">
        <v>90000</v>
      </c>
      <c r="W402" s="1">
        <v>45</v>
      </c>
      <c r="X402" s="1">
        <v>45</v>
      </c>
      <c r="Y402" s="1" t="s">
        <v>97</v>
      </c>
      <c r="Z402" s="1" t="s">
        <v>133</v>
      </c>
      <c r="AA402" s="1" t="s">
        <v>1</v>
      </c>
      <c r="AB402" s="1" t="s">
        <v>98</v>
      </c>
      <c r="AC402" s="1" t="s">
        <v>202</v>
      </c>
      <c r="AD402" s="1" t="s">
        <v>99</v>
      </c>
      <c r="AE402" s="1" t="s">
        <v>100</v>
      </c>
      <c r="AF402" s="1" t="s">
        <v>312</v>
      </c>
      <c r="AG402" s="1" t="s">
        <v>319</v>
      </c>
      <c r="AH402" s="1">
        <v>34.89</v>
      </c>
      <c r="AI402" s="1">
        <f>49-21.2</f>
        <v>27.8</v>
      </c>
      <c r="AK402" s="1">
        <v>33.880000000000003</v>
      </c>
      <c r="AL402" s="1">
        <f>48.07-19.9</f>
        <v>28.17</v>
      </c>
      <c r="AN402" s="12">
        <f>AH402-AK402</f>
        <v>1.009999999999998</v>
      </c>
      <c r="AO402" s="1">
        <f>SQRT((((X402-1)*AI402^2)+((W402-1)*AL402^2))/(X402+W402-2))</f>
        <v>27.985611481616765</v>
      </c>
      <c r="AP402" s="1">
        <f>AN402/AO402</f>
        <v>3.608997433068234E-2</v>
      </c>
      <c r="AQ402" s="1">
        <f>1/X402+1/W402+(AP402^2)/(2*(X402+W402))</f>
        <v>4.4451680479151053E-2</v>
      </c>
      <c r="AR402" s="1">
        <f>1-(3/(4*(X402+W402-2)-1))</f>
        <v>0.99145299145299148</v>
      </c>
      <c r="AS402" s="21">
        <f>AP402*AR402</f>
        <v>3.5781513011616681E-2</v>
      </c>
      <c r="AT402" s="21">
        <f>AQ402*(AR402^2)</f>
        <v>4.369506994867825E-2</v>
      </c>
      <c r="AU402" s="21">
        <f>SQRT(AQ402*AR402^2)</f>
        <v>0.20903365745419625</v>
      </c>
      <c r="AV402" s="20">
        <f>1/AT402</f>
        <v>22.885877083491188</v>
      </c>
      <c r="AW402" s="20">
        <f>AS402/AT402</f>
        <v>0.81889130864519988</v>
      </c>
      <c r="AX402" s="20">
        <f>((AS402)^2)/AT402</f>
        <v>2.9301170015388033E-2</v>
      </c>
      <c r="AY402" s="14"/>
      <c r="AZ402" s="14"/>
      <c r="BA402" s="1" t="s">
        <v>270</v>
      </c>
      <c r="BB402" s="2"/>
    </row>
    <row r="403" spans="1:54" ht="14.25" customHeight="1">
      <c r="A403" s="2">
        <v>133</v>
      </c>
      <c r="B403" s="2" t="s">
        <v>18</v>
      </c>
      <c r="C403" s="1" t="s">
        <v>85</v>
      </c>
      <c r="D403" s="1">
        <v>2004</v>
      </c>
      <c r="E403" s="1">
        <v>1996</v>
      </c>
      <c r="F403" s="1" t="s">
        <v>143</v>
      </c>
      <c r="G403" s="1" t="s">
        <v>142</v>
      </c>
      <c r="H403" s="1">
        <v>39.907029999999999</v>
      </c>
      <c r="I403" s="1">
        <v>-74.474993999999995</v>
      </c>
      <c r="J403" s="1" t="s">
        <v>135</v>
      </c>
      <c r="K403" s="1" t="s">
        <v>176</v>
      </c>
      <c r="L403" s="1" t="s">
        <v>198</v>
      </c>
      <c r="M403" s="1" t="s">
        <v>236</v>
      </c>
      <c r="N403" s="1" t="s">
        <v>238</v>
      </c>
      <c r="O403" s="1" t="s">
        <v>121</v>
      </c>
      <c r="P403" s="1" t="s">
        <v>210</v>
      </c>
      <c r="Q403" s="1" t="s">
        <v>93</v>
      </c>
      <c r="R403" s="1">
        <v>1996</v>
      </c>
      <c r="S403" s="1" t="s">
        <v>156</v>
      </c>
      <c r="T403" s="1">
        <v>11</v>
      </c>
      <c r="V403" s="1" t="s">
        <v>2</v>
      </c>
      <c r="W403" s="1">
        <v>3</v>
      </c>
      <c r="X403" s="1">
        <v>3</v>
      </c>
      <c r="Y403" s="1" t="s">
        <v>134</v>
      </c>
      <c r="Z403" s="1" t="s">
        <v>232</v>
      </c>
      <c r="AA403" s="1" t="s">
        <v>0</v>
      </c>
      <c r="AB403" s="1" t="s">
        <v>148</v>
      </c>
      <c r="AC403" s="1" t="s">
        <v>2</v>
      </c>
      <c r="AD403" s="1" t="s">
        <v>2</v>
      </c>
      <c r="AE403" s="1" t="s">
        <v>2</v>
      </c>
      <c r="AF403" s="1" t="s">
        <v>222</v>
      </c>
      <c r="AG403" s="1" t="s">
        <v>318</v>
      </c>
      <c r="AH403" s="1">
        <v>6.06</v>
      </c>
      <c r="AI403" s="1">
        <f>AJ403*(SQRT(X403))</f>
        <v>0.79674337148168339</v>
      </c>
      <c r="AJ403" s="1">
        <f>6.52-AH403</f>
        <v>0.45999999999999996</v>
      </c>
      <c r="AK403" s="1">
        <v>5.22</v>
      </c>
      <c r="AL403" s="1">
        <f>AM403*(SQRT(W403))</f>
        <v>0.7274613391789283</v>
      </c>
      <c r="AM403" s="1">
        <f>5.64-AK403</f>
        <v>0.41999999999999993</v>
      </c>
      <c r="AN403" s="12">
        <f>AH403-AK403</f>
        <v>0.83999999999999986</v>
      </c>
      <c r="AO403" s="1">
        <f>SQRT((((X403-1)*AI403^2)+((W403-1)*AL403^2))/(X403+W403-2))</f>
        <v>0.76288924491042587</v>
      </c>
      <c r="AP403" s="1">
        <f>AN403/AO403</f>
        <v>1.1010772606954604</v>
      </c>
      <c r="AQ403" s="1">
        <f>1/X403+1/W403+(AP403^2)/(2*(X403+W403))</f>
        <v>0.76769759450171815</v>
      </c>
      <c r="AR403" s="1">
        <f>1-(3/(4*(X403+W403-2)-1))</f>
        <v>0.8</v>
      </c>
      <c r="AS403" s="21">
        <f>AP403*AR403</f>
        <v>0.88086180855636842</v>
      </c>
      <c r="AT403" s="21">
        <f>AQ403*(AR403^2)</f>
        <v>0.49132646048109974</v>
      </c>
      <c r="AU403" s="21">
        <f>SQRT(AQ403*AR403^2)</f>
        <v>0.70094683142239811</v>
      </c>
      <c r="AV403" s="20">
        <f>1/AT403</f>
        <v>2.0353066248880927</v>
      </c>
      <c r="AW403" s="20">
        <f>AS403/AT403</f>
        <v>1.7928238745656835</v>
      </c>
      <c r="AX403" s="20">
        <f>((AS403)^2)/AT403</f>
        <v>1.5792300805729638</v>
      </c>
      <c r="AY403" s="14"/>
      <c r="AZ403" s="14"/>
      <c r="BA403" s="1" t="s">
        <v>270</v>
      </c>
      <c r="BB403" s="2"/>
    </row>
    <row r="404" spans="1:54" ht="14.25" customHeight="1">
      <c r="A404" s="2">
        <v>170</v>
      </c>
      <c r="B404" s="2" t="s">
        <v>23</v>
      </c>
      <c r="C404" s="1" t="s">
        <v>85</v>
      </c>
      <c r="D404" s="1">
        <v>2021</v>
      </c>
      <c r="E404" s="1">
        <v>2017</v>
      </c>
      <c r="F404" s="1" t="s">
        <v>143</v>
      </c>
      <c r="G404" s="1" t="s">
        <v>109</v>
      </c>
      <c r="H404" s="1">
        <v>38.460099999999997</v>
      </c>
      <c r="I404" s="1">
        <v>-122.5515</v>
      </c>
      <c r="J404" s="1" t="s">
        <v>128</v>
      </c>
      <c r="K404" s="1" t="s">
        <v>178</v>
      </c>
      <c r="L404" s="1" t="s">
        <v>183</v>
      </c>
      <c r="M404" s="1" t="s">
        <v>237</v>
      </c>
      <c r="N404" s="1" t="s">
        <v>238</v>
      </c>
      <c r="O404" s="1" t="s">
        <v>86</v>
      </c>
      <c r="P404" s="1" t="s">
        <v>129</v>
      </c>
      <c r="Q404" s="1" t="s">
        <v>93</v>
      </c>
      <c r="R404" s="1">
        <v>2017</v>
      </c>
      <c r="S404" s="1" t="s">
        <v>151</v>
      </c>
      <c r="T404" s="1">
        <v>2</v>
      </c>
      <c r="V404" s="1">
        <v>90000</v>
      </c>
      <c r="W404" s="1">
        <v>45</v>
      </c>
      <c r="X404" s="1">
        <v>45</v>
      </c>
      <c r="Y404" s="1" t="s">
        <v>97</v>
      </c>
      <c r="Z404" s="1" t="s">
        <v>133</v>
      </c>
      <c r="AA404" s="1" t="s">
        <v>1</v>
      </c>
      <c r="AB404" s="1" t="s">
        <v>98</v>
      </c>
      <c r="AC404" s="1" t="s">
        <v>202</v>
      </c>
      <c r="AD404" s="1" t="s">
        <v>99</v>
      </c>
      <c r="AE404" s="1" t="s">
        <v>100</v>
      </c>
      <c r="AF404" s="1" t="s">
        <v>384</v>
      </c>
      <c r="AG404" s="1" t="s">
        <v>319</v>
      </c>
      <c r="AH404" s="1">
        <v>33.29</v>
      </c>
      <c r="AI404" s="1">
        <f>44.01-22.7</f>
        <v>21.31</v>
      </c>
      <c r="AK404" s="1">
        <v>35.43</v>
      </c>
      <c r="AL404" s="1">
        <f>46.52-24.4</f>
        <v>22.120000000000005</v>
      </c>
      <c r="AN404" s="12">
        <f>AH404-AK404</f>
        <v>-2.1400000000000006</v>
      </c>
      <c r="AO404" s="1">
        <f>SQRT((((X404-1)*AI404^2)+((W404-1)*AL404^2))/(X404+W404-2))</f>
        <v>21.71877643883283</v>
      </c>
      <c r="AP404" s="1">
        <f>AN404/AO404</f>
        <v>-9.853225415469144E-2</v>
      </c>
      <c r="AQ404" s="1">
        <f>1/X404+1/W404+(AP404^2)/(2*(X404+W404))</f>
        <v>4.4498381139493358E-2</v>
      </c>
      <c r="AR404" s="1">
        <f>1-(3/(4*(X404+W404-2)-1))</f>
        <v>0.99145299145299148</v>
      </c>
      <c r="AS404" s="21">
        <f>AP404*AR404</f>
        <v>-9.7690098136275272E-2</v>
      </c>
      <c r="AT404" s="21">
        <f>AQ404*(AR404^2)</f>
        <v>4.3740975718680887E-2</v>
      </c>
      <c r="AU404" s="21">
        <f>SQRT(AQ404*AR404^2)</f>
        <v>0.20914343336256314</v>
      </c>
      <c r="AV404" s="20">
        <f>1/AT404</f>
        <v>22.861858556413505</v>
      </c>
      <c r="AW404" s="20">
        <f>AS404/AT404</f>
        <v>-2.2333772059536798</v>
      </c>
      <c r="AX404" s="20">
        <f>((AS404)^2)/AT404</f>
        <v>0.21817883842493524</v>
      </c>
      <c r="AY404" s="14"/>
      <c r="AZ404" s="14"/>
      <c r="BA404" s="1" t="s">
        <v>270</v>
      </c>
      <c r="BB404" s="2"/>
    </row>
    <row r="405" spans="1:54" ht="14.25" customHeight="1">
      <c r="A405" s="2">
        <v>170</v>
      </c>
      <c r="B405" s="2" t="s">
        <v>23</v>
      </c>
      <c r="C405" s="1" t="s">
        <v>85</v>
      </c>
      <c r="D405" s="1">
        <v>2021</v>
      </c>
      <c r="E405" s="1">
        <v>2017</v>
      </c>
      <c r="F405" s="1" t="s">
        <v>143</v>
      </c>
      <c r="G405" s="1" t="s">
        <v>109</v>
      </c>
      <c r="H405" s="1">
        <v>38.460099999999997</v>
      </c>
      <c r="I405" s="1">
        <v>-122.5515</v>
      </c>
      <c r="J405" s="1" t="s">
        <v>128</v>
      </c>
      <c r="K405" s="1" t="s">
        <v>178</v>
      </c>
      <c r="L405" s="1" t="s">
        <v>183</v>
      </c>
      <c r="M405" s="1" t="s">
        <v>237</v>
      </c>
      <c r="N405" s="1" t="s">
        <v>238</v>
      </c>
      <c r="O405" s="1" t="s">
        <v>86</v>
      </c>
      <c r="P405" s="1" t="s">
        <v>129</v>
      </c>
      <c r="Q405" s="1" t="s">
        <v>93</v>
      </c>
      <c r="R405" s="1">
        <v>2017</v>
      </c>
      <c r="S405" s="1" t="s">
        <v>151</v>
      </c>
      <c r="T405" s="1">
        <v>2</v>
      </c>
      <c r="V405" s="1">
        <v>90000</v>
      </c>
      <c r="W405" s="1">
        <v>45</v>
      </c>
      <c r="X405" s="1">
        <v>45</v>
      </c>
      <c r="Y405" s="1" t="s">
        <v>97</v>
      </c>
      <c r="Z405" s="1" t="s">
        <v>133</v>
      </c>
      <c r="AA405" s="1" t="s">
        <v>1</v>
      </c>
      <c r="AB405" s="1" t="s">
        <v>98</v>
      </c>
      <c r="AC405" s="1" t="s">
        <v>202</v>
      </c>
      <c r="AD405" s="1" t="s">
        <v>99</v>
      </c>
      <c r="AE405" s="1" t="s">
        <v>100</v>
      </c>
      <c r="AF405" s="1" t="s">
        <v>150</v>
      </c>
      <c r="AG405" s="1" t="s">
        <v>319</v>
      </c>
      <c r="AH405" s="1">
        <v>121.52</v>
      </c>
      <c r="AI405" s="1">
        <f>160.02-85.1</f>
        <v>74.920000000000016</v>
      </c>
      <c r="AK405" s="1">
        <v>148.59</v>
      </c>
      <c r="AL405" s="1">
        <f>185.84-110.6</f>
        <v>75.240000000000009</v>
      </c>
      <c r="AN405" s="12">
        <f>AH405-AK405</f>
        <v>-27.070000000000007</v>
      </c>
      <c r="AO405" s="1">
        <f>SQRT((((X405-1)*AI405^2)+((W405-1)*AL405^2))/(X405+W405-2))</f>
        <v>75.080170484622641</v>
      </c>
      <c r="AP405" s="1">
        <f>AN405/AO405</f>
        <v>-0.36054792930370722</v>
      </c>
      <c r="AQ405" s="1">
        <f>1/X405+1/W405+(AP405^2)/(2*(X405+W405))</f>
        <v>4.5166637829584397E-2</v>
      </c>
      <c r="AR405" s="1">
        <f>1-(3/(4*(X405+W405-2)-1))</f>
        <v>0.99145299145299148</v>
      </c>
      <c r="AS405" s="21">
        <f>AP405*AR405</f>
        <v>-0.35746632307034221</v>
      </c>
      <c r="AT405" s="21">
        <f>AQ405*(AR405^2)</f>
        <v>4.4397858034545087E-2</v>
      </c>
      <c r="AU405" s="21">
        <f>SQRT(AQ405*AR405^2)</f>
        <v>0.21070799233665791</v>
      </c>
      <c r="AV405" s="20">
        <f>1/AT405</f>
        <v>22.52360911695154</v>
      </c>
      <c r="AW405" s="20">
        <f>AS405/AT405</f>
        <v>-8.0514317333103058</v>
      </c>
      <c r="AX405" s="20">
        <f>((AS405)^2)/AT405</f>
        <v>2.8781156971583068</v>
      </c>
      <c r="AY405" s="14"/>
      <c r="AZ405" s="14"/>
      <c r="BA405" s="1" t="s">
        <v>270</v>
      </c>
      <c r="BB405" s="2"/>
    </row>
    <row r="406" spans="1:54" ht="14.25" customHeight="1">
      <c r="A406" s="2">
        <v>170</v>
      </c>
      <c r="B406" s="2" t="s">
        <v>23</v>
      </c>
      <c r="C406" s="1" t="s">
        <v>85</v>
      </c>
      <c r="D406" s="1">
        <v>2021</v>
      </c>
      <c r="E406" s="1">
        <v>2017</v>
      </c>
      <c r="F406" s="1" t="s">
        <v>143</v>
      </c>
      <c r="G406" s="1" t="s">
        <v>109</v>
      </c>
      <c r="H406" s="1">
        <v>38.460099999999997</v>
      </c>
      <c r="I406" s="1">
        <v>-122.5515</v>
      </c>
      <c r="J406" s="1" t="s">
        <v>128</v>
      </c>
      <c r="K406" s="1" t="s">
        <v>178</v>
      </c>
      <c r="L406" s="1" t="s">
        <v>183</v>
      </c>
      <c r="M406" s="1" t="s">
        <v>237</v>
      </c>
      <c r="N406" s="1" t="s">
        <v>238</v>
      </c>
      <c r="O406" s="1" t="s">
        <v>86</v>
      </c>
      <c r="P406" s="1" t="s">
        <v>129</v>
      </c>
      <c r="Q406" s="1" t="s">
        <v>93</v>
      </c>
      <c r="R406" s="1">
        <v>2017</v>
      </c>
      <c r="S406" s="1" t="s">
        <v>151</v>
      </c>
      <c r="T406" s="1">
        <v>2</v>
      </c>
      <c r="V406" s="1">
        <v>90000</v>
      </c>
      <c r="W406" s="1">
        <v>45</v>
      </c>
      <c r="X406" s="1">
        <v>45</v>
      </c>
      <c r="Y406" s="1" t="s">
        <v>97</v>
      </c>
      <c r="Z406" s="1" t="s">
        <v>133</v>
      </c>
      <c r="AA406" s="1" t="s">
        <v>1</v>
      </c>
      <c r="AB406" s="1" t="s">
        <v>98</v>
      </c>
      <c r="AC406" s="1" t="s">
        <v>202</v>
      </c>
      <c r="AD406" s="1" t="s">
        <v>99</v>
      </c>
      <c r="AE406" s="1" t="s">
        <v>100</v>
      </c>
      <c r="AF406" s="1" t="s">
        <v>312</v>
      </c>
      <c r="AG406" s="1" t="s">
        <v>319</v>
      </c>
      <c r="AH406" s="1">
        <v>39.49</v>
      </c>
      <c r="AI406" s="1">
        <f>55.95-23.5</f>
        <v>32.450000000000003</v>
      </c>
      <c r="AK406" s="1">
        <v>43.47</v>
      </c>
      <c r="AL406" s="1">
        <f>55.79-31.5</f>
        <v>24.29</v>
      </c>
      <c r="AN406" s="12">
        <f>AH406-AK406</f>
        <v>-3.9799999999999969</v>
      </c>
      <c r="AO406" s="1">
        <f>SQRT((((X406-1)*AI406^2)+((W406-1)*AL406^2))/(X406+W406-2))</f>
        <v>28.661878863745137</v>
      </c>
      <c r="AP406" s="1">
        <f>AN406/AO406</f>
        <v>-0.13886040126400651</v>
      </c>
      <c r="AQ406" s="1">
        <f>1/X406+1/W406+(AP406^2)/(2*(X406+W406))</f>
        <v>4.4551567839106673E-2</v>
      </c>
      <c r="AR406" s="1">
        <f>1-(3/(4*(X406+W406-2)-1))</f>
        <v>0.99145299145299148</v>
      </c>
      <c r="AS406" s="21">
        <f>AP406*AR406</f>
        <v>-0.137673560227562</v>
      </c>
      <c r="AT406" s="21">
        <f>AQ406*(AR406^2)</f>
        <v>4.3793257129302314E-2</v>
      </c>
      <c r="AU406" s="21">
        <f>SQRT(AQ406*AR406^2)</f>
        <v>0.20926838540329573</v>
      </c>
      <c r="AV406" s="20">
        <f>1/AT406</f>
        <v>22.834565537051464</v>
      </c>
      <c r="AW406" s="20">
        <f>AS406/AT406</f>
        <v>-3.1437159337354665</v>
      </c>
      <c r="AX406" s="20">
        <f>((AS406)^2)/AT406</f>
        <v>0.43280656494147607</v>
      </c>
      <c r="AY406" s="14"/>
      <c r="AZ406" s="14"/>
      <c r="BA406" s="1" t="s">
        <v>270</v>
      </c>
      <c r="BB406" s="2"/>
    </row>
    <row r="407" spans="1:54" ht="15" customHeight="1">
      <c r="A407" s="2">
        <v>170</v>
      </c>
      <c r="B407" s="2" t="s">
        <v>23</v>
      </c>
      <c r="C407" s="1" t="s">
        <v>85</v>
      </c>
      <c r="D407" s="1">
        <v>2021</v>
      </c>
      <c r="E407" s="1">
        <v>2017</v>
      </c>
      <c r="F407" s="1" t="s">
        <v>143</v>
      </c>
      <c r="G407" s="1" t="s">
        <v>109</v>
      </c>
      <c r="H407" s="1">
        <v>38.460099999999997</v>
      </c>
      <c r="I407" s="1">
        <v>-122.5515</v>
      </c>
      <c r="J407" s="1" t="s">
        <v>128</v>
      </c>
      <c r="K407" s="1" t="s">
        <v>174</v>
      </c>
      <c r="L407" s="1" t="s">
        <v>175</v>
      </c>
      <c r="M407" s="1" t="s">
        <v>236</v>
      </c>
      <c r="N407" s="1" t="s">
        <v>238</v>
      </c>
      <c r="O407" s="1" t="s">
        <v>86</v>
      </c>
      <c r="P407" s="1" t="s">
        <v>129</v>
      </c>
      <c r="Q407" s="1" t="s">
        <v>93</v>
      </c>
      <c r="R407" s="1">
        <v>2017</v>
      </c>
      <c r="S407" s="1" t="s">
        <v>151</v>
      </c>
      <c r="T407" s="1">
        <v>2</v>
      </c>
      <c r="V407" s="1">
        <v>90000</v>
      </c>
      <c r="W407" s="1">
        <v>6</v>
      </c>
      <c r="X407" s="1">
        <v>6</v>
      </c>
      <c r="Y407" s="1" t="s">
        <v>97</v>
      </c>
      <c r="Z407" s="1" t="s">
        <v>133</v>
      </c>
      <c r="AA407" s="1" t="s">
        <v>1</v>
      </c>
      <c r="AB407" s="1" t="s">
        <v>98</v>
      </c>
      <c r="AC407" s="1" t="s">
        <v>202</v>
      </c>
      <c r="AD407" s="1" t="s">
        <v>99</v>
      </c>
      <c r="AE407" s="1" t="s">
        <v>100</v>
      </c>
      <c r="AF407" s="1" t="s">
        <v>256</v>
      </c>
      <c r="AG407" s="1" t="s">
        <v>316</v>
      </c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" t="s">
        <v>285</v>
      </c>
    </row>
    <row r="408" spans="1:54" ht="14.25" customHeight="1">
      <c r="A408" s="2">
        <v>170</v>
      </c>
      <c r="B408" s="2" t="s">
        <v>23</v>
      </c>
      <c r="C408" s="1" t="s">
        <v>85</v>
      </c>
      <c r="D408" s="1">
        <v>2021</v>
      </c>
      <c r="E408" s="1">
        <v>2017</v>
      </c>
      <c r="F408" s="1" t="s">
        <v>143</v>
      </c>
      <c r="G408" s="1" t="s">
        <v>109</v>
      </c>
      <c r="H408" s="1">
        <v>38.460099999999997</v>
      </c>
      <c r="I408" s="1">
        <v>-122.5515</v>
      </c>
      <c r="J408" s="1" t="s">
        <v>128</v>
      </c>
      <c r="K408" s="1" t="s">
        <v>178</v>
      </c>
      <c r="L408" s="1" t="s">
        <v>183</v>
      </c>
      <c r="M408" s="1" t="s">
        <v>237</v>
      </c>
      <c r="N408" s="1" t="s">
        <v>238</v>
      </c>
      <c r="O408" s="1" t="s">
        <v>86</v>
      </c>
      <c r="P408" s="1" t="s">
        <v>129</v>
      </c>
      <c r="Q408" s="1" t="s">
        <v>93</v>
      </c>
      <c r="R408" s="1">
        <v>2017</v>
      </c>
      <c r="S408" s="1" t="s">
        <v>151</v>
      </c>
      <c r="T408" s="1">
        <v>2</v>
      </c>
      <c r="V408" s="1">
        <v>90000</v>
      </c>
      <c r="W408" s="1">
        <v>3</v>
      </c>
      <c r="X408" s="1">
        <v>3</v>
      </c>
      <c r="Y408" s="1" t="s">
        <v>97</v>
      </c>
      <c r="Z408" s="1" t="s">
        <v>133</v>
      </c>
      <c r="AA408" s="1" t="s">
        <v>1</v>
      </c>
      <c r="AB408" s="1" t="s">
        <v>98</v>
      </c>
      <c r="AC408" s="1" t="s">
        <v>202</v>
      </c>
      <c r="AD408" s="1" t="s">
        <v>99</v>
      </c>
      <c r="AE408" s="1" t="s">
        <v>100</v>
      </c>
      <c r="AF408" s="1" t="s">
        <v>256</v>
      </c>
      <c r="AG408" s="1" t="s">
        <v>316</v>
      </c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" t="s">
        <v>285</v>
      </c>
    </row>
    <row r="409" spans="1:54" ht="14.25" customHeight="1">
      <c r="A409" s="2">
        <v>133</v>
      </c>
      <c r="B409" s="2" t="s">
        <v>18</v>
      </c>
      <c r="C409" s="1" t="s">
        <v>85</v>
      </c>
      <c r="D409" s="1">
        <v>2004</v>
      </c>
      <c r="E409" s="1">
        <v>1996</v>
      </c>
      <c r="F409" s="1" t="s">
        <v>143</v>
      </c>
      <c r="G409" s="1" t="s">
        <v>142</v>
      </c>
      <c r="H409" s="1">
        <v>39.833232000000002</v>
      </c>
      <c r="I409" s="1">
        <v>-74.387434999999996</v>
      </c>
      <c r="J409" s="1" t="s">
        <v>135</v>
      </c>
      <c r="K409" s="1" t="s">
        <v>176</v>
      </c>
      <c r="L409" s="1" t="s">
        <v>198</v>
      </c>
      <c r="M409" s="1" t="s">
        <v>236</v>
      </c>
      <c r="N409" s="1" t="s">
        <v>238</v>
      </c>
      <c r="O409" s="1" t="s">
        <v>121</v>
      </c>
      <c r="P409" s="1" t="s">
        <v>210</v>
      </c>
      <c r="Q409" s="1" t="s">
        <v>93</v>
      </c>
      <c r="R409" s="1">
        <v>1996</v>
      </c>
      <c r="S409" s="1" t="s">
        <v>156</v>
      </c>
      <c r="T409" s="1">
        <v>11</v>
      </c>
      <c r="V409" s="1" t="s">
        <v>2</v>
      </c>
      <c r="W409" s="1">
        <v>3</v>
      </c>
      <c r="X409" s="1">
        <v>3</v>
      </c>
      <c r="Y409" s="1" t="s">
        <v>134</v>
      </c>
      <c r="Z409" s="1" t="s">
        <v>220</v>
      </c>
      <c r="AA409" s="1" t="s">
        <v>0</v>
      </c>
      <c r="AB409" s="1" t="s">
        <v>148</v>
      </c>
      <c r="AC409" s="1" t="s">
        <v>2</v>
      </c>
      <c r="AD409" s="1" t="s">
        <v>2</v>
      </c>
      <c r="AE409" s="1" t="s">
        <v>2</v>
      </c>
      <c r="AF409" s="1" t="s">
        <v>222</v>
      </c>
      <c r="AG409" s="1" t="s">
        <v>318</v>
      </c>
      <c r="AH409" s="1">
        <v>3.93</v>
      </c>
      <c r="AI409" s="1">
        <f>AJ409*(SQRT(X409))</f>
        <v>0.71014083110323911</v>
      </c>
      <c r="AJ409" s="1">
        <f>4.34-AH409</f>
        <v>0.4099999999999997</v>
      </c>
      <c r="AK409" s="1">
        <v>3.08</v>
      </c>
      <c r="AL409" s="1">
        <f>AM409*(SQRT(W409))</f>
        <v>0.71014083110323989</v>
      </c>
      <c r="AM409" s="1">
        <f>3.49-AK409</f>
        <v>0.41000000000000014</v>
      </c>
      <c r="AN409" s="12">
        <f>AH409-AK409</f>
        <v>0.85000000000000009</v>
      </c>
      <c r="AO409" s="1">
        <f>SQRT((((X409-1)*AI409^2)+((W409-1)*AL409^2))/(X409+W409-2))</f>
        <v>0.71014083110323956</v>
      </c>
      <c r="AP409" s="1">
        <f>AN409/AO409</f>
        <v>1.1969456800272733</v>
      </c>
      <c r="AQ409" s="1">
        <f>1/X409+1/W409+(AP409^2)/(2*(X409+W409))</f>
        <v>0.78605658007799595</v>
      </c>
      <c r="AR409" s="1">
        <f>1-(3/(4*(X409+W409-2)-1))</f>
        <v>0.8</v>
      </c>
      <c r="AS409" s="21">
        <f>AP409*AR409</f>
        <v>0.95755654402181867</v>
      </c>
      <c r="AT409" s="21">
        <f>AQ409*(AR409^2)</f>
        <v>0.50307621124991753</v>
      </c>
      <c r="AU409" s="21">
        <f>SQRT(AQ409*AR409^2)</f>
        <v>0.70927865557192504</v>
      </c>
      <c r="AV409" s="20">
        <f>1/AT409</f>
        <v>1.9877703966869174</v>
      </c>
      <c r="AW409" s="20">
        <f>AS409/AT409</f>
        <v>1.903402551360404</v>
      </c>
      <c r="AX409" s="20">
        <f>((AS409)^2)/AT409</f>
        <v>1.8226155689629806</v>
      </c>
      <c r="AY409" s="14"/>
      <c r="AZ409" s="14"/>
      <c r="BA409" s="1" t="s">
        <v>270</v>
      </c>
      <c r="BB409" s="2"/>
    </row>
    <row r="410" spans="1:54" ht="14.25" customHeight="1">
      <c r="A410" s="2">
        <v>227</v>
      </c>
      <c r="B410" s="2" t="s">
        <v>36</v>
      </c>
      <c r="C410" s="1" t="s">
        <v>85</v>
      </c>
      <c r="D410" s="1">
        <v>2015</v>
      </c>
      <c r="E410" s="1">
        <v>2011</v>
      </c>
      <c r="F410" s="1" t="s">
        <v>153</v>
      </c>
      <c r="G410" s="1" t="s">
        <v>117</v>
      </c>
      <c r="H410" s="1">
        <v>67.766666999999998</v>
      </c>
      <c r="I410" s="1">
        <v>29.583333</v>
      </c>
      <c r="J410" s="1" t="s">
        <v>128</v>
      </c>
      <c r="K410" s="1" t="s">
        <v>176</v>
      </c>
      <c r="L410" s="1" t="s">
        <v>182</v>
      </c>
      <c r="M410" s="1" t="s">
        <v>236</v>
      </c>
      <c r="N410" s="1" t="s">
        <v>238</v>
      </c>
      <c r="O410" s="1" t="s">
        <v>86</v>
      </c>
      <c r="P410" s="1" t="s">
        <v>2</v>
      </c>
      <c r="Q410" s="1" t="s">
        <v>93</v>
      </c>
      <c r="R410" s="1">
        <v>2009</v>
      </c>
      <c r="S410" s="1">
        <v>2</v>
      </c>
      <c r="T410" s="1">
        <f>S410*12</f>
        <v>24</v>
      </c>
      <c r="V410" s="1" t="s">
        <v>2</v>
      </c>
      <c r="W410" s="1">
        <v>10</v>
      </c>
      <c r="X410" s="1">
        <v>10</v>
      </c>
      <c r="Y410" s="1" t="s">
        <v>97</v>
      </c>
      <c r="Z410" s="1" t="s">
        <v>2</v>
      </c>
      <c r="AA410" s="1" t="s">
        <v>1</v>
      </c>
      <c r="AB410" s="1" t="s">
        <v>98</v>
      </c>
      <c r="AC410" s="1" t="s">
        <v>202</v>
      </c>
      <c r="AD410" s="1" t="s">
        <v>228</v>
      </c>
      <c r="AE410" s="1" t="s">
        <v>102</v>
      </c>
      <c r="AF410" s="1" t="s">
        <v>307</v>
      </c>
      <c r="AG410" s="1" t="s">
        <v>318</v>
      </c>
      <c r="AH410" s="1">
        <v>17.47</v>
      </c>
      <c r="AI410" s="1">
        <f>26.06-AH410</f>
        <v>8.59</v>
      </c>
      <c r="AK410" s="1">
        <v>8.6</v>
      </c>
      <c r="AL410" s="1">
        <f>13.81-AK410</f>
        <v>5.2100000000000009</v>
      </c>
      <c r="AN410" s="12">
        <f>AH410-AK410</f>
        <v>8.8699999999999992</v>
      </c>
      <c r="AO410" s="1">
        <f>SQRT((((X410-1)*AI410^2)+((W410-1)*AL410^2))/(X410+W410-2))</f>
        <v>7.103949605677113</v>
      </c>
      <c r="AP410" s="1">
        <f>AN410/AO410</f>
        <v>1.2486011996638531</v>
      </c>
      <c r="AQ410" s="1">
        <f>1/X410+1/W410+(AP410^2)/(2*(X410+W410))</f>
        <v>0.23897512389505032</v>
      </c>
      <c r="AR410" s="1">
        <f>1-(3/(4*(X410+W410-2)-1))</f>
        <v>0.95774647887323949</v>
      </c>
      <c r="AS410" s="21">
        <f>AP410*AR410</f>
        <v>1.195843402494958</v>
      </c>
      <c r="AT410" s="21">
        <f>AQ410*(AR410^2)</f>
        <v>0.21920669964108566</v>
      </c>
      <c r="AU410" s="21">
        <f>SQRT(AQ410*AR410^2)</f>
        <v>0.46819515123619732</v>
      </c>
      <c r="AV410" s="20">
        <f>1/AT410</f>
        <v>4.561904365319732</v>
      </c>
      <c r="AW410" s="20">
        <f>AS410/AT410</f>
        <v>5.4553232380805499</v>
      </c>
      <c r="AX410" s="20">
        <f>((AS410)^2)/AT410</f>
        <v>6.5237123027360573</v>
      </c>
      <c r="AY410" s="14"/>
      <c r="AZ410" s="14"/>
      <c r="BA410" s="1" t="s">
        <v>270</v>
      </c>
      <c r="BB410" s="2"/>
    </row>
    <row r="411" spans="1:54" ht="14.25" customHeight="1">
      <c r="A411" s="2">
        <v>227</v>
      </c>
      <c r="B411" s="2" t="s">
        <v>36</v>
      </c>
      <c r="C411" s="1" t="s">
        <v>85</v>
      </c>
      <c r="D411" s="1">
        <v>2015</v>
      </c>
      <c r="E411" s="1">
        <v>2011</v>
      </c>
      <c r="F411" s="1" t="s">
        <v>153</v>
      </c>
      <c r="G411" s="1" t="s">
        <v>117</v>
      </c>
      <c r="H411" s="1">
        <v>67.766666999999998</v>
      </c>
      <c r="I411" s="1">
        <v>29.583333</v>
      </c>
      <c r="J411" s="1" t="s">
        <v>128</v>
      </c>
      <c r="K411" s="1" t="s">
        <v>176</v>
      </c>
      <c r="L411" s="1" t="s">
        <v>182</v>
      </c>
      <c r="M411" s="1" t="s">
        <v>236</v>
      </c>
      <c r="N411" s="1" t="s">
        <v>238</v>
      </c>
      <c r="O411" s="1" t="s">
        <v>86</v>
      </c>
      <c r="P411" s="1" t="s">
        <v>2</v>
      </c>
      <c r="Q411" s="1" t="s">
        <v>93</v>
      </c>
      <c r="R411" s="1">
        <v>2009</v>
      </c>
      <c r="S411" s="1">
        <v>2</v>
      </c>
      <c r="T411" s="1">
        <f>S411*12</f>
        <v>24</v>
      </c>
      <c r="V411" s="1" t="s">
        <v>2</v>
      </c>
      <c r="W411" s="1">
        <v>10</v>
      </c>
      <c r="X411" s="1">
        <v>10</v>
      </c>
      <c r="Y411" s="1" t="s">
        <v>97</v>
      </c>
      <c r="Z411" s="1" t="s">
        <v>2</v>
      </c>
      <c r="AA411" s="1" t="s">
        <v>1</v>
      </c>
      <c r="AB411" s="1" t="s">
        <v>98</v>
      </c>
      <c r="AC411" s="1" t="s">
        <v>202</v>
      </c>
      <c r="AD411" s="1" t="s">
        <v>228</v>
      </c>
      <c r="AE411" s="1" t="s">
        <v>102</v>
      </c>
      <c r="AF411" s="1" t="s">
        <v>348</v>
      </c>
      <c r="AG411" s="1" t="s">
        <v>318</v>
      </c>
      <c r="AH411" s="1">
        <v>0.09</v>
      </c>
      <c r="AI411" s="1">
        <f>0.13-AH411</f>
        <v>4.0000000000000008E-2</v>
      </c>
      <c r="AK411" s="1">
        <v>7.0000000000000007E-2</v>
      </c>
      <c r="AL411" s="1">
        <f>0.1-AK411</f>
        <v>0.03</v>
      </c>
      <c r="AN411" s="12">
        <f>AH411-AK411</f>
        <v>1.999999999999999E-2</v>
      </c>
      <c r="AO411" s="1">
        <f>SQRT((((X411-1)*AI411^2)+((W411-1)*AL411^2))/(X411+W411-2))</f>
        <v>3.5355339059327383E-2</v>
      </c>
      <c r="AP411" s="1">
        <f>AN411/AO411</f>
        <v>0.56568542494923768</v>
      </c>
      <c r="AQ411" s="1">
        <f>1/X411+1/W411+(AP411^2)/(2*(X411+W411))</f>
        <v>0.20799999999999999</v>
      </c>
      <c r="AR411" s="1">
        <f>1-(3/(4*(X411+W411-2)-1))</f>
        <v>0.95774647887323949</v>
      </c>
      <c r="AS411" s="21">
        <f>AP411*AR411</f>
        <v>0.54178322389504452</v>
      </c>
      <c r="AT411" s="21">
        <f>AQ411*(AR411^2)</f>
        <v>0.1907938901011704</v>
      </c>
      <c r="AU411" s="21">
        <f>SQRT(AQ411*AR411^2)</f>
        <v>0.43679959947459934</v>
      </c>
      <c r="AV411" s="20">
        <f>1/AT411</f>
        <v>5.2412579850944905</v>
      </c>
      <c r="AW411" s="20">
        <f>AS411/AT411</f>
        <v>2.8396256484301383</v>
      </c>
      <c r="AX411" s="20">
        <f>((AS411)^2)/AT411</f>
        <v>1.5384615384615363</v>
      </c>
      <c r="AY411" s="14"/>
      <c r="AZ411" s="14"/>
      <c r="BA411" s="1" t="s">
        <v>270</v>
      </c>
      <c r="BB411" s="2"/>
    </row>
    <row r="412" spans="1:54" ht="14.25" customHeight="1">
      <c r="A412" s="2">
        <v>227</v>
      </c>
      <c r="B412" s="2" t="s">
        <v>36</v>
      </c>
      <c r="C412" s="1" t="s">
        <v>85</v>
      </c>
      <c r="D412" s="1">
        <v>2015</v>
      </c>
      <c r="E412" s="1">
        <v>2011</v>
      </c>
      <c r="F412" s="1" t="s">
        <v>153</v>
      </c>
      <c r="G412" s="1" t="s">
        <v>117</v>
      </c>
      <c r="H412" s="1">
        <v>67.766666999999998</v>
      </c>
      <c r="I412" s="1">
        <v>29.583333</v>
      </c>
      <c r="J412" s="1" t="s">
        <v>128</v>
      </c>
      <c r="K412" s="1" t="s">
        <v>176</v>
      </c>
      <c r="L412" s="1" t="s">
        <v>182</v>
      </c>
      <c r="M412" s="1" t="s">
        <v>236</v>
      </c>
      <c r="N412" s="1" t="s">
        <v>238</v>
      </c>
      <c r="O412" s="1" t="s">
        <v>86</v>
      </c>
      <c r="Q412" s="1" t="s">
        <v>93</v>
      </c>
      <c r="R412" s="1">
        <v>2009</v>
      </c>
      <c r="S412" s="1">
        <v>2</v>
      </c>
      <c r="T412" s="1">
        <f>S412*12</f>
        <v>24</v>
      </c>
      <c r="W412" s="1">
        <v>10</v>
      </c>
      <c r="X412" s="1">
        <v>10</v>
      </c>
      <c r="Y412" s="1" t="s">
        <v>97</v>
      </c>
      <c r="AA412" s="1" t="s">
        <v>1</v>
      </c>
      <c r="AB412" s="1" t="s">
        <v>98</v>
      </c>
      <c r="AC412" s="1" t="s">
        <v>202</v>
      </c>
      <c r="AD412" s="1" t="s">
        <v>228</v>
      </c>
      <c r="AE412" s="1" t="s">
        <v>102</v>
      </c>
      <c r="AF412" s="1" t="s">
        <v>256</v>
      </c>
      <c r="AG412" s="1" t="s">
        <v>316</v>
      </c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" t="s">
        <v>285</v>
      </c>
    </row>
    <row r="413" spans="1:54" ht="14.25" customHeight="1">
      <c r="A413" s="2">
        <v>133</v>
      </c>
      <c r="B413" s="2" t="s">
        <v>18</v>
      </c>
      <c r="C413" s="1" t="s">
        <v>85</v>
      </c>
      <c r="D413" s="1">
        <v>2004</v>
      </c>
      <c r="E413" s="1">
        <v>1996</v>
      </c>
      <c r="F413" s="1" t="s">
        <v>143</v>
      </c>
      <c r="G413" s="1" t="s">
        <v>142</v>
      </c>
      <c r="H413" s="1">
        <v>39.907029999999999</v>
      </c>
      <c r="I413" s="1">
        <v>-74.474993999999995</v>
      </c>
      <c r="J413" s="1" t="s">
        <v>135</v>
      </c>
      <c r="K413" s="1" t="s">
        <v>176</v>
      </c>
      <c r="L413" s="1" t="s">
        <v>198</v>
      </c>
      <c r="M413" s="1" t="s">
        <v>236</v>
      </c>
      <c r="N413" s="1" t="s">
        <v>238</v>
      </c>
      <c r="O413" s="1" t="s">
        <v>121</v>
      </c>
      <c r="P413" s="1" t="s">
        <v>210</v>
      </c>
      <c r="Q413" s="1" t="s">
        <v>93</v>
      </c>
      <c r="R413" s="1">
        <v>1996</v>
      </c>
      <c r="S413" s="1" t="s">
        <v>156</v>
      </c>
      <c r="T413" s="1">
        <v>11</v>
      </c>
      <c r="V413" s="1" t="s">
        <v>2</v>
      </c>
      <c r="W413" s="1">
        <v>3</v>
      </c>
      <c r="X413" s="1">
        <v>3</v>
      </c>
      <c r="Y413" s="1" t="s">
        <v>134</v>
      </c>
      <c r="Z413" s="1" t="s">
        <v>130</v>
      </c>
      <c r="AA413" s="1" t="s">
        <v>0</v>
      </c>
      <c r="AB413" s="1" t="s">
        <v>148</v>
      </c>
      <c r="AC413" s="1" t="s">
        <v>2</v>
      </c>
      <c r="AD413" s="1" t="s">
        <v>2</v>
      </c>
      <c r="AE413" s="1" t="s">
        <v>2</v>
      </c>
      <c r="AF413" s="1" t="s">
        <v>279</v>
      </c>
      <c r="AG413" s="1" t="s">
        <v>318</v>
      </c>
      <c r="AH413" s="1">
        <v>63.75</v>
      </c>
      <c r="AI413" s="1">
        <f>AJ413*(SQRT(X413))</f>
        <v>42.22739868852922</v>
      </c>
      <c r="AJ413" s="1">
        <f>88.13-AH413</f>
        <v>24.379999999999995</v>
      </c>
      <c r="AK413" s="1">
        <v>181.88</v>
      </c>
      <c r="AL413" s="1">
        <f>AM413*(SQRT(W413))</f>
        <v>55.200459237220123</v>
      </c>
      <c r="AM413" s="1">
        <f>213.75-AK413</f>
        <v>31.870000000000005</v>
      </c>
      <c r="AN413" s="12">
        <f>AH413-AK413</f>
        <v>-118.13</v>
      </c>
      <c r="AO413" s="1">
        <f>SQRT((((X413-1)*AI413^2)+((W413-1)*AL413^2))/(X413+W413-2))</f>
        <v>49.143890261150467</v>
      </c>
      <c r="AP413" s="1">
        <f>AN413/AO413</f>
        <v>-2.4037576059253261</v>
      </c>
      <c r="AQ413" s="1">
        <f>1/X413+1/W413+(AP413^2)/(2*(X413+W413))</f>
        <v>1.1481708856703212</v>
      </c>
      <c r="AR413" s="1">
        <f>1-(3/(4*(X413+W413-2)-1))</f>
        <v>0.8</v>
      </c>
      <c r="AS413" s="21">
        <f>AP413*AR413</f>
        <v>-1.923006084740261</v>
      </c>
      <c r="AT413" s="21">
        <f>AQ413*(AR413^2)</f>
        <v>0.73482936682900568</v>
      </c>
      <c r="AU413" s="21">
        <f>SQRT(AQ413*AR413^2)</f>
        <v>0.8572218889115033</v>
      </c>
      <c r="AV413" s="20">
        <f>1/AT413</f>
        <v>1.3608601467784007</v>
      </c>
      <c r="AW413" s="20">
        <f>AS413/AT413</f>
        <v>-2.6169423427353893</v>
      </c>
      <c r="AX413" s="20">
        <f>((AS413)^2)/AT413</f>
        <v>5.0323960484945873</v>
      </c>
      <c r="AY413" s="14"/>
      <c r="AZ413" s="14"/>
      <c r="BA413" s="1" t="s">
        <v>270</v>
      </c>
      <c r="BB413" s="2"/>
    </row>
    <row r="414" spans="1:54" ht="14.25" customHeight="1">
      <c r="A414" s="2">
        <v>297</v>
      </c>
      <c r="B414" s="2" t="s">
        <v>45</v>
      </c>
      <c r="C414" s="1" t="s">
        <v>85</v>
      </c>
      <c r="D414" s="1">
        <v>2024</v>
      </c>
      <c r="E414" s="1">
        <v>2018</v>
      </c>
      <c r="F414" s="1" t="s">
        <v>143</v>
      </c>
      <c r="G414" s="1" t="s">
        <v>142</v>
      </c>
      <c r="H414" s="1">
        <v>30.238056</v>
      </c>
      <c r="I414" s="1">
        <v>-82.411389</v>
      </c>
      <c r="J414" s="1" t="s">
        <v>128</v>
      </c>
      <c r="K414" s="1" t="s">
        <v>176</v>
      </c>
      <c r="L414" s="1" t="s">
        <v>189</v>
      </c>
      <c r="M414" s="16" t="s">
        <v>236</v>
      </c>
      <c r="N414" s="16" t="s">
        <v>238</v>
      </c>
      <c r="O414" s="1" t="s">
        <v>121</v>
      </c>
      <c r="P414" s="1" t="s">
        <v>146</v>
      </c>
      <c r="Q414" s="1" t="s">
        <v>93</v>
      </c>
      <c r="R414" s="1">
        <v>2018</v>
      </c>
      <c r="S414" s="1">
        <v>1</v>
      </c>
      <c r="T414" s="1">
        <f>S414*12</f>
        <v>12</v>
      </c>
      <c r="U414" s="1" t="s">
        <v>341</v>
      </c>
      <c r="W414" s="1">
        <v>6</v>
      </c>
      <c r="X414" s="1">
        <v>6</v>
      </c>
      <c r="Y414" s="1" t="s">
        <v>97</v>
      </c>
      <c r="Z414" s="1" t="s">
        <v>133</v>
      </c>
      <c r="AA414" s="1" t="s">
        <v>1</v>
      </c>
      <c r="AB414" s="1" t="s">
        <v>98</v>
      </c>
      <c r="AC414" s="1" t="s">
        <v>202</v>
      </c>
      <c r="AD414" s="1" t="s">
        <v>99</v>
      </c>
      <c r="AE414" s="1" t="s">
        <v>102</v>
      </c>
      <c r="AF414" s="16" t="s">
        <v>222</v>
      </c>
      <c r="AG414" s="16" t="s">
        <v>337</v>
      </c>
      <c r="AH414" s="16">
        <v>514.4</v>
      </c>
      <c r="AI414" s="12">
        <f>538.4-458.4</f>
        <v>80</v>
      </c>
      <c r="AJ414" s="16"/>
      <c r="AK414" s="16">
        <v>423</v>
      </c>
      <c r="AL414" s="16">
        <f>423-356</f>
        <v>67</v>
      </c>
      <c r="AM414" s="16"/>
      <c r="AN414" s="12">
        <f>AH414-AK414</f>
        <v>91.399999999999977</v>
      </c>
      <c r="AO414" s="1">
        <f>SQRT((((X414-1)*AI414^2)+((W414-1)*AL414^2))/(X414+W414-2))</f>
        <v>73.786855197928034</v>
      </c>
      <c r="AP414" s="1">
        <f>AN414/AO414</f>
        <v>1.2387030149858795</v>
      </c>
      <c r="AQ414" s="1">
        <f>1/X414+1/W414+(AP414^2)/(2*(X414+W414))</f>
        <v>0.3972660483056295</v>
      </c>
      <c r="AR414" s="1">
        <f>1-(3/(4*(X414+W414-2)-1))</f>
        <v>0.92307692307692313</v>
      </c>
      <c r="AS414" s="21">
        <f>AP414*AR414</f>
        <v>1.1434181676792734</v>
      </c>
      <c r="AT414" s="21">
        <f>AQ414*(AR414^2)</f>
        <v>0.33849888139651274</v>
      </c>
      <c r="AU414" s="21">
        <f>SQRT(AQ414*AR414^2)</f>
        <v>0.58180656699328581</v>
      </c>
      <c r="AV414" s="20">
        <f>1/AT414</f>
        <v>2.9542195113744389</v>
      </c>
      <c r="AW414" s="20">
        <f>AS414/AT414</f>
        <v>3.3779082606181192</v>
      </c>
      <c r="AX414" s="20">
        <f>((AS414)^2)/AT414</f>
        <v>3.8623616739446516</v>
      </c>
      <c r="AY414" s="14"/>
      <c r="AZ414" s="14"/>
      <c r="BA414" s="1" t="s">
        <v>270</v>
      </c>
      <c r="BB414" s="2"/>
    </row>
    <row r="415" spans="1:54" ht="14.25" customHeight="1">
      <c r="A415" s="2">
        <v>133</v>
      </c>
      <c r="B415" s="2" t="s">
        <v>18</v>
      </c>
      <c r="C415" s="1" t="s">
        <v>85</v>
      </c>
      <c r="D415" s="1">
        <v>2004</v>
      </c>
      <c r="E415" s="1">
        <v>1996</v>
      </c>
      <c r="F415" s="1" t="s">
        <v>143</v>
      </c>
      <c r="G415" s="1" t="s">
        <v>142</v>
      </c>
      <c r="H415" s="1">
        <v>39.907029999999999</v>
      </c>
      <c r="I415" s="1">
        <v>-74.474993999999995</v>
      </c>
      <c r="J415" s="1" t="s">
        <v>135</v>
      </c>
      <c r="K415" s="1" t="s">
        <v>176</v>
      </c>
      <c r="L415" s="1" t="s">
        <v>198</v>
      </c>
      <c r="M415" s="1" t="s">
        <v>236</v>
      </c>
      <c r="N415" s="1" t="s">
        <v>238</v>
      </c>
      <c r="O415" s="1" t="s">
        <v>121</v>
      </c>
      <c r="P415" s="1" t="s">
        <v>210</v>
      </c>
      <c r="Q415" s="1" t="s">
        <v>93</v>
      </c>
      <c r="R415" s="1">
        <v>1996</v>
      </c>
      <c r="S415" s="1" t="s">
        <v>156</v>
      </c>
      <c r="T415" s="1">
        <v>11</v>
      </c>
      <c r="V415" s="1" t="s">
        <v>2</v>
      </c>
      <c r="W415" s="1">
        <v>3</v>
      </c>
      <c r="X415" s="1">
        <v>3</v>
      </c>
      <c r="Y415" s="1" t="s">
        <v>134</v>
      </c>
      <c r="Z415" s="1" t="s">
        <v>130</v>
      </c>
      <c r="AA415" s="1" t="s">
        <v>0</v>
      </c>
      <c r="AB415" s="1" t="s">
        <v>148</v>
      </c>
      <c r="AC415" s="1" t="s">
        <v>2</v>
      </c>
      <c r="AD415" s="1" t="s">
        <v>2</v>
      </c>
      <c r="AE415" s="1" t="s">
        <v>2</v>
      </c>
      <c r="AF415" s="1" t="s">
        <v>253</v>
      </c>
      <c r="AG415" s="1" t="s">
        <v>318</v>
      </c>
      <c r="AH415" s="1">
        <v>1.58</v>
      </c>
      <c r="AI415" s="1">
        <f>AJ415*(SQRT(X415))</f>
        <v>0.38105117766515295</v>
      </c>
      <c r="AJ415" s="1">
        <f>1.8-AH415</f>
        <v>0.21999999999999997</v>
      </c>
      <c r="AK415" s="1">
        <v>2.83</v>
      </c>
      <c r="AL415" s="1">
        <f>AM415*(SQRT(W415))</f>
        <v>0.57157676649772959</v>
      </c>
      <c r="AM415" s="1">
        <f>3.16-AK415</f>
        <v>0.33000000000000007</v>
      </c>
      <c r="AN415" s="12">
        <f>AH415-AK415</f>
        <v>-1.25</v>
      </c>
      <c r="AO415" s="1">
        <f>SQRT((((X415-1)*AI415^2)+((W415-1)*AL415^2))/(X415+W415-2))</f>
        <v>0.48574684764803161</v>
      </c>
      <c r="AP415" s="1">
        <f>AN415/AO415</f>
        <v>-2.5733568957831721</v>
      </c>
      <c r="AQ415" s="1">
        <f>1/X415+1/W415+(AP415^2)/(2*(X415+W415))</f>
        <v>1.2185138094229002</v>
      </c>
      <c r="AR415" s="1">
        <f>1-(3/(4*(X415+W415-2)-1))</f>
        <v>0.8</v>
      </c>
      <c r="AS415" s="21">
        <f>AP415*AR415</f>
        <v>-2.0586855166265376</v>
      </c>
      <c r="AT415" s="21">
        <f>AQ415*(AR415^2)</f>
        <v>0.7798488380306563</v>
      </c>
      <c r="AU415" s="21">
        <f>SQRT(AQ415*AR415^2)</f>
        <v>0.88309050387299282</v>
      </c>
      <c r="AV415" s="20">
        <f>1/AT415</f>
        <v>1.28229978841193</v>
      </c>
      <c r="AW415" s="20">
        <f>AS415/AT415</f>
        <v>-2.6398520023769141</v>
      </c>
      <c r="AX415" s="20">
        <f>((AS415)^2)/AT415</f>
        <v>5.4346250833309178</v>
      </c>
      <c r="AY415" s="14"/>
      <c r="AZ415" s="14"/>
      <c r="BA415" s="1" t="s">
        <v>270</v>
      </c>
      <c r="BB415" s="2"/>
    </row>
    <row r="416" spans="1:54" ht="14.25" customHeight="1">
      <c r="A416" s="2">
        <v>133</v>
      </c>
      <c r="B416" s="2" t="s">
        <v>18</v>
      </c>
      <c r="C416" s="1" t="s">
        <v>85</v>
      </c>
      <c r="D416" s="1">
        <v>2004</v>
      </c>
      <c r="E416" s="1">
        <v>1996</v>
      </c>
      <c r="F416" s="1" t="s">
        <v>143</v>
      </c>
      <c r="G416" s="1" t="s">
        <v>142</v>
      </c>
      <c r="H416" s="1">
        <v>39.907029999999999</v>
      </c>
      <c r="I416" s="1">
        <v>-74.474993999999995</v>
      </c>
      <c r="J416" s="1" t="s">
        <v>135</v>
      </c>
      <c r="K416" s="1" t="s">
        <v>176</v>
      </c>
      <c r="L416" s="1" t="s">
        <v>198</v>
      </c>
      <c r="M416" s="1" t="s">
        <v>236</v>
      </c>
      <c r="N416" s="1" t="s">
        <v>238</v>
      </c>
      <c r="O416" s="1" t="s">
        <v>121</v>
      </c>
      <c r="P416" s="1" t="s">
        <v>146</v>
      </c>
      <c r="Q416" s="1" t="s">
        <v>93</v>
      </c>
      <c r="R416" s="1">
        <v>1996</v>
      </c>
      <c r="S416" s="1" t="s">
        <v>156</v>
      </c>
      <c r="T416" s="1">
        <v>11</v>
      </c>
      <c r="V416" s="1" t="s">
        <v>2</v>
      </c>
      <c r="W416" s="1">
        <v>3</v>
      </c>
      <c r="X416" s="1">
        <v>3</v>
      </c>
      <c r="Y416" s="1" t="s">
        <v>134</v>
      </c>
      <c r="Z416" s="1" t="s">
        <v>130</v>
      </c>
      <c r="AA416" s="1" t="s">
        <v>0</v>
      </c>
      <c r="AB416" s="1" t="s">
        <v>148</v>
      </c>
      <c r="AC416" s="1" t="s">
        <v>2</v>
      </c>
      <c r="AD416" s="1" t="s">
        <v>2</v>
      </c>
      <c r="AE416" s="1" t="s">
        <v>2</v>
      </c>
      <c r="AF416" s="1" t="s">
        <v>279</v>
      </c>
      <c r="AG416" s="1" t="s">
        <v>318</v>
      </c>
      <c r="AH416" s="1">
        <v>241.88</v>
      </c>
      <c r="AI416" s="1">
        <f>AJ416*(SQRT(X416))</f>
        <v>90.932667397366046</v>
      </c>
      <c r="AJ416" s="1">
        <f>294.38-AH416</f>
        <v>52.5</v>
      </c>
      <c r="AK416" s="1">
        <v>337.5</v>
      </c>
      <c r="AL416" s="1">
        <f>AM416*(SQRT(W416))</f>
        <v>123.4086200392825</v>
      </c>
      <c r="AM416" s="1">
        <f>408.75-AK416</f>
        <v>71.25</v>
      </c>
      <c r="AN416" s="12">
        <f>AH416-AK416</f>
        <v>-95.62</v>
      </c>
      <c r="AO416" s="1">
        <f>SQRT((((X416-1)*AI416^2)+((W416-1)*AL416^2))/(X416+W416-2))</f>
        <v>108.39381324595975</v>
      </c>
      <c r="AP416" s="1">
        <f>AN416/AO416</f>
        <v>-0.88215366852188981</v>
      </c>
      <c r="AQ416" s="1">
        <f>1/X416+1/W416+(AP416^2)/(2*(X416+W416))</f>
        <v>0.73151625790721897</v>
      </c>
      <c r="AR416" s="1">
        <f>1-(3/(4*(X416+W416-2)-1))</f>
        <v>0.8</v>
      </c>
      <c r="AS416" s="21">
        <f>AP416*AR416</f>
        <v>-0.70572293481751192</v>
      </c>
      <c r="AT416" s="21">
        <f>AQ416*(AR416^2)</f>
        <v>0.46817040506062024</v>
      </c>
      <c r="AU416" s="21">
        <f>SQRT(AQ416*AR416^2)</f>
        <v>0.68422978966179204</v>
      </c>
      <c r="AV416" s="20">
        <f>1/AT416</f>
        <v>2.135974399899363</v>
      </c>
      <c r="AW416" s="20">
        <f>AS416/AT416</f>
        <v>-1.5074061221920523</v>
      </c>
      <c r="AX416" s="20">
        <f>((AS416)^2)/AT416</f>
        <v>1.0638110725152601</v>
      </c>
      <c r="AY416" s="14"/>
      <c r="AZ416" s="14"/>
      <c r="BA416" s="1" t="s">
        <v>270</v>
      </c>
      <c r="BB416" s="2"/>
    </row>
    <row r="417" spans="1:63" ht="14.25" customHeight="1">
      <c r="A417" s="2">
        <v>227</v>
      </c>
      <c r="B417" s="2" t="s">
        <v>36</v>
      </c>
      <c r="C417" s="1" t="s">
        <v>85</v>
      </c>
      <c r="D417" s="1">
        <v>2015</v>
      </c>
      <c r="E417" s="1">
        <v>2011</v>
      </c>
      <c r="F417" s="1" t="s">
        <v>153</v>
      </c>
      <c r="G417" s="1" t="s">
        <v>117</v>
      </c>
      <c r="H417" s="1">
        <v>67.766666999999998</v>
      </c>
      <c r="I417" s="1">
        <v>29.583333</v>
      </c>
      <c r="J417" s="1" t="s">
        <v>128</v>
      </c>
      <c r="K417" s="1" t="s">
        <v>176</v>
      </c>
      <c r="L417" s="1" t="s">
        <v>182</v>
      </c>
      <c r="M417" s="1" t="s">
        <v>236</v>
      </c>
      <c r="N417" s="1" t="s">
        <v>238</v>
      </c>
      <c r="O417" s="1" t="s">
        <v>86</v>
      </c>
      <c r="P417" s="1" t="s">
        <v>2</v>
      </c>
      <c r="Q417" s="1" t="s">
        <v>93</v>
      </c>
      <c r="R417" s="1">
        <v>2009</v>
      </c>
      <c r="S417" s="1">
        <v>2</v>
      </c>
      <c r="T417" s="1">
        <f>S417*12</f>
        <v>24</v>
      </c>
      <c r="V417" s="1" t="s">
        <v>2</v>
      </c>
      <c r="W417" s="1">
        <v>10</v>
      </c>
      <c r="X417" s="1">
        <v>10</v>
      </c>
      <c r="Y417" s="1" t="s">
        <v>97</v>
      </c>
      <c r="Z417" s="1" t="s">
        <v>2</v>
      </c>
      <c r="AA417" s="1" t="s">
        <v>1</v>
      </c>
      <c r="AB417" s="1" t="s">
        <v>98</v>
      </c>
      <c r="AC417" s="1" t="s">
        <v>202</v>
      </c>
      <c r="AD417" s="1" t="s">
        <v>228</v>
      </c>
      <c r="AE417" s="1" t="s">
        <v>102</v>
      </c>
      <c r="AF417" s="1" t="s">
        <v>222</v>
      </c>
      <c r="AG417" s="1" t="s">
        <v>318</v>
      </c>
      <c r="AH417" s="1">
        <v>182.66</v>
      </c>
      <c r="AI417" s="1">
        <f>207.31-AH417</f>
        <v>24.650000000000006</v>
      </c>
      <c r="AK417" s="1">
        <v>122.8</v>
      </c>
      <c r="AL417" s="1">
        <f>150.09-AK417</f>
        <v>27.290000000000006</v>
      </c>
      <c r="AN417" s="12">
        <f>AH417-AK417</f>
        <v>59.86</v>
      </c>
      <c r="AO417" s="1">
        <f>SQRT((((X417-1)*AI417^2)+((W417-1)*AL417^2))/(X417+W417-2))</f>
        <v>26.003524761078069</v>
      </c>
      <c r="AP417" s="1">
        <f>AN417/AO417</f>
        <v>2.301995615978881</v>
      </c>
      <c r="AQ417" s="1">
        <f>1/X417+1/W417+(AP417^2)/(2*(X417+W417))</f>
        <v>0.33247959539964972</v>
      </c>
      <c r="AR417" s="1">
        <f>1-(3/(4*(X417+W417-2)-1))</f>
        <v>0.95774647887323949</v>
      </c>
      <c r="AS417" s="21">
        <f>AP417*AR417</f>
        <v>2.2047281955854072</v>
      </c>
      <c r="AT417" s="21">
        <f>AQ417*(AR417^2)</f>
        <v>0.30497632396904989</v>
      </c>
      <c r="AU417" s="21">
        <f>SQRT(AQ417*AR417^2)</f>
        <v>0.5522466151721076</v>
      </c>
      <c r="AV417" s="20">
        <f>1/AT417</f>
        <v>3.2789430569091773</v>
      </c>
      <c r="AW417" s="20">
        <f>AS417/AT417</f>
        <v>7.229178209286669</v>
      </c>
      <c r="AX417" s="20">
        <f>((AS417)^2)/AT417</f>
        <v>15.938373028925945</v>
      </c>
      <c r="AY417" s="14"/>
      <c r="AZ417" s="14"/>
      <c r="BA417" s="1" t="s">
        <v>270</v>
      </c>
      <c r="BB417" s="2"/>
    </row>
    <row r="418" spans="1:63" ht="14.25" customHeight="1">
      <c r="A418" s="2">
        <v>133</v>
      </c>
      <c r="B418" s="2" t="s">
        <v>18</v>
      </c>
      <c r="C418" s="1" t="s">
        <v>85</v>
      </c>
      <c r="D418" s="1">
        <v>2004</v>
      </c>
      <c r="E418" s="1">
        <v>1996</v>
      </c>
      <c r="F418" s="1" t="s">
        <v>143</v>
      </c>
      <c r="G418" s="1" t="s">
        <v>142</v>
      </c>
      <c r="H418" s="1">
        <v>39.907029999999999</v>
      </c>
      <c r="I418" s="1">
        <v>-74.474993999999995</v>
      </c>
      <c r="J418" s="1" t="s">
        <v>135</v>
      </c>
      <c r="K418" s="1" t="s">
        <v>176</v>
      </c>
      <c r="L418" s="1" t="s">
        <v>198</v>
      </c>
      <c r="M418" s="1" t="s">
        <v>236</v>
      </c>
      <c r="N418" s="1" t="s">
        <v>238</v>
      </c>
      <c r="O418" s="1" t="s">
        <v>121</v>
      </c>
      <c r="P418" s="1" t="s">
        <v>146</v>
      </c>
      <c r="Q418" s="1" t="s">
        <v>93</v>
      </c>
      <c r="R418" s="1">
        <v>1996</v>
      </c>
      <c r="S418" s="1" t="s">
        <v>156</v>
      </c>
      <c r="T418" s="1">
        <v>11</v>
      </c>
      <c r="V418" s="1" t="s">
        <v>2</v>
      </c>
      <c r="W418" s="1">
        <v>3</v>
      </c>
      <c r="X418" s="1">
        <v>3</v>
      </c>
      <c r="Y418" s="1" t="s">
        <v>134</v>
      </c>
      <c r="Z418" s="1" t="s">
        <v>130</v>
      </c>
      <c r="AA418" s="1" t="s">
        <v>0</v>
      </c>
      <c r="AB418" s="1" t="s">
        <v>148</v>
      </c>
      <c r="AC418" s="1" t="s">
        <v>2</v>
      </c>
      <c r="AD418" s="1" t="s">
        <v>2</v>
      </c>
      <c r="AE418" s="1" t="s">
        <v>2</v>
      </c>
      <c r="AF418" s="1" t="s">
        <v>253</v>
      </c>
      <c r="AG418" s="1" t="s">
        <v>318</v>
      </c>
      <c r="AH418" s="1">
        <v>2.04</v>
      </c>
      <c r="AI418" s="1">
        <f>AJ418*(SQRT(X418))</f>
        <v>0.5022947341949745</v>
      </c>
      <c r="AJ418" s="1">
        <f>2.33-AH418</f>
        <v>0.29000000000000004</v>
      </c>
      <c r="AK418" s="1">
        <v>1.85</v>
      </c>
      <c r="AL418" s="1">
        <f>AM418*(SQRT(W418))</f>
        <v>0.3983716857408417</v>
      </c>
      <c r="AM418" s="1">
        <f>2.08-AK418</f>
        <v>0.22999999999999998</v>
      </c>
      <c r="AN418" s="12">
        <f>AH418-AK418</f>
        <v>0.18999999999999995</v>
      </c>
      <c r="AO418" s="1">
        <f>SQRT((((X418-1)*AI418^2)+((W418-1)*AL418^2))/(X418+W418-2))</f>
        <v>0.45332107826572549</v>
      </c>
      <c r="AP418" s="1">
        <f>AN418/AO418</f>
        <v>0.41912897747196015</v>
      </c>
      <c r="AQ418" s="1">
        <f>1/X418+1/W418+(AP418^2)/(2*(X418+W418))</f>
        <v>0.68130575831305751</v>
      </c>
      <c r="AR418" s="1">
        <f>1-(3/(4*(X418+W418-2)-1))</f>
        <v>0.8</v>
      </c>
      <c r="AS418" s="21">
        <f>AP418*AR418</f>
        <v>0.33530318197756814</v>
      </c>
      <c r="AT418" s="21">
        <f>AQ418*(AR418^2)</f>
        <v>0.43603568532035691</v>
      </c>
      <c r="AU418" s="21">
        <f>SQRT(AQ418*AR418^2)</f>
        <v>0.66032998214556105</v>
      </c>
      <c r="AV418" s="20">
        <f>1/AT418</f>
        <v>2.2933902743884289</v>
      </c>
      <c r="AW418" s="20">
        <f>AS418/AT418</f>
        <v>0.76898105651884829</v>
      </c>
      <c r="AX418" s="20">
        <f>((AS418)^2)/AT418</f>
        <v>0.257841795131242</v>
      </c>
      <c r="AY418" s="14"/>
      <c r="AZ418" s="14"/>
      <c r="BA418" s="1" t="s">
        <v>270</v>
      </c>
      <c r="BB418" s="2"/>
    </row>
    <row r="419" spans="1:63" ht="14.25" customHeight="1">
      <c r="A419" s="2">
        <v>133</v>
      </c>
      <c r="B419" s="2" t="s">
        <v>18</v>
      </c>
      <c r="C419" s="1" t="s">
        <v>85</v>
      </c>
      <c r="D419" s="1">
        <v>2004</v>
      </c>
      <c r="E419" s="1">
        <v>1996</v>
      </c>
      <c r="F419" s="1" t="s">
        <v>143</v>
      </c>
      <c r="G419" s="1" t="s">
        <v>142</v>
      </c>
      <c r="H419" s="1">
        <v>39.907029999999999</v>
      </c>
      <c r="I419" s="1">
        <v>-74.474993999999995</v>
      </c>
      <c r="J419" s="1" t="s">
        <v>135</v>
      </c>
      <c r="K419" s="1" t="s">
        <v>176</v>
      </c>
      <c r="L419" s="1" t="s">
        <v>198</v>
      </c>
      <c r="M419" s="1" t="s">
        <v>236</v>
      </c>
      <c r="N419" s="1" t="s">
        <v>238</v>
      </c>
      <c r="O419" s="1" t="s">
        <v>121</v>
      </c>
      <c r="P419" s="1" t="s">
        <v>210</v>
      </c>
      <c r="Q419" s="1" t="s">
        <v>93</v>
      </c>
      <c r="R419" s="1">
        <v>1996</v>
      </c>
      <c r="S419" s="1" t="s">
        <v>156</v>
      </c>
      <c r="T419" s="1">
        <v>11</v>
      </c>
      <c r="V419" s="1" t="s">
        <v>2</v>
      </c>
      <c r="W419" s="1">
        <v>3</v>
      </c>
      <c r="X419" s="1">
        <v>3</v>
      </c>
      <c r="Y419" s="1" t="s">
        <v>134</v>
      </c>
      <c r="Z419" s="1" t="s">
        <v>232</v>
      </c>
      <c r="AA419" s="1" t="s">
        <v>0</v>
      </c>
      <c r="AB419" s="1" t="s">
        <v>148</v>
      </c>
      <c r="AC419" s="1" t="s">
        <v>2</v>
      </c>
      <c r="AD419" s="1" t="s">
        <v>2</v>
      </c>
      <c r="AE419" s="1" t="s">
        <v>2</v>
      </c>
      <c r="AF419" s="1" t="s">
        <v>279</v>
      </c>
      <c r="AG419" s="1" t="s">
        <v>318</v>
      </c>
      <c r="AH419" s="1">
        <v>376.96</v>
      </c>
      <c r="AI419" s="1">
        <f>AJ419*(SQRT(X419))</f>
        <v>98.622972982971859</v>
      </c>
      <c r="AJ419" s="1">
        <f>433.9-AH419</f>
        <v>56.94</v>
      </c>
      <c r="AK419" s="1">
        <v>347.51</v>
      </c>
      <c r="AL419" s="1">
        <f>AM419*(SQRT(W419))</f>
        <v>125.83349116987898</v>
      </c>
      <c r="AM419" s="1">
        <f>420.16-AK419</f>
        <v>72.650000000000034</v>
      </c>
      <c r="AN419" s="12">
        <f>AH419-AK419</f>
        <v>29.449999999999989</v>
      </c>
      <c r="AO419" s="1">
        <f>SQRT((((X419-1)*AI419^2)+((W419-1)*AL419^2))/(X419+W419-2))</f>
        <v>113.04989672706475</v>
      </c>
      <c r="AP419" s="1">
        <f>AN419/AO419</f>
        <v>0.26050443965553399</v>
      </c>
      <c r="AQ419" s="1">
        <f>1/X419+1/W419+(AP419^2)/(2*(X419+W419))</f>
        <v>0.67232188025668693</v>
      </c>
      <c r="AR419" s="1">
        <f>1-(3/(4*(X419+W419-2)-1))</f>
        <v>0.8</v>
      </c>
      <c r="AS419" s="21">
        <f>AP419*AR419</f>
        <v>0.20840355172442721</v>
      </c>
      <c r="AT419" s="21">
        <f>AQ419*(AR419^2)</f>
        <v>0.43028600336427975</v>
      </c>
      <c r="AU419" s="21">
        <f>SQRT(AQ419*AR419^2)</f>
        <v>0.65596189170124797</v>
      </c>
      <c r="AV419" s="20">
        <f>1/AT419</f>
        <v>2.3240356232396455</v>
      </c>
      <c r="AW419" s="20">
        <f>AS419/AT419</f>
        <v>0.48433727821723482</v>
      </c>
      <c r="AX419" s="20">
        <f>((AS419)^2)/AT419</f>
        <v>0.1009376090130138</v>
      </c>
      <c r="AY419" s="14"/>
      <c r="AZ419" s="14"/>
      <c r="BA419" s="1" t="s">
        <v>270</v>
      </c>
      <c r="BB419" s="2"/>
    </row>
    <row r="420" spans="1:63" ht="14.25" customHeight="1">
      <c r="A420" s="2">
        <v>121</v>
      </c>
      <c r="B420" s="2" t="s">
        <v>17</v>
      </c>
      <c r="C420" s="12" t="s">
        <v>85</v>
      </c>
      <c r="D420" s="12">
        <v>2014</v>
      </c>
      <c r="E420" s="12">
        <v>2007</v>
      </c>
      <c r="F420" s="12" t="s">
        <v>136</v>
      </c>
      <c r="G420" s="12" t="s">
        <v>161</v>
      </c>
      <c r="H420" s="12">
        <v>55.345132999999997</v>
      </c>
      <c r="I420" s="12">
        <v>21.021471999999999</v>
      </c>
      <c r="J420" s="12" t="s">
        <v>126</v>
      </c>
      <c r="K420" s="12" t="s">
        <v>176</v>
      </c>
      <c r="L420" s="12" t="s">
        <v>182</v>
      </c>
      <c r="M420" s="12" t="s">
        <v>236</v>
      </c>
      <c r="N420" s="12" t="s">
        <v>238</v>
      </c>
      <c r="O420" s="12" t="s">
        <v>86</v>
      </c>
      <c r="P420" s="12" t="s">
        <v>146</v>
      </c>
      <c r="Q420" s="12" t="s">
        <v>93</v>
      </c>
      <c r="R420" s="12">
        <v>2006</v>
      </c>
      <c r="S420" s="12">
        <v>1</v>
      </c>
      <c r="T420" s="12">
        <f>S420*12</f>
        <v>12</v>
      </c>
      <c r="U420" s="12"/>
      <c r="V420" s="12">
        <v>230</v>
      </c>
      <c r="W420" s="12">
        <v>2</v>
      </c>
      <c r="X420" s="12">
        <v>3</v>
      </c>
      <c r="Y420" s="12" t="s">
        <v>114</v>
      </c>
      <c r="Z420" s="12" t="s">
        <v>2</v>
      </c>
      <c r="AA420" s="12" t="s">
        <v>0</v>
      </c>
      <c r="AB420" s="12" t="s">
        <v>2</v>
      </c>
      <c r="AC420" s="12" t="s">
        <v>2</v>
      </c>
      <c r="AD420" s="12" t="s">
        <v>2</v>
      </c>
      <c r="AE420" s="12" t="s">
        <v>2</v>
      </c>
      <c r="AF420" s="12" t="s">
        <v>222</v>
      </c>
      <c r="AG420" s="12" t="s">
        <v>315</v>
      </c>
      <c r="AH420" s="12">
        <v>42.06</v>
      </c>
      <c r="AI420" s="12">
        <f>45.67-AH420</f>
        <v>3.6099999999999994</v>
      </c>
      <c r="AJ420" s="12"/>
      <c r="AK420" s="12">
        <v>71.040000000000006</v>
      </c>
      <c r="AL420" s="12">
        <f>75.04-AK420</f>
        <v>4</v>
      </c>
      <c r="AM420" s="12"/>
      <c r="AN420" s="12">
        <f>AH420-AH419</f>
        <v>-334.9</v>
      </c>
      <c r="AO420" s="12">
        <f>SQRT((((X420-1)*AI420^2)+((W420-1)*AI419^2))/(X420+W420-2))</f>
        <v>57.016240376463493</v>
      </c>
      <c r="AP420" s="12">
        <f>AN420/AO420</f>
        <v>-5.8737650499005527</v>
      </c>
      <c r="AQ420" s="12">
        <f>1/X420+1/W420+(AP420^2)/(2*(X420+W420))</f>
        <v>4.2834449194766577</v>
      </c>
      <c r="AR420" s="12">
        <f>1-(3/(4*(X420+W420-2)-1))</f>
        <v>0.72727272727272729</v>
      </c>
      <c r="AS420" s="21">
        <f>AP420*AR420</f>
        <v>-4.2718291272004016</v>
      </c>
      <c r="AT420" s="21">
        <f>AQ420*(AR420^2)</f>
        <v>2.2656237590620338</v>
      </c>
      <c r="AU420" s="21">
        <f>SQRT(AQ420*AR420^2)</f>
        <v>1.5051989101318251</v>
      </c>
      <c r="AV420" s="20">
        <f>1/AT420</f>
        <v>0.44137955209915308</v>
      </c>
      <c r="AW420" s="20">
        <f>AS420/AT420</f>
        <v>-1.8854980268078292</v>
      </c>
      <c r="AX420" s="20">
        <f>((AS420)^2)/AT420</f>
        <v>8.0545253901965683</v>
      </c>
      <c r="AY420" s="14"/>
      <c r="AZ420" s="14"/>
      <c r="BA420" s="12" t="s">
        <v>270</v>
      </c>
      <c r="BB420" s="2"/>
      <c r="BC420" s="12"/>
      <c r="BD420" s="12"/>
      <c r="BE420" s="12"/>
      <c r="BF420" s="12"/>
      <c r="BG420" s="12"/>
      <c r="BH420" s="12"/>
      <c r="BI420" s="12"/>
      <c r="BJ420" s="12"/>
      <c r="BK420" s="12"/>
    </row>
    <row r="421" spans="1:63" ht="14.25" customHeight="1">
      <c r="A421" s="2">
        <v>133</v>
      </c>
      <c r="B421" s="2" t="s">
        <v>18</v>
      </c>
      <c r="C421" s="1" t="s">
        <v>85</v>
      </c>
      <c r="D421" s="1">
        <v>2004</v>
      </c>
      <c r="E421" s="1">
        <v>1996</v>
      </c>
      <c r="F421" s="1" t="s">
        <v>143</v>
      </c>
      <c r="G421" s="1" t="s">
        <v>142</v>
      </c>
      <c r="H421" s="1">
        <v>39.907029999999999</v>
      </c>
      <c r="I421" s="1">
        <v>-74.474993999999995</v>
      </c>
      <c r="J421" s="1" t="s">
        <v>135</v>
      </c>
      <c r="K421" s="1" t="s">
        <v>176</v>
      </c>
      <c r="L421" s="1" t="s">
        <v>198</v>
      </c>
      <c r="M421" s="1" t="s">
        <v>236</v>
      </c>
      <c r="N421" s="1" t="s">
        <v>238</v>
      </c>
      <c r="O421" s="1" t="s">
        <v>121</v>
      </c>
      <c r="P421" s="1" t="s">
        <v>210</v>
      </c>
      <c r="Q421" s="1" t="s">
        <v>93</v>
      </c>
      <c r="R421" s="1">
        <v>1996</v>
      </c>
      <c r="S421" s="1" t="s">
        <v>156</v>
      </c>
      <c r="T421" s="1">
        <v>11</v>
      </c>
      <c r="V421" s="1" t="s">
        <v>2</v>
      </c>
      <c r="W421" s="1">
        <v>3</v>
      </c>
      <c r="X421" s="1">
        <v>3</v>
      </c>
      <c r="Y421" s="1" t="s">
        <v>134</v>
      </c>
      <c r="Z421" s="1" t="s">
        <v>232</v>
      </c>
      <c r="AA421" s="1" t="s">
        <v>0</v>
      </c>
      <c r="AB421" s="1" t="s">
        <v>148</v>
      </c>
      <c r="AC421" s="1" t="s">
        <v>2</v>
      </c>
      <c r="AD421" s="1" t="s">
        <v>2</v>
      </c>
      <c r="AE421" s="1" t="s">
        <v>2</v>
      </c>
      <c r="AF421" s="1" t="s">
        <v>253</v>
      </c>
      <c r="AG421" s="1" t="s">
        <v>318</v>
      </c>
      <c r="AH421" s="1">
        <v>3</v>
      </c>
      <c r="AI421" s="1">
        <f>AJ421*(SQRT(X421))</f>
        <v>0.38105117766515334</v>
      </c>
      <c r="AJ421" s="1">
        <f>3.22-AH421</f>
        <v>0.2200000000000002</v>
      </c>
      <c r="AK421" s="1">
        <v>2.95</v>
      </c>
      <c r="AL421" s="1">
        <f>AM421*(SQRT(W421))</f>
        <v>0.4330127018922193</v>
      </c>
      <c r="AM421" s="1">
        <f>3.2-AK421</f>
        <v>0.25</v>
      </c>
      <c r="AN421" s="12">
        <f>AH421-AK421</f>
        <v>4.9999999999999822E-2</v>
      </c>
      <c r="AO421" s="1">
        <f>SQRT((((X421-1)*AI421^2)+((W421-1)*AL421^2))/(X421+W421-2))</f>
        <v>0.40786027019066234</v>
      </c>
      <c r="AP421" s="1">
        <f>AN421/AO421</f>
        <v>0.12259100396473119</v>
      </c>
      <c r="AQ421" s="1">
        <f>1/X421+1/W421+(AP421^2)/(2*(X421+W421))</f>
        <v>0.66791904618775666</v>
      </c>
      <c r="AR421" s="1">
        <f>1-(3/(4*(X421+W421-2)-1))</f>
        <v>0.8</v>
      </c>
      <c r="AS421" s="21">
        <f>AP421*AR421</f>
        <v>9.8072803171784961E-2</v>
      </c>
      <c r="AT421" s="21">
        <f>AQ421*(AR421^2)</f>
        <v>0.42746818956016436</v>
      </c>
      <c r="AU421" s="21">
        <f>SQRT(AQ421*AR421^2)</f>
        <v>0.65381051502722431</v>
      </c>
      <c r="AV421" s="20">
        <f>1/AT421</f>
        <v>2.3393553588839717</v>
      </c>
      <c r="AW421" s="20">
        <f>AS421/AT421</f>
        <v>0.22942713766068815</v>
      </c>
      <c r="AX421" s="20">
        <f>((AS421)^2)/AT421</f>
        <v>2.2500562514062683E-2</v>
      </c>
      <c r="AY421" s="14"/>
      <c r="AZ421" s="14"/>
      <c r="BA421" s="1" t="s">
        <v>270</v>
      </c>
      <c r="BB421" s="2"/>
    </row>
    <row r="422" spans="1:63" ht="14.25" customHeight="1">
      <c r="A422" s="2">
        <v>133</v>
      </c>
      <c r="B422" s="2" t="s">
        <v>18</v>
      </c>
      <c r="C422" s="1" t="s">
        <v>85</v>
      </c>
      <c r="D422" s="1">
        <v>2004</v>
      </c>
      <c r="E422" s="1">
        <v>1996</v>
      </c>
      <c r="F422" s="1" t="s">
        <v>143</v>
      </c>
      <c r="G422" s="1" t="s">
        <v>142</v>
      </c>
      <c r="H422" s="1">
        <v>39.833232000000002</v>
      </c>
      <c r="I422" s="1">
        <v>-74.387434999999996</v>
      </c>
      <c r="J422" s="1" t="s">
        <v>135</v>
      </c>
      <c r="K422" s="1" t="s">
        <v>176</v>
      </c>
      <c r="L422" s="1" t="s">
        <v>198</v>
      </c>
      <c r="M422" s="1" t="s">
        <v>236</v>
      </c>
      <c r="N422" s="1" t="s">
        <v>238</v>
      </c>
      <c r="O422" s="1" t="s">
        <v>121</v>
      </c>
      <c r="P422" s="1" t="s">
        <v>146</v>
      </c>
      <c r="Q422" s="1" t="s">
        <v>93</v>
      </c>
      <c r="R422" s="1">
        <v>1996</v>
      </c>
      <c r="S422" s="1" t="s">
        <v>156</v>
      </c>
      <c r="T422" s="1">
        <v>11</v>
      </c>
      <c r="V422" s="1" t="s">
        <v>2</v>
      </c>
      <c r="W422" s="1">
        <v>3</v>
      </c>
      <c r="X422" s="1">
        <v>3</v>
      </c>
      <c r="Y422" s="1" t="s">
        <v>134</v>
      </c>
      <c r="Z422" s="1" t="s">
        <v>232</v>
      </c>
      <c r="AA422" s="1" t="s">
        <v>0</v>
      </c>
      <c r="AB422" s="1" t="s">
        <v>148</v>
      </c>
      <c r="AC422" s="1" t="s">
        <v>2</v>
      </c>
      <c r="AD422" s="1" t="s">
        <v>2</v>
      </c>
      <c r="AE422" s="1" t="s">
        <v>2</v>
      </c>
      <c r="AF422" s="1" t="s">
        <v>279</v>
      </c>
      <c r="AG422" s="1" t="s">
        <v>318</v>
      </c>
      <c r="AH422" s="1">
        <v>496.73</v>
      </c>
      <c r="AI422" s="1">
        <f>AJ422*(SQRT(X422))</f>
        <v>112.21957182238749</v>
      </c>
      <c r="AJ422" s="1">
        <f>561.52-AH422</f>
        <v>64.789999999999964</v>
      </c>
      <c r="AK422" s="1">
        <v>585.08000000000004</v>
      </c>
      <c r="AL422" s="1">
        <f>AM422*(SQRT(W422))</f>
        <v>122.42135107896816</v>
      </c>
      <c r="AM422" s="1">
        <f>655.76-AK422</f>
        <v>70.67999999999995</v>
      </c>
      <c r="AN422" s="12">
        <f>AH422-AK422</f>
        <v>-88.350000000000023</v>
      </c>
      <c r="AO422" s="1">
        <f>SQRT((((X422-1)*AI422^2)+((W422-1)*AL422^2))/(X422+W422-2))</f>
        <v>117.43129800014978</v>
      </c>
      <c r="AP422" s="1">
        <f>AN422/AO422</f>
        <v>-0.75235479386327941</v>
      </c>
      <c r="AQ422" s="1">
        <f>1/X422+1/W422+(AP422^2)/(2*(X422+W422))</f>
        <v>0.71383647798742145</v>
      </c>
      <c r="AR422" s="1">
        <f>1-(3/(4*(X422+W422-2)-1))</f>
        <v>0.8</v>
      </c>
      <c r="AS422" s="21">
        <f>AP422*AR422</f>
        <v>-0.6018838350906236</v>
      </c>
      <c r="AT422" s="21">
        <f>AQ422*(AR422^2)</f>
        <v>0.45685534591194982</v>
      </c>
      <c r="AU422" s="21">
        <f>SQRT(AQ422*AR422^2)</f>
        <v>0.67591075291931091</v>
      </c>
      <c r="AV422" s="20">
        <f>1/AT422</f>
        <v>2.1888766519823784</v>
      </c>
      <c r="AW422" s="20">
        <f>AS422/AT422</f>
        <v>-1.3174494738354781</v>
      </c>
      <c r="AX422" s="20">
        <f>((AS422)^2)/AT422</f>
        <v>0.79295154185022165</v>
      </c>
      <c r="AY422" s="14"/>
      <c r="AZ422" s="14"/>
      <c r="BA422" s="1" t="s">
        <v>270</v>
      </c>
      <c r="BB422" s="2"/>
    </row>
    <row r="423" spans="1:63" ht="14.25" customHeight="1">
      <c r="A423" s="2">
        <v>271</v>
      </c>
      <c r="B423" s="2" t="s">
        <v>42</v>
      </c>
      <c r="C423" s="12" t="s">
        <v>85</v>
      </c>
      <c r="D423" s="12">
        <v>2012</v>
      </c>
      <c r="E423" s="12">
        <v>2009</v>
      </c>
      <c r="F423" s="12" t="s">
        <v>136</v>
      </c>
      <c r="G423" s="12" t="s">
        <v>161</v>
      </c>
      <c r="H423" s="12">
        <v>55.345132999999997</v>
      </c>
      <c r="I423" s="12">
        <v>21.021471999999999</v>
      </c>
      <c r="J423" s="12" t="s">
        <v>126</v>
      </c>
      <c r="K423" s="12" t="s">
        <v>176</v>
      </c>
      <c r="L423" s="12" t="s">
        <v>193</v>
      </c>
      <c r="M423" s="12" t="s">
        <v>236</v>
      </c>
      <c r="N423" s="12" t="s">
        <v>311</v>
      </c>
      <c r="O423" s="12" t="s">
        <v>86</v>
      </c>
      <c r="P423" s="12" t="s">
        <v>129</v>
      </c>
      <c r="Q423" s="12" t="s">
        <v>93</v>
      </c>
      <c r="R423" s="12">
        <v>2006</v>
      </c>
      <c r="S423" s="12">
        <v>3</v>
      </c>
      <c r="T423" s="12">
        <f>S423*12</f>
        <v>36</v>
      </c>
      <c r="U423" s="12"/>
      <c r="V423" s="12">
        <v>230</v>
      </c>
      <c r="W423" s="12">
        <v>3</v>
      </c>
      <c r="X423" s="12">
        <v>3</v>
      </c>
      <c r="Y423" s="12" t="s">
        <v>114</v>
      </c>
      <c r="Z423" s="12" t="s">
        <v>2</v>
      </c>
      <c r="AA423" s="12" t="s">
        <v>1</v>
      </c>
      <c r="AB423" s="12" t="s">
        <v>113</v>
      </c>
      <c r="AC423" s="12" t="s">
        <v>2</v>
      </c>
      <c r="AD423" s="12" t="s">
        <v>2</v>
      </c>
      <c r="AE423" s="12" t="s">
        <v>2</v>
      </c>
      <c r="AF423" s="12" t="s">
        <v>222</v>
      </c>
      <c r="AG423" s="12" t="s">
        <v>319</v>
      </c>
      <c r="AH423" s="12">
        <v>135</v>
      </c>
      <c r="AI423" s="7" t="s">
        <v>2</v>
      </c>
      <c r="AJ423" s="7" t="s">
        <v>2</v>
      </c>
      <c r="AK423" s="12">
        <v>261</v>
      </c>
      <c r="AL423" s="7" t="s">
        <v>2</v>
      </c>
      <c r="AM423" s="7" t="s">
        <v>2</v>
      </c>
      <c r="AN423" s="12">
        <f>AH423-AK423</f>
        <v>-126</v>
      </c>
      <c r="AO423" s="12" t="e">
        <f>SQRT((((X423-1)*AI423^2)+((W423-1)*AL423^2))/(X423+W423-2))</f>
        <v>#VALUE!</v>
      </c>
      <c r="AP423" s="12" t="e">
        <f>AN423/AO423</f>
        <v>#VALUE!</v>
      </c>
      <c r="AQ423" s="12" t="e">
        <f>1/X423+1/W423+(AP423^2)/(2*(X423+W423))</f>
        <v>#VALUE!</v>
      </c>
      <c r="AR423" s="12">
        <f>1-(3/(4*(X423+W423-2)-1))</f>
        <v>0.8</v>
      </c>
      <c r="AS423" s="12" t="e">
        <f>AP423*AR423</f>
        <v>#VALUE!</v>
      </c>
      <c r="AT423" s="12"/>
      <c r="AU423" s="12" t="e">
        <f>SQRT(AQ423*AR423^2)</f>
        <v>#VALUE!</v>
      </c>
      <c r="AV423" s="12"/>
      <c r="AW423" s="12"/>
      <c r="AX423" s="12"/>
      <c r="AY423" s="14"/>
      <c r="AZ423" s="14"/>
      <c r="BA423" s="12" t="s">
        <v>270</v>
      </c>
      <c r="BB423" s="2"/>
      <c r="BC423" s="12"/>
      <c r="BD423" s="12"/>
      <c r="BE423" s="12"/>
      <c r="BF423" s="12"/>
      <c r="BG423" s="12"/>
      <c r="BH423" s="12"/>
      <c r="BI423" s="12"/>
      <c r="BJ423" s="12"/>
      <c r="BK423" s="12"/>
    </row>
    <row r="424" spans="1:63" ht="14.25" customHeight="1">
      <c r="A424" s="2">
        <v>133</v>
      </c>
      <c r="B424" s="2" t="s">
        <v>18</v>
      </c>
      <c r="C424" s="1" t="s">
        <v>85</v>
      </c>
      <c r="D424" s="1">
        <v>2004</v>
      </c>
      <c r="E424" s="1">
        <v>1996</v>
      </c>
      <c r="F424" s="1" t="s">
        <v>143</v>
      </c>
      <c r="G424" s="1" t="s">
        <v>142</v>
      </c>
      <c r="H424" s="1">
        <v>39.833232000000002</v>
      </c>
      <c r="I424" s="1">
        <v>-74.387434999999996</v>
      </c>
      <c r="J424" s="1" t="s">
        <v>135</v>
      </c>
      <c r="K424" s="1" t="s">
        <v>176</v>
      </c>
      <c r="L424" s="1" t="s">
        <v>198</v>
      </c>
      <c r="M424" s="1" t="s">
        <v>236</v>
      </c>
      <c r="N424" s="1" t="s">
        <v>238</v>
      </c>
      <c r="O424" s="1" t="s">
        <v>121</v>
      </c>
      <c r="P424" s="1" t="s">
        <v>146</v>
      </c>
      <c r="Q424" s="1" t="s">
        <v>93</v>
      </c>
      <c r="R424" s="1">
        <v>1996</v>
      </c>
      <c r="S424" s="1" t="s">
        <v>156</v>
      </c>
      <c r="T424" s="1">
        <v>11</v>
      </c>
      <c r="V424" s="1" t="s">
        <v>2</v>
      </c>
      <c r="W424" s="1">
        <v>3</v>
      </c>
      <c r="X424" s="1">
        <v>3</v>
      </c>
      <c r="Y424" s="1" t="s">
        <v>134</v>
      </c>
      <c r="Z424" s="1" t="s">
        <v>232</v>
      </c>
      <c r="AA424" s="1" t="s">
        <v>0</v>
      </c>
      <c r="AB424" s="1" t="s">
        <v>148</v>
      </c>
      <c r="AC424" s="1" t="s">
        <v>2</v>
      </c>
      <c r="AD424" s="1" t="s">
        <v>2</v>
      </c>
      <c r="AE424" s="1" t="s">
        <v>2</v>
      </c>
      <c r="AF424" s="1" t="s">
        <v>253</v>
      </c>
      <c r="AG424" s="1" t="s">
        <v>318</v>
      </c>
      <c r="AH424" s="1">
        <v>3.44</v>
      </c>
      <c r="AI424" s="1">
        <f>AJ424*(SQRT(X424))</f>
        <v>0.4676537180435969</v>
      </c>
      <c r="AJ424" s="1">
        <f>3.71-AH424</f>
        <v>0.27</v>
      </c>
      <c r="AK424" s="1">
        <v>3.06</v>
      </c>
      <c r="AL424" s="1">
        <f>AM424*(SQRT(W424))</f>
        <v>0.45033320996790771</v>
      </c>
      <c r="AM424" s="1">
        <f>3.32-AK424</f>
        <v>0.25999999999999979</v>
      </c>
      <c r="AN424" s="12">
        <f>AH424-AK424</f>
        <v>0.37999999999999989</v>
      </c>
      <c r="AO424" s="1">
        <f>SQRT((((X424-1)*AI424^2)+((W424-1)*AL424^2))/(X424+W424-2))</f>
        <v>0.459075157245521</v>
      </c>
      <c r="AP424" s="1">
        <f>AN424/AO424</f>
        <v>0.82775117320663383</v>
      </c>
      <c r="AQ424" s="1">
        <f>1/X424+1/W424+(AP424^2)/(2*(X424+W424))</f>
        <v>0.72376433372874649</v>
      </c>
      <c r="AR424" s="1">
        <f>1-(3/(4*(X424+W424-2)-1))</f>
        <v>0.8</v>
      </c>
      <c r="AS424" s="21">
        <f>AP424*AR424</f>
        <v>0.66220093856530715</v>
      </c>
      <c r="AT424" s="21">
        <f>AQ424*(AR424^2)</f>
        <v>0.46320917358639785</v>
      </c>
      <c r="AU424" s="21">
        <f>SQRT(AQ424*AR424^2)</f>
        <v>0.68059472051022984</v>
      </c>
      <c r="AV424" s="20">
        <f>1/AT424</f>
        <v>2.1588518902972025</v>
      </c>
      <c r="AW424" s="20">
        <f>AS424/AT424</f>
        <v>1.429593747978295</v>
      </c>
      <c r="AX424" s="20">
        <f>((AS424)^2)/AT424</f>
        <v>0.94667832167832211</v>
      </c>
      <c r="AY424" s="14"/>
      <c r="AZ424" s="14"/>
      <c r="BA424" s="1" t="s">
        <v>270</v>
      </c>
      <c r="BB424" s="2"/>
    </row>
    <row r="425" spans="1:63" ht="14.25" customHeight="1">
      <c r="A425" s="2">
        <v>133</v>
      </c>
      <c r="B425" s="2" t="s">
        <v>18</v>
      </c>
      <c r="C425" s="1" t="s">
        <v>85</v>
      </c>
      <c r="D425" s="1">
        <v>2004</v>
      </c>
      <c r="E425" s="1">
        <v>1996</v>
      </c>
      <c r="F425" s="1" t="s">
        <v>143</v>
      </c>
      <c r="G425" s="1" t="s">
        <v>142</v>
      </c>
      <c r="H425" s="1">
        <v>39.833232000000002</v>
      </c>
      <c r="I425" s="1">
        <v>-74.387434999999996</v>
      </c>
      <c r="J425" s="1" t="s">
        <v>135</v>
      </c>
      <c r="K425" s="1" t="s">
        <v>176</v>
      </c>
      <c r="L425" s="1" t="s">
        <v>198</v>
      </c>
      <c r="M425" s="1" t="s">
        <v>236</v>
      </c>
      <c r="N425" s="1" t="s">
        <v>238</v>
      </c>
      <c r="O425" s="1" t="s">
        <v>121</v>
      </c>
      <c r="P425" s="1" t="s">
        <v>210</v>
      </c>
      <c r="Q425" s="1" t="s">
        <v>93</v>
      </c>
      <c r="R425" s="1">
        <v>1996</v>
      </c>
      <c r="S425" s="1" t="s">
        <v>156</v>
      </c>
      <c r="T425" s="1">
        <v>11</v>
      </c>
      <c r="V425" s="1" t="s">
        <v>2</v>
      </c>
      <c r="W425" s="1">
        <v>3</v>
      </c>
      <c r="X425" s="1">
        <v>3</v>
      </c>
      <c r="Y425" s="1" t="s">
        <v>134</v>
      </c>
      <c r="Z425" s="1" t="s">
        <v>220</v>
      </c>
      <c r="AA425" s="1" t="s">
        <v>0</v>
      </c>
      <c r="AB425" s="1" t="s">
        <v>148</v>
      </c>
      <c r="AC425" s="1" t="s">
        <v>2</v>
      </c>
      <c r="AD425" s="1" t="s">
        <v>2</v>
      </c>
      <c r="AE425" s="1" t="s">
        <v>2</v>
      </c>
      <c r="AF425" s="1" t="s">
        <v>279</v>
      </c>
      <c r="AG425" s="1" t="s">
        <v>318</v>
      </c>
      <c r="AH425" s="1">
        <v>188.46</v>
      </c>
      <c r="AI425" s="1">
        <f>AJ425*(SQRT(X425))</f>
        <v>73.283069668239193</v>
      </c>
      <c r="AJ425" s="1">
        <f>230.77-AH425</f>
        <v>42.31</v>
      </c>
      <c r="AK425" s="1">
        <v>119.23</v>
      </c>
      <c r="AL425" s="1">
        <f>AM425*(SQRT(W425))</f>
        <v>53.295203348894347</v>
      </c>
      <c r="AM425" s="1">
        <f>150-AK425</f>
        <v>30.769999999999996</v>
      </c>
      <c r="AN425" s="12">
        <f>AH425-AK425</f>
        <v>69.23</v>
      </c>
      <c r="AO425" s="1">
        <f>SQRT((((X425-1)*AI425^2)+((W425-1)*AL425^2))/(X425+W425-2))</f>
        <v>64.073344691845136</v>
      </c>
      <c r="AP425" s="1">
        <f>AN425/AO425</f>
        <v>1.0804805076581427</v>
      </c>
      <c r="AQ425" s="1">
        <f>1/X425+1/W425+(AP425^2)/(2*(X425+W425))</f>
        <v>0.76395317728576639</v>
      </c>
      <c r="AR425" s="1">
        <f>1-(3/(4*(X425+W425-2)-1))</f>
        <v>0.8</v>
      </c>
      <c r="AS425" s="21">
        <f>AP425*AR425</f>
        <v>0.86438440612651424</v>
      </c>
      <c r="AT425" s="21">
        <f>AQ425*(AR425^2)</f>
        <v>0.4889300334628906</v>
      </c>
      <c r="AU425" s="21">
        <f>SQRT(AQ425*AR425^2)</f>
        <v>0.69923532052013115</v>
      </c>
      <c r="AV425" s="20">
        <f>1/AT425</f>
        <v>2.0452824158037721</v>
      </c>
      <c r="AW425" s="20">
        <f>AS425/AT425</f>
        <v>1.767910226345546</v>
      </c>
      <c r="AX425" s="20">
        <f>((AS425)^2)/AT425</f>
        <v>1.5281540310846859</v>
      </c>
      <c r="AY425" s="14"/>
      <c r="AZ425" s="14"/>
      <c r="BA425" s="1" t="s">
        <v>270</v>
      </c>
      <c r="BB425" s="2"/>
    </row>
    <row r="426" spans="1:63" ht="14.25" customHeight="1">
      <c r="A426" s="2">
        <v>215</v>
      </c>
      <c r="B426" s="2" t="s">
        <v>34</v>
      </c>
      <c r="C426" s="1" t="s">
        <v>85</v>
      </c>
      <c r="D426" s="1">
        <v>2001</v>
      </c>
      <c r="E426" s="1">
        <v>1997</v>
      </c>
      <c r="F426" s="1" t="s">
        <v>116</v>
      </c>
      <c r="G426" s="1" t="s">
        <v>117</v>
      </c>
      <c r="H426" s="1">
        <v>61.1</v>
      </c>
      <c r="I426" s="1">
        <v>16</v>
      </c>
      <c r="J426" s="1" t="s">
        <v>135</v>
      </c>
      <c r="K426" s="1" t="s">
        <v>176</v>
      </c>
      <c r="L426" s="1" t="s">
        <v>182</v>
      </c>
      <c r="M426" s="1" t="s">
        <v>236</v>
      </c>
      <c r="N426" s="1" t="s">
        <v>238</v>
      </c>
      <c r="O426" s="1" t="s">
        <v>121</v>
      </c>
      <c r="P426" s="1" t="s">
        <v>129</v>
      </c>
      <c r="Q426" s="1" t="s">
        <v>93</v>
      </c>
      <c r="R426" s="1">
        <v>1997</v>
      </c>
      <c r="S426" s="1" t="s">
        <v>298</v>
      </c>
      <c r="T426" s="1">
        <v>4</v>
      </c>
      <c r="V426" s="1">
        <v>30</v>
      </c>
      <c r="W426" s="12">
        <v>45</v>
      </c>
      <c r="X426" s="12">
        <v>45</v>
      </c>
      <c r="Y426" s="1" t="s">
        <v>134</v>
      </c>
      <c r="Z426" s="1" t="s">
        <v>154</v>
      </c>
      <c r="AA426" s="1" t="s">
        <v>0</v>
      </c>
      <c r="AB426" s="1" t="s">
        <v>98</v>
      </c>
      <c r="AC426" s="1" t="s">
        <v>221</v>
      </c>
      <c r="AD426" s="1" t="s">
        <v>2</v>
      </c>
      <c r="AE426" s="1" t="s">
        <v>100</v>
      </c>
      <c r="AF426" s="1" t="s">
        <v>222</v>
      </c>
      <c r="AG426" s="1" t="s">
        <v>331</v>
      </c>
      <c r="AH426" s="1">
        <v>0</v>
      </c>
      <c r="AI426" s="7" t="s">
        <v>2</v>
      </c>
      <c r="AJ426" s="7" t="s">
        <v>2</v>
      </c>
      <c r="AK426" s="1">
        <v>9</v>
      </c>
      <c r="AL426" s="7" t="s">
        <v>2</v>
      </c>
      <c r="AM426" s="7" t="s">
        <v>2</v>
      </c>
      <c r="AN426" s="12">
        <f>AH426-AK426</f>
        <v>-9</v>
      </c>
      <c r="AO426" s="1" t="e">
        <f>SQRT((((X426-1)*AI426^2)+((W426-1)*AL426^2))/(X426+W426-2))</f>
        <v>#VALUE!</v>
      </c>
      <c r="AP426" s="1" t="e">
        <f>AN426/AO426</f>
        <v>#VALUE!</v>
      </c>
      <c r="AQ426" s="1" t="e">
        <f>1/X426+1/W426+(AP426^2)/(2*(X426+W426))</f>
        <v>#VALUE!</v>
      </c>
      <c r="AR426" s="1">
        <f>1-(3/(4*(X426+W426-2)-1))</f>
        <v>0.99145299145299148</v>
      </c>
      <c r="AS426" s="1" t="e">
        <f>AP426*AR426</f>
        <v>#VALUE!</v>
      </c>
      <c r="AU426" s="1" t="e">
        <f>SQRT(AQ426*AR426^2)</f>
        <v>#VALUE!</v>
      </c>
      <c r="AY426" s="14"/>
      <c r="AZ426" s="14"/>
      <c r="BA426" s="1" t="s">
        <v>270</v>
      </c>
      <c r="BB426" s="2"/>
    </row>
    <row r="427" spans="1:63" ht="14.25" customHeight="1">
      <c r="A427" s="2">
        <v>133</v>
      </c>
      <c r="B427" s="2" t="s">
        <v>18</v>
      </c>
      <c r="C427" s="1" t="s">
        <v>85</v>
      </c>
      <c r="D427" s="1">
        <v>2004</v>
      </c>
      <c r="E427" s="1">
        <v>1996</v>
      </c>
      <c r="F427" s="1" t="s">
        <v>143</v>
      </c>
      <c r="G427" s="1" t="s">
        <v>142</v>
      </c>
      <c r="H427" s="1">
        <v>39.833232000000002</v>
      </c>
      <c r="I427" s="1">
        <v>-74.387434999999996</v>
      </c>
      <c r="J427" s="1" t="s">
        <v>135</v>
      </c>
      <c r="K427" s="1" t="s">
        <v>176</v>
      </c>
      <c r="L427" s="1" t="s">
        <v>198</v>
      </c>
      <c r="M427" s="1" t="s">
        <v>236</v>
      </c>
      <c r="N427" s="1" t="s">
        <v>238</v>
      </c>
      <c r="O427" s="1" t="s">
        <v>121</v>
      </c>
      <c r="P427" s="1" t="s">
        <v>210</v>
      </c>
      <c r="Q427" s="1" t="s">
        <v>93</v>
      </c>
      <c r="R427" s="1">
        <v>1996</v>
      </c>
      <c r="S427" s="1" t="s">
        <v>156</v>
      </c>
      <c r="T427" s="1">
        <v>11</v>
      </c>
      <c r="V427" s="1" t="s">
        <v>2</v>
      </c>
      <c r="W427" s="1">
        <v>3</v>
      </c>
      <c r="X427" s="1">
        <v>3</v>
      </c>
      <c r="Y427" s="1" t="s">
        <v>134</v>
      </c>
      <c r="Z427" s="1" t="s">
        <v>220</v>
      </c>
      <c r="AA427" s="1" t="s">
        <v>0</v>
      </c>
      <c r="AB427" s="1" t="s">
        <v>148</v>
      </c>
      <c r="AC427" s="1" t="s">
        <v>2</v>
      </c>
      <c r="AD427" s="1" t="s">
        <v>2</v>
      </c>
      <c r="AE427" s="1" t="s">
        <v>2</v>
      </c>
      <c r="AF427" s="1" t="s">
        <v>253</v>
      </c>
      <c r="AG427" s="1" t="s">
        <v>318</v>
      </c>
      <c r="AH427" s="1">
        <v>2.68</v>
      </c>
      <c r="AI427" s="1">
        <f>AJ427*(SQRT(X427))</f>
        <v>0.3983716857408417</v>
      </c>
      <c r="AJ427" s="1">
        <f>2.91-AH427</f>
        <v>0.22999999999999998</v>
      </c>
      <c r="AK427" s="1">
        <v>1.67</v>
      </c>
      <c r="AL427" s="1">
        <f>AM427*(SQRT(W427))</f>
        <v>0.38105117766515295</v>
      </c>
      <c r="AM427" s="1">
        <f>1.89-AK427</f>
        <v>0.21999999999999997</v>
      </c>
      <c r="AN427" s="12">
        <f>AH427-AK427</f>
        <v>1.0100000000000002</v>
      </c>
      <c r="AO427" s="1">
        <f>SQRT((((X427-1)*AI427^2)+((W427-1)*AL427^2))/(X427+W427-2))</f>
        <v>0.38980764487115943</v>
      </c>
      <c r="AP427" s="1">
        <f>AN427/AO427</f>
        <v>2.5910215289231409</v>
      </c>
      <c r="AQ427" s="1">
        <f>1/X427+1/W427+(AP427^2)/(2*(X427+W427))</f>
        <v>1.2261160469452674</v>
      </c>
      <c r="AR427" s="1">
        <f>1-(3/(4*(X427+W427-2)-1))</f>
        <v>0.8</v>
      </c>
      <c r="AS427" s="21">
        <f>AP427*AR427</f>
        <v>2.0728172231385127</v>
      </c>
      <c r="AT427" s="21">
        <f>AQ427*(AR427^2)</f>
        <v>0.7847142700449713</v>
      </c>
      <c r="AU427" s="21">
        <f>SQRT(AQ427*AR427^2)</f>
        <v>0.8858409959157294</v>
      </c>
      <c r="AV427" s="20">
        <f>1/AT427</f>
        <v>1.2743491971194698</v>
      </c>
      <c r="AW427" s="20">
        <f>AS427/AT427</f>
        <v>2.6414929640819724</v>
      </c>
      <c r="AX427" s="20">
        <f>((AS427)^2)/AT427</f>
        <v>5.4753321107483135</v>
      </c>
      <c r="AY427" s="14"/>
      <c r="AZ427" s="14"/>
      <c r="BA427" s="1" t="s">
        <v>270</v>
      </c>
      <c r="BB427" s="2"/>
    </row>
    <row r="428" spans="1:63" ht="14.25" customHeight="1">
      <c r="A428" s="2">
        <v>133</v>
      </c>
      <c r="B428" s="2" t="s">
        <v>18</v>
      </c>
      <c r="C428" s="1" t="s">
        <v>85</v>
      </c>
      <c r="D428" s="1">
        <v>2004</v>
      </c>
      <c r="E428" s="1">
        <v>1996</v>
      </c>
      <c r="F428" s="1" t="s">
        <v>143</v>
      </c>
      <c r="G428" s="1" t="s">
        <v>142</v>
      </c>
      <c r="H428" s="1">
        <v>39.833232000000002</v>
      </c>
      <c r="I428" s="1">
        <v>-74.387434999999996</v>
      </c>
      <c r="J428" s="1" t="s">
        <v>135</v>
      </c>
      <c r="K428" s="1" t="s">
        <v>176</v>
      </c>
      <c r="L428" s="1" t="s">
        <v>198</v>
      </c>
      <c r="M428" s="1" t="s">
        <v>236</v>
      </c>
      <c r="N428" s="1" t="s">
        <v>238</v>
      </c>
      <c r="O428" s="1" t="s">
        <v>121</v>
      </c>
      <c r="P428" s="1" t="s">
        <v>146</v>
      </c>
      <c r="Q428" s="1" t="s">
        <v>93</v>
      </c>
      <c r="R428" s="1">
        <v>1996</v>
      </c>
      <c r="S428" s="1" t="s">
        <v>156</v>
      </c>
      <c r="T428" s="1">
        <v>11</v>
      </c>
      <c r="V428" s="1" t="s">
        <v>2</v>
      </c>
      <c r="W428" s="1">
        <v>3</v>
      </c>
      <c r="X428" s="1">
        <v>3</v>
      </c>
      <c r="Y428" s="1" t="s">
        <v>134</v>
      </c>
      <c r="Z428" s="1" t="s">
        <v>220</v>
      </c>
      <c r="AA428" s="1" t="s">
        <v>0</v>
      </c>
      <c r="AB428" s="1" t="s">
        <v>148</v>
      </c>
      <c r="AC428" s="1" t="s">
        <v>2</v>
      </c>
      <c r="AD428" s="1" t="s">
        <v>2</v>
      </c>
      <c r="AE428" s="1" t="s">
        <v>2</v>
      </c>
      <c r="AF428" s="1" t="s">
        <v>279</v>
      </c>
      <c r="AG428" s="1" t="s">
        <v>318</v>
      </c>
      <c r="AH428" s="1">
        <v>153.85</v>
      </c>
      <c r="AI428" s="1">
        <f>AJ428*(SQRT(X428))</f>
        <v>63.271816000491086</v>
      </c>
      <c r="AJ428" s="1">
        <f>190.38-AH428</f>
        <v>36.53</v>
      </c>
      <c r="AK428" s="1">
        <v>228.85</v>
      </c>
      <c r="AL428" s="1">
        <f>AM428*(SQRT(W428))</f>
        <v>56.620740899426643</v>
      </c>
      <c r="AM428" s="1">
        <f>261.54-AK428</f>
        <v>32.690000000000026</v>
      </c>
      <c r="AN428" s="12">
        <f>AH428-AK428</f>
        <v>-75</v>
      </c>
      <c r="AO428" s="1">
        <f>SQRT((((X428-1)*AI428^2)+((W428-1)*AL428^2))/(X428+W428-2))</f>
        <v>60.038450179863922</v>
      </c>
      <c r="AP428" s="1">
        <f>AN428/AO428</f>
        <v>-1.2491994675964166</v>
      </c>
      <c r="AQ428" s="1">
        <f>1/X428+1/W428+(AP428^2)/(2*(X428+W428))</f>
        <v>0.79670827582026416</v>
      </c>
      <c r="AR428" s="1">
        <f>1-(3/(4*(X428+W428-2)-1))</f>
        <v>0.8</v>
      </c>
      <c r="AS428" s="21">
        <f>AP428*AR428</f>
        <v>-0.99935957407713338</v>
      </c>
      <c r="AT428" s="21">
        <f>AQ428*(AR428^2)</f>
        <v>0.50989329652496918</v>
      </c>
      <c r="AU428" s="21">
        <f>SQRT(AQ428*AR428^2)</f>
        <v>0.71406813157076909</v>
      </c>
      <c r="AV428" s="20">
        <f>1/AT428</f>
        <v>1.9611946397711282</v>
      </c>
      <c r="AW428" s="20">
        <f>AS428/AT428</f>
        <v>-1.9599386398840317</v>
      </c>
      <c r="AX428" s="20">
        <f>((AS428)^2)/AT428</f>
        <v>1.9586834443718222</v>
      </c>
      <c r="AY428" s="14"/>
      <c r="AZ428" s="14"/>
      <c r="BA428" s="1" t="s">
        <v>270</v>
      </c>
      <c r="BB428" s="2"/>
    </row>
    <row r="429" spans="1:63" ht="14.25" customHeight="1">
      <c r="A429" s="2">
        <v>215</v>
      </c>
      <c r="B429" s="2" t="s">
        <v>34</v>
      </c>
      <c r="C429" s="1" t="s">
        <v>85</v>
      </c>
      <c r="D429" s="1">
        <v>2001</v>
      </c>
      <c r="E429" s="1">
        <v>1997</v>
      </c>
      <c r="F429" s="1" t="s">
        <v>116</v>
      </c>
      <c r="G429" s="1" t="s">
        <v>117</v>
      </c>
      <c r="H429" s="1">
        <v>61.1</v>
      </c>
      <c r="I429" s="1">
        <v>16</v>
      </c>
      <c r="J429" s="1" t="s">
        <v>135</v>
      </c>
      <c r="K429" s="1" t="s">
        <v>176</v>
      </c>
      <c r="L429" s="1" t="s">
        <v>182</v>
      </c>
      <c r="M429" s="1" t="s">
        <v>236</v>
      </c>
      <c r="N429" s="1" t="s">
        <v>238</v>
      </c>
      <c r="O429" s="1" t="s">
        <v>121</v>
      </c>
      <c r="P429" s="1" t="s">
        <v>146</v>
      </c>
      <c r="Q429" s="1" t="s">
        <v>93</v>
      </c>
      <c r="R429" s="1">
        <v>1997</v>
      </c>
      <c r="S429" s="1" t="s">
        <v>298</v>
      </c>
      <c r="T429" s="1">
        <v>4</v>
      </c>
      <c r="V429" s="1">
        <v>30</v>
      </c>
      <c r="W429" s="12">
        <v>45</v>
      </c>
      <c r="X429" s="12">
        <v>45</v>
      </c>
      <c r="Y429" s="1" t="s">
        <v>134</v>
      </c>
      <c r="Z429" s="1" t="s">
        <v>154</v>
      </c>
      <c r="AA429" s="1" t="s">
        <v>0</v>
      </c>
      <c r="AB429" s="1" t="s">
        <v>98</v>
      </c>
      <c r="AC429" s="1" t="s">
        <v>221</v>
      </c>
      <c r="AD429" s="1" t="s">
        <v>2</v>
      </c>
      <c r="AE429" s="1" t="s">
        <v>100</v>
      </c>
      <c r="AF429" s="1" t="s">
        <v>222</v>
      </c>
      <c r="AG429" s="1" t="s">
        <v>331</v>
      </c>
      <c r="AH429" s="1">
        <v>3</v>
      </c>
      <c r="AI429" s="7" t="s">
        <v>2</v>
      </c>
      <c r="AJ429" s="7" t="s">
        <v>2</v>
      </c>
      <c r="AK429" s="1">
        <v>9</v>
      </c>
      <c r="AL429" s="7" t="s">
        <v>2</v>
      </c>
      <c r="AM429" s="7" t="s">
        <v>2</v>
      </c>
      <c r="AN429" s="12">
        <f>AH429-AK429</f>
        <v>-6</v>
      </c>
      <c r="AO429" s="1" t="e">
        <f>SQRT((((X429-1)*AI429^2)+((W429-1)*AL429^2))/(X429+W429-2))</f>
        <v>#VALUE!</v>
      </c>
      <c r="AP429" s="1" t="e">
        <f>AN429/AO429</f>
        <v>#VALUE!</v>
      </c>
      <c r="AQ429" s="1" t="e">
        <f>1/X429+1/W429+(AP429^2)/(2*(X429+W429))</f>
        <v>#VALUE!</v>
      </c>
      <c r="AR429" s="1">
        <f>1-(3/(4*(X429+W429-2)-1))</f>
        <v>0.99145299145299148</v>
      </c>
      <c r="AS429" s="1" t="e">
        <f>AP429*AR429</f>
        <v>#VALUE!</v>
      </c>
      <c r="AU429" s="1" t="e">
        <f>SQRT(AQ429*AR429^2)</f>
        <v>#VALUE!</v>
      </c>
      <c r="AY429" s="14"/>
      <c r="AZ429" s="14"/>
      <c r="BA429" s="1" t="s">
        <v>270</v>
      </c>
      <c r="BB429" s="2"/>
    </row>
    <row r="430" spans="1:63" ht="14.25" customHeight="1">
      <c r="A430" s="2">
        <v>133</v>
      </c>
      <c r="B430" s="2" t="s">
        <v>18</v>
      </c>
      <c r="C430" s="1" t="s">
        <v>85</v>
      </c>
      <c r="D430" s="1">
        <v>2004</v>
      </c>
      <c r="E430" s="1">
        <v>1996</v>
      </c>
      <c r="F430" s="1" t="s">
        <v>143</v>
      </c>
      <c r="G430" s="1" t="s">
        <v>142</v>
      </c>
      <c r="H430" s="1">
        <v>39.833232000000002</v>
      </c>
      <c r="I430" s="1">
        <v>-74.387434999999996</v>
      </c>
      <c r="J430" s="1" t="s">
        <v>135</v>
      </c>
      <c r="K430" s="1" t="s">
        <v>176</v>
      </c>
      <c r="L430" s="1" t="s">
        <v>198</v>
      </c>
      <c r="M430" s="1" t="s">
        <v>236</v>
      </c>
      <c r="N430" s="1" t="s">
        <v>238</v>
      </c>
      <c r="O430" s="1" t="s">
        <v>121</v>
      </c>
      <c r="P430" s="1" t="s">
        <v>146</v>
      </c>
      <c r="Q430" s="1" t="s">
        <v>93</v>
      </c>
      <c r="R430" s="1">
        <v>1996</v>
      </c>
      <c r="S430" s="1" t="s">
        <v>156</v>
      </c>
      <c r="T430" s="1">
        <v>11</v>
      </c>
      <c r="V430" s="1" t="s">
        <v>2</v>
      </c>
      <c r="W430" s="1">
        <v>3</v>
      </c>
      <c r="X430" s="1">
        <v>3</v>
      </c>
      <c r="Y430" s="1" t="s">
        <v>134</v>
      </c>
      <c r="Z430" s="1" t="s">
        <v>220</v>
      </c>
      <c r="AA430" s="1" t="s">
        <v>0</v>
      </c>
      <c r="AB430" s="1" t="s">
        <v>148</v>
      </c>
      <c r="AC430" s="1" t="s">
        <v>2</v>
      </c>
      <c r="AD430" s="1" t="s">
        <v>2</v>
      </c>
      <c r="AE430" s="1" t="s">
        <v>2</v>
      </c>
      <c r="AF430" s="1" t="s">
        <v>253</v>
      </c>
      <c r="AG430" s="1" t="s">
        <v>318</v>
      </c>
      <c r="AH430" s="1">
        <v>1.89</v>
      </c>
      <c r="AI430" s="1">
        <f>AJ430*(SQRT(X430))</f>
        <v>0.39837168574084209</v>
      </c>
      <c r="AJ430" s="1">
        <f>2.12-AH430</f>
        <v>0.2300000000000002</v>
      </c>
      <c r="AK430" s="1">
        <v>2.04</v>
      </c>
      <c r="AL430" s="1">
        <f>AM430*(SQRT(W430))</f>
        <v>0.3983716857408417</v>
      </c>
      <c r="AM430" s="1">
        <f>2.27-AK430</f>
        <v>0.22999999999999998</v>
      </c>
      <c r="AN430" s="12">
        <f>AH430-AK430</f>
        <v>-0.15000000000000013</v>
      </c>
      <c r="AO430" s="1">
        <f>SQRT((((X430-1)*AI430^2)+((W430-1)*AL430^2))/(X430+W430-2))</f>
        <v>0.39837168574084192</v>
      </c>
      <c r="AP430" s="1">
        <f>AN430/AO430</f>
        <v>-0.37653278425410397</v>
      </c>
      <c r="AQ430" s="1">
        <f>1/X430+1/W430+(AP430^2)/(2*(X430+W430))</f>
        <v>0.67848141146817897</v>
      </c>
      <c r="AR430" s="1">
        <f>1-(3/(4*(X430+W430-2)-1))</f>
        <v>0.8</v>
      </c>
      <c r="AS430" s="21">
        <f>AP430*AR430</f>
        <v>-0.3012262274032832</v>
      </c>
      <c r="AT430" s="21">
        <f>AQ430*(AR430^2)</f>
        <v>0.43422810333963463</v>
      </c>
      <c r="AU430" s="21">
        <f>SQRT(AQ430*AR430^2)</f>
        <v>0.65895986474111956</v>
      </c>
      <c r="AV430" s="20">
        <f>1/AT430</f>
        <v>2.302937079173438</v>
      </c>
      <c r="AW430" s="20">
        <f>AS430/AT430</f>
        <v>-0.69370504830655089</v>
      </c>
      <c r="AX430" s="20">
        <f>((AS430)^2)/AT430</f>
        <v>0.20896215463199466</v>
      </c>
      <c r="AY430" s="14"/>
      <c r="AZ430" s="14"/>
      <c r="BA430" s="1" t="s">
        <v>270</v>
      </c>
      <c r="BB430" s="2"/>
    </row>
    <row r="431" spans="1:63" s="16" customFormat="1" ht="14.25">
      <c r="A431" s="2">
        <v>29</v>
      </c>
      <c r="B431" s="2" t="s">
        <v>5</v>
      </c>
      <c r="C431" s="1" t="s">
        <v>85</v>
      </c>
      <c r="D431" s="1">
        <v>1999</v>
      </c>
      <c r="E431" s="1">
        <v>1995</v>
      </c>
      <c r="F431" s="1" t="s">
        <v>116</v>
      </c>
      <c r="G431" s="1" t="s">
        <v>117</v>
      </c>
      <c r="H431" s="1">
        <v>64.700007999999997</v>
      </c>
      <c r="I431" s="1">
        <v>14.549446</v>
      </c>
      <c r="J431" s="1" t="s">
        <v>135</v>
      </c>
      <c r="K431" s="1" t="s">
        <v>176</v>
      </c>
      <c r="L431" s="1" t="s">
        <v>182</v>
      </c>
      <c r="M431" s="1" t="s">
        <v>236</v>
      </c>
      <c r="N431" s="1" t="s">
        <v>238</v>
      </c>
      <c r="O431" s="1" t="s">
        <v>86</v>
      </c>
      <c r="P431" s="1"/>
      <c r="Q431" s="1" t="s">
        <v>93</v>
      </c>
      <c r="R431" s="1">
        <v>1995</v>
      </c>
      <c r="S431" s="1">
        <v>1</v>
      </c>
      <c r="T431" s="12">
        <f>S431*12</f>
        <v>12</v>
      </c>
      <c r="U431" s="1"/>
      <c r="V431" s="1"/>
      <c r="W431" s="1">
        <v>10</v>
      </c>
      <c r="X431" s="1">
        <v>10</v>
      </c>
      <c r="Y431" s="1" t="s">
        <v>134</v>
      </c>
      <c r="Z431" s="1" t="s">
        <v>2</v>
      </c>
      <c r="AA431" s="1"/>
      <c r="AB431" s="1" t="s">
        <v>98</v>
      </c>
      <c r="AC431" s="1" t="s">
        <v>221</v>
      </c>
      <c r="AD431" s="12"/>
      <c r="AE431" s="12" t="s">
        <v>100</v>
      </c>
      <c r="AF431" s="12" t="s">
        <v>222</v>
      </c>
      <c r="AG431" s="12" t="s">
        <v>325</v>
      </c>
      <c r="AH431" s="12">
        <v>22</v>
      </c>
      <c r="AI431" s="7" t="s">
        <v>2</v>
      </c>
      <c r="AJ431" s="7" t="s">
        <v>2</v>
      </c>
      <c r="AK431" s="12">
        <v>24</v>
      </c>
      <c r="AL431" s="7" t="s">
        <v>2</v>
      </c>
      <c r="AM431" s="7" t="s">
        <v>2</v>
      </c>
      <c r="AN431" s="12">
        <f>AH431-AK431</f>
        <v>-2</v>
      </c>
      <c r="AO431" s="1" t="e">
        <f>SQRT((((X431-1)*AI431^2)+((W431-1)*AL431^2))/(X431+W431-2))</f>
        <v>#VALUE!</v>
      </c>
      <c r="AP431" s="1" t="e">
        <f>AN431/AO431</f>
        <v>#VALUE!</v>
      </c>
      <c r="AQ431" s="1" t="e">
        <f>1/X431+1/W431+(AP431^2)/(2*(X431+W431))</f>
        <v>#VALUE!</v>
      </c>
      <c r="AR431" s="1">
        <f>1-(3/(4*(X431+W431-2)-1))</f>
        <v>0.95774647887323949</v>
      </c>
      <c r="AS431" s="1" t="e">
        <f>AP431*AR431</f>
        <v>#VALUE!</v>
      </c>
      <c r="AT431" s="1"/>
      <c r="AU431" s="1" t="e">
        <f>SQRT(AQ431*AR431^2)</f>
        <v>#VALUE!</v>
      </c>
      <c r="AV431" s="1"/>
      <c r="AW431" s="1"/>
      <c r="AX431" s="1"/>
      <c r="AY431" s="14"/>
      <c r="AZ431" s="14"/>
      <c r="BA431" s="1" t="s">
        <v>270</v>
      </c>
      <c r="BB431" s="2"/>
      <c r="BC431" s="1"/>
      <c r="BD431" s="1"/>
      <c r="BE431" s="1"/>
      <c r="BF431" s="1"/>
      <c r="BG431" s="1"/>
      <c r="BH431" s="1"/>
      <c r="BI431" s="1"/>
      <c r="BJ431" s="1"/>
      <c r="BK431" s="1"/>
    </row>
    <row r="432" spans="1:63" s="16" customFormat="1" ht="14.25">
      <c r="A432" s="17">
        <v>320</v>
      </c>
      <c r="B432" s="17" t="s">
        <v>243</v>
      </c>
      <c r="C432" s="12" t="s">
        <v>85</v>
      </c>
      <c r="D432" s="16">
        <v>2024</v>
      </c>
      <c r="E432" s="16">
        <v>2021</v>
      </c>
      <c r="F432" s="16" t="s">
        <v>120</v>
      </c>
      <c r="G432" s="16" t="s">
        <v>109</v>
      </c>
      <c r="H432" s="16">
        <v>42.345813999999997</v>
      </c>
      <c r="I432" s="16">
        <v>-6.3904769999999997</v>
      </c>
      <c r="J432" s="16" t="s">
        <v>126</v>
      </c>
      <c r="K432" s="16" t="s">
        <v>176</v>
      </c>
      <c r="L432" s="16" t="s">
        <v>177</v>
      </c>
      <c r="M432" s="16" t="s">
        <v>236</v>
      </c>
      <c r="N432" s="16" t="s">
        <v>238</v>
      </c>
      <c r="O432" s="16" t="s">
        <v>86</v>
      </c>
      <c r="Q432" s="16" t="s">
        <v>93</v>
      </c>
      <c r="R432" s="16">
        <v>2012</v>
      </c>
      <c r="S432" s="16">
        <v>9</v>
      </c>
      <c r="T432" s="16">
        <f>S432*12</f>
        <v>108</v>
      </c>
      <c r="U432" s="16">
        <v>11891</v>
      </c>
      <c r="W432" s="16">
        <v>9</v>
      </c>
      <c r="X432" s="16">
        <v>9</v>
      </c>
      <c r="Y432" s="16" t="s">
        <v>114</v>
      </c>
      <c r="Z432" s="16" t="s">
        <v>2</v>
      </c>
      <c r="AA432" s="16" t="s">
        <v>1</v>
      </c>
      <c r="AB432" s="16" t="s">
        <v>113</v>
      </c>
      <c r="AC432" s="1" t="s">
        <v>2</v>
      </c>
      <c r="AD432" s="1" t="s">
        <v>2</v>
      </c>
      <c r="AE432" s="1" t="s">
        <v>2</v>
      </c>
      <c r="AF432" s="16" t="s">
        <v>297</v>
      </c>
      <c r="AG432" s="16" t="s">
        <v>315</v>
      </c>
      <c r="AH432" s="16">
        <v>22.44</v>
      </c>
      <c r="AI432" s="16">
        <f>35.9-8.97</f>
        <v>26.93</v>
      </c>
      <c r="AK432" s="16">
        <v>224.36</v>
      </c>
      <c r="AL432" s="16">
        <f>350-188.46</f>
        <v>161.54</v>
      </c>
      <c r="AN432" s="12">
        <f>AH432-AK432</f>
        <v>-201.92000000000002</v>
      </c>
      <c r="AO432" s="1">
        <f>SQRT((((X432-1)*AI432^2)+((W432-1)*AL432^2))/(X432+W432-2))</f>
        <v>115.80241038078611</v>
      </c>
      <c r="AP432" s="1">
        <f>AN432/AO432</f>
        <v>-1.7436597332994934</v>
      </c>
      <c r="AQ432" s="1">
        <f>1/X432+1/W432+(AP432^2)/(2*(X432+W432))</f>
        <v>0.30667636848694613</v>
      </c>
      <c r="AR432" s="1">
        <f>1-(3/(4*(X432+W432-2)-1))</f>
        <v>0.95238095238095233</v>
      </c>
      <c r="AS432" s="21">
        <f>AP432*AR432</f>
        <v>-1.6606283174280889</v>
      </c>
      <c r="AT432" s="21">
        <f>AQ432*(AR432^2)</f>
        <v>0.27816450656412345</v>
      </c>
      <c r="AU432" s="21">
        <f>SQRT(AQ432*AR432^2)</f>
        <v>0.52741303222818026</v>
      </c>
      <c r="AV432" s="20">
        <f>1/AT432</f>
        <v>3.5949949630596616</v>
      </c>
      <c r="AW432" s="20">
        <f>AS432/AT432</f>
        <v>-5.9699504366682206</v>
      </c>
      <c r="AX432" s="20">
        <f>((AS432)^2)/AT432</f>
        <v>9.9138687487734334</v>
      </c>
      <c r="AY432" s="15"/>
      <c r="AZ432" s="15"/>
      <c r="BA432" s="1" t="s">
        <v>270</v>
      </c>
      <c r="BB432" s="17"/>
    </row>
    <row r="433" spans="1:63" s="16" customFormat="1" ht="14.25">
      <c r="A433" s="17">
        <v>320</v>
      </c>
      <c r="B433" s="17" t="s">
        <v>243</v>
      </c>
      <c r="C433" s="12" t="s">
        <v>85</v>
      </c>
      <c r="D433" s="16">
        <v>2024</v>
      </c>
      <c r="E433" s="16">
        <v>2021</v>
      </c>
      <c r="F433" s="16" t="s">
        <v>120</v>
      </c>
      <c r="G433" s="16" t="s">
        <v>109</v>
      </c>
      <c r="H433" s="16">
        <v>42.345813999999997</v>
      </c>
      <c r="I433" s="16">
        <v>-6.3904769999999997</v>
      </c>
      <c r="J433" s="16" t="s">
        <v>126</v>
      </c>
      <c r="K433" s="16" t="s">
        <v>176</v>
      </c>
      <c r="L433" s="16" t="s">
        <v>177</v>
      </c>
      <c r="M433" s="16" t="s">
        <v>236</v>
      </c>
      <c r="N433" s="16" t="s">
        <v>238</v>
      </c>
      <c r="O433" s="16" t="s">
        <v>86</v>
      </c>
      <c r="Q433" s="16" t="s">
        <v>93</v>
      </c>
      <c r="R433" s="16">
        <v>2012</v>
      </c>
      <c r="S433" s="16">
        <v>9</v>
      </c>
      <c r="T433" s="16">
        <f>S433*12</f>
        <v>108</v>
      </c>
      <c r="U433" s="16">
        <v>11891</v>
      </c>
      <c r="W433" s="16">
        <v>9</v>
      </c>
      <c r="X433" s="16">
        <v>9</v>
      </c>
      <c r="Y433" s="16" t="s">
        <v>114</v>
      </c>
      <c r="Z433" s="16" t="s">
        <v>2</v>
      </c>
      <c r="AA433" s="16" t="s">
        <v>1</v>
      </c>
      <c r="AB433" s="16" t="s">
        <v>113</v>
      </c>
      <c r="AC433" s="1" t="s">
        <v>2</v>
      </c>
      <c r="AD433" s="1" t="s">
        <v>2</v>
      </c>
      <c r="AE433" s="1" t="s">
        <v>2</v>
      </c>
      <c r="AF433" s="16" t="s">
        <v>149</v>
      </c>
      <c r="AG433" s="16" t="s">
        <v>315</v>
      </c>
      <c r="AH433" s="16">
        <v>0.72</v>
      </c>
      <c r="AI433" s="16">
        <f>1.03</f>
        <v>1.03</v>
      </c>
      <c r="AK433" s="16">
        <v>3.17</v>
      </c>
      <c r="AL433" s="16">
        <f>4.48-2.85</f>
        <v>1.6300000000000003</v>
      </c>
      <c r="AN433" s="12">
        <f>AH433-AK433</f>
        <v>-2.4500000000000002</v>
      </c>
      <c r="AO433" s="1">
        <f>SQRT((((X433-1)*AI433^2)+((W433-1)*AL433^2))/(X433+W433-2))</f>
        <v>1.3634148304899725</v>
      </c>
      <c r="AP433" s="1">
        <f>AN433/AO433</f>
        <v>-1.7969585963206369</v>
      </c>
      <c r="AQ433" s="1">
        <f>1/X433+1/W433+(AP433^2)/(2*(X433+W433))</f>
        <v>0.31191833880251757</v>
      </c>
      <c r="AR433" s="1">
        <f>1-(3/(4*(X433+W433-2)-1))</f>
        <v>0.95238095238095233</v>
      </c>
      <c r="AS433" s="21">
        <f>AP433*AR433</f>
        <v>-1.7113891393529874</v>
      </c>
      <c r="AT433" s="21">
        <f>AQ433*(AR433^2)</f>
        <v>0.28291912816554882</v>
      </c>
      <c r="AU433" s="21">
        <f>SQRT(AQ433*AR433^2)</f>
        <v>0.53190142711366062</v>
      </c>
      <c r="AV433" s="20">
        <f>1/AT433</f>
        <v>3.5345789677920068</v>
      </c>
      <c r="AW433" s="20">
        <f>AS433/AT433</f>
        <v>-6.0490400576647332</v>
      </c>
      <c r="AX433" s="20">
        <f>((AS433)^2)/AT433</f>
        <v>10.352261458198592</v>
      </c>
      <c r="AY433" s="15"/>
      <c r="AZ433" s="15"/>
      <c r="BA433" s="1" t="s">
        <v>270</v>
      </c>
      <c r="BB433" s="17"/>
    </row>
    <row r="434" spans="1:63" s="16" customFormat="1" ht="14.25">
      <c r="A434" s="17">
        <v>320</v>
      </c>
      <c r="B434" s="17" t="s">
        <v>243</v>
      </c>
      <c r="C434" s="12" t="s">
        <v>85</v>
      </c>
      <c r="D434" s="16">
        <v>2024</v>
      </c>
      <c r="E434" s="16">
        <v>2021</v>
      </c>
      <c r="F434" s="16" t="s">
        <v>120</v>
      </c>
      <c r="G434" s="16" t="s">
        <v>109</v>
      </c>
      <c r="H434" s="16">
        <v>42.345813999999997</v>
      </c>
      <c r="I434" s="16">
        <v>-6.3904769999999997</v>
      </c>
      <c r="J434" s="16" t="s">
        <v>126</v>
      </c>
      <c r="K434" s="16" t="s">
        <v>176</v>
      </c>
      <c r="L434" s="16" t="s">
        <v>177</v>
      </c>
      <c r="M434" s="16" t="s">
        <v>236</v>
      </c>
      <c r="N434" s="16" t="s">
        <v>238</v>
      </c>
      <c r="O434" s="16" t="s">
        <v>86</v>
      </c>
      <c r="Q434" s="16" t="s">
        <v>93</v>
      </c>
      <c r="R434" s="16">
        <v>2012</v>
      </c>
      <c r="S434" s="16">
        <v>9</v>
      </c>
      <c r="T434" s="16">
        <f>S434*12</f>
        <v>108</v>
      </c>
      <c r="U434" s="16">
        <v>11891</v>
      </c>
      <c r="W434" s="16">
        <v>9</v>
      </c>
      <c r="X434" s="16">
        <v>9</v>
      </c>
      <c r="Y434" s="16" t="s">
        <v>114</v>
      </c>
      <c r="Z434" s="16" t="s">
        <v>2</v>
      </c>
      <c r="AA434" s="16" t="s">
        <v>1</v>
      </c>
      <c r="AB434" s="16" t="s">
        <v>113</v>
      </c>
      <c r="AC434" s="1" t="s">
        <v>2</v>
      </c>
      <c r="AD434" s="1" t="s">
        <v>2</v>
      </c>
      <c r="AE434" s="1" t="s">
        <v>2</v>
      </c>
      <c r="AF434" s="16" t="s">
        <v>384</v>
      </c>
      <c r="AG434" s="16" t="s">
        <v>315</v>
      </c>
      <c r="AH434" s="16">
        <v>2.96</v>
      </c>
      <c r="AI434" s="16">
        <f>4.17-1.1</f>
        <v>3.07</v>
      </c>
      <c r="AK434" s="16">
        <v>11.96</v>
      </c>
      <c r="AL434" s="16">
        <f>14.6-8.34</f>
        <v>6.26</v>
      </c>
      <c r="AN434" s="12">
        <f>AH434-AK434</f>
        <v>-9</v>
      </c>
      <c r="AO434" s="1">
        <f>SQRT((((X434-1)*AI434^2)+((W434-1)*AL434^2))/(X434+W434-2))</f>
        <v>4.9301369149345131</v>
      </c>
      <c r="AP434" s="1">
        <f>AN434/AO434</f>
        <v>-1.8255071117268447</v>
      </c>
      <c r="AQ434" s="1">
        <f>1/X434+1/W434+(AP434^2)/(2*(X434+W434))</f>
        <v>0.31479100597125798</v>
      </c>
      <c r="AR434" s="1">
        <f>1-(3/(4*(X434+W434-2)-1))</f>
        <v>0.95238095238095233</v>
      </c>
      <c r="AS434" s="21">
        <f>AP434*AR434</f>
        <v>-1.7385782016446139</v>
      </c>
      <c r="AT434" s="21">
        <f>AQ434*(AR434^2)</f>
        <v>0.28552472196939499</v>
      </c>
      <c r="AU434" s="21">
        <f>SQRT(AQ434*AR434^2)</f>
        <v>0.53434513375663395</v>
      </c>
      <c r="AV434" s="20">
        <f>1/AT434</f>
        <v>3.5023236975857688</v>
      </c>
      <c r="AW434" s="20">
        <f>AS434/AT434</f>
        <v>-6.0890636357259798</v>
      </c>
      <c r="AX434" s="20">
        <f>((AS434)^2)/AT434</f>
        <v>10.586313305500088</v>
      </c>
      <c r="AY434" s="15"/>
      <c r="AZ434" s="15"/>
      <c r="BA434" s="1" t="s">
        <v>270</v>
      </c>
      <c r="BB434" s="17"/>
    </row>
    <row r="435" spans="1:63" s="16" customFormat="1" ht="14.25">
      <c r="A435" s="17">
        <v>320</v>
      </c>
      <c r="B435" s="17" t="s">
        <v>243</v>
      </c>
      <c r="C435" s="12" t="s">
        <v>85</v>
      </c>
      <c r="D435" s="16">
        <v>2024</v>
      </c>
      <c r="E435" s="16">
        <v>2021</v>
      </c>
      <c r="F435" s="16" t="s">
        <v>120</v>
      </c>
      <c r="G435" s="16" t="s">
        <v>109</v>
      </c>
      <c r="H435" s="16">
        <v>42.345813999999997</v>
      </c>
      <c r="I435" s="16">
        <v>-6.3904769999999997</v>
      </c>
      <c r="J435" s="16" t="s">
        <v>126</v>
      </c>
      <c r="K435" s="16" t="s">
        <v>176</v>
      </c>
      <c r="L435" s="16" t="s">
        <v>177</v>
      </c>
      <c r="M435" s="16" t="s">
        <v>236</v>
      </c>
      <c r="N435" s="16" t="s">
        <v>238</v>
      </c>
      <c r="O435" s="16" t="s">
        <v>86</v>
      </c>
      <c r="Q435" s="16" t="s">
        <v>93</v>
      </c>
      <c r="R435" s="16">
        <v>2012</v>
      </c>
      <c r="S435" s="16">
        <v>9</v>
      </c>
      <c r="T435" s="16">
        <f>S435*12</f>
        <v>108</v>
      </c>
      <c r="U435" s="16">
        <v>11891</v>
      </c>
      <c r="W435" s="16">
        <v>9</v>
      </c>
      <c r="X435" s="16">
        <v>9</v>
      </c>
      <c r="Y435" s="16" t="s">
        <v>114</v>
      </c>
      <c r="Z435" s="16" t="s">
        <v>2</v>
      </c>
      <c r="AA435" s="16" t="s">
        <v>1</v>
      </c>
      <c r="AB435" s="16" t="s">
        <v>113</v>
      </c>
      <c r="AC435" s="1" t="s">
        <v>2</v>
      </c>
      <c r="AD435" s="1" t="s">
        <v>2</v>
      </c>
      <c r="AE435" s="1" t="s">
        <v>2</v>
      </c>
      <c r="AF435" s="16" t="s">
        <v>385</v>
      </c>
      <c r="AG435" s="16" t="s">
        <v>315</v>
      </c>
      <c r="AH435" s="16">
        <v>16.57</v>
      </c>
      <c r="AI435" s="16">
        <v>0</v>
      </c>
      <c r="AK435" s="16">
        <v>161.54</v>
      </c>
      <c r="AL435" s="16">
        <f>256.8-124.26</f>
        <v>132.54000000000002</v>
      </c>
      <c r="AN435" s="12">
        <f>AH435-AK435</f>
        <v>-144.97</v>
      </c>
      <c r="AO435" s="1">
        <f>SQRT((((X435-1)*AI435^2)+((W435-1)*AL435^2))/(X435+W435-2))</f>
        <v>93.719932778465022</v>
      </c>
      <c r="AP435" s="1">
        <f>AN435/AO435</f>
        <v>-1.5468427654838355</v>
      </c>
      <c r="AQ435" s="1">
        <f>1/X435+1/W435+(AP435^2)/(2*(X435+W435))</f>
        <v>0.28868673725360222</v>
      </c>
      <c r="AR435" s="1">
        <f>1-(3/(4*(X435+W435-2)-1))</f>
        <v>0.95238095238095233</v>
      </c>
      <c r="AS435" s="21">
        <f>AP435*AR435</f>
        <v>-1.4731835861750813</v>
      </c>
      <c r="AT435" s="21">
        <f>AQ435*(AR435^2)</f>
        <v>0.26184738072889091</v>
      </c>
      <c r="AU435" s="21">
        <f>SQRT(AQ435*AR435^2)</f>
        <v>0.51171025075611976</v>
      </c>
      <c r="AV435" s="20">
        <f>1/AT435</f>
        <v>3.8190185336830642</v>
      </c>
      <c r="AW435" s="20">
        <f>AS435/AT435</f>
        <v>-5.6261154191203167</v>
      </c>
      <c r="AX435" s="20">
        <f>((AS435)^2)/AT435</f>
        <v>8.2883008893745895</v>
      </c>
      <c r="AY435" s="15"/>
      <c r="AZ435" s="15"/>
      <c r="BA435" s="1" t="s">
        <v>270</v>
      </c>
      <c r="BB435" s="17"/>
    </row>
    <row r="436" spans="1:63" s="16" customFormat="1" ht="14.25">
      <c r="A436" s="17">
        <v>320</v>
      </c>
      <c r="B436" s="17" t="s">
        <v>243</v>
      </c>
      <c r="C436" s="12" t="s">
        <v>85</v>
      </c>
      <c r="D436" s="16">
        <v>2024</v>
      </c>
      <c r="E436" s="16">
        <v>2021</v>
      </c>
      <c r="F436" s="16" t="s">
        <v>120</v>
      </c>
      <c r="G436" s="16" t="s">
        <v>109</v>
      </c>
      <c r="H436" s="16">
        <v>42.345813999999997</v>
      </c>
      <c r="I436" s="16">
        <v>-6.3904769999999997</v>
      </c>
      <c r="J436" s="16" t="s">
        <v>126</v>
      </c>
      <c r="K436" s="16" t="s">
        <v>176</v>
      </c>
      <c r="L436" s="16" t="s">
        <v>177</v>
      </c>
      <c r="M436" s="16" t="s">
        <v>236</v>
      </c>
      <c r="N436" s="16" t="s">
        <v>238</v>
      </c>
      <c r="O436" s="16" t="s">
        <v>86</v>
      </c>
      <c r="Q436" s="16" t="s">
        <v>93</v>
      </c>
      <c r="R436" s="16">
        <v>2012</v>
      </c>
      <c r="S436" s="16">
        <v>9</v>
      </c>
      <c r="T436" s="16">
        <f>S436*12</f>
        <v>108</v>
      </c>
      <c r="U436" s="16">
        <v>11891</v>
      </c>
      <c r="W436" s="16">
        <v>9</v>
      </c>
      <c r="X436" s="16">
        <v>9</v>
      </c>
      <c r="Y436" s="16" t="s">
        <v>114</v>
      </c>
      <c r="Z436" s="16" t="s">
        <v>2</v>
      </c>
      <c r="AA436" s="16" t="s">
        <v>1</v>
      </c>
      <c r="AB436" s="16" t="s">
        <v>113</v>
      </c>
      <c r="AC436" s="1" t="s">
        <v>2</v>
      </c>
      <c r="AD436" s="1" t="s">
        <v>2</v>
      </c>
      <c r="AE436" s="1" t="s">
        <v>2</v>
      </c>
      <c r="AF436" s="16" t="s">
        <v>387</v>
      </c>
      <c r="AG436" s="16" t="s">
        <v>315</v>
      </c>
      <c r="AH436" s="16">
        <v>0.33</v>
      </c>
      <c r="AI436" s="16">
        <f>0.65-0.15</f>
        <v>0.5</v>
      </c>
      <c r="AK436" s="16">
        <v>2.84</v>
      </c>
      <c r="AL436" s="16">
        <f>3.75-2.4</f>
        <v>1.35</v>
      </c>
      <c r="AN436" s="12">
        <f>AH436-AK436</f>
        <v>-2.5099999999999998</v>
      </c>
      <c r="AO436" s="1">
        <f>SQRT((((X436-1)*AI436^2)+((W436-1)*AL436^2))/(X436+W436-2))</f>
        <v>1.0179636535751166</v>
      </c>
      <c r="AP436" s="1">
        <f>AN436/AO436</f>
        <v>-2.4657068955112593</v>
      </c>
      <c r="AQ436" s="1">
        <f>1/X436+1/W436+(AP436^2)/(2*(X436+W436))</f>
        <v>0.39110306929366034</v>
      </c>
      <c r="AR436" s="1">
        <f>1-(3/(4*(X436+W436-2)-1))</f>
        <v>0.95238095238095233</v>
      </c>
      <c r="AS436" s="21">
        <f>AP436*AR436</f>
        <v>-2.3482922814392944</v>
      </c>
      <c r="AT436" s="21">
        <f>AQ436*(AR436^2)</f>
        <v>0.35474201296477126</v>
      </c>
      <c r="AU436" s="21">
        <f>SQRT(AQ436*AR436^2)</f>
        <v>0.59560222713214506</v>
      </c>
      <c r="AV436" s="20">
        <f>1/AT436</f>
        <v>2.8189500071966611</v>
      </c>
      <c r="AW436" s="20">
        <f>AS436/AT436</f>
        <v>-6.6197185436631623</v>
      </c>
      <c r="AX436" s="20">
        <f>((AS436)^2)/AT436</f>
        <v>15.545033961384773</v>
      </c>
      <c r="AY436" s="15"/>
      <c r="AZ436" s="15"/>
      <c r="BA436" s="1" t="s">
        <v>270</v>
      </c>
      <c r="BB436" s="17"/>
    </row>
    <row r="437" spans="1:63" s="16" customFormat="1" ht="14.25">
      <c r="A437" s="17">
        <v>320</v>
      </c>
      <c r="B437" s="17" t="s">
        <v>243</v>
      </c>
      <c r="C437" s="12" t="s">
        <v>85</v>
      </c>
      <c r="D437" s="16">
        <v>2024</v>
      </c>
      <c r="E437" s="16">
        <v>2021</v>
      </c>
      <c r="F437" s="16" t="s">
        <v>120</v>
      </c>
      <c r="G437" s="16" t="s">
        <v>109</v>
      </c>
      <c r="H437" s="16">
        <v>42.345813999999997</v>
      </c>
      <c r="I437" s="16">
        <v>-6.3904769999999997</v>
      </c>
      <c r="J437" s="16" t="s">
        <v>126</v>
      </c>
      <c r="K437" s="16" t="s">
        <v>176</v>
      </c>
      <c r="L437" s="16" t="s">
        <v>177</v>
      </c>
      <c r="M437" s="16" t="s">
        <v>236</v>
      </c>
      <c r="N437" s="16" t="s">
        <v>238</v>
      </c>
      <c r="O437" s="16" t="s">
        <v>86</v>
      </c>
      <c r="Q437" s="16" t="s">
        <v>93</v>
      </c>
      <c r="R437" s="16">
        <v>2012</v>
      </c>
      <c r="S437" s="16">
        <v>9</v>
      </c>
      <c r="T437" s="16">
        <f>S437*12</f>
        <v>108</v>
      </c>
      <c r="U437" s="16">
        <v>11891</v>
      </c>
      <c r="W437" s="16">
        <v>9</v>
      </c>
      <c r="X437" s="16">
        <v>9</v>
      </c>
      <c r="Y437" s="16" t="s">
        <v>114</v>
      </c>
      <c r="Z437" s="16" t="s">
        <v>2</v>
      </c>
      <c r="AA437" s="16" t="s">
        <v>1</v>
      </c>
      <c r="AB437" s="16" t="s">
        <v>113</v>
      </c>
      <c r="AC437" s="1" t="s">
        <v>2</v>
      </c>
      <c r="AD437" s="1" t="s">
        <v>2</v>
      </c>
      <c r="AE437" s="1" t="s">
        <v>2</v>
      </c>
      <c r="AF437" s="16" t="s">
        <v>150</v>
      </c>
      <c r="AG437" s="16" t="s">
        <v>315</v>
      </c>
      <c r="AH437" s="16">
        <v>5.92</v>
      </c>
      <c r="AI437" s="16">
        <f>8.37-3.27</f>
        <v>5.0999999999999996</v>
      </c>
      <c r="AK437" s="16">
        <v>14.08</v>
      </c>
      <c r="AL437" s="16">
        <f>18.37-11.22</f>
        <v>7.15</v>
      </c>
      <c r="AN437" s="12">
        <f>AH437-AK437</f>
        <v>-8.16</v>
      </c>
      <c r="AO437" s="1">
        <f>SQRT((((X437-1)*AI437^2)+((W437-1)*AL437^2))/(X437+W437-2))</f>
        <v>6.2101731054778169</v>
      </c>
      <c r="AP437" s="1">
        <f>AN437/AO437</f>
        <v>-1.3139730344718243</v>
      </c>
      <c r="AQ437" s="1">
        <f>1/X437+1/W437+(AP437^2)/(2*(X437+W437))</f>
        <v>0.2701812537588637</v>
      </c>
      <c r="AR437" s="1">
        <f>1-(3/(4*(X437+W437-2)-1))</f>
        <v>0.95238095238095233</v>
      </c>
      <c r="AS437" s="21">
        <f>AP437*AR437</f>
        <v>-1.251402889973166</v>
      </c>
      <c r="AT437" s="21">
        <f>AQ437*(AR437^2)</f>
        <v>0.24506236168604414</v>
      </c>
      <c r="AU437" s="21">
        <f>SQRT(AQ437*AR437^2)</f>
        <v>0.49503773763829778</v>
      </c>
      <c r="AV437" s="20">
        <f>1/AT437</f>
        <v>4.0805939888930247</v>
      </c>
      <c r="AW437" s="20">
        <f>AS437/AT437</f>
        <v>-5.1064671105078601</v>
      </c>
      <c r="AX437" s="20">
        <f>((AS437)^2)/AT437</f>
        <v>6.3902476996424582</v>
      </c>
      <c r="AY437" s="15"/>
      <c r="AZ437" s="15"/>
      <c r="BA437" s="1" t="s">
        <v>270</v>
      </c>
      <c r="BB437" s="17"/>
    </row>
    <row r="438" spans="1:63" s="16" customFormat="1" ht="14.25">
      <c r="A438" s="17">
        <v>320</v>
      </c>
      <c r="B438" s="17" t="s">
        <v>243</v>
      </c>
      <c r="C438" s="12" t="s">
        <v>85</v>
      </c>
      <c r="D438" s="16">
        <v>2024</v>
      </c>
      <c r="E438" s="16">
        <v>2021</v>
      </c>
      <c r="F438" s="16" t="s">
        <v>120</v>
      </c>
      <c r="G438" s="16" t="s">
        <v>109</v>
      </c>
      <c r="H438" s="16">
        <v>42.345813999999997</v>
      </c>
      <c r="I438" s="16">
        <v>-6.3904769999999997</v>
      </c>
      <c r="J438" s="16" t="s">
        <v>126</v>
      </c>
      <c r="K438" s="16" t="s">
        <v>176</v>
      </c>
      <c r="L438" s="16" t="s">
        <v>177</v>
      </c>
      <c r="M438" s="16" t="s">
        <v>236</v>
      </c>
      <c r="N438" s="16" t="s">
        <v>238</v>
      </c>
      <c r="O438" s="16" t="s">
        <v>86</v>
      </c>
      <c r="Q438" s="16" t="s">
        <v>93</v>
      </c>
      <c r="R438" s="16">
        <v>2012</v>
      </c>
      <c r="S438" s="16">
        <v>9</v>
      </c>
      <c r="T438" s="16">
        <f>S438*12</f>
        <v>108</v>
      </c>
      <c r="U438" s="16">
        <v>11891</v>
      </c>
      <c r="W438" s="16">
        <v>9</v>
      </c>
      <c r="X438" s="16">
        <v>9</v>
      </c>
      <c r="Y438" s="16" t="s">
        <v>114</v>
      </c>
      <c r="Z438" s="16" t="s">
        <v>2</v>
      </c>
      <c r="AA438" s="16" t="s">
        <v>1</v>
      </c>
      <c r="AB438" s="16" t="s">
        <v>113</v>
      </c>
      <c r="AC438" s="1" t="s">
        <v>2</v>
      </c>
      <c r="AD438" s="1" t="s">
        <v>2</v>
      </c>
      <c r="AE438" s="1" t="s">
        <v>2</v>
      </c>
      <c r="AF438" s="16" t="s">
        <v>306</v>
      </c>
      <c r="AG438" s="16" t="s">
        <v>315</v>
      </c>
      <c r="AH438" s="16">
        <v>7.4</v>
      </c>
      <c r="AI438" s="16">
        <f>24.66-4.93</f>
        <v>19.73</v>
      </c>
      <c r="AK438" s="16">
        <v>50.96</v>
      </c>
      <c r="AL438" s="16">
        <f>72.33-36.16</f>
        <v>36.17</v>
      </c>
      <c r="AN438" s="12">
        <f>AH438-AK438</f>
        <v>-43.56</v>
      </c>
      <c r="AO438" s="1">
        <f>SQRT((((X438-1)*AI438^2)+((W438-1)*AL438^2))/(X438+W438-2))</f>
        <v>29.133672957593244</v>
      </c>
      <c r="AP438" s="1">
        <f>AN438/AO438</f>
        <v>-1.4951770778578317</v>
      </c>
      <c r="AQ438" s="1">
        <f>1/X438+1/W438+(AP438^2)/(2*(X438+W438))</f>
        <v>0.28432095817087455</v>
      </c>
      <c r="AR438" s="1">
        <f>1-(3/(4*(X438+W438-2)-1))</f>
        <v>0.95238095238095233</v>
      </c>
      <c r="AS438" s="21">
        <f>AP438*AR438</f>
        <v>-1.423978169388411</v>
      </c>
      <c r="AT438" s="21">
        <f>AQ438*(AR438^2)</f>
        <v>0.25788749040442133</v>
      </c>
      <c r="AU438" s="21">
        <f>SQRT(AQ438*AR438^2)</f>
        <v>0.50782624036615254</v>
      </c>
      <c r="AV438" s="20">
        <f>1/AT438</f>
        <v>3.8776599765726969</v>
      </c>
      <c r="AW438" s="20">
        <f>AS438/AT438</f>
        <v>-5.5217031549506981</v>
      </c>
      <c r="AX438" s="20">
        <f>((AS438)^2)/AT438</f>
        <v>7.8627847504929083</v>
      </c>
      <c r="AY438" s="15"/>
      <c r="AZ438" s="15"/>
      <c r="BA438" s="1" t="s">
        <v>270</v>
      </c>
      <c r="BB438" s="17"/>
    </row>
    <row r="439" spans="1:63" s="16" customFormat="1" ht="14.25">
      <c r="A439" s="17">
        <v>320</v>
      </c>
      <c r="B439" s="17" t="s">
        <v>243</v>
      </c>
      <c r="C439" s="12" t="s">
        <v>85</v>
      </c>
      <c r="D439" s="16">
        <v>2024</v>
      </c>
      <c r="E439" s="16">
        <v>2021</v>
      </c>
      <c r="F439" s="16" t="s">
        <v>120</v>
      </c>
      <c r="G439" s="16" t="s">
        <v>109</v>
      </c>
      <c r="H439" s="16">
        <v>42.345813999999997</v>
      </c>
      <c r="I439" s="16">
        <v>-6.3904769999999997</v>
      </c>
      <c r="J439" s="16" t="s">
        <v>126</v>
      </c>
      <c r="K439" s="16" t="s">
        <v>176</v>
      </c>
      <c r="L439" s="16" t="s">
        <v>177</v>
      </c>
      <c r="M439" s="16" t="s">
        <v>236</v>
      </c>
      <c r="N439" s="16" t="s">
        <v>238</v>
      </c>
      <c r="O439" s="16" t="s">
        <v>86</v>
      </c>
      <c r="Q439" s="16" t="s">
        <v>93</v>
      </c>
      <c r="R439" s="16">
        <v>2012</v>
      </c>
      <c r="S439" s="16">
        <v>9</v>
      </c>
      <c r="T439" s="16">
        <f>S439*12</f>
        <v>108</v>
      </c>
      <c r="U439" s="16">
        <v>11891</v>
      </c>
      <c r="W439" s="16">
        <v>9</v>
      </c>
      <c r="X439" s="16">
        <v>9</v>
      </c>
      <c r="Y439" s="16" t="s">
        <v>114</v>
      </c>
      <c r="Z439" s="16" t="s">
        <v>2</v>
      </c>
      <c r="AA439" s="16" t="s">
        <v>1</v>
      </c>
      <c r="AB439" s="16" t="s">
        <v>113</v>
      </c>
      <c r="AC439" s="1" t="s">
        <v>2</v>
      </c>
      <c r="AD439" s="1" t="s">
        <v>2</v>
      </c>
      <c r="AE439" s="1" t="s">
        <v>2</v>
      </c>
      <c r="AF439" s="16" t="s">
        <v>295</v>
      </c>
      <c r="AG439" s="16" t="s">
        <v>315</v>
      </c>
      <c r="AH439" s="16">
        <v>2.0299999999999998</v>
      </c>
      <c r="AI439" s="16">
        <f>2.89-1.42</f>
        <v>1.4700000000000002</v>
      </c>
      <c r="AK439" s="16">
        <v>2.5499999999999998</v>
      </c>
      <c r="AL439" s="16">
        <f>5.68-1.56</f>
        <v>4.1199999999999992</v>
      </c>
      <c r="AN439" s="12">
        <f>AH439-AK439</f>
        <v>-0.52</v>
      </c>
      <c r="AO439" s="1">
        <f>SQRT((((X439-1)*AI439^2)+((W439-1)*AL439^2))/(X439+W439-2))</f>
        <v>3.0931618127734599</v>
      </c>
      <c r="AP439" s="1">
        <f>AN439/AO439</f>
        <v>-0.16811276986952906</v>
      </c>
      <c r="AQ439" s="1">
        <f>1/X439+1/W439+(AP439^2)/(2*(X439+W439))</f>
        <v>0.22300727509425569</v>
      </c>
      <c r="AR439" s="1">
        <f>1-(3/(4*(X439+W439-2)-1))</f>
        <v>0.95238095238095233</v>
      </c>
      <c r="AS439" s="21">
        <f>AP439*AR439</f>
        <v>-0.16010739987574193</v>
      </c>
      <c r="AT439" s="21">
        <f>AQ439*(AR439^2)</f>
        <v>0.20227417242109358</v>
      </c>
      <c r="AU439" s="21">
        <f>SQRT(AQ439*AR439^2)</f>
        <v>0.4497490104726119</v>
      </c>
      <c r="AV439" s="20">
        <f>1/AT439</f>
        <v>4.9437849035822721</v>
      </c>
      <c r="AW439" s="20">
        <f>AS439/AT439</f>
        <v>-0.79153654645750315</v>
      </c>
      <c r="AX439" s="20">
        <f>((AS439)^2)/AT439</f>
        <v>0.12673085835993525</v>
      </c>
      <c r="AY439" s="15"/>
      <c r="AZ439" s="15"/>
      <c r="BA439" s="1" t="s">
        <v>270</v>
      </c>
      <c r="BB439" s="17"/>
    </row>
    <row r="440" spans="1:63" s="16" customFormat="1" ht="14.25">
      <c r="A440" s="17">
        <v>320</v>
      </c>
      <c r="B440" s="17" t="s">
        <v>243</v>
      </c>
      <c r="C440" s="12" t="s">
        <v>85</v>
      </c>
      <c r="D440" s="16">
        <v>2024</v>
      </c>
      <c r="E440" s="16">
        <v>2021</v>
      </c>
      <c r="F440" s="16" t="s">
        <v>120</v>
      </c>
      <c r="G440" s="16" t="s">
        <v>109</v>
      </c>
      <c r="H440" s="16">
        <v>42.345813999999997</v>
      </c>
      <c r="I440" s="16">
        <v>-6.3904769999999997</v>
      </c>
      <c r="J440" s="16" t="s">
        <v>126</v>
      </c>
      <c r="K440" s="16" t="s">
        <v>176</v>
      </c>
      <c r="L440" s="16" t="s">
        <v>177</v>
      </c>
      <c r="M440" s="16" t="s">
        <v>236</v>
      </c>
      <c r="N440" s="16" t="s">
        <v>238</v>
      </c>
      <c r="O440" s="16" t="s">
        <v>86</v>
      </c>
      <c r="Q440" s="16" t="s">
        <v>93</v>
      </c>
      <c r="R440" s="16">
        <v>2012</v>
      </c>
      <c r="S440" s="16">
        <v>9</v>
      </c>
      <c r="T440" s="1">
        <f>S440*12</f>
        <v>108</v>
      </c>
      <c r="U440" s="16">
        <v>11891</v>
      </c>
      <c r="W440" s="16">
        <v>9</v>
      </c>
      <c r="X440" s="16">
        <v>9</v>
      </c>
      <c r="Y440" s="16" t="s">
        <v>114</v>
      </c>
      <c r="Z440" s="16" t="s">
        <v>2</v>
      </c>
      <c r="AA440" s="16" t="s">
        <v>1</v>
      </c>
      <c r="AB440" s="16" t="s">
        <v>113</v>
      </c>
      <c r="AC440" s="1" t="s">
        <v>2</v>
      </c>
      <c r="AD440" s="1" t="s">
        <v>2</v>
      </c>
      <c r="AE440" s="1" t="s">
        <v>2</v>
      </c>
      <c r="AF440" s="16" t="s">
        <v>256</v>
      </c>
      <c r="AG440" s="16" t="s">
        <v>330</v>
      </c>
      <c r="AH440" s="15"/>
      <c r="AI440" s="15"/>
      <c r="AJ440" s="15"/>
      <c r="AK440" s="15"/>
      <c r="AL440" s="15"/>
      <c r="AM440" s="15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5"/>
      <c r="AZ440" s="15"/>
      <c r="BA440" s="16" t="s">
        <v>285</v>
      </c>
    </row>
    <row r="441" spans="1:63" s="16" customFormat="1" ht="14.25">
      <c r="A441" s="2">
        <v>21</v>
      </c>
      <c r="B441" s="2" t="s">
        <v>4</v>
      </c>
      <c r="C441" s="1" t="s">
        <v>85</v>
      </c>
      <c r="D441" s="1">
        <v>2005</v>
      </c>
      <c r="E441" s="1" t="s">
        <v>145</v>
      </c>
      <c r="F441" s="1" t="s">
        <v>120</v>
      </c>
      <c r="G441" s="1" t="s">
        <v>161</v>
      </c>
      <c r="H441" s="1">
        <v>42.641388999999997</v>
      </c>
      <c r="I441" s="1">
        <v>-2.2769439999999999</v>
      </c>
      <c r="J441" s="1" t="s">
        <v>135</v>
      </c>
      <c r="K441" s="1" t="s">
        <v>178</v>
      </c>
      <c r="L441" s="1" t="s">
        <v>194</v>
      </c>
      <c r="M441" s="1" t="s">
        <v>236</v>
      </c>
      <c r="N441" s="1" t="s">
        <v>238</v>
      </c>
      <c r="O441" s="1" t="s">
        <v>86</v>
      </c>
      <c r="P441" s="1" t="s">
        <v>146</v>
      </c>
      <c r="Q441" s="1" t="s">
        <v>93</v>
      </c>
      <c r="R441" s="1">
        <v>1994</v>
      </c>
      <c r="S441" s="1">
        <v>4</v>
      </c>
      <c r="T441" s="1">
        <f>S441*12</f>
        <v>48</v>
      </c>
      <c r="U441" s="1"/>
      <c r="V441" s="1">
        <v>38</v>
      </c>
      <c r="W441" s="1">
        <f>12*5</f>
        <v>60</v>
      </c>
      <c r="X441" s="1">
        <f>12*5</f>
        <v>60</v>
      </c>
      <c r="Y441" s="1" t="s">
        <v>134</v>
      </c>
      <c r="Z441" s="1" t="s">
        <v>133</v>
      </c>
      <c r="AA441" s="1" t="s">
        <v>0</v>
      </c>
      <c r="AB441" s="1" t="s">
        <v>148</v>
      </c>
      <c r="AC441" s="1" t="s">
        <v>2</v>
      </c>
      <c r="AD441" s="1" t="s">
        <v>2</v>
      </c>
      <c r="AE441" s="1" t="s">
        <v>2</v>
      </c>
      <c r="AF441" s="1" t="s">
        <v>222</v>
      </c>
      <c r="AG441" s="1" t="s">
        <v>332</v>
      </c>
      <c r="AH441" s="1">
        <v>6.5</v>
      </c>
      <c r="AI441" s="7" t="s">
        <v>2</v>
      </c>
      <c r="AJ441" s="7" t="s">
        <v>2</v>
      </c>
      <c r="AK441" s="1">
        <v>7.1</v>
      </c>
      <c r="AL441" s="7" t="s">
        <v>2</v>
      </c>
      <c r="AM441" s="7" t="s">
        <v>2</v>
      </c>
      <c r="AN441" s="12">
        <f>AH441-AK441</f>
        <v>-0.59999999999999964</v>
      </c>
      <c r="AO441" s="1" t="e">
        <f>SQRT((((X441-1)*AI441^2)+((W441-1)*AL441^2))/(X441+W441-2))</f>
        <v>#VALUE!</v>
      </c>
      <c r="AP441" s="1" t="e">
        <f>AN441/AO441</f>
        <v>#VALUE!</v>
      </c>
      <c r="AQ441" s="1" t="e">
        <f>1/X441+1/W441+(AP441^2)/(2*(X441+W441))</f>
        <v>#VALUE!</v>
      </c>
      <c r="AR441" s="1">
        <f>1-(3/(4*(X441+W441-2)-1))</f>
        <v>0.99363057324840764</v>
      </c>
      <c r="AS441" s="1" t="e">
        <f>AP441*AR441</f>
        <v>#VALUE!</v>
      </c>
      <c r="AT441" s="1"/>
      <c r="AU441" s="1" t="e">
        <f>SQRT(AQ441*AR441^2)</f>
        <v>#VALUE!</v>
      </c>
      <c r="AV441" s="1"/>
      <c r="AW441" s="1"/>
      <c r="AX441" s="1"/>
      <c r="AY441" s="14"/>
      <c r="AZ441" s="14"/>
      <c r="BA441" s="1" t="s">
        <v>270</v>
      </c>
      <c r="BB441" s="2"/>
      <c r="BC441" s="1"/>
      <c r="BD441" s="1"/>
      <c r="BE441" s="1"/>
      <c r="BF441" s="1"/>
      <c r="BG441" s="1"/>
      <c r="BH441" s="1"/>
      <c r="BI441" s="1"/>
      <c r="BJ441" s="1"/>
      <c r="BK441" s="1"/>
    </row>
    <row r="442" spans="1:63" s="16" customFormat="1" ht="14.25">
      <c r="A442" s="17">
        <v>320</v>
      </c>
      <c r="B442" s="17" t="s">
        <v>243</v>
      </c>
      <c r="C442" s="12" t="s">
        <v>85</v>
      </c>
      <c r="D442" s="16">
        <v>2024</v>
      </c>
      <c r="E442" s="16">
        <v>2021</v>
      </c>
      <c r="F442" s="16" t="s">
        <v>120</v>
      </c>
      <c r="G442" s="16" t="s">
        <v>109</v>
      </c>
      <c r="H442" s="16">
        <v>42.345813999999997</v>
      </c>
      <c r="I442" s="16">
        <v>-6.3904769999999997</v>
      </c>
      <c r="J442" s="16" t="s">
        <v>126</v>
      </c>
      <c r="K442" s="16" t="s">
        <v>176</v>
      </c>
      <c r="L442" s="16" t="s">
        <v>177</v>
      </c>
      <c r="M442" s="16" t="s">
        <v>236</v>
      </c>
      <c r="N442" s="16" t="s">
        <v>238</v>
      </c>
      <c r="O442" s="16" t="s">
        <v>86</v>
      </c>
      <c r="Q442" s="16" t="s">
        <v>93</v>
      </c>
      <c r="R442" s="16">
        <v>2005</v>
      </c>
      <c r="S442" s="16">
        <v>16</v>
      </c>
      <c r="T442" s="16">
        <f>S442*12</f>
        <v>192</v>
      </c>
      <c r="U442" s="16">
        <v>1172</v>
      </c>
      <c r="W442" s="16">
        <v>9</v>
      </c>
      <c r="X442" s="16">
        <v>9</v>
      </c>
      <c r="Y442" s="16" t="s">
        <v>114</v>
      </c>
      <c r="Z442" s="16" t="s">
        <v>2</v>
      </c>
      <c r="AA442" s="16" t="s">
        <v>1</v>
      </c>
      <c r="AB442" s="16" t="s">
        <v>113</v>
      </c>
      <c r="AC442" s="1" t="s">
        <v>2</v>
      </c>
      <c r="AD442" s="1" t="s">
        <v>2</v>
      </c>
      <c r="AE442" s="1" t="s">
        <v>2</v>
      </c>
      <c r="AF442" s="16" t="s">
        <v>297</v>
      </c>
      <c r="AG442" s="16" t="s">
        <v>315</v>
      </c>
      <c r="AH442" s="16">
        <v>61.63</v>
      </c>
      <c r="AI442" s="16">
        <f>215.4-22.4</f>
        <v>193</v>
      </c>
      <c r="AK442" s="16">
        <v>224.36</v>
      </c>
      <c r="AL442" s="16">
        <f>350-188.46</f>
        <v>161.54</v>
      </c>
      <c r="AN442" s="12">
        <f>AH442-AK442</f>
        <v>-162.73000000000002</v>
      </c>
      <c r="AO442" s="1">
        <f>SQRT((((X442-1)*AI442^2)+((W442-1)*AL442^2))/(X442+W442-2))</f>
        <v>177.9665299993232</v>
      </c>
      <c r="AP442" s="1">
        <f>AN442/AO442</f>
        <v>-0.9143854184301895</v>
      </c>
      <c r="AQ442" s="1">
        <f>1/X442+1/W442+(AP442^2)/(2*(X442+W442))</f>
        <v>0.24544724148438202</v>
      </c>
      <c r="AR442" s="1">
        <f>1-(3/(4*(X442+W442-2)-1))</f>
        <v>0.95238095238095233</v>
      </c>
      <c r="AS442" s="21">
        <f>AP442*AR442</f>
        <v>-0.87084325564779952</v>
      </c>
      <c r="AT442" s="21">
        <f>AQ442*(AR442^2)</f>
        <v>0.22262788343254603</v>
      </c>
      <c r="AU442" s="21">
        <f>SQRT(AQ442*AR442^2)</f>
        <v>0.47183459329784844</v>
      </c>
      <c r="AV442" s="20">
        <f>1/AT442</f>
        <v>4.4918003287894068</v>
      </c>
      <c r="AW442" s="20">
        <f>AS442/AT442</f>
        <v>-3.9116540220428235</v>
      </c>
      <c r="AX442" s="20">
        <f>((AS442)^2)/AT442</f>
        <v>3.4064375235235818</v>
      </c>
      <c r="AY442" s="15"/>
      <c r="AZ442" s="15"/>
      <c r="BA442" s="1" t="s">
        <v>270</v>
      </c>
      <c r="BB442" s="17"/>
    </row>
    <row r="443" spans="1:63" s="16" customFormat="1" ht="14.25">
      <c r="A443" s="17">
        <v>320</v>
      </c>
      <c r="B443" s="17" t="s">
        <v>243</v>
      </c>
      <c r="C443" s="12" t="s">
        <v>85</v>
      </c>
      <c r="D443" s="16">
        <v>2024</v>
      </c>
      <c r="E443" s="16">
        <v>2021</v>
      </c>
      <c r="F443" s="16" t="s">
        <v>120</v>
      </c>
      <c r="G443" s="16" t="s">
        <v>109</v>
      </c>
      <c r="H443" s="16">
        <v>42.345813999999997</v>
      </c>
      <c r="I443" s="16">
        <v>-6.3904769999999997</v>
      </c>
      <c r="J443" s="16" t="s">
        <v>126</v>
      </c>
      <c r="K443" s="16" t="s">
        <v>176</v>
      </c>
      <c r="L443" s="16" t="s">
        <v>177</v>
      </c>
      <c r="M443" s="16" t="s">
        <v>236</v>
      </c>
      <c r="N443" s="16" t="s">
        <v>238</v>
      </c>
      <c r="O443" s="16" t="s">
        <v>86</v>
      </c>
      <c r="Q443" s="16" t="s">
        <v>93</v>
      </c>
      <c r="R443" s="16">
        <v>2005</v>
      </c>
      <c r="S443" s="16">
        <v>16</v>
      </c>
      <c r="T443" s="16">
        <f>S443*12</f>
        <v>192</v>
      </c>
      <c r="U443" s="16">
        <v>1172</v>
      </c>
      <c r="W443" s="16">
        <v>9</v>
      </c>
      <c r="X443" s="16">
        <v>9</v>
      </c>
      <c r="Y443" s="16" t="s">
        <v>114</v>
      </c>
      <c r="Z443" s="16" t="s">
        <v>2</v>
      </c>
      <c r="AA443" s="16" t="s">
        <v>1</v>
      </c>
      <c r="AB443" s="16" t="s">
        <v>113</v>
      </c>
      <c r="AC443" s="1" t="s">
        <v>2</v>
      </c>
      <c r="AD443" s="1" t="s">
        <v>2</v>
      </c>
      <c r="AE443" s="1" t="s">
        <v>2</v>
      </c>
      <c r="AF443" s="16" t="s">
        <v>149</v>
      </c>
      <c r="AG443" s="16" t="s">
        <v>315</v>
      </c>
      <c r="AH443" s="16">
        <v>1.06</v>
      </c>
      <c r="AI443" s="16">
        <f>1.52-0.91</f>
        <v>0.61</v>
      </c>
      <c r="AK443" s="16">
        <v>3.17</v>
      </c>
      <c r="AL443" s="16">
        <f>4.48-2.85</f>
        <v>1.6300000000000003</v>
      </c>
      <c r="AN443" s="12">
        <f>AH443-AK443</f>
        <v>-2.11</v>
      </c>
      <c r="AO443" s="1">
        <f>SQRT((((X443-1)*AI443^2)+((W443-1)*AL443^2))/(X443+W443-2))</f>
        <v>1.2306502346320829</v>
      </c>
      <c r="AP443" s="1">
        <f>AN443/AO443</f>
        <v>-1.7145407692794279</v>
      </c>
      <c r="AQ443" s="1">
        <f>1/X443+1/W443+(AP443^2)/(2*(X443+W443))</f>
        <v>0.30387916804225812</v>
      </c>
      <c r="AR443" s="1">
        <f>1-(3/(4*(X443+W443-2)-1))</f>
        <v>0.95238095238095233</v>
      </c>
      <c r="AS443" s="21">
        <f>AP443*AR443</f>
        <v>-1.6328959707423121</v>
      </c>
      <c r="AT443" s="21">
        <f>AQ443*(AR443^2)</f>
        <v>0.27562736330363546</v>
      </c>
      <c r="AU443" s="21">
        <f>SQRT(AQ443*AR443^2)</f>
        <v>0.52500225076054241</v>
      </c>
      <c r="AV443" s="20">
        <f>1/AT443</f>
        <v>3.6280868053669408</v>
      </c>
      <c r="AW443" s="20">
        <f>AS443/AT443</f>
        <v>-5.9242883259870247</v>
      </c>
      <c r="AX443" s="20">
        <f>((AS443)^2)/AT443</f>
        <v>9.6737465370199303</v>
      </c>
      <c r="AY443" s="15"/>
      <c r="AZ443" s="15"/>
      <c r="BA443" s="1" t="s">
        <v>270</v>
      </c>
      <c r="BB443" s="17"/>
    </row>
    <row r="444" spans="1:63" s="16" customFormat="1" ht="14.25">
      <c r="A444" s="17">
        <v>320</v>
      </c>
      <c r="B444" s="17" t="s">
        <v>243</v>
      </c>
      <c r="C444" s="12" t="s">
        <v>85</v>
      </c>
      <c r="D444" s="16">
        <v>2024</v>
      </c>
      <c r="E444" s="16">
        <v>2021</v>
      </c>
      <c r="F444" s="16" t="s">
        <v>120</v>
      </c>
      <c r="G444" s="16" t="s">
        <v>109</v>
      </c>
      <c r="H444" s="16">
        <v>42.345813999999997</v>
      </c>
      <c r="I444" s="16">
        <v>-6.3904769999999997</v>
      </c>
      <c r="J444" s="16" t="s">
        <v>126</v>
      </c>
      <c r="K444" s="16" t="s">
        <v>176</v>
      </c>
      <c r="L444" s="16" t="s">
        <v>177</v>
      </c>
      <c r="M444" s="16" t="s">
        <v>236</v>
      </c>
      <c r="N444" s="16" t="s">
        <v>238</v>
      </c>
      <c r="O444" s="16" t="s">
        <v>86</v>
      </c>
      <c r="Q444" s="16" t="s">
        <v>93</v>
      </c>
      <c r="R444" s="16">
        <v>2005</v>
      </c>
      <c r="S444" s="16">
        <v>16</v>
      </c>
      <c r="T444" s="16">
        <f>S444*12</f>
        <v>192</v>
      </c>
      <c r="U444" s="16">
        <v>1172</v>
      </c>
      <c r="W444" s="16">
        <v>9</v>
      </c>
      <c r="X444" s="16">
        <v>9</v>
      </c>
      <c r="Y444" s="16" t="s">
        <v>114</v>
      </c>
      <c r="Z444" s="16" t="s">
        <v>2</v>
      </c>
      <c r="AA444" s="16" t="s">
        <v>1</v>
      </c>
      <c r="AB444" s="16" t="s">
        <v>113</v>
      </c>
      <c r="AC444" s="1" t="s">
        <v>2</v>
      </c>
      <c r="AD444" s="1" t="s">
        <v>2</v>
      </c>
      <c r="AE444" s="1" t="s">
        <v>2</v>
      </c>
      <c r="AF444" s="16" t="s">
        <v>384</v>
      </c>
      <c r="AG444" s="16" t="s">
        <v>315</v>
      </c>
      <c r="AH444" s="16">
        <v>6.03</v>
      </c>
      <c r="AI444" s="16">
        <f>7.57-2.74</f>
        <v>4.83</v>
      </c>
      <c r="AK444" s="16">
        <v>11.96</v>
      </c>
      <c r="AL444" s="16">
        <f>14.6-8.34</f>
        <v>6.26</v>
      </c>
      <c r="AN444" s="12">
        <f>AH444-AK444</f>
        <v>-5.9300000000000006</v>
      </c>
      <c r="AO444" s="1">
        <f>SQRT((((X444-1)*AI444^2)+((W444-1)*AL444^2))/(X444+W444-2))</f>
        <v>5.5909077974869161</v>
      </c>
      <c r="AP444" s="1">
        <f>AN444/AO444</f>
        <v>-1.0606506518790213</v>
      </c>
      <c r="AQ444" s="1">
        <f>1/X444+1/W444+(AP444^2)/(2*(X444+W444))</f>
        <v>0.25347166125920534</v>
      </c>
      <c r="AR444" s="1">
        <f>1-(3/(4*(X444+W444-2)-1))</f>
        <v>0.95238095238095233</v>
      </c>
      <c r="AS444" s="21">
        <f>AP444*AR444</f>
        <v>-1.0101434779800202</v>
      </c>
      <c r="AT444" s="21">
        <f>AQ444*(AR444^2)</f>
        <v>0.2299062687158325</v>
      </c>
      <c r="AU444" s="21">
        <f>SQRT(AQ444*AR444^2)</f>
        <v>0.47948542075420031</v>
      </c>
      <c r="AV444" s="20">
        <f>1/AT444</f>
        <v>4.3495986672551963</v>
      </c>
      <c r="AW444" s="20">
        <f>AS444/AT444</f>
        <v>-4.3937187255584247</v>
      </c>
      <c r="AX444" s="20">
        <f>((AS444)^2)/AT444</f>
        <v>4.4382863147015286</v>
      </c>
      <c r="AY444" s="15"/>
      <c r="AZ444" s="15"/>
      <c r="BA444" s="1" t="s">
        <v>270</v>
      </c>
      <c r="BB444" s="17"/>
    </row>
    <row r="445" spans="1:63" s="16" customFormat="1" ht="14.25">
      <c r="A445" s="17">
        <v>320</v>
      </c>
      <c r="B445" s="17" t="s">
        <v>243</v>
      </c>
      <c r="C445" s="12" t="s">
        <v>85</v>
      </c>
      <c r="D445" s="16">
        <v>2024</v>
      </c>
      <c r="E445" s="16">
        <v>2021</v>
      </c>
      <c r="F445" s="16" t="s">
        <v>120</v>
      </c>
      <c r="G445" s="16" t="s">
        <v>109</v>
      </c>
      <c r="H445" s="16">
        <v>42.345813999999997</v>
      </c>
      <c r="I445" s="16">
        <v>-6.3904769999999997</v>
      </c>
      <c r="J445" s="16" t="s">
        <v>126</v>
      </c>
      <c r="K445" s="16" t="s">
        <v>176</v>
      </c>
      <c r="L445" s="16" t="s">
        <v>177</v>
      </c>
      <c r="M445" s="16" t="s">
        <v>236</v>
      </c>
      <c r="N445" s="16" t="s">
        <v>238</v>
      </c>
      <c r="O445" s="16" t="s">
        <v>86</v>
      </c>
      <c r="Q445" s="16" t="s">
        <v>93</v>
      </c>
      <c r="R445" s="16">
        <v>2005</v>
      </c>
      <c r="S445" s="16">
        <v>16</v>
      </c>
      <c r="T445" s="16">
        <f>S445*12</f>
        <v>192</v>
      </c>
      <c r="U445" s="16">
        <v>1172</v>
      </c>
      <c r="W445" s="16">
        <v>9</v>
      </c>
      <c r="X445" s="16">
        <v>9</v>
      </c>
      <c r="Y445" s="16" t="s">
        <v>114</v>
      </c>
      <c r="Z445" s="16" t="s">
        <v>2</v>
      </c>
      <c r="AA445" s="16" t="s">
        <v>1</v>
      </c>
      <c r="AB445" s="16" t="s">
        <v>113</v>
      </c>
      <c r="AC445" s="1" t="s">
        <v>2</v>
      </c>
      <c r="AD445" s="1" t="s">
        <v>2</v>
      </c>
      <c r="AE445" s="1" t="s">
        <v>2</v>
      </c>
      <c r="AF445" s="16" t="s">
        <v>385</v>
      </c>
      <c r="AG445" s="16" t="s">
        <v>315</v>
      </c>
      <c r="AH445" s="16">
        <v>41.42</v>
      </c>
      <c r="AI445" s="16">
        <f>190.53-8.28</f>
        <v>182.25</v>
      </c>
      <c r="AK445" s="16">
        <v>161.54</v>
      </c>
      <c r="AL445" s="16">
        <f>256.8-124.26</f>
        <v>132.54000000000002</v>
      </c>
      <c r="AN445" s="12">
        <f>AH445-AK445</f>
        <v>-120.11999999999999</v>
      </c>
      <c r="AO445" s="1">
        <f>SQRT((((X445-1)*AI445^2)+((W445-1)*AL445^2))/(X445+W445-2))</f>
        <v>159.34540172217083</v>
      </c>
      <c r="AP445" s="1">
        <f>AN445/AO445</f>
        <v>-0.75383411571196191</v>
      </c>
      <c r="AQ445" s="1">
        <f>1/X445+1/W445+(AP445^2)/(2*(X445+W445))</f>
        <v>0.23800738538920096</v>
      </c>
      <c r="AR445" s="1">
        <f>1-(3/(4*(X445+W445-2)-1))</f>
        <v>0.95238095238095233</v>
      </c>
      <c r="AS445" s="21">
        <f>AP445*AR445</f>
        <v>-0.71793725305901135</v>
      </c>
      <c r="AT445" s="21">
        <f>AQ445*(AR445^2)</f>
        <v>0.21587971463873101</v>
      </c>
      <c r="AU445" s="21">
        <f>SQRT(AQ445*AR445^2)</f>
        <v>0.46462857707929567</v>
      </c>
      <c r="AV445" s="20">
        <f>1/AT445</f>
        <v>4.6322091988748157</v>
      </c>
      <c r="AW445" s="20">
        <f>AS445/AT445</f>
        <v>-3.3256355478348687</v>
      </c>
      <c r="AX445" s="20">
        <f>((AS445)^2)/AT445</f>
        <v>2.3875976498879661</v>
      </c>
      <c r="AY445" s="15"/>
      <c r="AZ445" s="15"/>
      <c r="BA445" s="1" t="s">
        <v>270</v>
      </c>
      <c r="BB445" s="17"/>
    </row>
    <row r="446" spans="1:63" s="16" customFormat="1" ht="14.25">
      <c r="A446" s="17">
        <v>320</v>
      </c>
      <c r="B446" s="17" t="s">
        <v>243</v>
      </c>
      <c r="C446" s="12" t="s">
        <v>85</v>
      </c>
      <c r="D446" s="16">
        <v>2024</v>
      </c>
      <c r="E446" s="16">
        <v>2021</v>
      </c>
      <c r="F446" s="16" t="s">
        <v>120</v>
      </c>
      <c r="G446" s="16" t="s">
        <v>109</v>
      </c>
      <c r="H446" s="16">
        <v>42.345813999999997</v>
      </c>
      <c r="I446" s="16">
        <v>-6.3904769999999997</v>
      </c>
      <c r="J446" s="16" t="s">
        <v>126</v>
      </c>
      <c r="K446" s="16" t="s">
        <v>176</v>
      </c>
      <c r="L446" s="16" t="s">
        <v>177</v>
      </c>
      <c r="M446" s="16" t="s">
        <v>236</v>
      </c>
      <c r="N446" s="16" t="s">
        <v>238</v>
      </c>
      <c r="O446" s="16" t="s">
        <v>86</v>
      </c>
      <c r="Q446" s="16" t="s">
        <v>93</v>
      </c>
      <c r="R446" s="16">
        <v>2005</v>
      </c>
      <c r="S446" s="16">
        <v>16</v>
      </c>
      <c r="T446" s="16">
        <f>S446*12</f>
        <v>192</v>
      </c>
      <c r="U446" s="16">
        <v>1172</v>
      </c>
      <c r="W446" s="16">
        <v>9</v>
      </c>
      <c r="X446" s="16">
        <v>9</v>
      </c>
      <c r="Y446" s="16" t="s">
        <v>114</v>
      </c>
      <c r="Z446" s="16" t="s">
        <v>2</v>
      </c>
      <c r="AA446" s="16" t="s">
        <v>1</v>
      </c>
      <c r="AB446" s="16" t="s">
        <v>113</v>
      </c>
      <c r="AC446" s="1" t="s">
        <v>2</v>
      </c>
      <c r="AD446" s="1" t="s">
        <v>2</v>
      </c>
      <c r="AE446" s="1" t="s">
        <v>2</v>
      </c>
      <c r="AF446" s="16" t="s">
        <v>387</v>
      </c>
      <c r="AG446" s="16" t="s">
        <v>315</v>
      </c>
      <c r="AH446" s="16">
        <v>0.76</v>
      </c>
      <c r="AI446" s="16">
        <f>1.09-0.4</f>
        <v>0.69000000000000006</v>
      </c>
      <c r="AK446" s="16">
        <v>2.84</v>
      </c>
      <c r="AL446" s="16">
        <f>3.75-2.4</f>
        <v>1.35</v>
      </c>
      <c r="AN446" s="12">
        <f>AH446-AK446</f>
        <v>-2.08</v>
      </c>
      <c r="AO446" s="1">
        <f>SQRT((((X446-1)*AI446^2)+((W446-1)*AL446^2))/(X446+W446-2))</f>
        <v>1.0720541031123383</v>
      </c>
      <c r="AP446" s="1">
        <f>AN446/AO446</f>
        <v>-1.9402005868560546</v>
      </c>
      <c r="AQ446" s="1">
        <f>1/X446+1/W446+(AP446^2)/(2*(X446+W446))</f>
        <v>0.32678828658990494</v>
      </c>
      <c r="AR446" s="1">
        <f>1-(3/(4*(X446+W446-2)-1))</f>
        <v>0.95238095238095233</v>
      </c>
      <c r="AS446" s="21">
        <f>AP446*AR446</f>
        <v>-1.8478100827200519</v>
      </c>
      <c r="AT446" s="21">
        <f>AQ446*(AR446^2)</f>
        <v>0.29640660915184119</v>
      </c>
      <c r="AU446" s="21">
        <f>SQRT(AQ446*AR446^2)</f>
        <v>0.5444323733503007</v>
      </c>
      <c r="AV446" s="20">
        <f>1/AT446</f>
        <v>3.3737439352701029</v>
      </c>
      <c r="AW446" s="20">
        <f>AS446/AT446</f>
        <v>-6.2340380601077223</v>
      </c>
      <c r="AX446" s="20">
        <f>((AS446)^2)/AT446</f>
        <v>11.519318383527603</v>
      </c>
      <c r="AY446" s="15"/>
      <c r="AZ446" s="15"/>
      <c r="BA446" s="1" t="s">
        <v>270</v>
      </c>
      <c r="BB446" s="17"/>
    </row>
    <row r="447" spans="1:63" s="16" customFormat="1" ht="14.25">
      <c r="A447" s="17">
        <v>320</v>
      </c>
      <c r="B447" s="17" t="s">
        <v>243</v>
      </c>
      <c r="C447" s="12" t="s">
        <v>85</v>
      </c>
      <c r="D447" s="16">
        <v>2024</v>
      </c>
      <c r="E447" s="16">
        <v>2021</v>
      </c>
      <c r="F447" s="16" t="s">
        <v>120</v>
      </c>
      <c r="G447" s="16" t="s">
        <v>109</v>
      </c>
      <c r="H447" s="16">
        <v>42.345813999999997</v>
      </c>
      <c r="I447" s="16">
        <v>-6.3904769999999997</v>
      </c>
      <c r="J447" s="16" t="s">
        <v>126</v>
      </c>
      <c r="K447" s="16" t="s">
        <v>176</v>
      </c>
      <c r="L447" s="16" t="s">
        <v>177</v>
      </c>
      <c r="M447" s="16" t="s">
        <v>236</v>
      </c>
      <c r="N447" s="16" t="s">
        <v>238</v>
      </c>
      <c r="O447" s="16" t="s">
        <v>86</v>
      </c>
      <c r="Q447" s="16" t="s">
        <v>93</v>
      </c>
      <c r="R447" s="16">
        <v>2005</v>
      </c>
      <c r="S447" s="16">
        <v>16</v>
      </c>
      <c r="T447" s="16">
        <f>S447*12</f>
        <v>192</v>
      </c>
      <c r="U447" s="16">
        <v>1172</v>
      </c>
      <c r="W447" s="16">
        <v>9</v>
      </c>
      <c r="X447" s="16">
        <v>9</v>
      </c>
      <c r="Y447" s="16" t="s">
        <v>114</v>
      </c>
      <c r="Z447" s="16" t="s">
        <v>2</v>
      </c>
      <c r="AA447" s="16" t="s">
        <v>1</v>
      </c>
      <c r="AB447" s="16" t="s">
        <v>113</v>
      </c>
      <c r="AC447" s="1" t="s">
        <v>2</v>
      </c>
      <c r="AD447" s="1" t="s">
        <v>2</v>
      </c>
      <c r="AE447" s="1" t="s">
        <v>2</v>
      </c>
      <c r="AF447" s="16" t="s">
        <v>150</v>
      </c>
      <c r="AG447" s="16" t="s">
        <v>315</v>
      </c>
      <c r="AH447" s="16">
        <v>6.12</v>
      </c>
      <c r="AI447" s="16">
        <f>8.77-4.29</f>
        <v>4.4799999999999995</v>
      </c>
      <c r="AK447" s="16">
        <v>14.08</v>
      </c>
      <c r="AL447" s="16">
        <f>18.37-11.22</f>
        <v>7.15</v>
      </c>
      <c r="AN447" s="12">
        <f>AH447-AK447</f>
        <v>-7.96</v>
      </c>
      <c r="AO447" s="1">
        <f>SQRT((((X447-1)*AI447^2)+((W447-1)*AL447^2))/(X447+W447-2))</f>
        <v>5.9662760579778737</v>
      </c>
      <c r="AP447" s="1">
        <f>AN447/AO447</f>
        <v>-1.3341655536297545</v>
      </c>
      <c r="AQ447" s="1">
        <f>1/X447+1/W447+(AP447^2)/(2*(X447+W447))</f>
        <v>0.27166660345811633</v>
      </c>
      <c r="AR447" s="1">
        <f>1-(3/(4*(X447+W447-2)-1))</f>
        <v>0.95238095238095233</v>
      </c>
      <c r="AS447" s="21">
        <f>AP447*AR447</f>
        <v>-1.2706338605997662</v>
      </c>
      <c r="AT447" s="21">
        <f>AQ447*(AR447^2)</f>
        <v>0.24640961764908509</v>
      </c>
      <c r="AU447" s="21">
        <f>SQRT(AQ447*AR447^2)</f>
        <v>0.49639663339821827</v>
      </c>
      <c r="AV447" s="20">
        <f>1/AT447</f>
        <v>4.0582831528277117</v>
      </c>
      <c r="AW447" s="20">
        <f>AS447/AT447</f>
        <v>-5.1565919898844665</v>
      </c>
      <c r="AX447" s="20">
        <f>((AS447)^2)/AT447</f>
        <v>6.5521403876447302</v>
      </c>
      <c r="AY447" s="15"/>
      <c r="AZ447" s="15"/>
      <c r="BA447" s="1" t="s">
        <v>270</v>
      </c>
      <c r="BB447" s="17"/>
    </row>
    <row r="448" spans="1:63" s="16" customFormat="1" ht="14.25">
      <c r="A448" s="17">
        <v>320</v>
      </c>
      <c r="B448" s="17" t="s">
        <v>243</v>
      </c>
      <c r="C448" s="12" t="s">
        <v>85</v>
      </c>
      <c r="D448" s="16">
        <v>2024</v>
      </c>
      <c r="E448" s="16">
        <v>2021</v>
      </c>
      <c r="F448" s="16" t="s">
        <v>120</v>
      </c>
      <c r="G448" s="16" t="s">
        <v>109</v>
      </c>
      <c r="H448" s="16">
        <v>42.345813999999997</v>
      </c>
      <c r="I448" s="16">
        <v>-6.3904769999999997</v>
      </c>
      <c r="J448" s="16" t="s">
        <v>126</v>
      </c>
      <c r="K448" s="16" t="s">
        <v>176</v>
      </c>
      <c r="L448" s="16" t="s">
        <v>177</v>
      </c>
      <c r="M448" s="16" t="s">
        <v>236</v>
      </c>
      <c r="N448" s="16" t="s">
        <v>238</v>
      </c>
      <c r="O448" s="16" t="s">
        <v>86</v>
      </c>
      <c r="Q448" s="16" t="s">
        <v>93</v>
      </c>
      <c r="R448" s="16">
        <v>2005</v>
      </c>
      <c r="S448" s="16">
        <v>16</v>
      </c>
      <c r="T448" s="16">
        <f>S448*12</f>
        <v>192</v>
      </c>
      <c r="U448" s="16">
        <v>1172</v>
      </c>
      <c r="W448" s="16">
        <v>9</v>
      </c>
      <c r="X448" s="16">
        <v>9</v>
      </c>
      <c r="Y448" s="16" t="s">
        <v>114</v>
      </c>
      <c r="Z448" s="16" t="s">
        <v>2</v>
      </c>
      <c r="AA448" s="16" t="s">
        <v>1</v>
      </c>
      <c r="AB448" s="16" t="s">
        <v>113</v>
      </c>
      <c r="AC448" s="1" t="s">
        <v>2</v>
      </c>
      <c r="AD448" s="1" t="s">
        <v>2</v>
      </c>
      <c r="AE448" s="1" t="s">
        <v>2</v>
      </c>
      <c r="AF448" s="16" t="s">
        <v>306</v>
      </c>
      <c r="AG448" s="16" t="s">
        <v>315</v>
      </c>
      <c r="AH448" s="16">
        <v>13.15</v>
      </c>
      <c r="AI448" s="16">
        <f>24.66-8.22</f>
        <v>16.439999999999998</v>
      </c>
      <c r="AK448" s="16">
        <v>50.96</v>
      </c>
      <c r="AL448" s="16">
        <f>72.33-36.16</f>
        <v>36.17</v>
      </c>
      <c r="AN448" s="12">
        <f>AH448-AK448</f>
        <v>-37.81</v>
      </c>
      <c r="AO448" s="1">
        <f>SQRT((((X448-1)*AI448^2)+((W448-1)*AL448^2))/(X448+W448-2))</f>
        <v>28.093971773318206</v>
      </c>
      <c r="AP448" s="1">
        <f>AN448/AO448</f>
        <v>-1.3458403213713426</v>
      </c>
      <c r="AQ448" s="1">
        <f>1/X448+1/W448+(AP448^2)/(2*(X448+W448))</f>
        <v>0.27253572696191442</v>
      </c>
      <c r="AR448" s="1">
        <f>1-(3/(4*(X448+W448-2)-1))</f>
        <v>0.95238095238095233</v>
      </c>
      <c r="AS448" s="21">
        <f>AP448*AR448</f>
        <v>-1.2817526870203262</v>
      </c>
      <c r="AT448" s="21">
        <f>AQ448*(AR448^2)</f>
        <v>0.24719793828745071</v>
      </c>
      <c r="AU448" s="21">
        <f>SQRT(AQ448*AR448^2)</f>
        <v>0.49719004242588238</v>
      </c>
      <c r="AV448" s="20">
        <f>1/AT448</f>
        <v>4.0453411825674852</v>
      </c>
      <c r="AW448" s="20">
        <f>AS448/AT448</f>
        <v>-5.185126930669858</v>
      </c>
      <c r="AX448" s="20">
        <f>((AS448)^2)/AT448</f>
        <v>6.6460503759275467</v>
      </c>
      <c r="AY448" s="15"/>
      <c r="AZ448" s="15"/>
      <c r="BA448" s="1" t="s">
        <v>270</v>
      </c>
      <c r="BB448" s="17"/>
    </row>
    <row r="449" spans="1:54" s="16" customFormat="1" ht="14.25">
      <c r="A449" s="17">
        <v>320</v>
      </c>
      <c r="B449" s="17" t="s">
        <v>243</v>
      </c>
      <c r="C449" s="12" t="s">
        <v>85</v>
      </c>
      <c r="D449" s="16">
        <v>2024</v>
      </c>
      <c r="E449" s="16">
        <v>2021</v>
      </c>
      <c r="F449" s="16" t="s">
        <v>120</v>
      </c>
      <c r="G449" s="16" t="s">
        <v>109</v>
      </c>
      <c r="H449" s="16">
        <v>42.345813999999997</v>
      </c>
      <c r="I449" s="16">
        <v>-6.3904769999999997</v>
      </c>
      <c r="J449" s="16" t="s">
        <v>126</v>
      </c>
      <c r="K449" s="16" t="s">
        <v>176</v>
      </c>
      <c r="L449" s="16" t="s">
        <v>177</v>
      </c>
      <c r="M449" s="16" t="s">
        <v>236</v>
      </c>
      <c r="N449" s="16" t="s">
        <v>238</v>
      </c>
      <c r="O449" s="16" t="s">
        <v>86</v>
      </c>
      <c r="Q449" s="16" t="s">
        <v>93</v>
      </c>
      <c r="R449" s="16">
        <v>2005</v>
      </c>
      <c r="S449" s="16">
        <v>16</v>
      </c>
      <c r="T449" s="16">
        <f>S449*12</f>
        <v>192</v>
      </c>
      <c r="U449" s="16">
        <v>1172</v>
      </c>
      <c r="W449" s="16">
        <v>9</v>
      </c>
      <c r="X449" s="16">
        <v>9</v>
      </c>
      <c r="Y449" s="16" t="s">
        <v>114</v>
      </c>
      <c r="Z449" s="16" t="s">
        <v>2</v>
      </c>
      <c r="AA449" s="16" t="s">
        <v>1</v>
      </c>
      <c r="AB449" s="16" t="s">
        <v>113</v>
      </c>
      <c r="AC449" s="1" t="s">
        <v>2</v>
      </c>
      <c r="AD449" s="1" t="s">
        <v>2</v>
      </c>
      <c r="AE449" s="1" t="s">
        <v>2</v>
      </c>
      <c r="AF449" s="16" t="s">
        <v>295</v>
      </c>
      <c r="AG449" s="16" t="s">
        <v>315</v>
      </c>
      <c r="AH449" s="16">
        <v>2.41</v>
      </c>
      <c r="AI449" s="16">
        <f>3.12-1.51</f>
        <v>1.61</v>
      </c>
      <c r="AK449" s="16">
        <v>2.5499999999999998</v>
      </c>
      <c r="AL449" s="16">
        <f>5.68-1.56</f>
        <v>4.1199999999999992</v>
      </c>
      <c r="AN449" s="12">
        <f>AH449-AK449</f>
        <v>-0.13999999999999968</v>
      </c>
      <c r="AO449" s="1">
        <f>SQRT((((X449-1)*AI449^2)+((W449-1)*AL449^2))/(X449+W449-2))</f>
        <v>3.1278187287629051</v>
      </c>
      <c r="AP449" s="1">
        <f>AN449/AO449</f>
        <v>-4.4759627120517814E-2</v>
      </c>
      <c r="AQ449" s="1">
        <f>1/X449+1/W449+(AP449^2)/(2*(X449+W449))</f>
        <v>0.22227787289499909</v>
      </c>
      <c r="AR449" s="1">
        <f>1-(3/(4*(X449+W449-2)-1))</f>
        <v>0.95238095238095233</v>
      </c>
      <c r="AS449" s="21">
        <f>AP449*AR449</f>
        <v>-4.2628216305255061E-2</v>
      </c>
      <c r="AT449" s="21">
        <f>AQ449*(AR449^2)</f>
        <v>0.20161258312471572</v>
      </c>
      <c r="AU449" s="21">
        <f>SQRT(AQ449*AR449^2)</f>
        <v>0.4490128986173067</v>
      </c>
      <c r="AV449" s="20">
        <f>1/AT449</f>
        <v>4.9600078750114971</v>
      </c>
      <c r="AW449" s="20">
        <f>AS449/AT449</f>
        <v>-0.21143628857175858</v>
      </c>
      <c r="AX449" s="20">
        <f>((AS449)^2)/AT449</f>
        <v>9.0131518440172542E-3</v>
      </c>
      <c r="AY449" s="15"/>
      <c r="AZ449" s="15"/>
      <c r="BA449" s="1" t="s">
        <v>270</v>
      </c>
      <c r="BB449" s="17"/>
    </row>
    <row r="450" spans="1:54" s="16" customFormat="1" ht="14.25">
      <c r="A450" s="17">
        <v>320</v>
      </c>
      <c r="B450" s="17" t="s">
        <v>243</v>
      </c>
      <c r="C450" s="12" t="s">
        <v>85</v>
      </c>
      <c r="D450" s="16">
        <v>2024</v>
      </c>
      <c r="E450" s="16">
        <v>2021</v>
      </c>
      <c r="F450" s="16" t="s">
        <v>120</v>
      </c>
      <c r="G450" s="16" t="s">
        <v>109</v>
      </c>
      <c r="H450" s="16">
        <v>42.345813999999997</v>
      </c>
      <c r="I450" s="16">
        <v>-6.3904769999999997</v>
      </c>
      <c r="J450" s="16" t="s">
        <v>126</v>
      </c>
      <c r="K450" s="16" t="s">
        <v>176</v>
      </c>
      <c r="L450" s="16" t="s">
        <v>177</v>
      </c>
      <c r="M450" s="16" t="s">
        <v>236</v>
      </c>
      <c r="N450" s="16" t="s">
        <v>238</v>
      </c>
      <c r="O450" s="16" t="s">
        <v>86</v>
      </c>
      <c r="Q450" s="16" t="s">
        <v>93</v>
      </c>
      <c r="R450" s="16">
        <v>2005</v>
      </c>
      <c r="S450" s="16">
        <v>16</v>
      </c>
      <c r="T450" s="1">
        <f>S450*12</f>
        <v>192</v>
      </c>
      <c r="U450" s="16">
        <v>1172</v>
      </c>
      <c r="W450" s="16">
        <v>9</v>
      </c>
      <c r="X450" s="16">
        <v>9</v>
      </c>
      <c r="Y450" s="16" t="s">
        <v>114</v>
      </c>
      <c r="Z450" s="16" t="s">
        <v>2</v>
      </c>
      <c r="AA450" s="16" t="s">
        <v>1</v>
      </c>
      <c r="AB450" s="16" t="s">
        <v>113</v>
      </c>
      <c r="AC450" s="1" t="s">
        <v>2</v>
      </c>
      <c r="AD450" s="1" t="s">
        <v>2</v>
      </c>
      <c r="AE450" s="1" t="s">
        <v>2</v>
      </c>
      <c r="AF450" s="16" t="s">
        <v>256</v>
      </c>
      <c r="AG450" s="16" t="s">
        <v>330</v>
      </c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6" t="s">
        <v>285</v>
      </c>
    </row>
    <row r="451" spans="1:54" s="12" customFormat="1" ht="14.25" customHeight="1">
      <c r="A451" s="2">
        <v>252</v>
      </c>
      <c r="B451" s="2" t="s">
        <v>38</v>
      </c>
      <c r="C451" s="12" t="s">
        <v>85</v>
      </c>
      <c r="D451" s="12">
        <v>2011</v>
      </c>
      <c r="E451" s="12" t="s">
        <v>231</v>
      </c>
      <c r="F451" s="12" t="s">
        <v>211</v>
      </c>
      <c r="G451" s="12" t="s">
        <v>109</v>
      </c>
      <c r="H451" s="12">
        <v>41.831111</v>
      </c>
      <c r="I451" s="12">
        <v>-6.5036110000000003</v>
      </c>
      <c r="J451" s="12" t="s">
        <v>126</v>
      </c>
      <c r="K451" s="12" t="s">
        <v>176</v>
      </c>
      <c r="L451" s="12" t="s">
        <v>177</v>
      </c>
      <c r="M451" s="16" t="s">
        <v>236</v>
      </c>
      <c r="N451" s="16" t="s">
        <v>238</v>
      </c>
      <c r="O451" s="12" t="s">
        <v>86</v>
      </c>
      <c r="P451" s="12" t="s">
        <v>146</v>
      </c>
      <c r="Q451" s="12" t="s">
        <v>93</v>
      </c>
      <c r="R451" s="12">
        <v>2002</v>
      </c>
      <c r="S451" s="12">
        <v>2.5</v>
      </c>
      <c r="T451" s="1">
        <f t="shared" ref="T451:T452" si="39">S451*12</f>
        <v>30</v>
      </c>
      <c r="V451" s="12">
        <v>1427</v>
      </c>
      <c r="W451" s="12">
        <v>6</v>
      </c>
      <c r="X451" s="12">
        <v>6</v>
      </c>
      <c r="Y451" s="12" t="s">
        <v>114</v>
      </c>
      <c r="Z451" s="12" t="s">
        <v>2</v>
      </c>
      <c r="AA451" s="12" t="s">
        <v>0</v>
      </c>
      <c r="AB451" s="12" t="s">
        <v>113</v>
      </c>
      <c r="AC451" s="12" t="s">
        <v>2</v>
      </c>
      <c r="AD451" s="12" t="s">
        <v>2</v>
      </c>
      <c r="AE451" s="12" t="s">
        <v>2</v>
      </c>
      <c r="AF451" s="12" t="s">
        <v>385</v>
      </c>
      <c r="AG451" s="12" t="s">
        <v>331</v>
      </c>
      <c r="AH451" s="12">
        <f>((27*100)/60)/100</f>
        <v>0.45</v>
      </c>
      <c r="AI451" s="14"/>
      <c r="AJ451" s="14"/>
      <c r="AK451" s="12">
        <f>((40*100)/85)/100</f>
        <v>0.4705882352941177</v>
      </c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2">
        <f>LOG(AH451/AK451)</f>
        <v>-1.9428551838326008E-2</v>
      </c>
      <c r="AZ451" s="12">
        <f>((1-AH451)/(AH451*X451))+((1-AK451)/(W451*AK451))</f>
        <v>0.39120370370370366</v>
      </c>
      <c r="BA451" s="12" t="s">
        <v>283</v>
      </c>
    </row>
    <row r="452" spans="1:54" s="12" customFormat="1" ht="14.25" customHeight="1">
      <c r="A452" s="2">
        <v>252</v>
      </c>
      <c r="B452" s="2" t="s">
        <v>38</v>
      </c>
      <c r="C452" s="12" t="s">
        <v>85</v>
      </c>
      <c r="D452" s="12">
        <v>2011</v>
      </c>
      <c r="E452" s="12" t="s">
        <v>231</v>
      </c>
      <c r="F452" s="12" t="s">
        <v>211</v>
      </c>
      <c r="G452" s="12" t="s">
        <v>109</v>
      </c>
      <c r="H452" s="12">
        <v>41.831111</v>
      </c>
      <c r="I452" s="12">
        <v>-6.5036110000000003</v>
      </c>
      <c r="J452" s="12" t="s">
        <v>126</v>
      </c>
      <c r="K452" s="12" t="s">
        <v>176</v>
      </c>
      <c r="L452" s="12" t="s">
        <v>177</v>
      </c>
      <c r="M452" s="16" t="s">
        <v>236</v>
      </c>
      <c r="N452" s="16" t="s">
        <v>238</v>
      </c>
      <c r="O452" s="12" t="s">
        <v>86</v>
      </c>
      <c r="P452" s="12" t="s">
        <v>146</v>
      </c>
      <c r="Q452" s="12" t="s">
        <v>93</v>
      </c>
      <c r="R452" s="12">
        <v>2002</v>
      </c>
      <c r="S452" s="12">
        <v>2.5</v>
      </c>
      <c r="T452" s="1">
        <f t="shared" si="39"/>
        <v>30</v>
      </c>
      <c r="V452" s="12">
        <v>1427</v>
      </c>
      <c r="W452" s="12">
        <v>6</v>
      </c>
      <c r="X452" s="12">
        <v>6</v>
      </c>
      <c r="Y452" s="12" t="s">
        <v>114</v>
      </c>
      <c r="Z452" s="12" t="s">
        <v>2</v>
      </c>
      <c r="AA452" s="12" t="s">
        <v>0</v>
      </c>
      <c r="AB452" s="12" t="s">
        <v>113</v>
      </c>
      <c r="AC452" s="12" t="s">
        <v>2</v>
      </c>
      <c r="AD452" s="12" t="s">
        <v>2</v>
      </c>
      <c r="AE452" s="12" t="s">
        <v>2</v>
      </c>
      <c r="AF452" s="12" t="s">
        <v>306</v>
      </c>
      <c r="AG452" s="12" t="s">
        <v>331</v>
      </c>
      <c r="AH452" s="12">
        <f>((33*100)/60)/100</f>
        <v>0.55000000000000004</v>
      </c>
      <c r="AI452" s="14"/>
      <c r="AJ452" s="14"/>
      <c r="AK452" s="12">
        <f>((45*100)/85)/100</f>
        <v>0.52941176470588236</v>
      </c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2">
        <f>LOG(AH452/AK452)</f>
        <v>1.6569101433192936E-2</v>
      </c>
      <c r="AZ452" s="12">
        <f>((1-AH452)/(AH452*X452))+((1-AK452)/(W452*AK452))</f>
        <v>0.28451178451178449</v>
      </c>
      <c r="BA452" s="12" t="s">
        <v>283</v>
      </c>
    </row>
    <row r="453" spans="1:54" ht="14.25" customHeight="1">
      <c r="A453" s="2">
        <v>192</v>
      </c>
      <c r="B453" s="2" t="s">
        <v>29</v>
      </c>
      <c r="C453" s="1" t="s">
        <v>91</v>
      </c>
      <c r="D453" s="1">
        <v>2016</v>
      </c>
      <c r="E453" s="1">
        <v>2009</v>
      </c>
      <c r="F453" s="1" t="s">
        <v>120</v>
      </c>
      <c r="G453" s="1" t="s">
        <v>109</v>
      </c>
      <c r="H453" s="1">
        <v>41.511228000000003</v>
      </c>
      <c r="I453" s="1" t="s">
        <v>205</v>
      </c>
      <c r="J453" s="1" t="s">
        <v>382</v>
      </c>
      <c r="K453" s="1" t="s">
        <v>176</v>
      </c>
      <c r="L453" s="1" t="s">
        <v>177</v>
      </c>
      <c r="M453" s="1" t="s">
        <v>236</v>
      </c>
      <c r="N453" s="1" t="s">
        <v>238</v>
      </c>
      <c r="O453" s="1" t="s">
        <v>86</v>
      </c>
      <c r="P453" s="1" t="s">
        <v>210</v>
      </c>
      <c r="Q453" s="1" t="s">
        <v>93</v>
      </c>
      <c r="R453" s="1">
        <v>2008</v>
      </c>
      <c r="S453" s="1">
        <v>1</v>
      </c>
      <c r="T453" s="16">
        <f>S453*12</f>
        <v>12</v>
      </c>
      <c r="V453" s="1">
        <v>1200</v>
      </c>
      <c r="W453" s="1">
        <v>25</v>
      </c>
      <c r="X453" s="1">
        <v>25</v>
      </c>
      <c r="Y453" s="1" t="s">
        <v>134</v>
      </c>
      <c r="Z453" s="1" t="s">
        <v>147</v>
      </c>
      <c r="AA453" s="1" t="s">
        <v>1</v>
      </c>
      <c r="AB453" s="1" t="s">
        <v>148</v>
      </c>
      <c r="AC453" s="1" t="s">
        <v>2</v>
      </c>
      <c r="AD453" s="1" t="s">
        <v>2</v>
      </c>
      <c r="AE453" s="1" t="s">
        <v>2</v>
      </c>
      <c r="AF453" s="1" t="s">
        <v>346</v>
      </c>
      <c r="AG453" s="1" t="s">
        <v>315</v>
      </c>
      <c r="AH453" s="1">
        <v>39.67</v>
      </c>
      <c r="AI453" s="1">
        <f>AJ453*SQRT(X453)</f>
        <v>5</v>
      </c>
      <c r="AJ453" s="1">
        <f>40.67-AH453</f>
        <v>1</v>
      </c>
      <c r="AK453" s="1">
        <v>42.17</v>
      </c>
      <c r="AL453" s="1">
        <f>AM453*SQRT(W453)</f>
        <v>4.5499999999999829</v>
      </c>
      <c r="AM453" s="1">
        <f>43.08-AK453</f>
        <v>0.90999999999999659</v>
      </c>
      <c r="AN453" s="12">
        <f>AH453-AK453</f>
        <v>-2.5</v>
      </c>
      <c r="AO453" s="1">
        <f>SQRT((((X453-1)*AJ453^2)+((W453-1)*AL453^2))/(X453+W453-2))</f>
        <v>3.2941235556669581</v>
      </c>
      <c r="AP453" s="1">
        <f>AN453/AO453</f>
        <v>-0.75892721015251274</v>
      </c>
      <c r="AQ453" s="1">
        <f>1/X453+1/W453+(AP453^2)/(2*(X453+W453))</f>
        <v>8.5759705103098771E-2</v>
      </c>
      <c r="AR453" s="1">
        <f>1-(3/(4*(X453+W453-2)-1))</f>
        <v>0.98429319371727753</v>
      </c>
      <c r="AS453" s="21">
        <f>AP453*AR453</f>
        <v>-0.74700688747996025</v>
      </c>
      <c r="AT453" s="21">
        <f>AQ453*(AR453^2)</f>
        <v>8.3086840195277623E-2</v>
      </c>
      <c r="AU453" s="21">
        <f>SQRT(AQ453*AR453^2)</f>
        <v>0.28824787977585825</v>
      </c>
      <c r="AV453" s="20">
        <f>1/AT453</f>
        <v>12.035600314679396</v>
      </c>
      <c r="AW453" s="20">
        <f>AS453/AT453</f>
        <v>-8.9906763300214845</v>
      </c>
      <c r="AX453" s="20">
        <f>((AS453)^2)/AT453</f>
        <v>6.7160971416291009</v>
      </c>
      <c r="AY453" s="14"/>
      <c r="AZ453" s="14"/>
      <c r="BA453" s="1" t="s">
        <v>270</v>
      </c>
      <c r="BB453" s="2"/>
    </row>
    <row r="454" spans="1:54" ht="14.25" customHeight="1">
      <c r="A454" s="2">
        <v>192</v>
      </c>
      <c r="B454" s="2" t="s">
        <v>29</v>
      </c>
      <c r="C454" s="1" t="s">
        <v>91</v>
      </c>
      <c r="D454" s="1">
        <v>2016</v>
      </c>
      <c r="E454" s="1">
        <v>2009</v>
      </c>
      <c r="F454" s="1" t="s">
        <v>120</v>
      </c>
      <c r="G454" s="1" t="s">
        <v>109</v>
      </c>
      <c r="H454" s="1">
        <v>41.511228000000003</v>
      </c>
      <c r="I454" s="1" t="s">
        <v>205</v>
      </c>
      <c r="J454" s="1" t="s">
        <v>382</v>
      </c>
      <c r="K454" s="1" t="s">
        <v>176</v>
      </c>
      <c r="L454" s="1" t="s">
        <v>177</v>
      </c>
      <c r="M454" s="1" t="s">
        <v>236</v>
      </c>
      <c r="N454" s="1" t="s">
        <v>238</v>
      </c>
      <c r="O454" s="1" t="s">
        <v>86</v>
      </c>
      <c r="P454" s="1" t="s">
        <v>210</v>
      </c>
      <c r="Q454" s="1" t="s">
        <v>93</v>
      </c>
      <c r="R454" s="1">
        <v>2008</v>
      </c>
      <c r="S454" s="1">
        <v>1</v>
      </c>
      <c r="T454" s="1">
        <f>S454*12</f>
        <v>12</v>
      </c>
      <c r="V454" s="1">
        <v>1200</v>
      </c>
      <c r="W454" s="1">
        <v>25</v>
      </c>
      <c r="X454" s="1">
        <v>25</v>
      </c>
      <c r="Y454" s="1" t="s">
        <v>134</v>
      </c>
      <c r="Z454" s="1" t="s">
        <v>147</v>
      </c>
      <c r="AA454" s="1" t="s">
        <v>1</v>
      </c>
      <c r="AB454" s="1" t="s">
        <v>148</v>
      </c>
      <c r="AC454" s="1" t="s">
        <v>2</v>
      </c>
      <c r="AD454" s="1" t="s">
        <v>2</v>
      </c>
      <c r="AE454" s="1" t="s">
        <v>2</v>
      </c>
      <c r="AF454" s="1" t="str">
        <f>J454&amp;"_"&amp;"PCA_ordination"</f>
        <v>ECM_PCA_ordination</v>
      </c>
      <c r="AG454" s="1" t="s">
        <v>330</v>
      </c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" t="s">
        <v>285</v>
      </c>
    </row>
    <row r="455" spans="1:54" ht="14.25" customHeight="1">
      <c r="A455" s="2">
        <v>192</v>
      </c>
      <c r="B455" s="2" t="s">
        <v>29</v>
      </c>
      <c r="C455" s="1" t="s">
        <v>91</v>
      </c>
      <c r="D455" s="1">
        <v>2016</v>
      </c>
      <c r="E455" s="1">
        <v>2009</v>
      </c>
      <c r="F455" s="1" t="s">
        <v>120</v>
      </c>
      <c r="G455" s="1" t="s">
        <v>109</v>
      </c>
      <c r="H455" s="1">
        <v>41.511228000000003</v>
      </c>
      <c r="I455" s="1" t="s">
        <v>205</v>
      </c>
      <c r="J455" s="1" t="s">
        <v>382</v>
      </c>
      <c r="K455" s="1" t="s">
        <v>176</v>
      </c>
      <c r="L455" s="1" t="s">
        <v>177</v>
      </c>
      <c r="M455" s="1" t="s">
        <v>236</v>
      </c>
      <c r="N455" s="1" t="s">
        <v>238</v>
      </c>
      <c r="O455" s="1" t="s">
        <v>86</v>
      </c>
      <c r="P455" s="1" t="s">
        <v>129</v>
      </c>
      <c r="Q455" s="1" t="s">
        <v>93</v>
      </c>
      <c r="R455" s="1">
        <v>2008</v>
      </c>
      <c r="S455" s="1">
        <v>1</v>
      </c>
      <c r="T455" s="16">
        <f>S455*12</f>
        <v>12</v>
      </c>
      <c r="V455" s="1">
        <v>1200</v>
      </c>
      <c r="W455" s="1">
        <v>25</v>
      </c>
      <c r="X455" s="1">
        <v>25</v>
      </c>
      <c r="Y455" s="1" t="s">
        <v>134</v>
      </c>
      <c r="Z455" s="1" t="s">
        <v>147</v>
      </c>
      <c r="AA455" s="1" t="s">
        <v>1</v>
      </c>
      <c r="AB455" s="1" t="s">
        <v>148</v>
      </c>
      <c r="AC455" s="1" t="s">
        <v>2</v>
      </c>
      <c r="AD455" s="1" t="s">
        <v>2</v>
      </c>
      <c r="AE455" s="1" t="s">
        <v>2</v>
      </c>
      <c r="AF455" s="1" t="s">
        <v>346</v>
      </c>
      <c r="AG455" s="1" t="s">
        <v>315</v>
      </c>
      <c r="AH455" s="1">
        <v>39.5</v>
      </c>
      <c r="AI455" s="1">
        <f>AJ455*SQRT(X455)</f>
        <v>5.3999999999999915</v>
      </c>
      <c r="AJ455" s="1">
        <f>40.58-AH455</f>
        <v>1.0799999999999983</v>
      </c>
      <c r="AK455" s="1">
        <v>42.17</v>
      </c>
      <c r="AL455" s="1">
        <f>AM455*SQRT(W455)</f>
        <v>4.5499999999999829</v>
      </c>
      <c r="AM455" s="1">
        <f>43.08-AK455</f>
        <v>0.90999999999999659</v>
      </c>
      <c r="AN455" s="12">
        <f>AH455-AK455</f>
        <v>-2.6700000000000017</v>
      </c>
      <c r="AO455" s="1">
        <f>SQRT((((X455-1)*AI455^2)+((W455-1)*AL455^2))/(X455+W455-2))</f>
        <v>4.9931202669272725</v>
      </c>
      <c r="AP455" s="1">
        <f>AN455/AO455</f>
        <v>-0.53473576786947674</v>
      </c>
      <c r="AQ455" s="1">
        <f>1/X455+1/W455+(AP455^2)/(2*(X455+W455))</f>
        <v>8.2859423414389594E-2</v>
      </c>
      <c r="AR455" s="1">
        <f>1-(3/(4*(X455+W455-2)-1))</f>
        <v>0.98429319371727753</v>
      </c>
      <c r="AS455" s="21">
        <f>AP455*AR455</f>
        <v>-0.52633677675110802</v>
      </c>
      <c r="AT455" s="21">
        <f>AQ455*(AR455^2)</f>
        <v>8.0276951321460094E-2</v>
      </c>
      <c r="AU455" s="21">
        <f>SQRT(AQ455*AR455^2)</f>
        <v>0.28333187487725431</v>
      </c>
      <c r="AV455" s="20">
        <f>1/AT455</f>
        <v>12.456875647850795</v>
      </c>
      <c r="AW455" s="20">
        <f>AS455/AT455</f>
        <v>-6.5565117768791579</v>
      </c>
      <c r="AX455" s="20">
        <f>((AS455)^2)/AT455</f>
        <v>3.4509332753732562</v>
      </c>
      <c r="AY455" s="14"/>
      <c r="AZ455" s="14"/>
      <c r="BA455" s="1" t="s">
        <v>270</v>
      </c>
      <c r="BB455" s="2"/>
    </row>
    <row r="456" spans="1:54" ht="14.25" customHeight="1">
      <c r="A456" s="2">
        <v>192</v>
      </c>
      <c r="B456" s="2" t="s">
        <v>29</v>
      </c>
      <c r="C456" s="1" t="s">
        <v>91</v>
      </c>
      <c r="D456" s="1">
        <v>2016</v>
      </c>
      <c r="E456" s="1">
        <v>2009</v>
      </c>
      <c r="F456" s="1" t="s">
        <v>120</v>
      </c>
      <c r="G456" s="1" t="s">
        <v>109</v>
      </c>
      <c r="H456" s="1">
        <v>41.511228000000003</v>
      </c>
      <c r="I456" s="1" t="s">
        <v>205</v>
      </c>
      <c r="J456" s="1" t="s">
        <v>382</v>
      </c>
      <c r="K456" s="1" t="s">
        <v>176</v>
      </c>
      <c r="L456" s="1" t="s">
        <v>177</v>
      </c>
      <c r="M456" s="1" t="s">
        <v>236</v>
      </c>
      <c r="N456" s="1" t="s">
        <v>238</v>
      </c>
      <c r="O456" s="1" t="s">
        <v>86</v>
      </c>
      <c r="P456" s="1" t="s">
        <v>129</v>
      </c>
      <c r="Q456" s="1" t="s">
        <v>93</v>
      </c>
      <c r="R456" s="1">
        <v>2008</v>
      </c>
      <c r="S456" s="1">
        <v>1</v>
      </c>
      <c r="T456" s="1">
        <f>S456*12</f>
        <v>12</v>
      </c>
      <c r="V456" s="1">
        <v>1200</v>
      </c>
      <c r="W456" s="1">
        <v>25</v>
      </c>
      <c r="X456" s="1">
        <v>25</v>
      </c>
      <c r="Y456" s="1" t="s">
        <v>134</v>
      </c>
      <c r="Z456" s="1" t="s">
        <v>147</v>
      </c>
      <c r="AA456" s="1" t="s">
        <v>1</v>
      </c>
      <c r="AB456" s="1" t="s">
        <v>148</v>
      </c>
      <c r="AC456" s="1" t="s">
        <v>2</v>
      </c>
      <c r="AD456" s="1" t="s">
        <v>2</v>
      </c>
      <c r="AE456" s="1" t="s">
        <v>2</v>
      </c>
      <c r="AF456" s="1" t="str">
        <f>J456&amp;"_"&amp;"PCA_ordination"</f>
        <v>ECM_PCA_ordination</v>
      </c>
      <c r="AG456" s="1" t="s">
        <v>330</v>
      </c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" t="s">
        <v>285</v>
      </c>
    </row>
    <row r="457" spans="1:54" ht="14.25" customHeight="1">
      <c r="A457" s="2">
        <v>29</v>
      </c>
      <c r="B457" s="2" t="s">
        <v>5</v>
      </c>
      <c r="C457" s="1" t="s">
        <v>85</v>
      </c>
      <c r="D457" s="1">
        <v>1999</v>
      </c>
      <c r="E457" s="1">
        <v>1995</v>
      </c>
      <c r="F457" s="1" t="s">
        <v>116</v>
      </c>
      <c r="G457" s="1" t="s">
        <v>117</v>
      </c>
      <c r="H457" s="1">
        <v>64.700007999999997</v>
      </c>
      <c r="I457" s="1">
        <v>14.549446</v>
      </c>
      <c r="J457" s="1" t="s">
        <v>135</v>
      </c>
      <c r="K457" s="1" t="s">
        <v>176</v>
      </c>
      <c r="L457" s="1" t="s">
        <v>182</v>
      </c>
      <c r="M457" s="1" t="s">
        <v>236</v>
      </c>
      <c r="N457" s="1" t="s">
        <v>238</v>
      </c>
      <c r="O457" s="1" t="s">
        <v>86</v>
      </c>
      <c r="Q457" s="1" t="s">
        <v>93</v>
      </c>
      <c r="R457" s="1">
        <v>1982</v>
      </c>
      <c r="S457" s="1">
        <v>13</v>
      </c>
      <c r="T457" s="12">
        <f>S457*12</f>
        <v>156</v>
      </c>
      <c r="W457" s="1">
        <v>10</v>
      </c>
      <c r="X457" s="1">
        <v>10</v>
      </c>
      <c r="Y457" s="1" t="s">
        <v>134</v>
      </c>
      <c r="Z457" s="1" t="s">
        <v>2</v>
      </c>
      <c r="AB457" s="1" t="s">
        <v>98</v>
      </c>
      <c r="AC457" s="1" t="s">
        <v>221</v>
      </c>
      <c r="AD457" s="12"/>
      <c r="AE457" s="12" t="s">
        <v>100</v>
      </c>
      <c r="AF457" s="12" t="s">
        <v>222</v>
      </c>
      <c r="AG457" s="12" t="s">
        <v>325</v>
      </c>
      <c r="AH457" s="12">
        <v>24</v>
      </c>
      <c r="AI457" s="7" t="s">
        <v>2</v>
      </c>
      <c r="AJ457" s="7" t="s">
        <v>2</v>
      </c>
      <c r="AK457" s="12">
        <v>23</v>
      </c>
      <c r="AL457" s="7" t="s">
        <v>2</v>
      </c>
      <c r="AM457" s="7" t="s">
        <v>2</v>
      </c>
      <c r="AN457" s="12">
        <f>AH457-AK457</f>
        <v>1</v>
      </c>
      <c r="AO457" s="1" t="e">
        <f>SQRT((((X457-1)*AI457^2)+((W457-1)*AL457^2))/(X457+W457-2))</f>
        <v>#VALUE!</v>
      </c>
      <c r="AP457" s="1" t="e">
        <f>AN457/AO457</f>
        <v>#VALUE!</v>
      </c>
      <c r="AQ457" s="1" t="e">
        <f>1/X457+1/W457+(AP457^2)/(2*(X457+W457))</f>
        <v>#VALUE!</v>
      </c>
      <c r="AR457" s="1">
        <f>1-(3/(4*(X457+W457-2)-1))</f>
        <v>0.95774647887323949</v>
      </c>
      <c r="AS457" s="1" t="e">
        <f>AP457*AR457</f>
        <v>#VALUE!</v>
      </c>
      <c r="AU457" s="1" t="e">
        <f>SQRT(AQ457*AR457^2)</f>
        <v>#VALUE!</v>
      </c>
      <c r="AY457" s="14"/>
      <c r="AZ457" s="14"/>
      <c r="BA457" s="1" t="s">
        <v>270</v>
      </c>
      <c r="BB457" s="2"/>
    </row>
    <row r="458" spans="1:54" ht="14.25" customHeight="1">
      <c r="A458" s="2">
        <v>327</v>
      </c>
      <c r="B458" s="2" t="s">
        <v>46</v>
      </c>
      <c r="C458" s="1" t="s">
        <v>85</v>
      </c>
      <c r="D458" s="1">
        <v>2022</v>
      </c>
      <c r="E458" s="1">
        <v>2020</v>
      </c>
      <c r="F458" s="1" t="s">
        <v>120</v>
      </c>
      <c r="G458" s="1" t="s">
        <v>109</v>
      </c>
      <c r="H458" s="1">
        <v>40.578930999999997</v>
      </c>
      <c r="I458" s="1">
        <v>-2.0713569999999999</v>
      </c>
      <c r="J458" s="1" t="s">
        <v>128</v>
      </c>
      <c r="K458" s="1" t="s">
        <v>176</v>
      </c>
      <c r="L458" s="1" t="s">
        <v>191</v>
      </c>
      <c r="M458" s="1" t="s">
        <v>236</v>
      </c>
      <c r="N458" s="1" t="s">
        <v>238</v>
      </c>
      <c r="O458" s="1" t="s">
        <v>121</v>
      </c>
      <c r="P458" s="1" t="s">
        <v>146</v>
      </c>
      <c r="Q458" s="1" t="s">
        <v>93</v>
      </c>
      <c r="R458" s="1">
        <v>2016</v>
      </c>
      <c r="S458" s="1">
        <v>4</v>
      </c>
      <c r="T458" s="16">
        <f t="shared" ref="T457:T461" si="40">S458*12</f>
        <v>48</v>
      </c>
      <c r="W458" s="1">
        <v>15</v>
      </c>
      <c r="X458" s="1">
        <v>15</v>
      </c>
      <c r="Y458" s="1" t="s">
        <v>97</v>
      </c>
      <c r="Z458" s="1" t="s">
        <v>147</v>
      </c>
      <c r="AA458" s="1" t="s">
        <v>1</v>
      </c>
      <c r="AB458" s="1" t="s">
        <v>98</v>
      </c>
      <c r="AC458" s="1" t="s">
        <v>202</v>
      </c>
      <c r="AD458" s="1" t="s">
        <v>110</v>
      </c>
      <c r="AE458" s="1" t="s">
        <v>102</v>
      </c>
      <c r="AF458" s="1" t="s">
        <v>149</v>
      </c>
      <c r="AG458" s="1" t="s">
        <v>319</v>
      </c>
      <c r="AH458" s="1">
        <v>5.45</v>
      </c>
      <c r="AI458" s="1">
        <f>5.51-5.39</f>
        <v>0.12000000000000011</v>
      </c>
      <c r="AK458" s="1">
        <v>5.3</v>
      </c>
      <c r="AL458" s="1">
        <f>5.55-5.1</f>
        <v>0.45000000000000018</v>
      </c>
      <c r="AN458" s="12">
        <f t="shared" ref="AN458" si="41">AH458-AK458</f>
        <v>0.15000000000000036</v>
      </c>
      <c r="AO458" s="1">
        <f t="shared" ref="AO458" si="42">SQRT((((X458-1)*AI458^2)+((W458-1)*AL458^2))/(X458+W458-2))</f>
        <v>0.32931747600150235</v>
      </c>
      <c r="AP458" s="1">
        <f t="shared" ref="AP458" si="43">AN458/AO458</f>
        <v>0.45548751867427789</v>
      </c>
      <c r="AQ458" s="1">
        <f t="shared" ref="AQ458" si="44">1/X458+1/W458+(AP458^2)/(2*(X458+W458))</f>
        <v>0.13679114799446751</v>
      </c>
      <c r="AR458" s="1">
        <f t="shared" ref="AR458" si="45">1-(3/(4*(X458+W458-2)-1))</f>
        <v>0.97297297297297303</v>
      </c>
      <c r="AS458" s="21">
        <f t="shared" ref="AS458" si="46">AP458*AR458</f>
        <v>0.44317704519659473</v>
      </c>
      <c r="AT458" s="21">
        <f t="shared" ref="AT457:AT461" si="47">AQ458*(AR458^2)</f>
        <v>0.12949695237460182</v>
      </c>
      <c r="AU458" s="21">
        <f t="shared" ref="AU458" si="48">SQRT(AQ458*AR458^2)</f>
        <v>0.35985684983698979</v>
      </c>
      <c r="AV458" s="20">
        <f t="shared" ref="AV457:AV461" si="49">1/AT458</f>
        <v>7.7221894543684222</v>
      </c>
      <c r="AW458" s="20">
        <f t="shared" ref="AW457:AW461" si="50">AS458/AT458</f>
        <v>3.4222971048353017</v>
      </c>
      <c r="AX458" s="20">
        <f t="shared" ref="AX457:AX461" si="51">((AS458)^2)/AT458</f>
        <v>1.5166835187057697</v>
      </c>
      <c r="AY458" s="14"/>
      <c r="AZ458" s="14"/>
      <c r="BA458" s="1" t="s">
        <v>270</v>
      </c>
      <c r="BB458" s="2"/>
    </row>
    <row r="459" spans="1:54" ht="14.25" customHeight="1">
      <c r="A459" s="2">
        <v>327</v>
      </c>
      <c r="B459" s="2" t="s">
        <v>46</v>
      </c>
      <c r="C459" s="1" t="s">
        <v>85</v>
      </c>
      <c r="D459" s="1">
        <v>2022</v>
      </c>
      <c r="E459" s="1">
        <v>2020</v>
      </c>
      <c r="F459" s="1" t="s">
        <v>120</v>
      </c>
      <c r="G459" s="1" t="s">
        <v>109</v>
      </c>
      <c r="H459" s="1">
        <v>40.578930999999997</v>
      </c>
      <c r="I459" s="1">
        <v>-2.0713569999999999</v>
      </c>
      <c r="J459" s="1" t="s">
        <v>128</v>
      </c>
      <c r="K459" s="1" t="s">
        <v>176</v>
      </c>
      <c r="L459" s="1" t="s">
        <v>191</v>
      </c>
      <c r="M459" s="1" t="s">
        <v>236</v>
      </c>
      <c r="N459" s="1" t="s">
        <v>238</v>
      </c>
      <c r="O459" s="1" t="s">
        <v>121</v>
      </c>
      <c r="P459" s="1" t="s">
        <v>146</v>
      </c>
      <c r="Q459" s="1" t="s">
        <v>93</v>
      </c>
      <c r="R459" s="1">
        <v>2016</v>
      </c>
      <c r="S459" s="1">
        <v>4</v>
      </c>
      <c r="T459" s="16">
        <f t="shared" si="40"/>
        <v>48</v>
      </c>
      <c r="W459" s="1">
        <v>15</v>
      </c>
      <c r="X459" s="1">
        <v>15</v>
      </c>
      <c r="Y459" s="1" t="s">
        <v>97</v>
      </c>
      <c r="Z459" s="1" t="s">
        <v>147</v>
      </c>
      <c r="AA459" s="1" t="s">
        <v>1</v>
      </c>
      <c r="AB459" s="1" t="s">
        <v>98</v>
      </c>
      <c r="AC459" s="1" t="s">
        <v>202</v>
      </c>
      <c r="AD459" s="1" t="s">
        <v>110</v>
      </c>
      <c r="AE459" s="1" t="s">
        <v>102</v>
      </c>
      <c r="AF459" s="1" t="s">
        <v>253</v>
      </c>
      <c r="AG459" s="1" t="s">
        <v>319</v>
      </c>
      <c r="AH459" s="1">
        <v>0.93200000000000005</v>
      </c>
      <c r="AI459" s="1">
        <f>0.939-0.927</f>
        <v>1.19999999999999E-2</v>
      </c>
      <c r="AK459" s="1">
        <v>0.92500000000000004</v>
      </c>
      <c r="AL459" s="1">
        <f>0.933-0.92</f>
        <v>1.3000000000000012E-2</v>
      </c>
      <c r="AN459" s="12">
        <f t="shared" ref="AN459:AN461" si="52">AH459-AK459</f>
        <v>7.0000000000000062E-3</v>
      </c>
      <c r="AO459" s="1">
        <f t="shared" ref="AO459:AO461" si="53">SQRT((((X459-1)*AI459^2)+((W459-1)*AL459^2))/(X459+W459-2))</f>
        <v>1.2509996003196761E-2</v>
      </c>
      <c r="AP459" s="1">
        <f t="shared" ref="AP459:AP461" si="54">AN459/AO459</f>
        <v>0.55955253688420448</v>
      </c>
      <c r="AQ459" s="1">
        <f t="shared" ref="AQ459:AQ461" si="55">1/X459+1/W459+(AP459^2)/(2*(X459+W459))</f>
        <v>0.1385516506922258</v>
      </c>
      <c r="AR459" s="1">
        <f t="shared" ref="AR459:AR461" si="56">1-(3/(4*(X459+W459-2)-1))</f>
        <v>0.97297297297297303</v>
      </c>
      <c r="AS459" s="21">
        <f t="shared" ref="AS459:AS461" si="57">AP459*AR459</f>
        <v>0.54442949534679352</v>
      </c>
      <c r="AT459" s="21">
        <f t="shared" si="47"/>
        <v>0.13116357874150814</v>
      </c>
      <c r="AU459" s="21">
        <f t="shared" ref="AU459:AU461" si="58">SQRT(AQ459*AR459^2)</f>
        <v>0.36216512634640591</v>
      </c>
      <c r="AV459" s="20">
        <f t="shared" si="49"/>
        <v>7.6240676687448383</v>
      </c>
      <c r="AW459" s="20">
        <f t="shared" si="50"/>
        <v>4.1507673133845566</v>
      </c>
      <c r="AX459" s="20">
        <f t="shared" si="51"/>
        <v>2.2598001537279204</v>
      </c>
      <c r="AY459" s="14"/>
      <c r="AZ459" s="14"/>
      <c r="BA459" s="1" t="s">
        <v>270</v>
      </c>
      <c r="BB459" s="2"/>
    </row>
    <row r="460" spans="1:54" ht="14.25" customHeight="1">
      <c r="A460" s="2">
        <v>327</v>
      </c>
      <c r="B460" s="2" t="s">
        <v>46</v>
      </c>
      <c r="C460" s="1" t="s">
        <v>85</v>
      </c>
      <c r="D460" s="1">
        <v>2022</v>
      </c>
      <c r="E460" s="1">
        <v>2020</v>
      </c>
      <c r="F460" s="1" t="s">
        <v>120</v>
      </c>
      <c r="G460" s="1" t="s">
        <v>109</v>
      </c>
      <c r="H460" s="1">
        <v>40.578930999999997</v>
      </c>
      <c r="I460" s="1">
        <v>-2.0713569999999999</v>
      </c>
      <c r="J460" s="1" t="s">
        <v>128</v>
      </c>
      <c r="K460" s="1" t="s">
        <v>176</v>
      </c>
      <c r="L460" s="1" t="s">
        <v>191</v>
      </c>
      <c r="M460" s="1" t="s">
        <v>236</v>
      </c>
      <c r="N460" s="1" t="s">
        <v>238</v>
      </c>
      <c r="O460" s="1" t="s">
        <v>121</v>
      </c>
      <c r="P460" s="1" t="s">
        <v>146</v>
      </c>
      <c r="Q460" s="1" t="s">
        <v>93</v>
      </c>
      <c r="R460" s="1">
        <v>2016</v>
      </c>
      <c r="S460" s="1">
        <v>4</v>
      </c>
      <c r="T460" s="16">
        <f t="shared" si="40"/>
        <v>48</v>
      </c>
      <c r="W460" s="1">
        <v>15</v>
      </c>
      <c r="X460" s="1">
        <v>15</v>
      </c>
      <c r="Y460" s="1" t="s">
        <v>97</v>
      </c>
      <c r="Z460" s="1" t="s">
        <v>147</v>
      </c>
      <c r="AA460" s="1" t="s">
        <v>1</v>
      </c>
      <c r="AB460" s="1" t="s">
        <v>98</v>
      </c>
      <c r="AC460" s="1" t="s">
        <v>202</v>
      </c>
      <c r="AD460" s="1" t="s">
        <v>110</v>
      </c>
      <c r="AE460" s="1" t="s">
        <v>102</v>
      </c>
      <c r="AF460" s="1" t="s">
        <v>384</v>
      </c>
      <c r="AG460" s="1" t="s">
        <v>315</v>
      </c>
      <c r="AH460" s="1">
        <v>76.7</v>
      </c>
      <c r="AI460" s="1">
        <f>AJ460*SQRT(X460)</f>
        <v>49.84529566568942</v>
      </c>
      <c r="AJ460" s="1">
        <f>89.57-AH460</f>
        <v>12.86999999999999</v>
      </c>
      <c r="AK460" s="1">
        <v>77.290000000000006</v>
      </c>
      <c r="AL460" s="1">
        <f>AM460*SQRT(W460)</f>
        <v>65.879446718988135</v>
      </c>
      <c r="AM460" s="1">
        <f>94.3-AK460</f>
        <v>17.009999999999991</v>
      </c>
      <c r="AN460" s="12">
        <f t="shared" si="52"/>
        <v>-0.59000000000000341</v>
      </c>
      <c r="AO460" s="1">
        <f t="shared" si="53"/>
        <v>58.41513074538134</v>
      </c>
      <c r="AP460" s="1">
        <f t="shared" si="54"/>
        <v>-1.0100122904315376E-2</v>
      </c>
      <c r="AQ460" s="1">
        <f t="shared" si="55"/>
        <v>0.13333503354137805</v>
      </c>
      <c r="AR460" s="1">
        <f t="shared" si="56"/>
        <v>0.97297297297297303</v>
      </c>
      <c r="AS460" s="21">
        <f t="shared" si="57"/>
        <v>-9.8271466096041503E-3</v>
      </c>
      <c r="AT460" s="21">
        <f t="shared" si="47"/>
        <v>0.12622513036495686</v>
      </c>
      <c r="AU460" s="21">
        <f t="shared" si="58"/>
        <v>0.35528176193685607</v>
      </c>
      <c r="AV460" s="20">
        <f t="shared" si="49"/>
        <v>7.9223526813454894</v>
      </c>
      <c r="AW460" s="20">
        <f t="shared" si="50"/>
        <v>-7.7854121292572687E-2</v>
      </c>
      <c r="AX460" s="20">
        <f t="shared" si="51"/>
        <v>7.6508386410401594E-4</v>
      </c>
      <c r="AY460" s="14"/>
      <c r="AZ460" s="14"/>
      <c r="BA460" s="1" t="s">
        <v>270</v>
      </c>
      <c r="BB460" s="2"/>
    </row>
    <row r="461" spans="1:54" ht="14.25" customHeight="1">
      <c r="A461" s="2">
        <v>327</v>
      </c>
      <c r="B461" s="2" t="s">
        <v>46</v>
      </c>
      <c r="C461" s="1" t="s">
        <v>85</v>
      </c>
      <c r="D461" s="1">
        <v>2022</v>
      </c>
      <c r="E461" s="1">
        <v>2020</v>
      </c>
      <c r="F461" s="1" t="s">
        <v>120</v>
      </c>
      <c r="G461" s="1" t="s">
        <v>109</v>
      </c>
      <c r="H461" s="1">
        <v>40.578930999999997</v>
      </c>
      <c r="I461" s="1">
        <v>-2.0713569999999999</v>
      </c>
      <c r="J461" s="1" t="s">
        <v>128</v>
      </c>
      <c r="K461" s="1" t="s">
        <v>176</v>
      </c>
      <c r="L461" s="1" t="s">
        <v>191</v>
      </c>
      <c r="M461" s="1" t="s">
        <v>236</v>
      </c>
      <c r="N461" s="1" t="s">
        <v>238</v>
      </c>
      <c r="O461" s="1" t="s">
        <v>121</v>
      </c>
      <c r="P461" s="1" t="s">
        <v>146</v>
      </c>
      <c r="Q461" s="1" t="s">
        <v>93</v>
      </c>
      <c r="R461" s="1">
        <v>2016</v>
      </c>
      <c r="S461" s="1">
        <v>4</v>
      </c>
      <c r="T461" s="16">
        <f t="shared" si="40"/>
        <v>48</v>
      </c>
      <c r="W461" s="1">
        <v>15</v>
      </c>
      <c r="X461" s="1">
        <v>15</v>
      </c>
      <c r="Y461" s="1" t="s">
        <v>97</v>
      </c>
      <c r="Z461" s="1" t="s">
        <v>147</v>
      </c>
      <c r="AA461" s="1" t="s">
        <v>1</v>
      </c>
      <c r="AB461" s="1" t="s">
        <v>98</v>
      </c>
      <c r="AC461" s="1" t="s">
        <v>202</v>
      </c>
      <c r="AD461" s="1" t="s">
        <v>110</v>
      </c>
      <c r="AE461" s="1" t="s">
        <v>102</v>
      </c>
      <c r="AF461" s="1" t="s">
        <v>150</v>
      </c>
      <c r="AG461" s="1" t="s">
        <v>315</v>
      </c>
      <c r="AH461" s="1">
        <v>75.97</v>
      </c>
      <c r="AI461" s="1">
        <f>AJ461*SQRT(X461)</f>
        <v>40.976163802874467</v>
      </c>
      <c r="AJ461" s="1">
        <f>86.55-AH461</f>
        <v>10.579999999999998</v>
      </c>
      <c r="AK461" s="1">
        <v>70.11</v>
      </c>
      <c r="AL461" s="1">
        <f>AM461*SQRT(W461)</f>
        <v>72.463518407540747</v>
      </c>
      <c r="AM461" s="1">
        <f>88.82-AK461</f>
        <v>18.709999999999994</v>
      </c>
      <c r="AN461" s="12">
        <f t="shared" si="52"/>
        <v>5.8599999999999994</v>
      </c>
      <c r="AO461" s="1">
        <f t="shared" si="53"/>
        <v>58.864282463986584</v>
      </c>
      <c r="AP461" s="1">
        <f t="shared" si="54"/>
        <v>9.9551030857892006E-2</v>
      </c>
      <c r="AQ461" s="1">
        <f t="shared" si="55"/>
        <v>0.13349850679574782</v>
      </c>
      <c r="AR461" s="1">
        <f t="shared" si="56"/>
        <v>0.97297297297297303</v>
      </c>
      <c r="AS461" s="21">
        <f t="shared" si="57"/>
        <v>9.6860462456327359E-2</v>
      </c>
      <c r="AT461" s="21">
        <f t="shared" si="47"/>
        <v>0.12637988663790298</v>
      </c>
      <c r="AU461" s="21">
        <f t="shared" si="58"/>
        <v>0.35549948894183092</v>
      </c>
      <c r="AV461" s="20">
        <f t="shared" si="49"/>
        <v>7.9126515033610341</v>
      </c>
      <c r="AW461" s="20">
        <f t="shared" si="50"/>
        <v>0.76642308387130365</v>
      </c>
      <c r="AX461" s="20">
        <f t="shared" si="51"/>
        <v>7.4236094340979039E-2</v>
      </c>
      <c r="AY461" s="14"/>
      <c r="AZ461" s="14"/>
      <c r="BA461" s="1" t="s">
        <v>270</v>
      </c>
      <c r="BB461" s="2"/>
    </row>
    <row r="462" spans="1:54" ht="14.25" customHeight="1">
      <c r="A462" s="2">
        <v>327</v>
      </c>
      <c r="B462" s="2" t="s">
        <v>46</v>
      </c>
      <c r="C462" s="1" t="s">
        <v>85</v>
      </c>
      <c r="D462" s="1">
        <v>2022</v>
      </c>
      <c r="E462" s="1">
        <v>2020</v>
      </c>
      <c r="F462" s="1" t="s">
        <v>120</v>
      </c>
      <c r="G462" s="1" t="s">
        <v>109</v>
      </c>
      <c r="H462" s="1">
        <v>40.578930999999997</v>
      </c>
      <c r="I462" s="1">
        <v>-2.0713569999999999</v>
      </c>
      <c r="J462" s="1" t="s">
        <v>128</v>
      </c>
      <c r="K462" s="1" t="s">
        <v>176</v>
      </c>
      <c r="L462" s="1" t="s">
        <v>191</v>
      </c>
      <c r="M462" s="1" t="s">
        <v>236</v>
      </c>
      <c r="N462" s="1" t="s">
        <v>238</v>
      </c>
      <c r="O462" s="1" t="s">
        <v>121</v>
      </c>
      <c r="P462" s="1" t="s">
        <v>146</v>
      </c>
      <c r="Q462" s="1" t="s">
        <v>93</v>
      </c>
      <c r="R462" s="1">
        <v>2016</v>
      </c>
      <c r="S462" s="1">
        <v>4</v>
      </c>
      <c r="T462" s="1">
        <f>S462*12</f>
        <v>48</v>
      </c>
      <c r="W462" s="1">
        <v>15</v>
      </c>
      <c r="X462" s="1">
        <v>15</v>
      </c>
      <c r="Y462" s="1" t="s">
        <v>97</v>
      </c>
      <c r="Z462" s="1" t="s">
        <v>147</v>
      </c>
      <c r="AA462" s="1" t="s">
        <v>1</v>
      </c>
      <c r="AB462" s="1" t="s">
        <v>98</v>
      </c>
      <c r="AC462" s="1" t="s">
        <v>202</v>
      </c>
      <c r="AD462" s="1" t="s">
        <v>110</v>
      </c>
      <c r="AE462" s="1" t="s">
        <v>102</v>
      </c>
      <c r="AF462" s="1" t="s">
        <v>256</v>
      </c>
      <c r="AG462" s="1" t="s">
        <v>330</v>
      </c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" t="s">
        <v>285</v>
      </c>
    </row>
    <row r="463" spans="1:54" ht="14.25" customHeight="1">
      <c r="A463" s="2">
        <v>254</v>
      </c>
      <c r="B463" s="2" t="s">
        <v>39</v>
      </c>
      <c r="C463" s="1" t="s">
        <v>85</v>
      </c>
      <c r="D463" s="1">
        <v>1994</v>
      </c>
      <c r="E463" s="1">
        <v>1992</v>
      </c>
      <c r="F463" s="1" t="s">
        <v>143</v>
      </c>
      <c r="G463" s="1" t="s">
        <v>109</v>
      </c>
      <c r="H463" s="1">
        <v>40.4</v>
      </c>
      <c r="I463" s="1">
        <v>-121.083333</v>
      </c>
      <c r="J463" s="16" t="s">
        <v>126</v>
      </c>
      <c r="K463" s="1" t="s">
        <v>212</v>
      </c>
      <c r="L463" s="1" t="s">
        <v>213</v>
      </c>
      <c r="M463" s="1" t="s">
        <v>236</v>
      </c>
      <c r="N463" s="12" t="s">
        <v>238</v>
      </c>
      <c r="O463" s="1" t="s">
        <v>121</v>
      </c>
      <c r="P463" s="1" t="s">
        <v>146</v>
      </c>
      <c r="Q463" s="1" t="s">
        <v>93</v>
      </c>
      <c r="R463" s="1">
        <v>1983</v>
      </c>
      <c r="S463" s="1">
        <v>9</v>
      </c>
      <c r="T463" s="16">
        <f>S463*12</f>
        <v>108</v>
      </c>
      <c r="W463" s="1">
        <v>6</v>
      </c>
      <c r="X463" s="1">
        <v>12</v>
      </c>
      <c r="Y463" s="1" t="s">
        <v>114</v>
      </c>
      <c r="Z463" s="1" t="s">
        <v>2</v>
      </c>
      <c r="AA463" s="1" t="s">
        <v>1</v>
      </c>
      <c r="AB463" s="1" t="s">
        <v>113</v>
      </c>
      <c r="AC463" s="1" t="s">
        <v>2</v>
      </c>
      <c r="AD463" s="1" t="s">
        <v>2</v>
      </c>
      <c r="AE463" s="1" t="s">
        <v>2</v>
      </c>
      <c r="AF463" s="1" t="s">
        <v>297</v>
      </c>
      <c r="AG463" s="1" t="s">
        <v>317</v>
      </c>
      <c r="AH463" s="1">
        <v>1.4</v>
      </c>
      <c r="AI463" s="1">
        <f>AJ463*SQRT(X463)</f>
        <v>1.2124355652982139</v>
      </c>
      <c r="AJ463" s="1">
        <f>0.35</f>
        <v>0.35</v>
      </c>
      <c r="AK463" s="1">
        <v>1.76</v>
      </c>
      <c r="AL463" s="1">
        <f>AM463*SQRT(W463)</f>
        <v>1.1022703842524302</v>
      </c>
      <c r="AM463" s="1">
        <v>0.45</v>
      </c>
      <c r="AN463" s="12">
        <f t="shared" ref="AN457:AN487" si="59">AH463-AK463</f>
        <v>-0.3600000000000001</v>
      </c>
      <c r="AO463" s="1">
        <f t="shared" ref="AO409:AO487" si="60">SQRT((((X463-1)*AI463^2)+((W463-1)*AL463^2))/(X463+W463-2))</f>
        <v>1.1791151343274326</v>
      </c>
      <c r="AP463" s="1">
        <f t="shared" ref="AP413:AP463" si="61">AN463/AO463</f>
        <v>-0.30531369627898475</v>
      </c>
      <c r="AQ463" s="1">
        <f t="shared" ref="AQ409:AQ487" si="62">1/X463+1/W463+(AP463^2)/(2*(X463+W463))</f>
        <v>0.25258934592043158</v>
      </c>
      <c r="AR463" s="1">
        <f t="shared" ref="AR409:AR487" si="63">1-(3/(4*(X463+W463-2)-1))</f>
        <v>0.95238095238095233</v>
      </c>
      <c r="AS463" s="21">
        <f t="shared" ref="AS413:AS463" si="64">AP463*AR463</f>
        <v>-0.29077494883712829</v>
      </c>
      <c r="AT463" s="21">
        <f>AQ463*(AR463^2)</f>
        <v>0.22910598269426899</v>
      </c>
      <c r="AU463" s="21">
        <f t="shared" ref="AU413:AU463" si="65">SQRT(AQ463*AR463^2)</f>
        <v>0.47865016733964377</v>
      </c>
      <c r="AV463" s="20">
        <f>1/AT463</f>
        <v>4.3647921727755676</v>
      </c>
      <c r="AW463" s="20">
        <f>AS463/AT463</f>
        <v>-1.2691722207235139</v>
      </c>
      <c r="AX463" s="20">
        <f>((AS463)^2)/AT463</f>
        <v>0.36904348754638422</v>
      </c>
      <c r="AY463" s="14"/>
      <c r="AZ463" s="14"/>
      <c r="BA463" s="1" t="s">
        <v>270</v>
      </c>
      <c r="BB463" s="2"/>
    </row>
    <row r="464" spans="1:54" s="12" customFormat="1" ht="14.25" customHeight="1">
      <c r="A464" s="2">
        <v>448</v>
      </c>
      <c r="B464" s="2" t="s">
        <v>56</v>
      </c>
      <c r="C464" s="12" t="s">
        <v>85</v>
      </c>
      <c r="D464" s="12">
        <v>2019</v>
      </c>
      <c r="E464" s="12">
        <v>2015</v>
      </c>
      <c r="F464" s="12" t="s">
        <v>152</v>
      </c>
      <c r="G464" s="12" t="s">
        <v>117</v>
      </c>
      <c r="H464" s="12">
        <v>61.96461</v>
      </c>
      <c r="I464" s="12">
        <v>-116.850157</v>
      </c>
      <c r="J464" s="12" t="s">
        <v>128</v>
      </c>
      <c r="K464" s="12" t="s">
        <v>103</v>
      </c>
      <c r="L464" s="12" t="s">
        <v>187</v>
      </c>
      <c r="M464" s="12" t="s">
        <v>236</v>
      </c>
      <c r="N464" s="12" t="s">
        <v>238</v>
      </c>
      <c r="O464" s="12" t="s">
        <v>86</v>
      </c>
      <c r="P464" s="12" t="s">
        <v>129</v>
      </c>
      <c r="Q464" s="12" t="s">
        <v>93</v>
      </c>
      <c r="R464" s="12">
        <v>2014</v>
      </c>
      <c r="S464" s="12">
        <v>1</v>
      </c>
      <c r="T464" s="1">
        <f t="shared" ref="T464:T476" si="66">S464*12</f>
        <v>12</v>
      </c>
      <c r="V464" s="12" t="s">
        <v>278</v>
      </c>
      <c r="W464" s="12">
        <v>12</v>
      </c>
      <c r="X464" s="12">
        <v>50</v>
      </c>
      <c r="Y464" s="12" t="s">
        <v>97</v>
      </c>
      <c r="Z464" s="12" t="s">
        <v>360</v>
      </c>
      <c r="AA464" s="12" t="s">
        <v>1</v>
      </c>
      <c r="AB464" s="12" t="s">
        <v>98</v>
      </c>
      <c r="AC464" s="12" t="s">
        <v>202</v>
      </c>
      <c r="AD464" s="12" t="s">
        <v>99</v>
      </c>
      <c r="AE464" s="12" t="s">
        <v>102</v>
      </c>
      <c r="AF464" s="12" t="s">
        <v>256</v>
      </c>
      <c r="AG464" s="12" t="s">
        <v>319</v>
      </c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2" t="s">
        <v>285</v>
      </c>
    </row>
    <row r="465" spans="1:54" ht="14.25" customHeight="1">
      <c r="A465" s="2">
        <v>403</v>
      </c>
      <c r="B465" s="2" t="s">
        <v>50</v>
      </c>
      <c r="C465" s="1" t="s">
        <v>85</v>
      </c>
      <c r="D465" s="1">
        <v>2020</v>
      </c>
      <c r="E465" s="1">
        <v>2017</v>
      </c>
      <c r="F465" s="1" t="s">
        <v>214</v>
      </c>
      <c r="G465" s="1" t="s">
        <v>161</v>
      </c>
      <c r="H465" s="1">
        <v>50.903193999999999</v>
      </c>
      <c r="I465" s="1">
        <v>121.194889</v>
      </c>
      <c r="J465" s="1" t="s">
        <v>128</v>
      </c>
      <c r="K465" s="1" t="s">
        <v>172</v>
      </c>
      <c r="L465" s="1" t="s">
        <v>173</v>
      </c>
      <c r="M465" s="1" t="s">
        <v>236</v>
      </c>
      <c r="N465" s="1" t="s">
        <v>238</v>
      </c>
      <c r="O465" s="1" t="s">
        <v>86</v>
      </c>
      <c r="P465" s="1" t="s">
        <v>2</v>
      </c>
      <c r="Q465" s="1" t="s">
        <v>93</v>
      </c>
      <c r="R465" s="1">
        <v>2016</v>
      </c>
      <c r="S465" s="1">
        <v>1</v>
      </c>
      <c r="T465" s="1">
        <f t="shared" si="66"/>
        <v>12</v>
      </c>
      <c r="V465" s="1" t="s">
        <v>2</v>
      </c>
      <c r="W465" s="1">
        <v>4</v>
      </c>
      <c r="X465" s="1">
        <v>4</v>
      </c>
      <c r="Y465" s="1" t="s">
        <v>97</v>
      </c>
      <c r="Z465" s="1" t="s">
        <v>130</v>
      </c>
      <c r="AA465" s="1" t="s">
        <v>1</v>
      </c>
      <c r="AB465" s="1" t="s">
        <v>98</v>
      </c>
      <c r="AC465" s="1" t="s">
        <v>202</v>
      </c>
      <c r="AD465" s="1" t="s">
        <v>99</v>
      </c>
      <c r="AE465" s="1" t="s">
        <v>102</v>
      </c>
      <c r="AF465" s="1" t="s">
        <v>256</v>
      </c>
      <c r="AG465" s="1" t="s">
        <v>315</v>
      </c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" t="s">
        <v>285</v>
      </c>
    </row>
    <row r="466" spans="1:54" ht="14.25" customHeight="1">
      <c r="A466" s="2">
        <v>403</v>
      </c>
      <c r="B466" s="2" t="s">
        <v>50</v>
      </c>
      <c r="C466" s="1" t="s">
        <v>85</v>
      </c>
      <c r="D466" s="1">
        <v>2020</v>
      </c>
      <c r="E466" s="1">
        <v>2017</v>
      </c>
      <c r="F466" s="1" t="s">
        <v>214</v>
      </c>
      <c r="G466" s="1" t="s">
        <v>161</v>
      </c>
      <c r="H466" s="1">
        <v>50.903193999999999</v>
      </c>
      <c r="I466" s="1">
        <v>121.194889</v>
      </c>
      <c r="J466" s="1" t="s">
        <v>128</v>
      </c>
      <c r="K466" s="1" t="s">
        <v>172</v>
      </c>
      <c r="L466" s="1" t="s">
        <v>173</v>
      </c>
      <c r="M466" s="1" t="s">
        <v>236</v>
      </c>
      <c r="N466" s="1" t="s">
        <v>238</v>
      </c>
      <c r="O466" s="1" t="s">
        <v>86</v>
      </c>
      <c r="P466" s="1" t="s">
        <v>2</v>
      </c>
      <c r="Q466" s="1" t="s">
        <v>93</v>
      </c>
      <c r="R466" s="1">
        <v>2016</v>
      </c>
      <c r="S466" s="1">
        <v>1</v>
      </c>
      <c r="T466" s="1">
        <f t="shared" si="66"/>
        <v>12</v>
      </c>
      <c r="V466" s="1" t="s">
        <v>2</v>
      </c>
      <c r="W466" s="1">
        <v>4</v>
      </c>
      <c r="X466" s="1">
        <v>4</v>
      </c>
      <c r="Y466" s="1" t="s">
        <v>97</v>
      </c>
      <c r="Z466" s="1" t="s">
        <v>232</v>
      </c>
      <c r="AA466" s="1" t="s">
        <v>1</v>
      </c>
      <c r="AB466" s="1" t="s">
        <v>98</v>
      </c>
      <c r="AC466" s="1" t="s">
        <v>202</v>
      </c>
      <c r="AD466" s="1" t="s">
        <v>99</v>
      </c>
      <c r="AE466" s="1" t="s">
        <v>102</v>
      </c>
      <c r="AF466" s="1" t="s">
        <v>256</v>
      </c>
      <c r="AG466" s="1" t="s">
        <v>315</v>
      </c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" t="s">
        <v>285</v>
      </c>
    </row>
    <row r="467" spans="1:54" ht="14.25" customHeight="1">
      <c r="A467" s="2">
        <v>403</v>
      </c>
      <c r="B467" s="2" t="s">
        <v>50</v>
      </c>
      <c r="C467" s="1" t="s">
        <v>85</v>
      </c>
      <c r="D467" s="1">
        <v>2020</v>
      </c>
      <c r="E467" s="1">
        <v>2017</v>
      </c>
      <c r="F467" s="1" t="s">
        <v>214</v>
      </c>
      <c r="G467" s="1" t="s">
        <v>161</v>
      </c>
      <c r="H467" s="1">
        <v>50.903193999999999</v>
      </c>
      <c r="I467" s="1">
        <v>121.194889</v>
      </c>
      <c r="J467" s="1" t="s">
        <v>128</v>
      </c>
      <c r="K467" s="1" t="s">
        <v>172</v>
      </c>
      <c r="L467" s="1" t="s">
        <v>173</v>
      </c>
      <c r="M467" s="1" t="s">
        <v>236</v>
      </c>
      <c r="N467" s="1" t="s">
        <v>238</v>
      </c>
      <c r="O467" s="1" t="s">
        <v>86</v>
      </c>
      <c r="P467" s="1" t="s">
        <v>2</v>
      </c>
      <c r="Q467" s="1" t="s">
        <v>93</v>
      </c>
      <c r="R467" s="1">
        <v>2016</v>
      </c>
      <c r="S467" s="1">
        <v>1</v>
      </c>
      <c r="T467" s="1">
        <f t="shared" si="66"/>
        <v>12</v>
      </c>
      <c r="V467" s="1" t="s">
        <v>2</v>
      </c>
      <c r="W467" s="1">
        <v>4</v>
      </c>
      <c r="X467" s="1">
        <v>4</v>
      </c>
      <c r="Y467" s="1" t="s">
        <v>97</v>
      </c>
      <c r="Z467" s="1" t="s">
        <v>220</v>
      </c>
      <c r="AA467" s="1" t="s">
        <v>1</v>
      </c>
      <c r="AB467" s="1" t="s">
        <v>98</v>
      </c>
      <c r="AC467" s="1" t="s">
        <v>202</v>
      </c>
      <c r="AD467" s="1" t="s">
        <v>99</v>
      </c>
      <c r="AE467" s="1" t="s">
        <v>102</v>
      </c>
      <c r="AF467" s="1" t="s">
        <v>256</v>
      </c>
      <c r="AG467" s="1" t="s">
        <v>315</v>
      </c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" t="s">
        <v>285</v>
      </c>
    </row>
    <row r="468" spans="1:54" ht="14.25" customHeight="1">
      <c r="A468" s="2">
        <v>403</v>
      </c>
      <c r="B468" s="2" t="s">
        <v>50</v>
      </c>
      <c r="C468" s="1" t="s">
        <v>85</v>
      </c>
      <c r="D468" s="1">
        <v>2020</v>
      </c>
      <c r="E468" s="1">
        <v>2017</v>
      </c>
      <c r="F468" s="1" t="s">
        <v>214</v>
      </c>
      <c r="G468" s="1" t="s">
        <v>161</v>
      </c>
      <c r="H468" s="1">
        <v>50.903193999999999</v>
      </c>
      <c r="I468" s="1">
        <v>121.194889</v>
      </c>
      <c r="J468" s="1" t="s">
        <v>128</v>
      </c>
      <c r="K468" s="1" t="s">
        <v>172</v>
      </c>
      <c r="L468" s="1" t="s">
        <v>173</v>
      </c>
      <c r="M468" s="1" t="s">
        <v>236</v>
      </c>
      <c r="N468" s="1" t="s">
        <v>238</v>
      </c>
      <c r="O468" s="1" t="s">
        <v>86</v>
      </c>
      <c r="P468" s="1" t="s">
        <v>2</v>
      </c>
      <c r="Q468" s="1" t="s">
        <v>93</v>
      </c>
      <c r="R468" s="1">
        <v>2015</v>
      </c>
      <c r="S468" s="1">
        <v>2</v>
      </c>
      <c r="T468" s="1">
        <f t="shared" si="66"/>
        <v>24</v>
      </c>
      <c r="V468" s="1" t="s">
        <v>2</v>
      </c>
      <c r="W468" s="1">
        <v>4</v>
      </c>
      <c r="X468" s="1">
        <v>4</v>
      </c>
      <c r="Y468" s="1" t="s">
        <v>97</v>
      </c>
      <c r="Z468" s="1" t="s">
        <v>130</v>
      </c>
      <c r="AA468" s="1" t="s">
        <v>1</v>
      </c>
      <c r="AB468" s="1" t="s">
        <v>98</v>
      </c>
      <c r="AC468" s="1" t="s">
        <v>202</v>
      </c>
      <c r="AD468" s="1" t="s">
        <v>99</v>
      </c>
      <c r="AE468" s="1" t="s">
        <v>102</v>
      </c>
      <c r="AF468" s="1" t="s">
        <v>256</v>
      </c>
      <c r="AG468" s="1" t="s">
        <v>315</v>
      </c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" t="s">
        <v>285</v>
      </c>
    </row>
    <row r="469" spans="1:54" ht="14.25" customHeight="1">
      <c r="A469" s="2">
        <v>403</v>
      </c>
      <c r="B469" s="2" t="s">
        <v>50</v>
      </c>
      <c r="C469" s="1" t="s">
        <v>85</v>
      </c>
      <c r="D469" s="1">
        <v>2020</v>
      </c>
      <c r="E469" s="1">
        <v>2017</v>
      </c>
      <c r="F469" s="1" t="s">
        <v>214</v>
      </c>
      <c r="G469" s="1" t="s">
        <v>161</v>
      </c>
      <c r="H469" s="1">
        <v>50.903193999999999</v>
      </c>
      <c r="I469" s="1">
        <v>121.194889</v>
      </c>
      <c r="J469" s="1" t="s">
        <v>128</v>
      </c>
      <c r="K469" s="1" t="s">
        <v>172</v>
      </c>
      <c r="L469" s="1" t="s">
        <v>173</v>
      </c>
      <c r="M469" s="1" t="s">
        <v>236</v>
      </c>
      <c r="N469" s="1" t="s">
        <v>238</v>
      </c>
      <c r="O469" s="1" t="s">
        <v>86</v>
      </c>
      <c r="P469" s="1" t="s">
        <v>2</v>
      </c>
      <c r="Q469" s="1" t="s">
        <v>93</v>
      </c>
      <c r="R469" s="1">
        <v>2015</v>
      </c>
      <c r="S469" s="1">
        <v>2</v>
      </c>
      <c r="T469" s="1">
        <f t="shared" si="66"/>
        <v>24</v>
      </c>
      <c r="V469" s="1" t="s">
        <v>2</v>
      </c>
      <c r="W469" s="1">
        <v>4</v>
      </c>
      <c r="X469" s="1">
        <v>4</v>
      </c>
      <c r="Y469" s="1" t="s">
        <v>97</v>
      </c>
      <c r="Z469" s="1" t="s">
        <v>232</v>
      </c>
      <c r="AA469" s="1" t="s">
        <v>1</v>
      </c>
      <c r="AB469" s="1" t="s">
        <v>98</v>
      </c>
      <c r="AC469" s="1" t="s">
        <v>202</v>
      </c>
      <c r="AD469" s="1" t="s">
        <v>99</v>
      </c>
      <c r="AE469" s="1" t="s">
        <v>102</v>
      </c>
      <c r="AF469" s="1" t="s">
        <v>256</v>
      </c>
      <c r="AG469" s="1" t="s">
        <v>315</v>
      </c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" t="s">
        <v>285</v>
      </c>
    </row>
    <row r="470" spans="1:54" ht="14.25" customHeight="1">
      <c r="A470" s="2">
        <v>403</v>
      </c>
      <c r="B470" s="2" t="s">
        <v>50</v>
      </c>
      <c r="C470" s="1" t="s">
        <v>85</v>
      </c>
      <c r="D470" s="1">
        <v>2020</v>
      </c>
      <c r="E470" s="1">
        <v>2017</v>
      </c>
      <c r="F470" s="1" t="s">
        <v>214</v>
      </c>
      <c r="G470" s="1" t="s">
        <v>161</v>
      </c>
      <c r="H470" s="1">
        <v>50.903193999999999</v>
      </c>
      <c r="I470" s="1">
        <v>121.194889</v>
      </c>
      <c r="J470" s="1" t="s">
        <v>128</v>
      </c>
      <c r="K470" s="1" t="s">
        <v>172</v>
      </c>
      <c r="L470" s="1" t="s">
        <v>173</v>
      </c>
      <c r="M470" s="1" t="s">
        <v>236</v>
      </c>
      <c r="N470" s="1" t="s">
        <v>238</v>
      </c>
      <c r="O470" s="1" t="s">
        <v>86</v>
      </c>
      <c r="P470" s="1" t="s">
        <v>2</v>
      </c>
      <c r="Q470" s="1" t="s">
        <v>93</v>
      </c>
      <c r="R470" s="1">
        <v>2015</v>
      </c>
      <c r="S470" s="1">
        <v>2</v>
      </c>
      <c r="T470" s="1">
        <f t="shared" si="66"/>
        <v>24</v>
      </c>
      <c r="V470" s="1" t="s">
        <v>2</v>
      </c>
      <c r="W470" s="1">
        <v>4</v>
      </c>
      <c r="X470" s="1">
        <v>4</v>
      </c>
      <c r="Y470" s="1" t="s">
        <v>97</v>
      </c>
      <c r="Z470" s="1" t="s">
        <v>220</v>
      </c>
      <c r="AA470" s="1" t="s">
        <v>1</v>
      </c>
      <c r="AB470" s="1" t="s">
        <v>98</v>
      </c>
      <c r="AC470" s="1" t="s">
        <v>202</v>
      </c>
      <c r="AD470" s="1" t="s">
        <v>99</v>
      </c>
      <c r="AE470" s="1" t="s">
        <v>102</v>
      </c>
      <c r="AF470" s="1" t="s">
        <v>256</v>
      </c>
      <c r="AG470" s="1" t="s">
        <v>315</v>
      </c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" t="s">
        <v>285</v>
      </c>
    </row>
    <row r="471" spans="1:54" ht="14.25" customHeight="1">
      <c r="A471" s="2">
        <v>403</v>
      </c>
      <c r="B471" s="2" t="s">
        <v>50</v>
      </c>
      <c r="C471" s="1" t="s">
        <v>85</v>
      </c>
      <c r="D471" s="1">
        <v>2020</v>
      </c>
      <c r="E471" s="1">
        <v>2017</v>
      </c>
      <c r="F471" s="1" t="s">
        <v>214</v>
      </c>
      <c r="G471" s="1" t="s">
        <v>161</v>
      </c>
      <c r="H471" s="1">
        <v>50.903193999999999</v>
      </c>
      <c r="I471" s="1">
        <v>121.194889</v>
      </c>
      <c r="J471" s="1" t="s">
        <v>128</v>
      </c>
      <c r="K471" s="1" t="s">
        <v>172</v>
      </c>
      <c r="L471" s="1" t="s">
        <v>173</v>
      </c>
      <c r="M471" s="1" t="s">
        <v>236</v>
      </c>
      <c r="N471" s="1" t="s">
        <v>238</v>
      </c>
      <c r="O471" s="1" t="s">
        <v>86</v>
      </c>
      <c r="P471" s="1" t="s">
        <v>2</v>
      </c>
      <c r="Q471" s="1" t="s">
        <v>93</v>
      </c>
      <c r="R471" s="1">
        <v>2009</v>
      </c>
      <c r="S471" s="1">
        <v>8</v>
      </c>
      <c r="T471" s="1">
        <f t="shared" si="66"/>
        <v>96</v>
      </c>
      <c r="V471" s="1" t="s">
        <v>2</v>
      </c>
      <c r="W471" s="1">
        <v>4</v>
      </c>
      <c r="X471" s="1">
        <v>4</v>
      </c>
      <c r="Y471" s="1" t="s">
        <v>97</v>
      </c>
      <c r="Z471" s="1" t="s">
        <v>130</v>
      </c>
      <c r="AA471" s="1" t="s">
        <v>1</v>
      </c>
      <c r="AB471" s="1" t="s">
        <v>98</v>
      </c>
      <c r="AC471" s="1" t="s">
        <v>202</v>
      </c>
      <c r="AD471" s="1" t="s">
        <v>99</v>
      </c>
      <c r="AE471" s="1" t="s">
        <v>102</v>
      </c>
      <c r="AF471" s="1" t="s">
        <v>256</v>
      </c>
      <c r="AG471" s="1" t="s">
        <v>315</v>
      </c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" t="s">
        <v>285</v>
      </c>
    </row>
    <row r="472" spans="1:54" ht="14.25" customHeight="1">
      <c r="A472" s="2">
        <v>403</v>
      </c>
      <c r="B472" s="2" t="s">
        <v>50</v>
      </c>
      <c r="C472" s="1" t="s">
        <v>85</v>
      </c>
      <c r="D472" s="1">
        <v>2020</v>
      </c>
      <c r="E472" s="1">
        <v>2017</v>
      </c>
      <c r="F472" s="1" t="s">
        <v>214</v>
      </c>
      <c r="G472" s="1" t="s">
        <v>161</v>
      </c>
      <c r="H472" s="1">
        <v>50.903193999999999</v>
      </c>
      <c r="I472" s="1">
        <v>121.194889</v>
      </c>
      <c r="J472" s="1" t="s">
        <v>128</v>
      </c>
      <c r="K472" s="1" t="s">
        <v>172</v>
      </c>
      <c r="L472" s="1" t="s">
        <v>173</v>
      </c>
      <c r="M472" s="1" t="s">
        <v>236</v>
      </c>
      <c r="N472" s="1" t="s">
        <v>238</v>
      </c>
      <c r="O472" s="1" t="s">
        <v>86</v>
      </c>
      <c r="P472" s="1" t="s">
        <v>2</v>
      </c>
      <c r="Q472" s="1" t="s">
        <v>93</v>
      </c>
      <c r="R472" s="1">
        <v>2009</v>
      </c>
      <c r="S472" s="1">
        <v>8</v>
      </c>
      <c r="T472" s="1">
        <f t="shared" si="66"/>
        <v>96</v>
      </c>
      <c r="V472" s="1" t="s">
        <v>2</v>
      </c>
      <c r="W472" s="1">
        <v>4</v>
      </c>
      <c r="X472" s="1">
        <v>4</v>
      </c>
      <c r="Y472" s="1" t="s">
        <v>97</v>
      </c>
      <c r="Z472" s="1" t="s">
        <v>232</v>
      </c>
      <c r="AA472" s="1" t="s">
        <v>1</v>
      </c>
      <c r="AB472" s="1" t="s">
        <v>98</v>
      </c>
      <c r="AC472" s="1" t="s">
        <v>202</v>
      </c>
      <c r="AD472" s="1" t="s">
        <v>99</v>
      </c>
      <c r="AE472" s="1" t="s">
        <v>102</v>
      </c>
      <c r="AF472" s="1" t="s">
        <v>256</v>
      </c>
      <c r="AG472" s="1" t="s">
        <v>315</v>
      </c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" t="s">
        <v>285</v>
      </c>
    </row>
    <row r="473" spans="1:54" ht="14.25" customHeight="1">
      <c r="A473" s="2">
        <v>403</v>
      </c>
      <c r="B473" s="2" t="s">
        <v>50</v>
      </c>
      <c r="C473" s="1" t="s">
        <v>85</v>
      </c>
      <c r="D473" s="1">
        <v>2020</v>
      </c>
      <c r="E473" s="1">
        <v>2017</v>
      </c>
      <c r="F473" s="1" t="s">
        <v>214</v>
      </c>
      <c r="G473" s="1" t="s">
        <v>161</v>
      </c>
      <c r="H473" s="1">
        <v>50.903193999999999</v>
      </c>
      <c r="I473" s="1">
        <v>121.194889</v>
      </c>
      <c r="J473" s="1" t="s">
        <v>128</v>
      </c>
      <c r="K473" s="1" t="s">
        <v>172</v>
      </c>
      <c r="L473" s="1" t="s">
        <v>173</v>
      </c>
      <c r="M473" s="1" t="s">
        <v>236</v>
      </c>
      <c r="N473" s="1" t="s">
        <v>238</v>
      </c>
      <c r="O473" s="1" t="s">
        <v>86</v>
      </c>
      <c r="P473" s="1" t="s">
        <v>2</v>
      </c>
      <c r="Q473" s="1" t="s">
        <v>93</v>
      </c>
      <c r="R473" s="1">
        <v>2009</v>
      </c>
      <c r="S473" s="1">
        <v>8</v>
      </c>
      <c r="T473" s="1">
        <f t="shared" si="66"/>
        <v>96</v>
      </c>
      <c r="V473" s="1" t="s">
        <v>2</v>
      </c>
      <c r="W473" s="1">
        <v>4</v>
      </c>
      <c r="X473" s="1">
        <v>4</v>
      </c>
      <c r="Y473" s="1" t="s">
        <v>97</v>
      </c>
      <c r="Z473" s="1" t="s">
        <v>220</v>
      </c>
      <c r="AA473" s="1" t="s">
        <v>1</v>
      </c>
      <c r="AB473" s="1" t="s">
        <v>98</v>
      </c>
      <c r="AC473" s="1" t="s">
        <v>202</v>
      </c>
      <c r="AD473" s="1" t="s">
        <v>99</v>
      </c>
      <c r="AE473" s="1" t="s">
        <v>102</v>
      </c>
      <c r="AF473" s="1" t="s">
        <v>256</v>
      </c>
      <c r="AG473" s="1" t="s">
        <v>315</v>
      </c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" t="s">
        <v>285</v>
      </c>
    </row>
    <row r="474" spans="1:54" ht="14.25" customHeight="1">
      <c r="A474" s="2">
        <v>403</v>
      </c>
      <c r="B474" s="2" t="s">
        <v>50</v>
      </c>
      <c r="C474" s="1" t="s">
        <v>85</v>
      </c>
      <c r="D474" s="1">
        <v>2020</v>
      </c>
      <c r="E474" s="1">
        <v>2017</v>
      </c>
      <c r="F474" s="1" t="s">
        <v>214</v>
      </c>
      <c r="G474" s="1" t="s">
        <v>161</v>
      </c>
      <c r="H474" s="1">
        <v>50.903193999999999</v>
      </c>
      <c r="I474" s="1">
        <v>121.194889</v>
      </c>
      <c r="J474" s="1" t="s">
        <v>128</v>
      </c>
      <c r="K474" s="1" t="s">
        <v>172</v>
      </c>
      <c r="L474" s="1" t="s">
        <v>173</v>
      </c>
      <c r="M474" s="1" t="s">
        <v>236</v>
      </c>
      <c r="N474" s="1" t="s">
        <v>238</v>
      </c>
      <c r="O474" s="1" t="s">
        <v>86</v>
      </c>
      <c r="P474" s="1" t="s">
        <v>2</v>
      </c>
      <c r="Q474" s="1" t="s">
        <v>93</v>
      </c>
      <c r="R474" s="1">
        <v>2003</v>
      </c>
      <c r="S474" s="1">
        <v>14</v>
      </c>
      <c r="T474" s="1">
        <f t="shared" si="66"/>
        <v>168</v>
      </c>
      <c r="V474" s="1" t="s">
        <v>2</v>
      </c>
      <c r="W474" s="1">
        <v>4</v>
      </c>
      <c r="X474" s="1">
        <v>4</v>
      </c>
      <c r="Y474" s="1" t="s">
        <v>97</v>
      </c>
      <c r="Z474" s="1" t="s">
        <v>130</v>
      </c>
      <c r="AA474" s="1" t="s">
        <v>1</v>
      </c>
      <c r="AB474" s="1" t="s">
        <v>98</v>
      </c>
      <c r="AC474" s="1" t="s">
        <v>202</v>
      </c>
      <c r="AD474" s="1" t="s">
        <v>99</v>
      </c>
      <c r="AE474" s="1" t="s">
        <v>102</v>
      </c>
      <c r="AF474" s="1" t="s">
        <v>256</v>
      </c>
      <c r="AG474" s="1" t="s">
        <v>315</v>
      </c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" t="s">
        <v>285</v>
      </c>
    </row>
    <row r="475" spans="1:54" ht="14.25" customHeight="1">
      <c r="A475" s="2">
        <v>403</v>
      </c>
      <c r="B475" s="2" t="s">
        <v>50</v>
      </c>
      <c r="C475" s="1" t="s">
        <v>85</v>
      </c>
      <c r="D475" s="1">
        <v>2020</v>
      </c>
      <c r="E475" s="1">
        <v>2017</v>
      </c>
      <c r="F475" s="1" t="s">
        <v>214</v>
      </c>
      <c r="G475" s="1" t="s">
        <v>161</v>
      </c>
      <c r="H475" s="1">
        <v>50.903193999999999</v>
      </c>
      <c r="I475" s="1">
        <v>121.194889</v>
      </c>
      <c r="J475" s="1" t="s">
        <v>128</v>
      </c>
      <c r="K475" s="1" t="s">
        <v>172</v>
      </c>
      <c r="L475" s="1" t="s">
        <v>173</v>
      </c>
      <c r="M475" s="1" t="s">
        <v>236</v>
      </c>
      <c r="N475" s="1" t="s">
        <v>238</v>
      </c>
      <c r="O475" s="1" t="s">
        <v>86</v>
      </c>
      <c r="P475" s="1" t="s">
        <v>2</v>
      </c>
      <c r="Q475" s="1" t="s">
        <v>93</v>
      </c>
      <c r="R475" s="1">
        <v>2003</v>
      </c>
      <c r="S475" s="1">
        <v>14</v>
      </c>
      <c r="T475" s="1">
        <f t="shared" si="66"/>
        <v>168</v>
      </c>
      <c r="V475" s="1" t="s">
        <v>2</v>
      </c>
      <c r="W475" s="1">
        <v>4</v>
      </c>
      <c r="X475" s="1">
        <v>4</v>
      </c>
      <c r="Y475" s="1" t="s">
        <v>97</v>
      </c>
      <c r="Z475" s="1" t="s">
        <v>232</v>
      </c>
      <c r="AA475" s="1" t="s">
        <v>1</v>
      </c>
      <c r="AB475" s="1" t="s">
        <v>98</v>
      </c>
      <c r="AC475" s="1" t="s">
        <v>202</v>
      </c>
      <c r="AD475" s="1" t="s">
        <v>99</v>
      </c>
      <c r="AE475" s="1" t="s">
        <v>102</v>
      </c>
      <c r="AF475" s="1" t="s">
        <v>256</v>
      </c>
      <c r="AG475" s="1" t="s">
        <v>315</v>
      </c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" t="s">
        <v>285</v>
      </c>
    </row>
    <row r="476" spans="1:54" ht="14.25" customHeight="1">
      <c r="A476" s="2">
        <v>403</v>
      </c>
      <c r="B476" s="2" t="s">
        <v>50</v>
      </c>
      <c r="C476" s="1" t="s">
        <v>85</v>
      </c>
      <c r="D476" s="1">
        <v>2020</v>
      </c>
      <c r="E476" s="1">
        <v>2017</v>
      </c>
      <c r="F476" s="1" t="s">
        <v>214</v>
      </c>
      <c r="G476" s="1" t="s">
        <v>161</v>
      </c>
      <c r="H476" s="1">
        <v>50.903193999999999</v>
      </c>
      <c r="I476" s="1">
        <v>121.194889</v>
      </c>
      <c r="J476" s="1" t="s">
        <v>128</v>
      </c>
      <c r="K476" s="1" t="s">
        <v>172</v>
      </c>
      <c r="L476" s="1" t="s">
        <v>173</v>
      </c>
      <c r="M476" s="1" t="s">
        <v>236</v>
      </c>
      <c r="N476" s="1" t="s">
        <v>238</v>
      </c>
      <c r="O476" s="1" t="s">
        <v>86</v>
      </c>
      <c r="P476" s="1" t="s">
        <v>2</v>
      </c>
      <c r="Q476" s="1" t="s">
        <v>93</v>
      </c>
      <c r="R476" s="1">
        <v>2003</v>
      </c>
      <c r="S476" s="1">
        <v>14</v>
      </c>
      <c r="T476" s="1">
        <f t="shared" si="66"/>
        <v>168</v>
      </c>
      <c r="V476" s="1" t="s">
        <v>2</v>
      </c>
      <c r="W476" s="1">
        <v>4</v>
      </c>
      <c r="X476" s="1">
        <v>4</v>
      </c>
      <c r="Y476" s="1" t="s">
        <v>97</v>
      </c>
      <c r="Z476" s="1" t="s">
        <v>220</v>
      </c>
      <c r="AA476" s="1" t="s">
        <v>1</v>
      </c>
      <c r="AB476" s="1" t="s">
        <v>98</v>
      </c>
      <c r="AC476" s="1" t="s">
        <v>202</v>
      </c>
      <c r="AD476" s="1" t="s">
        <v>99</v>
      </c>
      <c r="AE476" s="1" t="s">
        <v>102</v>
      </c>
      <c r="AF476" s="1" t="s">
        <v>256</v>
      </c>
      <c r="AG476" s="1" t="s">
        <v>315</v>
      </c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" t="s">
        <v>285</v>
      </c>
    </row>
    <row r="477" spans="1:54" ht="14.25" customHeight="1">
      <c r="A477" s="2">
        <v>452</v>
      </c>
      <c r="B477" s="2" t="s">
        <v>58</v>
      </c>
      <c r="C477" s="1" t="s">
        <v>85</v>
      </c>
      <c r="D477" s="1">
        <v>2023</v>
      </c>
      <c r="E477" s="1">
        <v>2015</v>
      </c>
      <c r="F477" s="1" t="s">
        <v>152</v>
      </c>
      <c r="G477" s="1" t="s">
        <v>117</v>
      </c>
      <c r="H477" s="1">
        <v>66.900244999999998</v>
      </c>
      <c r="I477" s="1">
        <v>-136.24644499999999</v>
      </c>
      <c r="J477" s="1" t="s">
        <v>128</v>
      </c>
      <c r="K477" s="1" t="s">
        <v>103</v>
      </c>
      <c r="L477" s="1" t="s">
        <v>260</v>
      </c>
      <c r="M477" s="1" t="s">
        <v>236</v>
      </c>
      <c r="N477" s="1" t="s">
        <v>238</v>
      </c>
      <c r="O477" s="1" t="s">
        <v>86</v>
      </c>
      <c r="P477" s="1" t="s">
        <v>2</v>
      </c>
      <c r="Q477" s="1" t="s">
        <v>93</v>
      </c>
      <c r="R477" s="1">
        <v>2012</v>
      </c>
      <c r="S477" s="1">
        <v>3</v>
      </c>
      <c r="T477" s="16">
        <f t="shared" ref="T477:T479" si="67">S477*12</f>
        <v>36</v>
      </c>
      <c r="V477" s="1" t="s">
        <v>2</v>
      </c>
      <c r="W477" s="1">
        <v>9</v>
      </c>
      <c r="X477" s="1">
        <v>9</v>
      </c>
      <c r="Y477" s="1" t="s">
        <v>97</v>
      </c>
      <c r="Z477" s="1" t="s">
        <v>130</v>
      </c>
      <c r="AA477" s="1" t="s">
        <v>1</v>
      </c>
      <c r="AB477" s="1" t="s">
        <v>98</v>
      </c>
      <c r="AC477" s="1" t="s">
        <v>202</v>
      </c>
      <c r="AD477" s="1" t="s">
        <v>99</v>
      </c>
      <c r="AE477" s="1" t="s">
        <v>102</v>
      </c>
      <c r="AF477" s="1" t="s">
        <v>261</v>
      </c>
      <c r="AG477" s="1" t="s">
        <v>357</v>
      </c>
      <c r="AH477" s="1">
        <v>294.87</v>
      </c>
      <c r="AI477" s="1">
        <v>13.03</v>
      </c>
      <c r="AK477" s="1">
        <v>432.9</v>
      </c>
      <c r="AL477" s="1">
        <v>46.63</v>
      </c>
      <c r="AN477" s="12">
        <f t="shared" si="59"/>
        <v>-138.02999999999997</v>
      </c>
      <c r="AO477" s="1">
        <f t="shared" si="60"/>
        <v>34.235491817702872</v>
      </c>
      <c r="AP477" s="1">
        <f>AN477/AO477</f>
        <v>-4.0317808412095273</v>
      </c>
      <c r="AQ477" s="1">
        <f t="shared" si="62"/>
        <v>0.673757131987339</v>
      </c>
      <c r="AR477" s="1">
        <f t="shared" si="63"/>
        <v>0.95238095238095233</v>
      </c>
      <c r="AS477" s="21">
        <f>AP477*AR477</f>
        <v>-3.8397912773424068</v>
      </c>
      <c r="AT477" s="21">
        <f t="shared" ref="AT477:AT479" si="68">AQ477*(AR477^2)</f>
        <v>0.61111758003386751</v>
      </c>
      <c r="AU477" s="21">
        <f>SQRT(AQ477*AR477^2)</f>
        <v>0.78174009749651929</v>
      </c>
      <c r="AV477" s="20">
        <f t="shared" ref="AV477:AV479" si="69">1/AT477</f>
        <v>1.6363463148034147</v>
      </c>
      <c r="AW477" s="20">
        <f t="shared" ref="AW477:AW479" si="70">AS477/AT477</f>
        <v>-6.2832283062935446</v>
      </c>
      <c r="AX477" s="20">
        <f t="shared" ref="AX477:AX479" si="71">((AS477)^2)/AT477</f>
        <v>24.126285244056856</v>
      </c>
      <c r="AY477" s="14"/>
      <c r="AZ477" s="14"/>
      <c r="BA477" s="1" t="s">
        <v>270</v>
      </c>
      <c r="BB477" s="2"/>
    </row>
    <row r="478" spans="1:54" ht="14.25" customHeight="1">
      <c r="A478" s="2">
        <v>452</v>
      </c>
      <c r="B478" s="2" t="s">
        <v>58</v>
      </c>
      <c r="C478" s="1" t="s">
        <v>85</v>
      </c>
      <c r="D478" s="1">
        <v>2023</v>
      </c>
      <c r="E478" s="1">
        <v>2015</v>
      </c>
      <c r="F478" s="1" t="s">
        <v>152</v>
      </c>
      <c r="G478" s="1" t="s">
        <v>117</v>
      </c>
      <c r="H478" s="1">
        <v>66.900244999999998</v>
      </c>
      <c r="I478" s="1">
        <v>-136.24644499999999</v>
      </c>
      <c r="J478" s="1" t="s">
        <v>128</v>
      </c>
      <c r="K478" s="1" t="s">
        <v>103</v>
      </c>
      <c r="L478" s="1" t="s">
        <v>260</v>
      </c>
      <c r="M478" s="1" t="s">
        <v>236</v>
      </c>
      <c r="N478" s="1" t="s">
        <v>238</v>
      </c>
      <c r="O478" s="1" t="s">
        <v>86</v>
      </c>
      <c r="P478" s="1" t="s">
        <v>2</v>
      </c>
      <c r="Q478" s="1" t="s">
        <v>93</v>
      </c>
      <c r="R478" s="1">
        <v>2012</v>
      </c>
      <c r="S478" s="1">
        <v>3</v>
      </c>
      <c r="T478" s="16">
        <f t="shared" si="67"/>
        <v>36</v>
      </c>
      <c r="V478" s="1" t="s">
        <v>2</v>
      </c>
      <c r="W478" s="1">
        <v>9</v>
      </c>
      <c r="X478" s="1">
        <v>9</v>
      </c>
      <c r="Y478" s="1" t="s">
        <v>97</v>
      </c>
      <c r="Z478" s="1" t="s">
        <v>130</v>
      </c>
      <c r="AA478" s="1" t="s">
        <v>1</v>
      </c>
      <c r="AB478" s="1" t="s">
        <v>98</v>
      </c>
      <c r="AC478" s="1" t="s">
        <v>202</v>
      </c>
      <c r="AD478" s="1" t="s">
        <v>99</v>
      </c>
      <c r="AE478" s="1" t="s">
        <v>102</v>
      </c>
      <c r="AF478" s="1" t="s">
        <v>149</v>
      </c>
      <c r="AG478" s="1" t="s">
        <v>357</v>
      </c>
      <c r="AH478" s="1">
        <v>3.28</v>
      </c>
      <c r="AI478" s="1">
        <v>0.16</v>
      </c>
      <c r="AK478" s="1">
        <v>3.21</v>
      </c>
      <c r="AL478" s="1">
        <v>0.22</v>
      </c>
      <c r="AN478" s="12">
        <f t="shared" si="59"/>
        <v>6.999999999999984E-2</v>
      </c>
      <c r="AO478" s="1">
        <f t="shared" si="60"/>
        <v>0.19235384061671346</v>
      </c>
      <c r="AP478" s="1">
        <f t="shared" ref="AP478:AP487" si="72">AN478/AO478</f>
        <v>0.3639126714370246</v>
      </c>
      <c r="AQ478" s="1">
        <f t="shared" si="62"/>
        <v>0.22590090090090087</v>
      </c>
      <c r="AR478" s="1">
        <f t="shared" si="63"/>
        <v>0.95238095238095233</v>
      </c>
      <c r="AS478" s="21">
        <f t="shared" ref="AS478:AS487" si="73">AP478*AR478</f>
        <v>0.34658349660669008</v>
      </c>
      <c r="AT478" s="21">
        <f t="shared" si="68"/>
        <v>0.20489877632734771</v>
      </c>
      <c r="AU478" s="21">
        <f t="shared" ref="AU478:AU487" si="74">SQRT(AQ478*AR478^2)</f>
        <v>0.45265746025813791</v>
      </c>
      <c r="AV478" s="20">
        <f t="shared" si="69"/>
        <v>4.880458624127618</v>
      </c>
      <c r="AW478" s="20">
        <f t="shared" si="70"/>
        <v>1.6914864149944258</v>
      </c>
      <c r="AX478" s="20">
        <f t="shared" si="71"/>
        <v>0.58624127617148292</v>
      </c>
      <c r="AY478" s="14"/>
      <c r="AZ478" s="14"/>
      <c r="BA478" s="1" t="s">
        <v>270</v>
      </c>
      <c r="BB478" s="2"/>
    </row>
    <row r="479" spans="1:54" ht="14.25" customHeight="1">
      <c r="A479" s="2">
        <v>452</v>
      </c>
      <c r="B479" s="2" t="s">
        <v>58</v>
      </c>
      <c r="C479" s="1" t="s">
        <v>85</v>
      </c>
      <c r="D479" s="1">
        <v>2023</v>
      </c>
      <c r="E479" s="1">
        <v>2015</v>
      </c>
      <c r="F479" s="1" t="s">
        <v>152</v>
      </c>
      <c r="G479" s="1" t="s">
        <v>117</v>
      </c>
      <c r="H479" s="1">
        <v>66.900244999999998</v>
      </c>
      <c r="I479" s="1">
        <v>-136.24644499999999</v>
      </c>
      <c r="J479" s="1" t="s">
        <v>128</v>
      </c>
      <c r="K479" s="1" t="s">
        <v>103</v>
      </c>
      <c r="L479" s="1" t="s">
        <v>260</v>
      </c>
      <c r="M479" s="1" t="s">
        <v>236</v>
      </c>
      <c r="N479" s="1" t="s">
        <v>238</v>
      </c>
      <c r="O479" s="1" t="s">
        <v>86</v>
      </c>
      <c r="P479" s="1" t="s">
        <v>2</v>
      </c>
      <c r="Q479" s="1" t="s">
        <v>93</v>
      </c>
      <c r="R479" s="1">
        <v>2012</v>
      </c>
      <c r="S479" s="1">
        <v>3</v>
      </c>
      <c r="T479" s="16">
        <f t="shared" si="67"/>
        <v>36</v>
      </c>
      <c r="V479" s="1" t="s">
        <v>2</v>
      </c>
      <c r="W479" s="1">
        <v>9</v>
      </c>
      <c r="X479" s="1">
        <v>9</v>
      </c>
      <c r="Y479" s="1" t="s">
        <v>97</v>
      </c>
      <c r="Z479" s="1" t="s">
        <v>130</v>
      </c>
      <c r="AA479" s="1" t="s">
        <v>1</v>
      </c>
      <c r="AB479" s="1" t="s">
        <v>98</v>
      </c>
      <c r="AC479" s="1" t="s">
        <v>202</v>
      </c>
      <c r="AD479" s="1" t="s">
        <v>99</v>
      </c>
      <c r="AE479" s="1" t="s">
        <v>102</v>
      </c>
      <c r="AF479" s="1" t="s">
        <v>348</v>
      </c>
      <c r="AG479" s="1" t="s">
        <v>357</v>
      </c>
      <c r="AH479" s="1">
        <v>0.61</v>
      </c>
      <c r="AI479" s="1">
        <v>0.03</v>
      </c>
      <c r="AK479" s="1">
        <v>0.56999999999999995</v>
      </c>
      <c r="AL479" s="1">
        <v>0.03</v>
      </c>
      <c r="AN479" s="12">
        <f t="shared" si="59"/>
        <v>4.0000000000000036E-2</v>
      </c>
      <c r="AO479" s="1">
        <f t="shared" si="60"/>
        <v>0.03</v>
      </c>
      <c r="AP479" s="1">
        <f t="shared" si="72"/>
        <v>1.3333333333333346</v>
      </c>
      <c r="AQ479" s="1">
        <f t="shared" si="62"/>
        <v>0.27160493827160503</v>
      </c>
      <c r="AR479" s="1">
        <f t="shared" si="63"/>
        <v>0.95238095238095233</v>
      </c>
      <c r="AS479" s="21">
        <f t="shared" si="73"/>
        <v>1.2698412698412709</v>
      </c>
      <c r="AT479" s="21">
        <f t="shared" si="68"/>
        <v>0.24635368550712472</v>
      </c>
      <c r="AU479" s="21">
        <f t="shared" si="74"/>
        <v>0.4963402920448074</v>
      </c>
      <c r="AV479" s="20">
        <f t="shared" si="69"/>
        <v>4.0592045454545449</v>
      </c>
      <c r="AW479" s="20">
        <f t="shared" si="70"/>
        <v>5.1545454545454579</v>
      </c>
      <c r="AX479" s="20">
        <f t="shared" si="71"/>
        <v>6.5454545454545547</v>
      </c>
      <c r="AY479" s="14"/>
      <c r="AZ479" s="14"/>
      <c r="BA479" s="1" t="s">
        <v>270</v>
      </c>
      <c r="BB479" s="2"/>
    </row>
    <row r="480" spans="1:54" ht="14.25" customHeight="1">
      <c r="A480" s="2">
        <v>452</v>
      </c>
      <c r="B480" s="2" t="s">
        <v>58</v>
      </c>
      <c r="C480" s="1" t="s">
        <v>85</v>
      </c>
      <c r="D480" s="1">
        <v>2022</v>
      </c>
      <c r="E480" s="1">
        <v>2015</v>
      </c>
      <c r="F480" s="1" t="s">
        <v>152</v>
      </c>
      <c r="G480" s="1" t="s">
        <v>117</v>
      </c>
      <c r="H480" s="1">
        <v>66.900244999999998</v>
      </c>
      <c r="I480" s="1">
        <v>-136.24644499999999</v>
      </c>
      <c r="J480" s="1" t="s">
        <v>128</v>
      </c>
      <c r="K480" s="1" t="s">
        <v>103</v>
      </c>
      <c r="L480" s="1" t="s">
        <v>260</v>
      </c>
      <c r="M480" s="1" t="s">
        <v>236</v>
      </c>
      <c r="N480" s="1" t="s">
        <v>238</v>
      </c>
      <c r="O480" s="1" t="s">
        <v>86</v>
      </c>
      <c r="P480" s="1" t="s">
        <v>2</v>
      </c>
      <c r="Q480" s="1" t="s">
        <v>93</v>
      </c>
      <c r="R480" s="1">
        <v>2012</v>
      </c>
      <c r="S480" s="1">
        <v>3</v>
      </c>
      <c r="T480" s="1">
        <f>S480*12</f>
        <v>36</v>
      </c>
      <c r="V480" s="1" t="s">
        <v>2</v>
      </c>
      <c r="W480" s="1">
        <v>9</v>
      </c>
      <c r="X480" s="1">
        <v>9</v>
      </c>
      <c r="Y480" s="1" t="s">
        <v>97</v>
      </c>
      <c r="Z480" s="1" t="s">
        <v>130</v>
      </c>
      <c r="AA480" s="1" t="s">
        <v>1</v>
      </c>
      <c r="AB480" s="1" t="s">
        <v>98</v>
      </c>
      <c r="AC480" s="1" t="s">
        <v>202</v>
      </c>
      <c r="AD480" s="1" t="s">
        <v>99</v>
      </c>
      <c r="AE480" s="1" t="s">
        <v>102</v>
      </c>
      <c r="AF480" s="1" t="s">
        <v>254</v>
      </c>
      <c r="AG480" s="1" t="s">
        <v>315</v>
      </c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" t="s">
        <v>285</v>
      </c>
    </row>
    <row r="481" spans="1:54" ht="14.25" customHeight="1">
      <c r="A481" s="2">
        <v>452</v>
      </c>
      <c r="B481" s="2" t="s">
        <v>58</v>
      </c>
      <c r="C481" s="1" t="s">
        <v>85</v>
      </c>
      <c r="D481" s="1">
        <v>2023</v>
      </c>
      <c r="E481" s="1">
        <v>2015</v>
      </c>
      <c r="F481" s="1" t="s">
        <v>152</v>
      </c>
      <c r="G481" s="1" t="s">
        <v>117</v>
      </c>
      <c r="H481" s="1">
        <v>66.900244999999998</v>
      </c>
      <c r="I481" s="1">
        <v>-136.24644499999999</v>
      </c>
      <c r="J481" s="1" t="s">
        <v>128</v>
      </c>
      <c r="K481" s="1" t="s">
        <v>103</v>
      </c>
      <c r="L481" s="1" t="s">
        <v>260</v>
      </c>
      <c r="M481" s="1" t="s">
        <v>236</v>
      </c>
      <c r="N481" s="1" t="s">
        <v>238</v>
      </c>
      <c r="O481" s="1" t="s">
        <v>86</v>
      </c>
      <c r="P481" s="1" t="s">
        <v>2</v>
      </c>
      <c r="Q481" s="1" t="s">
        <v>93</v>
      </c>
      <c r="R481" s="1">
        <v>2012</v>
      </c>
      <c r="S481" s="1">
        <v>3</v>
      </c>
      <c r="T481" s="16">
        <f t="shared" ref="T481:T483" si="75">S481*12</f>
        <v>36</v>
      </c>
      <c r="V481" s="1" t="s">
        <v>2</v>
      </c>
      <c r="W481" s="1">
        <v>9</v>
      </c>
      <c r="X481" s="1">
        <v>9</v>
      </c>
      <c r="Y481" s="1" t="s">
        <v>97</v>
      </c>
      <c r="Z481" s="1" t="s">
        <v>232</v>
      </c>
      <c r="AA481" s="1" t="s">
        <v>1</v>
      </c>
      <c r="AB481" s="1" t="s">
        <v>98</v>
      </c>
      <c r="AC481" s="1" t="s">
        <v>202</v>
      </c>
      <c r="AD481" s="1" t="s">
        <v>99</v>
      </c>
      <c r="AE481" s="1" t="s">
        <v>102</v>
      </c>
      <c r="AF481" s="1" t="s">
        <v>261</v>
      </c>
      <c r="AG481" s="1" t="s">
        <v>357</v>
      </c>
      <c r="AH481" s="1">
        <v>259.70999999999998</v>
      </c>
      <c r="AI481" s="1">
        <v>18.98</v>
      </c>
      <c r="AK481" s="1">
        <v>404.49</v>
      </c>
      <c r="AL481" s="1">
        <v>27.62</v>
      </c>
      <c r="AN481" s="12">
        <f t="shared" si="59"/>
        <v>-144.78000000000003</v>
      </c>
      <c r="AO481" s="1">
        <f t="shared" si="60"/>
        <v>23.697096868603968</v>
      </c>
      <c r="AP481" s="1">
        <f t="shared" si="72"/>
        <v>-6.10960915604044</v>
      </c>
      <c r="AQ481" s="1">
        <f t="shared" si="62"/>
        <v>1.2590923344325882</v>
      </c>
      <c r="AR481" s="1">
        <f t="shared" si="63"/>
        <v>0.95238095238095233</v>
      </c>
      <c r="AS481" s="21">
        <f t="shared" si="73"/>
        <v>-5.8186753867051806</v>
      </c>
      <c r="AT481" s="21">
        <f t="shared" ref="AT481:AT483" si="76">AQ481*(AR481^2)</f>
        <v>1.1420338634309188</v>
      </c>
      <c r="AU481" s="21">
        <f t="shared" si="74"/>
        <v>1.0686598445861615</v>
      </c>
      <c r="AV481" s="20">
        <f t="shared" ref="AV481:AV483" si="77">1/AT481</f>
        <v>0.87563077770372055</v>
      </c>
      <c r="AW481" s="20">
        <f t="shared" ref="AW481:AW483" si="78">AS481/AT481</f>
        <v>-5.0950112540661543</v>
      </c>
      <c r="AX481" s="20">
        <f t="shared" ref="AX481:AX483" si="79">((AS481)^2)/AT481</f>
        <v>29.646216579020624</v>
      </c>
      <c r="AY481" s="14"/>
      <c r="AZ481" s="14"/>
      <c r="BA481" s="1" t="s">
        <v>270</v>
      </c>
      <c r="BB481" s="2" t="s">
        <v>380</v>
      </c>
    </row>
    <row r="482" spans="1:54" ht="14.25" customHeight="1">
      <c r="A482" s="2">
        <v>452</v>
      </c>
      <c r="B482" s="2" t="s">
        <v>58</v>
      </c>
      <c r="C482" s="1" t="s">
        <v>85</v>
      </c>
      <c r="D482" s="1">
        <v>2023</v>
      </c>
      <c r="E482" s="1">
        <v>2015</v>
      </c>
      <c r="F482" s="1" t="s">
        <v>152</v>
      </c>
      <c r="G482" s="1" t="s">
        <v>117</v>
      </c>
      <c r="H482" s="1">
        <v>66.900244999999998</v>
      </c>
      <c r="I482" s="1">
        <v>-136.24644499999999</v>
      </c>
      <c r="J482" s="1" t="s">
        <v>128</v>
      </c>
      <c r="K482" s="1" t="s">
        <v>103</v>
      </c>
      <c r="L482" s="1" t="s">
        <v>260</v>
      </c>
      <c r="M482" s="1" t="s">
        <v>236</v>
      </c>
      <c r="N482" s="1" t="s">
        <v>238</v>
      </c>
      <c r="O482" s="1" t="s">
        <v>86</v>
      </c>
      <c r="P482" s="1" t="s">
        <v>2</v>
      </c>
      <c r="Q482" s="1" t="s">
        <v>93</v>
      </c>
      <c r="R482" s="1">
        <v>2012</v>
      </c>
      <c r="S482" s="1">
        <v>3</v>
      </c>
      <c r="T482" s="16">
        <f t="shared" si="75"/>
        <v>36</v>
      </c>
      <c r="V482" s="1" t="s">
        <v>2</v>
      </c>
      <c r="W482" s="1">
        <v>9</v>
      </c>
      <c r="X482" s="1">
        <v>9</v>
      </c>
      <c r="Y482" s="1" t="s">
        <v>97</v>
      </c>
      <c r="Z482" s="1" t="s">
        <v>232</v>
      </c>
      <c r="AA482" s="1" t="s">
        <v>1</v>
      </c>
      <c r="AB482" s="1" t="s">
        <v>98</v>
      </c>
      <c r="AC482" s="1" t="s">
        <v>202</v>
      </c>
      <c r="AD482" s="1" t="s">
        <v>99</v>
      </c>
      <c r="AE482" s="1" t="s">
        <v>102</v>
      </c>
      <c r="AF482" s="1" t="s">
        <v>149</v>
      </c>
      <c r="AG482" s="1" t="s">
        <v>357</v>
      </c>
      <c r="AH482" s="1">
        <v>3.13</v>
      </c>
      <c r="AI482" s="1">
        <v>0.16</v>
      </c>
      <c r="AK482" s="1">
        <v>3.19</v>
      </c>
      <c r="AL482" s="1">
        <v>0.25</v>
      </c>
      <c r="AN482" s="12">
        <f t="shared" si="59"/>
        <v>-6.0000000000000053E-2</v>
      </c>
      <c r="AO482" s="1">
        <f t="shared" si="60"/>
        <v>0.20988091861815356</v>
      </c>
      <c r="AP482" s="1">
        <f t="shared" si="72"/>
        <v>-0.28587639312347846</v>
      </c>
      <c r="AQ482" s="1">
        <f t="shared" si="62"/>
        <v>0.22449236978181358</v>
      </c>
      <c r="AR482" s="1">
        <f t="shared" si="63"/>
        <v>0.95238095238095233</v>
      </c>
      <c r="AS482" s="21">
        <f t="shared" si="73"/>
        <v>-0.27226323154616994</v>
      </c>
      <c r="AT482" s="21">
        <f t="shared" si="76"/>
        <v>0.20362119708101004</v>
      </c>
      <c r="AU482" s="21">
        <f t="shared" si="74"/>
        <v>0.45124405489824465</v>
      </c>
      <c r="AV482" s="20">
        <f t="shared" si="77"/>
        <v>4.9110800561797756</v>
      </c>
      <c r="AW482" s="20">
        <f t="shared" si="78"/>
        <v>-1.3371065264774515</v>
      </c>
      <c r="AX482" s="20">
        <f t="shared" si="79"/>
        <v>0.36404494382022545</v>
      </c>
      <c r="AY482" s="14"/>
      <c r="AZ482" s="14"/>
      <c r="BA482" s="1" t="s">
        <v>270</v>
      </c>
      <c r="BB482" s="2"/>
    </row>
    <row r="483" spans="1:54" ht="14.25" customHeight="1">
      <c r="A483" s="2">
        <v>452</v>
      </c>
      <c r="B483" s="2" t="s">
        <v>58</v>
      </c>
      <c r="C483" s="1" t="s">
        <v>85</v>
      </c>
      <c r="D483" s="1">
        <v>2023</v>
      </c>
      <c r="E483" s="1">
        <v>2015</v>
      </c>
      <c r="F483" s="1" t="s">
        <v>152</v>
      </c>
      <c r="G483" s="1" t="s">
        <v>117</v>
      </c>
      <c r="H483" s="1">
        <v>66.900244999999998</v>
      </c>
      <c r="I483" s="1">
        <v>-136.24644499999999</v>
      </c>
      <c r="J483" s="1" t="s">
        <v>128</v>
      </c>
      <c r="K483" s="1" t="s">
        <v>103</v>
      </c>
      <c r="L483" s="1" t="s">
        <v>260</v>
      </c>
      <c r="M483" s="1" t="s">
        <v>236</v>
      </c>
      <c r="N483" s="1" t="s">
        <v>238</v>
      </c>
      <c r="O483" s="1" t="s">
        <v>86</v>
      </c>
      <c r="P483" s="1" t="s">
        <v>2</v>
      </c>
      <c r="Q483" s="1" t="s">
        <v>93</v>
      </c>
      <c r="R483" s="1">
        <v>2012</v>
      </c>
      <c r="S483" s="1">
        <v>3</v>
      </c>
      <c r="T483" s="16">
        <f t="shared" si="75"/>
        <v>36</v>
      </c>
      <c r="V483" s="1" t="s">
        <v>2</v>
      </c>
      <c r="W483" s="1">
        <v>9</v>
      </c>
      <c r="X483" s="1">
        <v>9</v>
      </c>
      <c r="Y483" s="1" t="s">
        <v>97</v>
      </c>
      <c r="Z483" s="1" t="s">
        <v>232</v>
      </c>
      <c r="AA483" s="1" t="s">
        <v>1</v>
      </c>
      <c r="AB483" s="1" t="s">
        <v>98</v>
      </c>
      <c r="AC483" s="1" t="s">
        <v>202</v>
      </c>
      <c r="AD483" s="1" t="s">
        <v>99</v>
      </c>
      <c r="AE483" s="1" t="s">
        <v>102</v>
      </c>
      <c r="AF483" s="1" t="s">
        <v>348</v>
      </c>
      <c r="AG483" s="1" t="s">
        <v>357</v>
      </c>
      <c r="AH483" s="1">
        <v>0.59</v>
      </c>
      <c r="AI483" s="1">
        <v>0.03</v>
      </c>
      <c r="AK483" s="1">
        <v>0.56999999999999995</v>
      </c>
      <c r="AL483" s="1">
        <v>0.04</v>
      </c>
      <c r="AN483" s="12">
        <f t="shared" si="59"/>
        <v>2.0000000000000018E-2</v>
      </c>
      <c r="AO483" s="1">
        <f t="shared" si="60"/>
        <v>3.5355339059327376E-2</v>
      </c>
      <c r="AP483" s="1">
        <f t="shared" si="72"/>
        <v>0.56568542494923857</v>
      </c>
      <c r="AQ483" s="1">
        <f t="shared" si="62"/>
        <v>0.23111111111111113</v>
      </c>
      <c r="AR483" s="1">
        <f t="shared" si="63"/>
        <v>0.95238095238095233</v>
      </c>
      <c r="AS483" s="21">
        <f t="shared" si="73"/>
        <v>0.53874802376117958</v>
      </c>
      <c r="AT483" s="21">
        <f t="shared" si="76"/>
        <v>0.20962459057697153</v>
      </c>
      <c r="AU483" s="21">
        <f t="shared" si="74"/>
        <v>0.45784778101130025</v>
      </c>
      <c r="AV483" s="20">
        <f t="shared" si="77"/>
        <v>4.7704326923076925</v>
      </c>
      <c r="AW483" s="20">
        <f t="shared" si="78"/>
        <v>2.5700611854664928</v>
      </c>
      <c r="AX483" s="20">
        <f t="shared" si="79"/>
        <v>1.3846153846153872</v>
      </c>
      <c r="AY483" s="14"/>
      <c r="AZ483" s="14"/>
      <c r="BA483" s="1" t="s">
        <v>270</v>
      </c>
      <c r="BB483" s="2"/>
    </row>
    <row r="484" spans="1:54" ht="14.25" customHeight="1">
      <c r="A484" s="2">
        <v>452</v>
      </c>
      <c r="B484" s="2" t="s">
        <v>58</v>
      </c>
      <c r="C484" s="1" t="s">
        <v>85</v>
      </c>
      <c r="D484" s="1">
        <v>2022</v>
      </c>
      <c r="E484" s="1">
        <v>2015</v>
      </c>
      <c r="F484" s="1" t="s">
        <v>152</v>
      </c>
      <c r="G484" s="1" t="s">
        <v>117</v>
      </c>
      <c r="H484" s="1">
        <v>66.900244999999998</v>
      </c>
      <c r="I484" s="1">
        <v>-136.24644499999999</v>
      </c>
      <c r="J484" s="1" t="s">
        <v>128</v>
      </c>
      <c r="K484" s="1" t="s">
        <v>103</v>
      </c>
      <c r="L484" s="1" t="s">
        <v>260</v>
      </c>
      <c r="M484" s="1" t="s">
        <v>236</v>
      </c>
      <c r="N484" s="1" t="s">
        <v>238</v>
      </c>
      <c r="O484" s="1" t="s">
        <v>86</v>
      </c>
      <c r="P484" s="1" t="s">
        <v>2</v>
      </c>
      <c r="Q484" s="1" t="s">
        <v>93</v>
      </c>
      <c r="R484" s="1">
        <v>2012</v>
      </c>
      <c r="S484" s="1">
        <v>3</v>
      </c>
      <c r="T484" s="1">
        <f>S484*12</f>
        <v>36</v>
      </c>
      <c r="V484" s="1" t="s">
        <v>2</v>
      </c>
      <c r="W484" s="1">
        <v>9</v>
      </c>
      <c r="X484" s="1">
        <v>9</v>
      </c>
      <c r="Y484" s="1" t="s">
        <v>97</v>
      </c>
      <c r="Z484" s="1" t="s">
        <v>232</v>
      </c>
      <c r="AA484" s="1" t="s">
        <v>1</v>
      </c>
      <c r="AB484" s="1" t="s">
        <v>98</v>
      </c>
      <c r="AC484" s="1" t="s">
        <v>202</v>
      </c>
      <c r="AD484" s="1" t="s">
        <v>99</v>
      </c>
      <c r="AE484" s="1" t="s">
        <v>102</v>
      </c>
      <c r="AF484" s="1" t="s">
        <v>254</v>
      </c>
      <c r="AG484" s="1" t="s">
        <v>315</v>
      </c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" t="s">
        <v>285</v>
      </c>
    </row>
    <row r="485" spans="1:54" ht="14.25" customHeight="1">
      <c r="A485" s="2">
        <v>452</v>
      </c>
      <c r="B485" s="2" t="s">
        <v>58</v>
      </c>
      <c r="C485" s="1" t="s">
        <v>85</v>
      </c>
      <c r="D485" s="1">
        <v>2023</v>
      </c>
      <c r="E485" s="1">
        <v>2015</v>
      </c>
      <c r="F485" s="1" t="s">
        <v>152</v>
      </c>
      <c r="G485" s="1" t="s">
        <v>117</v>
      </c>
      <c r="H485" s="1">
        <v>66.900244999999998</v>
      </c>
      <c r="I485" s="1">
        <v>-136.24644499999999</v>
      </c>
      <c r="J485" s="1" t="s">
        <v>128</v>
      </c>
      <c r="K485" s="1" t="s">
        <v>103</v>
      </c>
      <c r="L485" s="1" t="s">
        <v>260</v>
      </c>
      <c r="M485" s="1" t="s">
        <v>236</v>
      </c>
      <c r="N485" s="1" t="s">
        <v>238</v>
      </c>
      <c r="O485" s="1" t="s">
        <v>86</v>
      </c>
      <c r="P485" s="1" t="s">
        <v>2</v>
      </c>
      <c r="Q485" s="1" t="s">
        <v>93</v>
      </c>
      <c r="R485" s="1">
        <v>2012</v>
      </c>
      <c r="S485" s="1">
        <v>3</v>
      </c>
      <c r="T485" s="16">
        <f t="shared" ref="T485:T487" si="80">S485*12</f>
        <v>36</v>
      </c>
      <c r="V485" s="1" t="s">
        <v>2</v>
      </c>
      <c r="W485" s="1">
        <v>9</v>
      </c>
      <c r="X485" s="1">
        <v>9</v>
      </c>
      <c r="Y485" s="1" t="s">
        <v>97</v>
      </c>
      <c r="Z485" s="1" t="s">
        <v>233</v>
      </c>
      <c r="AA485" s="1" t="s">
        <v>1</v>
      </c>
      <c r="AB485" s="1" t="s">
        <v>98</v>
      </c>
      <c r="AC485" s="1" t="s">
        <v>202</v>
      </c>
      <c r="AD485" s="1" t="s">
        <v>99</v>
      </c>
      <c r="AE485" s="1" t="s">
        <v>102</v>
      </c>
      <c r="AF485" s="1" t="s">
        <v>261</v>
      </c>
      <c r="AG485" s="1" t="s">
        <v>357</v>
      </c>
      <c r="AH485" s="1">
        <v>285.14999999999998</v>
      </c>
      <c r="AI485" s="1">
        <v>26.75</v>
      </c>
      <c r="AK485" s="1">
        <v>362.54</v>
      </c>
      <c r="AL485" s="1">
        <v>51.77</v>
      </c>
      <c r="AN485" s="12">
        <f t="shared" si="59"/>
        <v>-77.390000000000043</v>
      </c>
      <c r="AO485" s="1">
        <f t="shared" si="60"/>
        <v>41.20494751847162</v>
      </c>
      <c r="AP485" s="1">
        <f t="shared" si="72"/>
        <v>-1.8781725171548187</v>
      </c>
      <c r="AQ485" s="1">
        <f t="shared" si="62"/>
        <v>0.32020922233876853</v>
      </c>
      <c r="AR485" s="1">
        <f t="shared" si="63"/>
        <v>0.95238095238095233</v>
      </c>
      <c r="AS485" s="21">
        <f t="shared" si="73"/>
        <v>-1.7887357306236367</v>
      </c>
      <c r="AT485" s="21">
        <f t="shared" ref="AT485:AT487" si="81">AQ485*(AR485^2)</f>
        <v>0.29043920393539091</v>
      </c>
      <c r="AU485" s="21">
        <f t="shared" si="74"/>
        <v>0.53892411704746612</v>
      </c>
      <c r="AV485" s="20">
        <f t="shared" ref="AV485:AV487" si="82">1/AT485</f>
        <v>3.443061358281553</v>
      </c>
      <c r="AW485" s="20">
        <f t="shared" ref="AW485:AW487" si="83">AS485/AT485</f>
        <v>-6.1587268742877646</v>
      </c>
      <c r="AX485" s="20">
        <f t="shared" ref="AX485:AX487" si="84">((AS485)^2)/AT485</f>
        <v>11.01633481519055</v>
      </c>
      <c r="AY485" s="14"/>
      <c r="AZ485" s="14"/>
      <c r="BA485" s="1" t="s">
        <v>270</v>
      </c>
      <c r="BB485" s="2"/>
    </row>
    <row r="486" spans="1:54" ht="14.25" customHeight="1">
      <c r="A486" s="2">
        <v>452</v>
      </c>
      <c r="B486" s="2" t="s">
        <v>58</v>
      </c>
      <c r="C486" s="1" t="s">
        <v>85</v>
      </c>
      <c r="D486" s="1">
        <v>2023</v>
      </c>
      <c r="E486" s="1">
        <v>2015</v>
      </c>
      <c r="F486" s="1" t="s">
        <v>152</v>
      </c>
      <c r="G486" s="1" t="s">
        <v>117</v>
      </c>
      <c r="H486" s="1">
        <v>66.900244999999998</v>
      </c>
      <c r="I486" s="1">
        <v>-136.24644499999999</v>
      </c>
      <c r="J486" s="1" t="s">
        <v>128</v>
      </c>
      <c r="K486" s="1" t="s">
        <v>103</v>
      </c>
      <c r="L486" s="1" t="s">
        <v>260</v>
      </c>
      <c r="M486" s="1" t="s">
        <v>236</v>
      </c>
      <c r="N486" s="1" t="s">
        <v>238</v>
      </c>
      <c r="O486" s="1" t="s">
        <v>86</v>
      </c>
      <c r="P486" s="1" t="s">
        <v>2</v>
      </c>
      <c r="Q486" s="1" t="s">
        <v>93</v>
      </c>
      <c r="R486" s="1">
        <v>2012</v>
      </c>
      <c r="S486" s="1">
        <v>3</v>
      </c>
      <c r="T486" s="16">
        <f t="shared" si="80"/>
        <v>36</v>
      </c>
      <c r="V486" s="1" t="s">
        <v>2</v>
      </c>
      <c r="W486" s="1">
        <v>9</v>
      </c>
      <c r="X486" s="1">
        <v>9</v>
      </c>
      <c r="Y486" s="1" t="s">
        <v>97</v>
      </c>
      <c r="Z486" s="1" t="s">
        <v>233</v>
      </c>
      <c r="AA486" s="1" t="s">
        <v>1</v>
      </c>
      <c r="AB486" s="1" t="s">
        <v>98</v>
      </c>
      <c r="AC486" s="1" t="s">
        <v>202</v>
      </c>
      <c r="AD486" s="1" t="s">
        <v>99</v>
      </c>
      <c r="AE486" s="1" t="s">
        <v>102</v>
      </c>
      <c r="AF486" s="1" t="s">
        <v>149</v>
      </c>
      <c r="AG486" s="1" t="s">
        <v>357</v>
      </c>
      <c r="AH486" s="1">
        <v>3.21</v>
      </c>
      <c r="AI486" s="1">
        <v>0.19</v>
      </c>
      <c r="AK486" s="1">
        <v>3.42</v>
      </c>
      <c r="AL486" s="1">
        <v>0.2</v>
      </c>
      <c r="AN486" s="12">
        <f t="shared" si="59"/>
        <v>-0.20999999999999996</v>
      </c>
      <c r="AO486" s="1">
        <f t="shared" si="60"/>
        <v>0.19506409203131159</v>
      </c>
      <c r="AP486" s="1">
        <f t="shared" si="72"/>
        <v>-1.0765692332871335</v>
      </c>
      <c r="AQ486" s="1">
        <f t="shared" si="62"/>
        <v>0.25441670316834575</v>
      </c>
      <c r="AR486" s="1">
        <f t="shared" si="63"/>
        <v>0.95238095238095233</v>
      </c>
      <c r="AS486" s="21">
        <f t="shared" si="73"/>
        <v>-1.0253040317020319</v>
      </c>
      <c r="AT486" s="21">
        <f t="shared" si="81"/>
        <v>0.23076344958580111</v>
      </c>
      <c r="AU486" s="21">
        <f t="shared" si="74"/>
        <v>0.4803784441310841</v>
      </c>
      <c r="AV486" s="20">
        <f t="shared" si="82"/>
        <v>4.3334418938307033</v>
      </c>
      <c r="AW486" s="20">
        <f t="shared" si="83"/>
        <v>-4.4430954448911084</v>
      </c>
      <c r="AX486" s="20">
        <f t="shared" si="84"/>
        <v>4.555523672883786</v>
      </c>
      <c r="AY486" s="14"/>
      <c r="AZ486" s="14"/>
      <c r="BA486" s="1" t="s">
        <v>270</v>
      </c>
      <c r="BB486" s="2"/>
    </row>
    <row r="487" spans="1:54" ht="14.25" customHeight="1">
      <c r="A487" s="2">
        <v>452</v>
      </c>
      <c r="B487" s="2" t="s">
        <v>58</v>
      </c>
      <c r="C487" s="1" t="s">
        <v>85</v>
      </c>
      <c r="D487" s="1">
        <v>2023</v>
      </c>
      <c r="E487" s="1">
        <v>2015</v>
      </c>
      <c r="F487" s="1" t="s">
        <v>152</v>
      </c>
      <c r="G487" s="1" t="s">
        <v>117</v>
      </c>
      <c r="H487" s="1">
        <v>66.900244999999998</v>
      </c>
      <c r="I487" s="1">
        <v>-136.24644499999999</v>
      </c>
      <c r="J487" s="1" t="s">
        <v>128</v>
      </c>
      <c r="K487" s="1" t="s">
        <v>103</v>
      </c>
      <c r="L487" s="1" t="s">
        <v>260</v>
      </c>
      <c r="M487" s="1" t="s">
        <v>236</v>
      </c>
      <c r="N487" s="1" t="s">
        <v>238</v>
      </c>
      <c r="O487" s="1" t="s">
        <v>86</v>
      </c>
      <c r="P487" s="1" t="s">
        <v>2</v>
      </c>
      <c r="Q487" s="1" t="s">
        <v>93</v>
      </c>
      <c r="R487" s="1">
        <v>2012</v>
      </c>
      <c r="S487" s="1">
        <v>3</v>
      </c>
      <c r="T487" s="16">
        <f t="shared" si="80"/>
        <v>36</v>
      </c>
      <c r="V487" s="1" t="s">
        <v>2</v>
      </c>
      <c r="W487" s="1">
        <v>9</v>
      </c>
      <c r="X487" s="1">
        <v>9</v>
      </c>
      <c r="Y487" s="1" t="s">
        <v>97</v>
      </c>
      <c r="Z487" s="1" t="s">
        <v>233</v>
      </c>
      <c r="AA487" s="1" t="s">
        <v>1</v>
      </c>
      <c r="AB487" s="1" t="s">
        <v>98</v>
      </c>
      <c r="AC487" s="1" t="s">
        <v>202</v>
      </c>
      <c r="AD487" s="1" t="s">
        <v>99</v>
      </c>
      <c r="AE487" s="1" t="s">
        <v>102</v>
      </c>
      <c r="AF487" s="1" t="s">
        <v>348</v>
      </c>
      <c r="AG487" s="1" t="s">
        <v>357</v>
      </c>
      <c r="AH487" s="1">
        <v>0.6</v>
      </c>
      <c r="AI487" s="1">
        <v>0.02</v>
      </c>
      <c r="AK487" s="1">
        <v>0.61</v>
      </c>
      <c r="AL487" s="1">
        <v>0.03</v>
      </c>
      <c r="AN487" s="12">
        <f t="shared" si="59"/>
        <v>-1.0000000000000009E-2</v>
      </c>
      <c r="AO487" s="1">
        <f t="shared" si="60"/>
        <v>2.5495097567963924E-2</v>
      </c>
      <c r="AP487" s="1">
        <f t="shared" si="72"/>
        <v>-0.39223227027636842</v>
      </c>
      <c r="AQ487" s="1">
        <f t="shared" si="62"/>
        <v>0.2264957264957265</v>
      </c>
      <c r="AR487" s="1">
        <f t="shared" si="63"/>
        <v>0.95238095238095233</v>
      </c>
      <c r="AS487" s="21">
        <f t="shared" si="73"/>
        <v>-0.37355454312035086</v>
      </c>
      <c r="AT487" s="21">
        <f t="shared" si="81"/>
        <v>0.2054383006763959</v>
      </c>
      <c r="AU487" s="21">
        <f t="shared" si="74"/>
        <v>0.45325302059268829</v>
      </c>
      <c r="AV487" s="20">
        <f t="shared" si="82"/>
        <v>4.8676415094339625</v>
      </c>
      <c r="AW487" s="20">
        <f t="shared" si="83"/>
        <v>-1.8183296001302589</v>
      </c>
      <c r="AX487" s="20">
        <f t="shared" si="84"/>
        <v>0.67924528301886911</v>
      </c>
      <c r="AY487" s="14"/>
      <c r="AZ487" s="14"/>
      <c r="BA487" s="1" t="s">
        <v>270</v>
      </c>
      <c r="BB487" s="2"/>
    </row>
    <row r="488" spans="1:54" ht="14.25" customHeight="1">
      <c r="A488" s="2">
        <v>452</v>
      </c>
      <c r="B488" s="2" t="s">
        <v>58</v>
      </c>
      <c r="C488" s="1" t="s">
        <v>85</v>
      </c>
      <c r="D488" s="1">
        <v>2022</v>
      </c>
      <c r="E488" s="1">
        <v>2015</v>
      </c>
      <c r="F488" s="1" t="s">
        <v>152</v>
      </c>
      <c r="G488" s="1" t="s">
        <v>117</v>
      </c>
      <c r="H488" s="1">
        <v>66.900244999999998</v>
      </c>
      <c r="I488" s="1">
        <v>-136.24644499999999</v>
      </c>
      <c r="J488" s="1" t="s">
        <v>128</v>
      </c>
      <c r="K488" s="1" t="s">
        <v>103</v>
      </c>
      <c r="L488" s="1" t="s">
        <v>260</v>
      </c>
      <c r="M488" s="1" t="s">
        <v>236</v>
      </c>
      <c r="N488" s="1" t="s">
        <v>238</v>
      </c>
      <c r="O488" s="1" t="s">
        <v>86</v>
      </c>
      <c r="P488" s="1" t="s">
        <v>2</v>
      </c>
      <c r="Q488" s="1" t="s">
        <v>93</v>
      </c>
      <c r="R488" s="1">
        <v>2012</v>
      </c>
      <c r="S488" s="1">
        <v>3</v>
      </c>
      <c r="T488" s="1">
        <f>S488*12</f>
        <v>36</v>
      </c>
      <c r="V488" s="1" t="s">
        <v>2</v>
      </c>
      <c r="W488" s="1">
        <v>9</v>
      </c>
      <c r="X488" s="1">
        <v>9</v>
      </c>
      <c r="Y488" s="1" t="s">
        <v>97</v>
      </c>
      <c r="Z488" s="1" t="s">
        <v>233</v>
      </c>
      <c r="AA488" s="1" t="s">
        <v>1</v>
      </c>
      <c r="AB488" s="1" t="s">
        <v>98</v>
      </c>
      <c r="AC488" s="1" t="s">
        <v>202</v>
      </c>
      <c r="AD488" s="1" t="s">
        <v>99</v>
      </c>
      <c r="AE488" s="1" t="s">
        <v>102</v>
      </c>
      <c r="AF488" s="1" t="s">
        <v>254</v>
      </c>
      <c r="AG488" s="1" t="s">
        <v>315</v>
      </c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" t="s">
        <v>285</v>
      </c>
    </row>
    <row r="489" spans="1:54" ht="14.25" customHeight="1">
      <c r="A489" s="12"/>
      <c r="B489" s="12"/>
      <c r="C489" s="12"/>
    </row>
    <row r="490" spans="1:54" ht="14.25" customHeight="1">
      <c r="A490" s="12"/>
      <c r="B490" s="12"/>
      <c r="C490" s="12"/>
    </row>
    <row r="491" spans="1:54" ht="14.25" customHeight="1">
      <c r="A491" s="12"/>
      <c r="B491" s="12"/>
      <c r="C491" s="12"/>
    </row>
    <row r="492" spans="1:54" ht="14.25" customHeight="1">
      <c r="A492" s="12"/>
      <c r="B492" s="12"/>
      <c r="C492" s="12"/>
    </row>
    <row r="493" spans="1:54" ht="14.25" customHeight="1">
      <c r="A493" s="12"/>
      <c r="B493" s="12"/>
      <c r="C493" s="12"/>
    </row>
    <row r="494" spans="1:54" ht="14.25" customHeight="1">
      <c r="A494" s="12"/>
      <c r="B494" s="12"/>
      <c r="C494" s="12"/>
    </row>
    <row r="495" spans="1:54" ht="14.25" customHeight="1">
      <c r="A495" s="12"/>
      <c r="B495" s="12"/>
      <c r="C495" s="12"/>
    </row>
    <row r="496" spans="1:54" ht="14.25" customHeight="1">
      <c r="A496" s="12"/>
      <c r="B496" s="12"/>
      <c r="C496" s="12"/>
    </row>
    <row r="497" spans="1:3" ht="14.25" customHeight="1">
      <c r="A497" s="12"/>
      <c r="B497" s="12"/>
      <c r="C497" s="12"/>
    </row>
    <row r="498" spans="1:3" ht="14.25" customHeight="1">
      <c r="A498" s="12"/>
      <c r="B498" s="12"/>
      <c r="C498" s="12"/>
    </row>
    <row r="499" spans="1:3" ht="14.25" customHeight="1">
      <c r="A499" s="12"/>
      <c r="B499" s="12"/>
      <c r="C499" s="12"/>
    </row>
    <row r="500" spans="1:3" ht="14.25" customHeight="1">
      <c r="A500" s="1"/>
      <c r="B500" s="1"/>
    </row>
    <row r="501" spans="1:3" ht="14.25" customHeight="1">
      <c r="A501" s="1"/>
      <c r="B501" s="1"/>
    </row>
    <row r="502" spans="1:3" ht="14.25" customHeight="1">
      <c r="A502" s="1"/>
      <c r="B502" s="1"/>
    </row>
    <row r="503" spans="1:3" ht="14.25" customHeight="1">
      <c r="A503" s="1"/>
      <c r="B503" s="1"/>
    </row>
    <row r="504" spans="1:3" ht="14.25" customHeight="1">
      <c r="A504" s="1"/>
      <c r="B504" s="1"/>
    </row>
    <row r="505" spans="1:3" ht="14.25" customHeight="1">
      <c r="A505" s="1"/>
      <c r="B505" s="1"/>
    </row>
    <row r="506" spans="1:3" ht="14.25" customHeight="1">
      <c r="A506" s="1"/>
      <c r="B506" s="1"/>
    </row>
    <row r="507" spans="1:3" ht="14.25" customHeight="1">
      <c r="A507" s="1"/>
      <c r="B507" s="1"/>
    </row>
    <row r="508" spans="1:3" ht="14.25" customHeight="1">
      <c r="A508" s="1"/>
      <c r="B508" s="1"/>
    </row>
    <row r="509" spans="1:3" ht="14.25" customHeight="1">
      <c r="A509" s="1"/>
      <c r="B509" s="1"/>
    </row>
    <row r="510" spans="1:3" ht="14.25" customHeight="1">
      <c r="A510" s="1"/>
      <c r="B510" s="1"/>
    </row>
    <row r="511" spans="1:3" ht="14.25" customHeight="1">
      <c r="A511" s="1"/>
      <c r="B511" s="1"/>
    </row>
    <row r="512" spans="1:3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  <row r="998" spans="1:2" ht="14.25" customHeight="1">
      <c r="A998" s="1"/>
      <c r="B998" s="1"/>
    </row>
    <row r="999" spans="1:2" ht="14.25" customHeight="1">
      <c r="A999" s="1"/>
      <c r="B999" s="1"/>
    </row>
    <row r="1000" spans="1:2" ht="14.25" customHeight="1">
      <c r="A1000" s="1"/>
      <c r="B1000" s="1"/>
    </row>
    <row r="1001" spans="1:2" ht="14.25" customHeight="1">
      <c r="A1001" s="1"/>
      <c r="B1001" s="1"/>
    </row>
    <row r="1002" spans="1:2" ht="14.25" customHeight="1">
      <c r="A1002" s="1"/>
      <c r="B1002" s="1"/>
    </row>
    <row r="1003" spans="1:2" ht="14.25" customHeight="1">
      <c r="A1003" s="1"/>
      <c r="B1003" s="1"/>
    </row>
    <row r="1004" spans="1:2" ht="14.25" customHeight="1">
      <c r="A1004" s="1"/>
      <c r="B1004" s="1"/>
    </row>
    <row r="1005" spans="1:2" ht="14.25" customHeight="1">
      <c r="A1005" s="1"/>
      <c r="B1005" s="1"/>
    </row>
    <row r="1006" spans="1:2" ht="14.25" customHeight="1">
      <c r="A1006" s="1"/>
      <c r="B1006" s="1"/>
    </row>
    <row r="1007" spans="1:2" ht="14.25" customHeight="1">
      <c r="A1007" s="1"/>
      <c r="B1007" s="1"/>
    </row>
    <row r="1008" spans="1:2" ht="14.25" customHeight="1">
      <c r="A1008" s="1"/>
      <c r="B1008" s="1"/>
    </row>
    <row r="1009" spans="1:2" ht="14.25" customHeight="1">
      <c r="A1009" s="1"/>
      <c r="B1009" s="1"/>
    </row>
    <row r="1010" spans="1:2" ht="14.25" customHeight="1">
      <c r="A1010" s="1"/>
      <c r="B1010" s="1"/>
    </row>
    <row r="1011" spans="1:2" ht="14.25" customHeight="1">
      <c r="A1011" s="1"/>
      <c r="B1011" s="1"/>
    </row>
    <row r="1012" spans="1:2" ht="14.25" customHeight="1">
      <c r="A1012" s="1"/>
      <c r="B1012" s="1"/>
    </row>
    <row r="1013" spans="1:2" ht="14.25" customHeight="1">
      <c r="A1013" s="1"/>
      <c r="B1013" s="1"/>
    </row>
    <row r="1014" spans="1:2" ht="14.25" customHeight="1">
      <c r="A1014" s="1"/>
      <c r="B1014" s="1"/>
    </row>
    <row r="1015" spans="1:2" ht="14.25" customHeight="1">
      <c r="A1015" s="1"/>
      <c r="B1015" s="1"/>
    </row>
    <row r="1016" spans="1:2" ht="14.25" customHeight="1">
      <c r="A1016" s="1"/>
      <c r="B1016" s="1"/>
    </row>
    <row r="1017" spans="1:2" ht="14.25" customHeight="1">
      <c r="A1017" s="1"/>
      <c r="B1017" s="1"/>
    </row>
    <row r="1018" spans="1:2" ht="14.25" customHeight="1">
      <c r="A1018" s="1"/>
      <c r="B1018" s="1"/>
    </row>
    <row r="1019" spans="1:2" ht="14.25" customHeight="1">
      <c r="A1019" s="1"/>
      <c r="B1019" s="1"/>
    </row>
    <row r="1020" spans="1:2" ht="14.25" customHeight="1">
      <c r="A1020" s="1"/>
      <c r="B1020" s="1"/>
    </row>
    <row r="1021" spans="1:2" ht="14.25" customHeight="1">
      <c r="A1021" s="1"/>
      <c r="B1021" s="1"/>
    </row>
    <row r="1022" spans="1:2" ht="14.25" customHeight="1">
      <c r="A1022" s="1"/>
      <c r="B1022" s="1"/>
    </row>
    <row r="1023" spans="1:2" ht="14.25" customHeight="1">
      <c r="A1023" s="1"/>
      <c r="B1023" s="1"/>
    </row>
    <row r="1024" spans="1:2" ht="14.25" customHeight="1">
      <c r="A1024" s="1"/>
      <c r="B1024" s="1"/>
    </row>
    <row r="1025" spans="1:2" ht="14.25" customHeight="1">
      <c r="A1025" s="1"/>
      <c r="B1025" s="1"/>
    </row>
    <row r="1026" spans="1:2" ht="14.25" customHeight="1">
      <c r="A1026" s="1"/>
      <c r="B1026" s="1"/>
    </row>
    <row r="1027" spans="1:2" ht="14.25" customHeight="1">
      <c r="A1027" s="1"/>
      <c r="B1027" s="1"/>
    </row>
    <row r="1028" spans="1:2" ht="14.25" customHeight="1">
      <c r="A1028" s="1"/>
      <c r="B1028" s="1"/>
    </row>
    <row r="1029" spans="1:2" ht="14.25" customHeight="1">
      <c r="A1029" s="1"/>
      <c r="B1029" s="1"/>
    </row>
    <row r="1030" spans="1:2" ht="14.25" customHeight="1">
      <c r="A1030" s="1"/>
      <c r="B1030" s="1"/>
    </row>
    <row r="1031" spans="1:2" ht="14.25" customHeight="1">
      <c r="A1031" s="1"/>
      <c r="B1031" s="1"/>
    </row>
    <row r="1032" spans="1:2" ht="14.25" customHeight="1">
      <c r="A1032" s="1"/>
      <c r="B1032" s="1"/>
    </row>
    <row r="1033" spans="1:2" ht="14.25" customHeight="1">
      <c r="A1033" s="1"/>
      <c r="B1033" s="1"/>
    </row>
    <row r="1034" spans="1:2" ht="14.25" customHeight="1">
      <c r="A1034" s="1"/>
      <c r="B1034" s="1"/>
    </row>
    <row r="1035" spans="1:2" ht="14.25" customHeight="1">
      <c r="A1035" s="1"/>
      <c r="B1035" s="1"/>
    </row>
    <row r="1036" spans="1:2" ht="14.25" customHeight="1">
      <c r="A1036" s="1"/>
      <c r="B1036" s="1"/>
    </row>
    <row r="1037" spans="1:2" ht="14.25" customHeight="1">
      <c r="A1037" s="1"/>
      <c r="B1037" s="1"/>
    </row>
    <row r="1038" spans="1:2" ht="14.25" customHeight="1">
      <c r="A1038" s="1"/>
      <c r="B1038" s="1"/>
    </row>
    <row r="1039" spans="1:2" ht="14.25" customHeight="1">
      <c r="A1039" s="1"/>
      <c r="B1039" s="1"/>
    </row>
    <row r="1040" spans="1:2" ht="14.25" customHeight="1">
      <c r="A1040" s="1"/>
      <c r="B1040" s="1"/>
    </row>
    <row r="1041" spans="1:2" ht="14.25" customHeight="1">
      <c r="A1041" s="1"/>
      <c r="B1041" s="1"/>
    </row>
    <row r="1042" spans="1:2" ht="14.25" customHeight="1">
      <c r="A1042" s="1"/>
      <c r="B1042" s="1"/>
    </row>
    <row r="1043" spans="1:2" ht="14.25" customHeight="1">
      <c r="A1043" s="1"/>
      <c r="B1043" s="1"/>
    </row>
    <row r="1044" spans="1:2" ht="14.25" customHeight="1">
      <c r="A1044" s="1"/>
      <c r="B1044" s="1"/>
    </row>
    <row r="1045" spans="1:2" ht="14.25" customHeight="1">
      <c r="A1045" s="1"/>
      <c r="B1045" s="1"/>
    </row>
    <row r="1046" spans="1:2" ht="14.25" customHeight="1">
      <c r="A1046" s="1"/>
      <c r="B1046" s="1"/>
    </row>
    <row r="1047" spans="1:2" ht="14.25" customHeight="1">
      <c r="A1047" s="1"/>
      <c r="B1047" s="1"/>
    </row>
    <row r="1048" spans="1:2" ht="14.25" customHeight="1">
      <c r="A1048" s="1"/>
      <c r="B1048" s="1"/>
    </row>
    <row r="1049" spans="1:2" ht="14.25" customHeight="1">
      <c r="A1049" s="1"/>
      <c r="B1049" s="1"/>
    </row>
    <row r="1050" spans="1:2" ht="14.25" customHeight="1">
      <c r="A1050" s="1"/>
      <c r="B1050" s="1"/>
    </row>
    <row r="1051" spans="1:2" ht="14.25" customHeight="1">
      <c r="A1051" s="1"/>
      <c r="B1051" s="1"/>
    </row>
    <row r="1052" spans="1:2" ht="14.25" customHeight="1">
      <c r="A1052" s="1"/>
      <c r="B1052" s="1"/>
    </row>
    <row r="1053" spans="1:2" ht="14.25" customHeight="1">
      <c r="A1053" s="1"/>
      <c r="B1053" s="1"/>
    </row>
    <row r="1054" spans="1:2" ht="14.25" customHeight="1">
      <c r="A1054" s="1"/>
      <c r="B1054" s="1"/>
    </row>
    <row r="1055" spans="1:2" ht="14.25" customHeight="1">
      <c r="A1055" s="1"/>
      <c r="B1055" s="1"/>
    </row>
    <row r="1056" spans="1:2" ht="14.25" customHeight="1">
      <c r="A1056" s="1"/>
      <c r="B1056" s="1"/>
    </row>
    <row r="1057" spans="1:2" ht="14.25" customHeight="1">
      <c r="A1057" s="1"/>
      <c r="B1057" s="1"/>
    </row>
    <row r="1058" spans="1:2" ht="14.25" customHeight="1">
      <c r="A1058" s="1"/>
      <c r="B1058" s="1"/>
    </row>
    <row r="1059" spans="1:2" ht="14.25" customHeight="1">
      <c r="A1059" s="1"/>
      <c r="B1059" s="1"/>
    </row>
    <row r="1060" spans="1:2" ht="14.25" customHeight="1">
      <c r="A1060" s="1"/>
      <c r="B1060" s="1"/>
    </row>
    <row r="1061" spans="1:2" ht="14.25" customHeight="1">
      <c r="A1061" s="1"/>
      <c r="B1061" s="1"/>
    </row>
    <row r="1062" spans="1:2" ht="14.25" customHeight="1">
      <c r="A1062" s="1"/>
      <c r="B1062" s="1"/>
    </row>
    <row r="1063" spans="1:2" ht="14.25" customHeight="1">
      <c r="A1063" s="1"/>
      <c r="B1063" s="1"/>
    </row>
    <row r="1064" spans="1:2" ht="14.25" customHeight="1">
      <c r="A1064" s="1"/>
      <c r="B1064" s="1"/>
    </row>
    <row r="1065" spans="1:2" ht="14.25" customHeight="1">
      <c r="A1065" s="1"/>
      <c r="B1065" s="1"/>
    </row>
    <row r="1066" spans="1:2" ht="14.25" customHeight="1">
      <c r="A1066" s="1"/>
      <c r="B1066" s="1"/>
    </row>
    <row r="1067" spans="1:2" ht="14.25" customHeight="1">
      <c r="A1067" s="1"/>
      <c r="B1067" s="1"/>
    </row>
    <row r="1068" spans="1:2" ht="14.25" customHeight="1">
      <c r="A1068" s="1"/>
      <c r="B1068" s="1"/>
    </row>
    <row r="1069" spans="1:2" ht="14.25" customHeight="1">
      <c r="A1069" s="1"/>
      <c r="B1069" s="1"/>
    </row>
    <row r="1070" spans="1:2" ht="14.25" customHeight="1">
      <c r="A1070" s="1"/>
      <c r="B1070" s="1"/>
    </row>
    <row r="1071" spans="1:2" ht="14.25" customHeight="1">
      <c r="A1071" s="1"/>
      <c r="B1071" s="1"/>
    </row>
    <row r="1072" spans="1:2" ht="14.25" customHeight="1">
      <c r="A1072" s="1"/>
      <c r="B1072" s="1"/>
    </row>
    <row r="1073" spans="1:2" ht="14.25" customHeight="1">
      <c r="A1073" s="1"/>
      <c r="B1073" s="1"/>
    </row>
    <row r="1074" spans="1:2" ht="14.25" customHeight="1">
      <c r="A1074" s="1"/>
      <c r="B1074" s="1"/>
    </row>
    <row r="1075" spans="1:2" ht="14.25" customHeight="1">
      <c r="A1075" s="1"/>
      <c r="B1075" s="1"/>
    </row>
    <row r="1076" spans="1:2" ht="14.25" customHeight="1">
      <c r="A1076" s="1"/>
      <c r="B1076" s="1"/>
    </row>
    <row r="1077" spans="1:2" ht="14.25" customHeight="1">
      <c r="A1077" s="1"/>
      <c r="B1077" s="1"/>
    </row>
    <row r="1078" spans="1:2" ht="14.25" customHeight="1">
      <c r="A1078" s="1"/>
      <c r="B1078" s="1"/>
    </row>
    <row r="1079" spans="1:2" ht="14.25" customHeight="1">
      <c r="A1079" s="1"/>
      <c r="B1079" s="1"/>
    </row>
    <row r="1080" spans="1:2" ht="14.25" customHeight="1">
      <c r="A1080" s="1"/>
      <c r="B1080" s="1"/>
    </row>
    <row r="1081" spans="1:2" ht="14.25" customHeight="1">
      <c r="A1081" s="1"/>
      <c r="B1081" s="1"/>
    </row>
    <row r="1082" spans="1:2" ht="14.25" customHeight="1">
      <c r="A1082" s="1"/>
      <c r="B1082" s="1"/>
    </row>
    <row r="1083" spans="1:2" ht="14.25" customHeight="1">
      <c r="A1083" s="1"/>
      <c r="B1083" s="1"/>
    </row>
    <row r="1084" spans="1:2" ht="14.25" customHeight="1">
      <c r="A1084" s="1"/>
      <c r="B1084" s="1"/>
    </row>
    <row r="1085" spans="1:2" ht="14.25" customHeight="1">
      <c r="A1085" s="1"/>
      <c r="B1085" s="1"/>
    </row>
    <row r="1086" spans="1:2" ht="14.25" customHeight="1">
      <c r="A1086" s="1"/>
      <c r="B1086" s="1"/>
    </row>
    <row r="1087" spans="1:2" ht="14.25" customHeight="1">
      <c r="A1087" s="1"/>
      <c r="B1087" s="1"/>
    </row>
    <row r="1088" spans="1:2" ht="14.25" customHeight="1">
      <c r="A1088" s="1"/>
      <c r="B1088" s="1"/>
    </row>
    <row r="1089" spans="1:2" ht="14.25" customHeight="1">
      <c r="A1089" s="1"/>
      <c r="B1089" s="1"/>
    </row>
    <row r="1090" spans="1:2" ht="14.25" customHeight="1">
      <c r="A1090" s="1"/>
      <c r="B1090" s="1"/>
    </row>
    <row r="1091" spans="1:2" ht="14.25" customHeight="1">
      <c r="A1091" s="1"/>
      <c r="B1091" s="1"/>
    </row>
    <row r="1092" spans="1:2" ht="14.25" customHeight="1">
      <c r="A1092" s="1"/>
      <c r="B1092" s="1"/>
    </row>
    <row r="1093" spans="1:2" ht="14.25" customHeight="1">
      <c r="A1093" s="1"/>
      <c r="B1093" s="1"/>
    </row>
    <row r="1094" spans="1:2" ht="14.25" customHeight="1">
      <c r="A1094" s="1"/>
      <c r="B1094" s="1"/>
    </row>
    <row r="1095" spans="1:2" ht="14.25" customHeight="1">
      <c r="A1095" s="1"/>
      <c r="B1095" s="1"/>
    </row>
    <row r="1096" spans="1:2" ht="14.25" customHeight="1">
      <c r="A1096" s="1"/>
      <c r="B1096" s="1"/>
    </row>
    <row r="1097" spans="1:2" ht="14.25" customHeight="1">
      <c r="A1097" s="1"/>
      <c r="B1097" s="1"/>
    </row>
    <row r="1098" spans="1:2" ht="14.25" customHeight="1">
      <c r="A1098" s="1"/>
      <c r="B1098" s="1"/>
    </row>
    <row r="1099" spans="1:2" ht="14.25" customHeight="1">
      <c r="A1099" s="1"/>
      <c r="B1099" s="1"/>
    </row>
    <row r="1100" spans="1:2" ht="14.25" customHeight="1">
      <c r="A1100" s="1"/>
      <c r="B1100" s="1"/>
    </row>
    <row r="1101" spans="1:2" ht="14.25" customHeight="1">
      <c r="A1101" s="1"/>
      <c r="B1101" s="1"/>
    </row>
    <row r="1102" spans="1:2" ht="14.25" customHeight="1">
      <c r="A1102" s="1"/>
      <c r="B1102" s="1"/>
    </row>
    <row r="1103" spans="1:2" ht="14.25" customHeight="1">
      <c r="A1103" s="1"/>
      <c r="B1103" s="1"/>
    </row>
    <row r="1104" spans="1:2" ht="14.25" customHeight="1">
      <c r="A1104" s="1"/>
      <c r="B1104" s="1"/>
    </row>
    <row r="1105" spans="1:2" ht="14.25" customHeight="1">
      <c r="A1105" s="1"/>
      <c r="B1105" s="1"/>
    </row>
    <row r="1106" spans="1:2" ht="14.25" customHeight="1">
      <c r="A1106" s="1"/>
      <c r="B1106" s="1"/>
    </row>
    <row r="1107" spans="1:2" ht="14.25" customHeight="1">
      <c r="A1107" s="1"/>
      <c r="B1107" s="1"/>
    </row>
    <row r="1108" spans="1:2" ht="14.25" customHeight="1">
      <c r="A1108" s="1"/>
      <c r="B1108" s="1"/>
    </row>
    <row r="1109" spans="1:2" ht="14.25" customHeight="1">
      <c r="A1109" s="1"/>
      <c r="B1109" s="1"/>
    </row>
    <row r="1110" spans="1:2" ht="14.25" customHeight="1">
      <c r="A1110" s="1"/>
      <c r="B1110" s="1"/>
    </row>
    <row r="1111" spans="1:2" ht="14.25" customHeight="1">
      <c r="A1111" s="1"/>
      <c r="B1111" s="1"/>
    </row>
    <row r="1112" spans="1:2" ht="14.25" customHeight="1">
      <c r="A1112" s="1"/>
      <c r="B1112" s="1"/>
    </row>
    <row r="1113" spans="1:2" ht="14.25" customHeight="1">
      <c r="A1113" s="1"/>
      <c r="B1113" s="1"/>
    </row>
    <row r="1114" spans="1:2" ht="14.25" customHeight="1">
      <c r="A1114" s="1"/>
      <c r="B1114" s="1"/>
    </row>
    <row r="1115" spans="1:2" ht="14.25" customHeight="1">
      <c r="A1115" s="1"/>
      <c r="B1115" s="1"/>
    </row>
    <row r="1116" spans="1:2" ht="14.25" customHeight="1">
      <c r="A1116" s="1"/>
      <c r="B1116" s="1"/>
    </row>
    <row r="1117" spans="1:2" ht="14.25" customHeight="1">
      <c r="A1117" s="1"/>
      <c r="B1117" s="1"/>
    </row>
    <row r="1118" spans="1:2" ht="14.25" customHeight="1">
      <c r="A1118" s="1"/>
      <c r="B1118" s="1"/>
    </row>
    <row r="1119" spans="1:2" ht="14.25" customHeight="1">
      <c r="A1119" s="1"/>
      <c r="B1119" s="1"/>
    </row>
    <row r="1120" spans="1:2" ht="14.25" customHeight="1">
      <c r="A1120" s="1"/>
      <c r="B1120" s="1"/>
    </row>
    <row r="1121" spans="1:2" ht="14.25" customHeight="1">
      <c r="A1121" s="1"/>
      <c r="B1121" s="1"/>
    </row>
    <row r="1122" spans="1:2" ht="14.25" customHeight="1">
      <c r="A1122" s="1"/>
      <c r="B1122" s="1"/>
    </row>
    <row r="1123" spans="1:2" ht="14.25" customHeight="1">
      <c r="A1123" s="1"/>
      <c r="B1123" s="1"/>
    </row>
    <row r="1124" spans="1:2" ht="14.25" customHeight="1">
      <c r="A1124" s="1"/>
      <c r="B1124" s="1"/>
    </row>
    <row r="1125" spans="1:2" ht="14.25" customHeight="1">
      <c r="A1125" s="1"/>
      <c r="B1125" s="1"/>
    </row>
    <row r="1126" spans="1:2" ht="14.25" customHeight="1">
      <c r="A1126" s="1"/>
      <c r="B1126" s="1"/>
    </row>
    <row r="1127" spans="1:2" ht="14.25" customHeight="1">
      <c r="A1127" s="1"/>
      <c r="B1127" s="1"/>
    </row>
    <row r="1128" spans="1:2" ht="14.25" customHeight="1">
      <c r="A1128" s="1"/>
      <c r="B1128" s="1"/>
    </row>
    <row r="1129" spans="1:2" ht="14.25" customHeight="1">
      <c r="A1129" s="1"/>
      <c r="B1129" s="1"/>
    </row>
    <row r="1130" spans="1:2" ht="14.25" customHeight="1">
      <c r="A1130" s="1"/>
      <c r="B1130" s="1"/>
    </row>
    <row r="1131" spans="1:2" ht="14.25" customHeight="1">
      <c r="A1131" s="1"/>
      <c r="B1131" s="1"/>
    </row>
    <row r="1132" spans="1:2" ht="14.25" customHeight="1">
      <c r="A1132" s="1"/>
      <c r="B1132" s="1"/>
    </row>
    <row r="1133" spans="1:2" ht="14.25" customHeight="1">
      <c r="A1133" s="1"/>
      <c r="B1133" s="1"/>
    </row>
    <row r="1134" spans="1:2" ht="14.25" customHeight="1">
      <c r="A1134" s="1"/>
      <c r="B1134" s="1"/>
    </row>
    <row r="1135" spans="1:2" ht="14.25" customHeight="1">
      <c r="A1135" s="1"/>
      <c r="B1135" s="1"/>
    </row>
    <row r="1136" spans="1:2" ht="14.25" customHeight="1">
      <c r="A1136" s="1"/>
      <c r="B1136" s="1"/>
    </row>
    <row r="1137" spans="1:2" ht="14.25" customHeight="1">
      <c r="A1137" s="1"/>
      <c r="B1137" s="1"/>
    </row>
    <row r="1138" spans="1:2" ht="14.25" customHeight="1">
      <c r="A1138" s="1"/>
      <c r="B1138" s="1"/>
    </row>
    <row r="1139" spans="1:2" ht="14.25" customHeight="1">
      <c r="A1139" s="1"/>
      <c r="B1139" s="1"/>
    </row>
    <row r="1140" spans="1:2" ht="14.25" customHeight="1">
      <c r="A1140" s="1"/>
      <c r="B1140" s="1"/>
    </row>
    <row r="1141" spans="1:2" ht="14.25" customHeight="1">
      <c r="A1141" s="1"/>
      <c r="B1141" s="1"/>
    </row>
    <row r="1142" spans="1:2" ht="14.25" customHeight="1">
      <c r="A1142" s="1"/>
      <c r="B1142" s="1"/>
    </row>
    <row r="1143" spans="1:2" ht="14.25" customHeight="1">
      <c r="A1143" s="1"/>
      <c r="B1143" s="1"/>
    </row>
    <row r="1144" spans="1:2" ht="14.25" customHeight="1">
      <c r="A1144" s="1"/>
      <c r="B1144" s="1"/>
    </row>
    <row r="1145" spans="1:2" ht="14.25" customHeight="1">
      <c r="A1145" s="1"/>
      <c r="B1145" s="1"/>
    </row>
    <row r="1146" spans="1:2" ht="14.25" customHeight="1">
      <c r="A1146" s="1"/>
      <c r="B1146" s="1"/>
    </row>
    <row r="1147" spans="1:2" ht="14.25" customHeight="1">
      <c r="A1147" s="1"/>
      <c r="B1147" s="1"/>
    </row>
    <row r="1148" spans="1:2" ht="14.25" customHeight="1">
      <c r="A1148" s="1"/>
      <c r="B1148" s="1"/>
    </row>
    <row r="1149" spans="1:2" ht="14.25" customHeight="1">
      <c r="A1149" s="1"/>
      <c r="B1149" s="1"/>
    </row>
    <row r="1150" spans="1:2" ht="14.25" customHeight="1">
      <c r="A1150" s="1"/>
      <c r="B1150" s="1"/>
    </row>
    <row r="1151" spans="1:2" ht="14.25" customHeight="1">
      <c r="A1151" s="1"/>
      <c r="B1151" s="1"/>
    </row>
    <row r="1152" spans="1:2" ht="14.25" customHeight="1">
      <c r="A1152" s="1"/>
      <c r="B1152" s="1"/>
    </row>
    <row r="1153" spans="1:2" ht="14.25" customHeight="1">
      <c r="A1153" s="1"/>
      <c r="B1153" s="1"/>
    </row>
    <row r="1154" spans="1:2" ht="14.25" customHeight="1">
      <c r="A1154" s="1"/>
      <c r="B1154" s="1"/>
    </row>
    <row r="1155" spans="1:2" ht="14.25" customHeight="1">
      <c r="A1155" s="1"/>
      <c r="B1155" s="1"/>
    </row>
    <row r="1156" spans="1:2" ht="14.25" customHeight="1">
      <c r="A1156" s="1"/>
      <c r="B1156" s="1"/>
    </row>
    <row r="1157" spans="1:2" ht="14.25" customHeight="1">
      <c r="A1157" s="1"/>
      <c r="B1157" s="1"/>
    </row>
    <row r="1158" spans="1:2" ht="14.25" customHeight="1">
      <c r="A1158" s="1"/>
      <c r="B1158" s="1"/>
    </row>
    <row r="1159" spans="1:2" ht="14.25" customHeight="1">
      <c r="A1159" s="1"/>
      <c r="B1159" s="1"/>
    </row>
    <row r="1160" spans="1:2" ht="14.25" customHeight="1">
      <c r="A1160" s="1"/>
      <c r="B1160" s="1"/>
    </row>
    <row r="1161" spans="1:2" ht="14.25" customHeight="1">
      <c r="A1161" s="1"/>
      <c r="B1161" s="1"/>
    </row>
    <row r="1162" spans="1:2" ht="14.25" customHeight="1">
      <c r="A1162" s="1"/>
      <c r="B1162" s="1"/>
    </row>
    <row r="1163" spans="1:2" ht="14.25" customHeight="1">
      <c r="A1163" s="1"/>
      <c r="B1163" s="1"/>
    </row>
    <row r="1164" spans="1:2" ht="14.25" customHeight="1">
      <c r="A1164" s="1"/>
      <c r="B1164" s="1"/>
    </row>
    <row r="1165" spans="1:2" ht="14.25" customHeight="1">
      <c r="A1165" s="1"/>
      <c r="B1165" s="1"/>
    </row>
    <row r="1166" spans="1:2" ht="14.25" customHeight="1">
      <c r="A1166" s="1"/>
      <c r="B1166" s="1"/>
    </row>
    <row r="1167" spans="1:2" ht="14.25" customHeight="1">
      <c r="A1167" s="1"/>
      <c r="B1167" s="1"/>
    </row>
    <row r="1168" spans="1:2" ht="14.25" customHeight="1">
      <c r="A1168" s="1"/>
      <c r="B1168" s="1"/>
    </row>
    <row r="1169" spans="1:2" ht="14.25" customHeight="1">
      <c r="A1169" s="1"/>
      <c r="B1169" s="1"/>
    </row>
    <row r="1170" spans="1:2" ht="14.25" customHeight="1">
      <c r="A1170" s="1"/>
      <c r="B1170" s="1"/>
    </row>
    <row r="1171" spans="1:2" ht="14.25" customHeight="1">
      <c r="A1171" s="1"/>
      <c r="B1171" s="1"/>
    </row>
    <row r="1172" spans="1:2" ht="14.25" customHeight="1">
      <c r="A1172" s="1"/>
      <c r="B1172" s="1"/>
    </row>
    <row r="1173" spans="1:2" ht="14.25" customHeight="1">
      <c r="A1173" s="1"/>
      <c r="B1173" s="1"/>
    </row>
    <row r="1174" spans="1:2" ht="14.25" customHeight="1">
      <c r="A1174" s="1"/>
      <c r="B1174" s="1"/>
    </row>
    <row r="1175" spans="1:2" ht="14.25" customHeight="1">
      <c r="A1175" s="1"/>
      <c r="B1175" s="1"/>
    </row>
    <row r="1176" spans="1:2" ht="14.25" customHeight="1">
      <c r="A1176" s="1"/>
      <c r="B1176" s="1"/>
    </row>
    <row r="1177" spans="1:2" ht="14.25" customHeight="1">
      <c r="A1177" s="1"/>
      <c r="B1177" s="1"/>
    </row>
    <row r="1178" spans="1:2" ht="14.25" customHeight="1">
      <c r="A1178" s="1"/>
      <c r="B1178" s="1"/>
    </row>
    <row r="1179" spans="1:2" ht="14.25" customHeight="1">
      <c r="A1179" s="1"/>
      <c r="B1179" s="1"/>
    </row>
    <row r="1180" spans="1:2" ht="14.25" customHeight="1">
      <c r="A1180" s="1"/>
      <c r="B1180" s="1"/>
    </row>
    <row r="1181" spans="1:2" ht="14.25" customHeight="1">
      <c r="A1181" s="1"/>
      <c r="B1181" s="1"/>
    </row>
    <row r="1182" spans="1:2" ht="14.25" customHeight="1">
      <c r="A1182" s="1"/>
      <c r="B1182" s="1"/>
    </row>
    <row r="1183" spans="1:2" ht="14.25" customHeight="1">
      <c r="A1183" s="1"/>
      <c r="B1183" s="1"/>
    </row>
    <row r="1184" spans="1:2" ht="14.25" customHeight="1">
      <c r="A1184" s="1"/>
      <c r="B1184" s="1"/>
    </row>
    <row r="1185" spans="1:2" ht="14.25" customHeight="1">
      <c r="A1185" s="1"/>
      <c r="B1185" s="1"/>
    </row>
    <row r="1186" spans="1:2" ht="14.25" customHeight="1">
      <c r="A1186" s="1"/>
      <c r="B1186" s="1"/>
    </row>
    <row r="1187" spans="1:2" ht="14.25" customHeight="1">
      <c r="A1187" s="1"/>
      <c r="B1187" s="1"/>
    </row>
    <row r="1188" spans="1:2" ht="14.25" customHeight="1">
      <c r="A1188" s="1"/>
      <c r="B1188" s="1"/>
    </row>
    <row r="1189" spans="1:2" ht="14.25" customHeight="1">
      <c r="A1189" s="1"/>
      <c r="B1189" s="1"/>
    </row>
    <row r="1190" spans="1:2" ht="14.25" customHeight="1">
      <c r="A1190" s="1"/>
      <c r="B1190" s="1"/>
    </row>
    <row r="1191" spans="1:2" ht="14.25" customHeight="1">
      <c r="A1191" s="1"/>
      <c r="B1191" s="1"/>
    </row>
    <row r="1192" spans="1:2" ht="14.25" customHeight="1">
      <c r="A1192" s="1"/>
      <c r="B1192" s="1"/>
    </row>
    <row r="1193" spans="1:2" ht="14.25" customHeight="1">
      <c r="A1193" s="1"/>
      <c r="B1193" s="1"/>
    </row>
    <row r="1194" spans="1:2" ht="14.25" customHeight="1">
      <c r="A1194" s="1"/>
      <c r="B1194" s="1"/>
    </row>
    <row r="1195" spans="1:2" ht="14.25" customHeight="1">
      <c r="A1195" s="1"/>
      <c r="B1195" s="1"/>
    </row>
    <row r="1196" spans="1:2" ht="14.25" customHeight="1">
      <c r="A1196" s="1"/>
      <c r="B1196" s="1"/>
    </row>
    <row r="1197" spans="1:2" ht="14.25" customHeight="1">
      <c r="A1197" s="1"/>
      <c r="B1197" s="1"/>
    </row>
    <row r="1198" spans="1:2" ht="14.25" customHeight="1">
      <c r="A1198" s="1"/>
      <c r="B1198" s="1"/>
    </row>
    <row r="1199" spans="1:2" ht="14.25" customHeight="1">
      <c r="A1199" s="1"/>
      <c r="B1199" s="1"/>
    </row>
    <row r="1200" spans="1:2" ht="14.25" customHeight="1">
      <c r="A1200" s="1"/>
      <c r="B1200" s="1"/>
    </row>
    <row r="1201" spans="1:2" ht="14.25" customHeight="1">
      <c r="A1201" s="1"/>
      <c r="B1201" s="1"/>
    </row>
    <row r="1202" spans="1:2" ht="14.25" customHeight="1">
      <c r="A1202" s="1"/>
      <c r="B1202" s="1"/>
    </row>
    <row r="1203" spans="1:2" ht="14.25" customHeight="1">
      <c r="A1203" s="1"/>
      <c r="B1203" s="1"/>
    </row>
    <row r="1204" spans="1:2" ht="14.25" customHeight="1">
      <c r="A1204" s="1"/>
      <c r="B1204" s="1"/>
    </row>
    <row r="1205" spans="1:2" ht="14.25" customHeight="1">
      <c r="A1205" s="1"/>
      <c r="B1205" s="1"/>
    </row>
    <row r="1206" spans="1:2" ht="14.25" customHeight="1">
      <c r="A1206" s="1"/>
      <c r="B1206" s="1"/>
    </row>
    <row r="1207" spans="1:2" ht="14.25" customHeight="1">
      <c r="A1207" s="1"/>
      <c r="B1207" s="1"/>
    </row>
    <row r="1208" spans="1:2" ht="14.25" customHeight="1">
      <c r="A1208" s="1"/>
      <c r="B1208" s="1"/>
    </row>
    <row r="1209" spans="1:2" ht="14.25" customHeight="1">
      <c r="A1209" s="1"/>
      <c r="B1209" s="1"/>
    </row>
    <row r="1210" spans="1:2" ht="14.25" customHeight="1">
      <c r="A1210" s="1"/>
      <c r="B1210" s="1"/>
    </row>
    <row r="1211" spans="1:2" ht="14.25" customHeight="1">
      <c r="A1211" s="1"/>
      <c r="B1211" s="1"/>
    </row>
    <row r="1212" spans="1:2" ht="14.25" customHeight="1">
      <c r="A1212" s="1"/>
      <c r="B1212" s="1"/>
    </row>
    <row r="1213" spans="1:2" ht="14.25" customHeight="1">
      <c r="A1213" s="1"/>
      <c r="B1213" s="1"/>
    </row>
    <row r="1214" spans="1:2" ht="14.25" customHeight="1">
      <c r="A1214" s="1"/>
      <c r="B1214" s="1"/>
    </row>
    <row r="1215" spans="1:2" ht="14.25" customHeight="1">
      <c r="A1215" s="1"/>
      <c r="B1215" s="1"/>
    </row>
    <row r="1216" spans="1:2" ht="14.25" customHeight="1">
      <c r="A1216" s="1"/>
      <c r="B1216" s="1"/>
    </row>
    <row r="1217" spans="1:2" ht="14.25" customHeight="1">
      <c r="A1217" s="1"/>
      <c r="B1217" s="1"/>
    </row>
    <row r="1218" spans="1:2" ht="14.25" customHeight="1">
      <c r="A1218" s="1"/>
      <c r="B1218" s="1"/>
    </row>
    <row r="1219" spans="1:2" ht="14.25" customHeight="1">
      <c r="A1219" s="1"/>
      <c r="B1219" s="1"/>
    </row>
    <row r="1220" spans="1:2" ht="14.25" customHeight="1">
      <c r="A1220" s="1"/>
      <c r="B1220" s="1"/>
    </row>
    <row r="1221" spans="1:2" ht="14.25" customHeight="1">
      <c r="A1221" s="1"/>
      <c r="B1221" s="1"/>
    </row>
    <row r="1222" spans="1:2" ht="14.25" customHeight="1">
      <c r="A1222" s="1"/>
      <c r="B1222" s="1"/>
    </row>
    <row r="1223" spans="1:2" ht="14.25" customHeight="1">
      <c r="A1223" s="1"/>
      <c r="B1223" s="1"/>
    </row>
    <row r="1224" spans="1:2" ht="14.25" customHeight="1">
      <c r="A1224" s="1"/>
      <c r="B1224" s="1"/>
    </row>
    <row r="1225" spans="1:2" ht="14.25" customHeight="1">
      <c r="A1225" s="1"/>
      <c r="B1225" s="1"/>
    </row>
    <row r="1226" spans="1:2" ht="14.25" customHeight="1">
      <c r="A1226" s="1"/>
      <c r="B1226" s="1"/>
    </row>
    <row r="1227" spans="1:2" ht="14.25" customHeight="1">
      <c r="A1227" s="1"/>
      <c r="B1227" s="1"/>
    </row>
    <row r="1228" spans="1:2" ht="14.25" customHeight="1">
      <c r="A1228" s="1"/>
      <c r="B1228" s="1"/>
    </row>
    <row r="1229" spans="1:2" ht="14.25" customHeight="1">
      <c r="A1229" s="1"/>
      <c r="B1229" s="1"/>
    </row>
    <row r="1230" spans="1:2" ht="14.25" customHeight="1">
      <c r="A1230" s="1"/>
      <c r="B1230" s="1"/>
    </row>
    <row r="1231" spans="1:2" ht="14.25" customHeight="1">
      <c r="A1231" s="1"/>
      <c r="B1231" s="1"/>
    </row>
    <row r="1232" spans="1:2" ht="14.25" customHeight="1">
      <c r="A1232" s="1"/>
      <c r="B1232" s="1"/>
    </row>
    <row r="1233" spans="1:2" ht="14.25" customHeight="1">
      <c r="A1233" s="1"/>
      <c r="B1233" s="1"/>
    </row>
    <row r="1234" spans="1:2" ht="14.25" customHeight="1">
      <c r="A1234" s="1"/>
      <c r="B1234" s="1"/>
    </row>
    <row r="1235" spans="1:2" ht="14.25" customHeight="1">
      <c r="A1235" s="1"/>
      <c r="B1235" s="1"/>
    </row>
    <row r="1236" spans="1:2" ht="14.25" customHeight="1">
      <c r="A1236" s="1"/>
      <c r="B1236" s="1"/>
    </row>
    <row r="1237" spans="1:2" ht="14.25" customHeight="1">
      <c r="A1237" s="1"/>
      <c r="B1237" s="1"/>
    </row>
    <row r="1238" spans="1:2" ht="14.25" customHeight="1">
      <c r="A1238" s="1"/>
      <c r="B1238" s="1"/>
    </row>
    <row r="1239" spans="1:2" ht="14.25" customHeight="1">
      <c r="A1239" s="1"/>
      <c r="B1239" s="1"/>
    </row>
    <row r="1240" spans="1:2" ht="14.25" customHeight="1">
      <c r="A1240" s="1"/>
      <c r="B1240" s="1"/>
    </row>
    <row r="1241" spans="1:2" ht="14.25" customHeight="1">
      <c r="A1241" s="1"/>
      <c r="B1241" s="1"/>
    </row>
    <row r="1242" spans="1:2" ht="14.25" customHeight="1">
      <c r="A1242" s="1"/>
      <c r="B1242" s="1"/>
    </row>
    <row r="1243" spans="1:2" ht="14.25" customHeight="1">
      <c r="A1243" s="1"/>
      <c r="B1243" s="1"/>
    </row>
    <row r="1244" spans="1:2" ht="14.25" customHeight="1">
      <c r="A1244" s="1"/>
      <c r="B1244" s="1"/>
    </row>
    <row r="1245" spans="1:2" ht="14.25" customHeight="1">
      <c r="A1245" s="1"/>
      <c r="B1245" s="1"/>
    </row>
    <row r="1246" spans="1:2" ht="14.25" customHeight="1">
      <c r="A1246" s="1"/>
      <c r="B1246" s="1"/>
    </row>
    <row r="1247" spans="1:2" ht="14.25" customHeight="1">
      <c r="A1247" s="1"/>
      <c r="B1247" s="1"/>
    </row>
    <row r="1248" spans="1:2" ht="14.25" customHeight="1">
      <c r="A1248" s="1"/>
      <c r="B1248" s="1"/>
    </row>
    <row r="1249" spans="1:2" ht="14.25" customHeight="1">
      <c r="A1249" s="1"/>
      <c r="B1249" s="1"/>
    </row>
    <row r="1250" spans="1:2" ht="14.25" customHeight="1">
      <c r="A1250" s="1"/>
      <c r="B1250" s="1"/>
    </row>
    <row r="1251" spans="1:2" ht="14.25" customHeight="1">
      <c r="A1251" s="1"/>
      <c r="B1251" s="1"/>
    </row>
    <row r="1252" spans="1:2" ht="14.25" customHeight="1">
      <c r="A1252" s="1"/>
      <c r="B1252" s="1"/>
    </row>
    <row r="1253" spans="1:2" ht="14.25" customHeight="1">
      <c r="A1253" s="1"/>
      <c r="B1253" s="1"/>
    </row>
    <row r="1254" spans="1:2" ht="14.25" customHeight="1">
      <c r="A1254" s="1"/>
      <c r="B1254" s="1"/>
    </row>
    <row r="1255" spans="1:2" ht="14.25" customHeight="1">
      <c r="A1255" s="1"/>
      <c r="B1255" s="1"/>
    </row>
    <row r="1256" spans="1:2" ht="14.25" customHeight="1">
      <c r="A1256" s="1"/>
      <c r="B1256" s="1"/>
    </row>
    <row r="1257" spans="1:2" ht="14.25" customHeight="1">
      <c r="A1257" s="1"/>
      <c r="B1257" s="1"/>
    </row>
    <row r="1258" spans="1:2" ht="14.25" customHeight="1">
      <c r="A1258" s="1"/>
      <c r="B1258" s="1"/>
    </row>
    <row r="1259" spans="1:2" ht="14.25" customHeight="1">
      <c r="A1259" s="1"/>
      <c r="B1259" s="1"/>
    </row>
    <row r="1260" spans="1:2" ht="14.25" customHeight="1">
      <c r="A1260" s="1"/>
      <c r="B1260" s="1"/>
    </row>
    <row r="1261" spans="1:2" ht="14.25" customHeight="1">
      <c r="A1261" s="1"/>
      <c r="B1261" s="1"/>
    </row>
    <row r="1262" spans="1:2" ht="14.25" customHeight="1">
      <c r="A1262" s="1"/>
      <c r="B1262" s="1"/>
    </row>
    <row r="1263" spans="1:2" ht="14.25" customHeight="1">
      <c r="A1263" s="1"/>
      <c r="B1263" s="1"/>
    </row>
    <row r="1264" spans="1:2" ht="14.25" customHeight="1">
      <c r="A1264" s="1"/>
      <c r="B1264" s="1"/>
    </row>
    <row r="1265" spans="1:2" ht="14.25" customHeight="1">
      <c r="A1265" s="1"/>
      <c r="B1265" s="1"/>
    </row>
    <row r="1266" spans="1:2" ht="14.25" customHeight="1">
      <c r="A1266" s="1"/>
      <c r="B1266" s="1"/>
    </row>
    <row r="1267" spans="1:2" ht="14.25" customHeight="1">
      <c r="A1267" s="1"/>
      <c r="B1267" s="1"/>
    </row>
    <row r="1268" spans="1:2" ht="14.25" customHeight="1">
      <c r="A1268" s="1"/>
      <c r="B1268" s="1"/>
    </row>
    <row r="1269" spans="1:2" ht="14.25" customHeight="1">
      <c r="A1269" s="1"/>
      <c r="B1269" s="1"/>
    </row>
    <row r="1270" spans="1:2" ht="14.25" customHeight="1">
      <c r="A1270" s="1"/>
      <c r="B1270" s="1"/>
    </row>
    <row r="1271" spans="1:2" ht="14.25" customHeight="1">
      <c r="A1271" s="1"/>
      <c r="B1271" s="1"/>
    </row>
    <row r="1272" spans="1:2" ht="14.25" customHeight="1">
      <c r="A1272" s="1"/>
      <c r="B1272" s="1"/>
    </row>
    <row r="1273" spans="1:2" ht="14.25" customHeight="1">
      <c r="A1273" s="1"/>
      <c r="B1273" s="1"/>
    </row>
    <row r="1274" spans="1:2" ht="14.25" customHeight="1">
      <c r="A1274" s="1"/>
      <c r="B1274" s="1"/>
    </row>
    <row r="1275" spans="1:2" ht="14.25" customHeight="1">
      <c r="A1275" s="1"/>
      <c r="B1275" s="1"/>
    </row>
    <row r="1276" spans="1:2" ht="14.25" customHeight="1">
      <c r="A1276" s="1"/>
      <c r="B1276" s="1"/>
    </row>
    <row r="1277" spans="1:2" ht="14.25" customHeight="1">
      <c r="A1277" s="1"/>
      <c r="B1277" s="1"/>
    </row>
    <row r="1278" spans="1:2" ht="14.25" customHeight="1">
      <c r="A1278" s="1"/>
      <c r="B1278" s="1"/>
    </row>
    <row r="1279" spans="1:2" ht="14.25" customHeight="1">
      <c r="A1279" s="1"/>
      <c r="B1279" s="1"/>
    </row>
    <row r="1280" spans="1:2" ht="14.25" customHeight="1">
      <c r="A1280" s="1"/>
      <c r="B1280" s="1"/>
    </row>
    <row r="1281" spans="1:2" ht="14.25" customHeight="1">
      <c r="A1281" s="1"/>
      <c r="B1281" s="1"/>
    </row>
    <row r="1282" spans="1:2" ht="14.25" customHeight="1">
      <c r="A1282" s="1"/>
      <c r="B1282" s="1"/>
    </row>
    <row r="1283" spans="1:2" ht="14.25" customHeight="1">
      <c r="A1283" s="1"/>
      <c r="B1283" s="1"/>
    </row>
    <row r="1284" spans="1:2" ht="14.25" customHeight="1">
      <c r="A1284" s="1"/>
      <c r="B1284" s="1"/>
    </row>
    <row r="1285" spans="1:2" ht="14.25" customHeight="1">
      <c r="A1285" s="1"/>
      <c r="B1285" s="1"/>
    </row>
    <row r="1286" spans="1:2" ht="14.25" customHeight="1">
      <c r="A1286" s="1"/>
      <c r="B1286" s="1"/>
    </row>
    <row r="1287" spans="1:2" ht="14.25" customHeight="1">
      <c r="A1287" s="1"/>
      <c r="B1287" s="1"/>
    </row>
    <row r="1288" spans="1:2" ht="14.25" customHeight="1">
      <c r="A1288" s="1"/>
      <c r="B1288" s="1"/>
    </row>
  </sheetData>
  <autoFilter ref="A1:BK489">
    <sortState ref="A14:BK457">
      <sortCondition ref="AS1:AS489"/>
    </sortState>
  </autoFilter>
  <phoneticPr fontId="4" type="noConversion"/>
  <pageMargins left="0.7" right="0.7" top="0.75" bottom="0.75" header="0" footer="0"/>
  <pageSetup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128"/>
  <sheetViews>
    <sheetView topLeftCell="Y1" zoomScale="90" zoomScaleNormal="90" workbookViewId="0">
      <pane ySplit="1" topLeftCell="A45" activePane="bottomLeft" state="frozen"/>
      <selection pane="bottomLeft" activeCell="AJ45" sqref="AJ45"/>
    </sheetView>
  </sheetViews>
  <sheetFormatPr baseColWidth="10" defaultRowHeight="14.25"/>
  <cols>
    <col min="35" max="35" width="12.875" customWidth="1"/>
    <col min="36" max="36" width="12" bestFit="1" customWidth="1"/>
  </cols>
  <sheetData>
    <row r="1" spans="1:36" s="1" customFormat="1" ht="14.25" customHeight="1">
      <c r="A1" s="2" t="s">
        <v>90</v>
      </c>
      <c r="B1" s="2" t="s">
        <v>72</v>
      </c>
      <c r="C1" s="3" t="s">
        <v>84</v>
      </c>
      <c r="D1" s="3" t="s">
        <v>95</v>
      </c>
      <c r="E1" s="3" t="s">
        <v>101</v>
      </c>
      <c r="F1" s="3" t="s">
        <v>73</v>
      </c>
      <c r="G1" s="3" t="s">
        <v>108</v>
      </c>
      <c r="H1" s="3" t="s">
        <v>74</v>
      </c>
      <c r="I1" s="3" t="s">
        <v>75</v>
      </c>
      <c r="J1" s="3" t="s">
        <v>123</v>
      </c>
      <c r="K1" s="4" t="s">
        <v>170</v>
      </c>
      <c r="L1" s="4" t="s">
        <v>171</v>
      </c>
      <c r="M1" s="4" t="s">
        <v>235</v>
      </c>
      <c r="N1" s="4" t="s">
        <v>234</v>
      </c>
      <c r="O1" s="5" t="s">
        <v>76</v>
      </c>
      <c r="P1" s="5" t="s">
        <v>77</v>
      </c>
      <c r="Q1" s="6" t="s">
        <v>118</v>
      </c>
      <c r="R1" s="5" t="s">
        <v>78</v>
      </c>
      <c r="S1" s="5" t="s">
        <v>79</v>
      </c>
      <c r="T1" s="5" t="s">
        <v>230</v>
      </c>
      <c r="U1" s="5" t="s">
        <v>80</v>
      </c>
      <c r="V1" s="6" t="s">
        <v>104</v>
      </c>
      <c r="W1" s="6" t="s">
        <v>105</v>
      </c>
      <c r="X1" s="8" t="s">
        <v>87</v>
      </c>
      <c r="Y1" s="8" t="s">
        <v>94</v>
      </c>
      <c r="Z1" s="8" t="s">
        <v>88</v>
      </c>
      <c r="AA1" s="8" t="s">
        <v>81</v>
      </c>
      <c r="AB1" s="8" t="s">
        <v>82</v>
      </c>
      <c r="AC1" s="8" t="s">
        <v>201</v>
      </c>
      <c r="AD1" s="8" t="s">
        <v>83</v>
      </c>
      <c r="AE1" s="7" t="s">
        <v>138</v>
      </c>
      <c r="AF1" s="11" t="s">
        <v>273</v>
      </c>
      <c r="AG1" s="11" t="s">
        <v>274</v>
      </c>
      <c r="AH1" s="11" t="s">
        <v>275</v>
      </c>
      <c r="AI1" s="11" t="s">
        <v>276</v>
      </c>
      <c r="AJ1" s="11" t="s">
        <v>277</v>
      </c>
    </row>
    <row r="2" spans="1:36" s="1" customFormat="1" ht="14.25" customHeight="1">
      <c r="A2" s="12">
        <v>443</v>
      </c>
      <c r="B2" s="12" t="s">
        <v>55</v>
      </c>
      <c r="C2" s="12" t="s">
        <v>85</v>
      </c>
      <c r="D2" s="12">
        <v>2007</v>
      </c>
      <c r="E2" s="12">
        <v>2003</v>
      </c>
      <c r="F2" s="12" t="s">
        <v>96</v>
      </c>
      <c r="G2" s="12" t="s">
        <v>109</v>
      </c>
      <c r="H2" s="12">
        <v>-26.833333</v>
      </c>
      <c r="I2" s="12">
        <v>152.88333299999999</v>
      </c>
      <c r="J2" s="12" t="s">
        <v>286</v>
      </c>
      <c r="K2" s="12" t="s">
        <v>112</v>
      </c>
      <c r="L2" s="12" t="s">
        <v>188</v>
      </c>
      <c r="M2" s="16" t="s">
        <v>237</v>
      </c>
      <c r="N2" s="12" t="s">
        <v>238</v>
      </c>
      <c r="O2" s="12" t="s">
        <v>121</v>
      </c>
      <c r="P2" s="12"/>
      <c r="Q2" s="12" t="s">
        <v>93</v>
      </c>
      <c r="R2" s="12">
        <v>2003</v>
      </c>
      <c r="S2" s="12" t="s">
        <v>162</v>
      </c>
      <c r="T2" s="12" t="s">
        <v>251</v>
      </c>
      <c r="U2" s="12"/>
      <c r="V2" s="12"/>
      <c r="W2" s="12"/>
      <c r="X2" s="12" t="s">
        <v>97</v>
      </c>
      <c r="Y2" s="12" t="s">
        <v>147</v>
      </c>
      <c r="Z2" s="12" t="s">
        <v>0</v>
      </c>
      <c r="AA2" s="12" t="s">
        <v>98</v>
      </c>
      <c r="AB2" s="12" t="s">
        <v>221</v>
      </c>
      <c r="AC2" s="12" t="s">
        <v>2</v>
      </c>
      <c r="AD2" s="12" t="s">
        <v>100</v>
      </c>
      <c r="AE2" s="12" t="s">
        <v>250</v>
      </c>
      <c r="AF2" s="12">
        <v>43.3</v>
      </c>
      <c r="AG2" s="12">
        <v>34.69</v>
      </c>
      <c r="AH2" s="12">
        <v>66.17</v>
      </c>
      <c r="AI2" s="1">
        <f t="shared" ref="AI2:AI3" si="0">LOG(AH2/(AG2+AF2))</f>
        <v>-7.1377785697696039E-2</v>
      </c>
      <c r="AJ2" s="1">
        <f t="shared" ref="AJ2:AJ3" si="1">LOG(AF2/AG2)</f>
        <v>9.6283596511305636E-2</v>
      </c>
    </row>
    <row r="3" spans="1:36" s="1" customFormat="1" ht="14.25" customHeight="1">
      <c r="A3" s="12">
        <v>443</v>
      </c>
      <c r="B3" s="12" t="s">
        <v>55</v>
      </c>
      <c r="C3" s="12" t="s">
        <v>85</v>
      </c>
      <c r="D3" s="12">
        <v>2007</v>
      </c>
      <c r="E3" s="12">
        <v>2003</v>
      </c>
      <c r="F3" s="12" t="s">
        <v>96</v>
      </c>
      <c r="G3" s="12" t="s">
        <v>109</v>
      </c>
      <c r="H3" s="12">
        <v>-26.833333</v>
      </c>
      <c r="I3" s="12">
        <v>152.88333299999999</v>
      </c>
      <c r="J3" s="12" t="s">
        <v>286</v>
      </c>
      <c r="K3" s="12" t="s">
        <v>112</v>
      </c>
      <c r="L3" s="12" t="s">
        <v>188</v>
      </c>
      <c r="M3" s="16" t="s">
        <v>237</v>
      </c>
      <c r="N3" s="12" t="s">
        <v>238</v>
      </c>
      <c r="O3" s="12" t="s">
        <v>121</v>
      </c>
      <c r="P3" s="12"/>
      <c r="Q3" s="12" t="s">
        <v>93</v>
      </c>
      <c r="R3" s="12">
        <v>2003</v>
      </c>
      <c r="S3" s="12">
        <v>2</v>
      </c>
      <c r="T3" s="12" t="s">
        <v>251</v>
      </c>
      <c r="U3" s="12"/>
      <c r="V3" s="12"/>
      <c r="W3" s="12"/>
      <c r="X3" s="12" t="s">
        <v>97</v>
      </c>
      <c r="Y3" s="12" t="s">
        <v>147</v>
      </c>
      <c r="Z3" s="12" t="s">
        <v>0</v>
      </c>
      <c r="AA3" s="12" t="s">
        <v>98</v>
      </c>
      <c r="AB3" s="12" t="s">
        <v>221</v>
      </c>
      <c r="AC3" s="12" t="s">
        <v>2</v>
      </c>
      <c r="AD3" s="12" t="s">
        <v>100</v>
      </c>
      <c r="AE3" s="12" t="s">
        <v>250</v>
      </c>
      <c r="AF3" s="12">
        <v>58.07</v>
      </c>
      <c r="AG3" s="12">
        <v>34.69</v>
      </c>
      <c r="AH3" s="12">
        <v>54.69</v>
      </c>
      <c r="AI3" s="1">
        <f t="shared" si="0"/>
        <v>-0.22945281659131095</v>
      </c>
      <c r="AJ3" s="1">
        <f t="shared" si="1"/>
        <v>0.2237475261912644</v>
      </c>
    </row>
    <row r="4" spans="1:36" s="1" customFormat="1" ht="14.25" customHeight="1">
      <c r="A4" s="16">
        <v>331</v>
      </c>
      <c r="B4" s="16" t="s">
        <v>47</v>
      </c>
      <c r="C4" s="12" t="s">
        <v>85</v>
      </c>
      <c r="D4" s="16">
        <v>2006</v>
      </c>
      <c r="E4" s="16">
        <v>2003</v>
      </c>
      <c r="F4" s="16" t="s">
        <v>96</v>
      </c>
      <c r="G4" s="16" t="s">
        <v>109</v>
      </c>
      <c r="H4" s="16">
        <v>-26.25</v>
      </c>
      <c r="I4" s="16">
        <v>152.88333299999999</v>
      </c>
      <c r="J4" s="16" t="s">
        <v>128</v>
      </c>
      <c r="K4" s="16" t="s">
        <v>112</v>
      </c>
      <c r="L4" s="16" t="s">
        <v>188</v>
      </c>
      <c r="M4" s="16" t="s">
        <v>237</v>
      </c>
      <c r="N4" s="12" t="s">
        <v>238</v>
      </c>
      <c r="O4" s="16" t="s">
        <v>121</v>
      </c>
      <c r="P4" s="16"/>
      <c r="Q4" s="16" t="s">
        <v>93</v>
      </c>
      <c r="R4" s="16">
        <v>2003</v>
      </c>
      <c r="S4" s="16" t="s">
        <v>162</v>
      </c>
      <c r="T4" s="12" t="s">
        <v>251</v>
      </c>
      <c r="U4" s="16"/>
      <c r="V4" s="12"/>
      <c r="W4" s="16"/>
      <c r="X4" s="12" t="s">
        <v>97</v>
      </c>
      <c r="Y4" s="16" t="s">
        <v>133</v>
      </c>
      <c r="Z4" s="16" t="s">
        <v>1</v>
      </c>
      <c r="AA4" s="16" t="s">
        <v>98</v>
      </c>
      <c r="AB4" s="16" t="s">
        <v>224</v>
      </c>
      <c r="AC4" s="16" t="s">
        <v>2</v>
      </c>
      <c r="AD4" s="16" t="s">
        <v>100</v>
      </c>
      <c r="AE4" s="16" t="s">
        <v>252</v>
      </c>
      <c r="AF4" s="12">
        <v>0.13</v>
      </c>
      <c r="AG4" s="12">
        <v>0.25</v>
      </c>
      <c r="AH4" s="12">
        <v>0.56000000000000005</v>
      </c>
      <c r="AI4" s="1">
        <f t="shared" ref="AI4:AI6" si="2">LOG(AH4/(AG4+AF4))</f>
        <v>0.16840443038939029</v>
      </c>
      <c r="AJ4" s="1">
        <f t="shared" ref="AJ4:AJ7" si="3">LOG(AF4/AG4)</f>
        <v>-0.28399665636520083</v>
      </c>
    </row>
    <row r="5" spans="1:36" s="1" customFormat="1" ht="14.25" customHeight="1">
      <c r="A5" s="16">
        <v>331</v>
      </c>
      <c r="B5" s="16" t="s">
        <v>47</v>
      </c>
      <c r="C5" s="12" t="s">
        <v>85</v>
      </c>
      <c r="D5" s="16">
        <v>2006</v>
      </c>
      <c r="E5" s="16">
        <v>2003</v>
      </c>
      <c r="F5" s="16" t="s">
        <v>96</v>
      </c>
      <c r="G5" s="16" t="s">
        <v>109</v>
      </c>
      <c r="H5" s="16">
        <v>-26.25</v>
      </c>
      <c r="I5" s="16">
        <v>152.88333299999999</v>
      </c>
      <c r="J5" s="16" t="s">
        <v>128</v>
      </c>
      <c r="K5" s="16" t="s">
        <v>112</v>
      </c>
      <c r="L5" s="16" t="s">
        <v>188</v>
      </c>
      <c r="M5" s="16" t="s">
        <v>237</v>
      </c>
      <c r="N5" s="12" t="s">
        <v>238</v>
      </c>
      <c r="O5" s="16" t="s">
        <v>121</v>
      </c>
      <c r="P5" s="16"/>
      <c r="Q5" s="16" t="s">
        <v>93</v>
      </c>
      <c r="R5" s="16">
        <v>2003</v>
      </c>
      <c r="S5" s="16" t="s">
        <v>162</v>
      </c>
      <c r="T5" s="12" t="s">
        <v>251</v>
      </c>
      <c r="U5" s="16"/>
      <c r="V5" s="12"/>
      <c r="W5" s="16"/>
      <c r="X5" s="12" t="s">
        <v>97</v>
      </c>
      <c r="Y5" s="16" t="s">
        <v>220</v>
      </c>
      <c r="Z5" s="16" t="s">
        <v>1</v>
      </c>
      <c r="AA5" s="16" t="s">
        <v>98</v>
      </c>
      <c r="AB5" s="16" t="s">
        <v>224</v>
      </c>
      <c r="AC5" s="16" t="s">
        <v>2</v>
      </c>
      <c r="AD5" s="16" t="s">
        <v>100</v>
      </c>
      <c r="AE5" s="16" t="s">
        <v>252</v>
      </c>
      <c r="AF5" s="12">
        <v>0.14000000000000001</v>
      </c>
      <c r="AG5" s="12">
        <v>0.17</v>
      </c>
      <c r="AH5" s="12">
        <v>0.26</v>
      </c>
      <c r="AI5" s="1">
        <f t="shared" si="2"/>
        <v>-7.6388345863454762E-2</v>
      </c>
      <c r="AJ5" s="1">
        <f t="shared" si="3"/>
        <v>-8.4320885700035861E-2</v>
      </c>
    </row>
    <row r="6" spans="1:36" s="1" customFormat="1" ht="14.25" customHeight="1">
      <c r="A6" s="16">
        <v>331</v>
      </c>
      <c r="B6" s="16" t="s">
        <v>47</v>
      </c>
      <c r="C6" s="12" t="s">
        <v>85</v>
      </c>
      <c r="D6" s="16">
        <v>2006</v>
      </c>
      <c r="E6" s="16">
        <v>2003</v>
      </c>
      <c r="F6" s="16" t="s">
        <v>96</v>
      </c>
      <c r="G6" s="16" t="s">
        <v>109</v>
      </c>
      <c r="H6" s="16">
        <v>-26.25</v>
      </c>
      <c r="I6" s="16">
        <v>152.88333299999999</v>
      </c>
      <c r="J6" s="16" t="s">
        <v>128</v>
      </c>
      <c r="K6" s="16" t="s">
        <v>112</v>
      </c>
      <c r="L6" s="16" t="s">
        <v>188</v>
      </c>
      <c r="M6" s="16" t="s">
        <v>237</v>
      </c>
      <c r="N6" s="12" t="s">
        <v>238</v>
      </c>
      <c r="O6" s="16" t="s">
        <v>121</v>
      </c>
      <c r="P6" s="16"/>
      <c r="Q6" s="16" t="s">
        <v>93</v>
      </c>
      <c r="R6" s="16">
        <v>2003</v>
      </c>
      <c r="S6" s="16">
        <v>2</v>
      </c>
      <c r="T6" s="12" t="s">
        <v>251</v>
      </c>
      <c r="U6" s="16"/>
      <c r="V6" s="12"/>
      <c r="W6" s="16"/>
      <c r="X6" s="12" t="s">
        <v>97</v>
      </c>
      <c r="Y6" s="16" t="s">
        <v>133</v>
      </c>
      <c r="Z6" s="16" t="s">
        <v>1</v>
      </c>
      <c r="AA6" s="16" t="s">
        <v>98</v>
      </c>
      <c r="AB6" s="16" t="s">
        <v>224</v>
      </c>
      <c r="AC6" s="16" t="s">
        <v>2</v>
      </c>
      <c r="AD6" s="16" t="s">
        <v>100</v>
      </c>
      <c r="AE6" s="16" t="s">
        <v>252</v>
      </c>
      <c r="AF6" s="12">
        <v>0.15</v>
      </c>
      <c r="AG6" s="12">
        <v>0.25</v>
      </c>
      <c r="AH6" s="12">
        <v>0.44</v>
      </c>
      <c r="AI6" s="1">
        <f t="shared" si="2"/>
        <v>4.1392685158224987E-2</v>
      </c>
      <c r="AJ6" s="1">
        <f t="shared" si="3"/>
        <v>-0.22184874961635639</v>
      </c>
    </row>
    <row r="7" spans="1:36" s="1" customFormat="1" ht="14.25" customHeight="1">
      <c r="A7" s="16">
        <v>331</v>
      </c>
      <c r="B7" s="16" t="s">
        <v>47</v>
      </c>
      <c r="C7" s="12" t="s">
        <v>85</v>
      </c>
      <c r="D7" s="16">
        <v>2006</v>
      </c>
      <c r="E7" s="16">
        <v>2003</v>
      </c>
      <c r="F7" s="16" t="s">
        <v>96</v>
      </c>
      <c r="G7" s="16" t="s">
        <v>109</v>
      </c>
      <c r="H7" s="16">
        <v>-26.25</v>
      </c>
      <c r="I7" s="16">
        <v>152.88333299999999</v>
      </c>
      <c r="J7" s="16" t="s">
        <v>128</v>
      </c>
      <c r="K7" s="16" t="s">
        <v>112</v>
      </c>
      <c r="L7" s="16" t="s">
        <v>188</v>
      </c>
      <c r="M7" s="16" t="s">
        <v>237</v>
      </c>
      <c r="N7" s="12" t="s">
        <v>238</v>
      </c>
      <c r="O7" s="16" t="s">
        <v>121</v>
      </c>
      <c r="P7" s="16"/>
      <c r="Q7" s="16" t="s">
        <v>93</v>
      </c>
      <c r="R7" s="16">
        <v>2003</v>
      </c>
      <c r="S7" s="16">
        <v>2</v>
      </c>
      <c r="T7" s="12" t="s">
        <v>251</v>
      </c>
      <c r="U7" s="16"/>
      <c r="V7" s="12"/>
      <c r="W7" s="16"/>
      <c r="X7" s="12" t="s">
        <v>97</v>
      </c>
      <c r="Y7" s="16" t="s">
        <v>220</v>
      </c>
      <c r="Z7" s="16" t="s">
        <v>1</v>
      </c>
      <c r="AA7" s="16" t="s">
        <v>98</v>
      </c>
      <c r="AB7" s="16" t="s">
        <v>224</v>
      </c>
      <c r="AC7" s="16" t="s">
        <v>2</v>
      </c>
      <c r="AD7" s="16" t="s">
        <v>100</v>
      </c>
      <c r="AE7" s="16" t="s">
        <v>252</v>
      </c>
      <c r="AF7" s="12">
        <v>0.2</v>
      </c>
      <c r="AG7" s="12">
        <v>0.17</v>
      </c>
      <c r="AH7" s="12">
        <v>0.37</v>
      </c>
      <c r="AI7" s="1">
        <f>LOG(AH7/(AG7+AF7))</f>
        <v>0</v>
      </c>
      <c r="AJ7" s="1">
        <f t="shared" si="3"/>
        <v>7.0581074285707285E-2</v>
      </c>
    </row>
    <row r="8" spans="1:36" s="1" customFormat="1" ht="14.25" customHeight="1">
      <c r="A8" s="16">
        <v>183</v>
      </c>
      <c r="B8" s="16" t="s">
        <v>26</v>
      </c>
      <c r="C8" s="16" t="s">
        <v>89</v>
      </c>
      <c r="D8" s="16">
        <v>2006</v>
      </c>
      <c r="E8" s="16">
        <v>2003</v>
      </c>
      <c r="F8" s="16" t="s">
        <v>96</v>
      </c>
      <c r="G8" s="16" t="s">
        <v>109</v>
      </c>
      <c r="H8" s="16">
        <v>-26.25</v>
      </c>
      <c r="I8" s="16">
        <v>152.88333299999999</v>
      </c>
      <c r="J8" s="16" t="s">
        <v>135</v>
      </c>
      <c r="K8" s="16" t="s">
        <v>112</v>
      </c>
      <c r="L8" s="16" t="s">
        <v>188</v>
      </c>
      <c r="M8" s="16" t="s">
        <v>237</v>
      </c>
      <c r="N8" s="12" t="s">
        <v>238</v>
      </c>
      <c r="O8" s="16" t="s">
        <v>121</v>
      </c>
      <c r="P8" s="16"/>
      <c r="Q8" s="16" t="s">
        <v>93</v>
      </c>
      <c r="R8" s="16">
        <v>2003</v>
      </c>
      <c r="S8" s="16" t="s">
        <v>162</v>
      </c>
      <c r="T8" s="12" t="s">
        <v>251</v>
      </c>
      <c r="U8" s="16"/>
      <c r="V8" s="16">
        <v>4</v>
      </c>
      <c r="W8" s="16">
        <v>4</v>
      </c>
      <c r="X8" s="16" t="s">
        <v>223</v>
      </c>
      <c r="Y8" s="16" t="s">
        <v>133</v>
      </c>
      <c r="Z8" s="16" t="s">
        <v>0</v>
      </c>
      <c r="AA8" s="16" t="s">
        <v>98</v>
      </c>
      <c r="AB8" s="16" t="s">
        <v>224</v>
      </c>
      <c r="AC8" s="16" t="s">
        <v>2</v>
      </c>
      <c r="AD8" s="16" t="s">
        <v>100</v>
      </c>
      <c r="AE8" s="16" t="s">
        <v>252</v>
      </c>
      <c r="AF8" s="12">
        <v>0.27</v>
      </c>
      <c r="AG8" s="12">
        <v>0.14000000000000001</v>
      </c>
      <c r="AH8" s="12">
        <v>0.56000000000000005</v>
      </c>
      <c r="AI8" s="1">
        <f t="shared" ref="AI8:AI13" si="4">LOG(AH8/(AG8+AF8))</f>
        <v>0.13540417028646495</v>
      </c>
      <c r="AJ8" s="1">
        <f t="shared" ref="AJ8:AJ13" si="5">LOG(AF8/AG8)</f>
        <v>0.2852357284807493</v>
      </c>
    </row>
    <row r="9" spans="1:36" s="1" customFormat="1" ht="14.25" customHeight="1">
      <c r="A9" s="16">
        <v>183</v>
      </c>
      <c r="B9" s="16" t="s">
        <v>26</v>
      </c>
      <c r="C9" s="16" t="s">
        <v>89</v>
      </c>
      <c r="D9" s="16">
        <v>2006</v>
      </c>
      <c r="E9" s="16">
        <v>2003</v>
      </c>
      <c r="F9" s="16" t="s">
        <v>96</v>
      </c>
      <c r="G9" s="16" t="s">
        <v>109</v>
      </c>
      <c r="H9" s="16">
        <v>-26.25</v>
      </c>
      <c r="I9" s="16">
        <v>152.88333299999999</v>
      </c>
      <c r="J9" s="16" t="s">
        <v>135</v>
      </c>
      <c r="K9" s="16" t="s">
        <v>112</v>
      </c>
      <c r="L9" s="16" t="s">
        <v>188</v>
      </c>
      <c r="M9" s="16" t="s">
        <v>237</v>
      </c>
      <c r="N9" s="12" t="s">
        <v>238</v>
      </c>
      <c r="O9" s="16" t="s">
        <v>121</v>
      </c>
      <c r="P9" s="16"/>
      <c r="Q9" s="16" t="s">
        <v>93</v>
      </c>
      <c r="R9" s="16">
        <v>2003</v>
      </c>
      <c r="S9" s="16" t="s">
        <v>162</v>
      </c>
      <c r="T9" s="12" t="s">
        <v>251</v>
      </c>
      <c r="U9" s="16"/>
      <c r="V9" s="12">
        <v>4</v>
      </c>
      <c r="W9" s="12">
        <v>4</v>
      </c>
      <c r="X9" s="16" t="s">
        <v>223</v>
      </c>
      <c r="Y9" s="16" t="s">
        <v>220</v>
      </c>
      <c r="Z9" s="16" t="s">
        <v>0</v>
      </c>
      <c r="AA9" s="16" t="s">
        <v>98</v>
      </c>
      <c r="AB9" s="16" t="s">
        <v>224</v>
      </c>
      <c r="AC9" s="16" t="s">
        <v>2</v>
      </c>
      <c r="AD9" s="16" t="s">
        <v>100</v>
      </c>
      <c r="AE9" s="16" t="s">
        <v>252</v>
      </c>
      <c r="AF9" s="12">
        <v>0.18</v>
      </c>
      <c r="AG9" s="12">
        <v>0.24</v>
      </c>
      <c r="AH9" s="12">
        <v>0.52</v>
      </c>
      <c r="AI9" s="1">
        <f t="shared" si="4"/>
        <v>9.2754053236898712E-2</v>
      </c>
      <c r="AJ9" s="1">
        <f t="shared" si="5"/>
        <v>-0.12493873660829995</v>
      </c>
    </row>
    <row r="10" spans="1:36" s="1" customFormat="1" ht="14.25" customHeight="1">
      <c r="A10" s="16">
        <v>183</v>
      </c>
      <c r="B10" s="16" t="s">
        <v>26</v>
      </c>
      <c r="C10" s="16" t="s">
        <v>89</v>
      </c>
      <c r="D10" s="16">
        <v>2006</v>
      </c>
      <c r="E10" s="16">
        <v>2003</v>
      </c>
      <c r="F10" s="16" t="s">
        <v>96</v>
      </c>
      <c r="G10" s="16" t="s">
        <v>109</v>
      </c>
      <c r="H10" s="16">
        <v>-26.25</v>
      </c>
      <c r="I10" s="16">
        <v>152.88333299999999</v>
      </c>
      <c r="J10" s="16" t="s">
        <v>135</v>
      </c>
      <c r="K10" s="16" t="s">
        <v>112</v>
      </c>
      <c r="L10" s="16" t="s">
        <v>188</v>
      </c>
      <c r="M10" s="16" t="s">
        <v>237</v>
      </c>
      <c r="N10" s="12" t="s">
        <v>238</v>
      </c>
      <c r="O10" s="16" t="s">
        <v>121</v>
      </c>
      <c r="P10" s="16"/>
      <c r="Q10" s="16" t="s">
        <v>93</v>
      </c>
      <c r="R10" s="16">
        <v>2003</v>
      </c>
      <c r="S10" s="16">
        <v>2</v>
      </c>
      <c r="T10" s="12" t="s">
        <v>251</v>
      </c>
      <c r="U10" s="16"/>
      <c r="V10" s="16">
        <v>4</v>
      </c>
      <c r="W10" s="16">
        <v>2</v>
      </c>
      <c r="X10" s="16" t="s">
        <v>223</v>
      </c>
      <c r="Y10" s="16" t="s">
        <v>133</v>
      </c>
      <c r="Z10" s="16" t="s">
        <v>0</v>
      </c>
      <c r="AA10" s="16" t="s">
        <v>98</v>
      </c>
      <c r="AB10" s="16" t="s">
        <v>224</v>
      </c>
      <c r="AC10" s="16" t="s">
        <v>2</v>
      </c>
      <c r="AD10" s="16" t="s">
        <v>100</v>
      </c>
      <c r="AE10" s="16" t="s">
        <v>252</v>
      </c>
      <c r="AF10" s="12">
        <v>0.28999999999999998</v>
      </c>
      <c r="AG10" s="12">
        <v>0.14000000000000001</v>
      </c>
      <c r="AH10" s="12">
        <v>0.17</v>
      </c>
      <c r="AI10" s="1">
        <f t="shared" si="4"/>
        <v>-0.40301953420131253</v>
      </c>
      <c r="AJ10" s="1">
        <f t="shared" si="5"/>
        <v>0.31626996222071802</v>
      </c>
    </row>
    <row r="11" spans="1:36" s="1" customFormat="1" ht="14.25" customHeight="1">
      <c r="A11" s="16">
        <v>183</v>
      </c>
      <c r="B11" s="16" t="s">
        <v>26</v>
      </c>
      <c r="C11" s="16" t="s">
        <v>89</v>
      </c>
      <c r="D11" s="16">
        <v>2006</v>
      </c>
      <c r="E11" s="16">
        <v>2003</v>
      </c>
      <c r="F11" s="16" t="s">
        <v>96</v>
      </c>
      <c r="G11" s="16" t="s">
        <v>109</v>
      </c>
      <c r="H11" s="16">
        <v>-26.25</v>
      </c>
      <c r="I11" s="16">
        <v>152.88333299999999</v>
      </c>
      <c r="J11" s="16" t="s">
        <v>135</v>
      </c>
      <c r="K11" s="16" t="s">
        <v>112</v>
      </c>
      <c r="L11" s="16" t="s">
        <v>188</v>
      </c>
      <c r="M11" s="16" t="s">
        <v>237</v>
      </c>
      <c r="N11" s="12" t="s">
        <v>238</v>
      </c>
      <c r="O11" s="16" t="s">
        <v>121</v>
      </c>
      <c r="P11" s="16"/>
      <c r="Q11" s="16" t="s">
        <v>93</v>
      </c>
      <c r="R11" s="16">
        <v>2003</v>
      </c>
      <c r="S11" s="16">
        <v>2</v>
      </c>
      <c r="T11" s="12" t="s">
        <v>251</v>
      </c>
      <c r="U11" s="16"/>
      <c r="V11" s="16">
        <v>4</v>
      </c>
      <c r="W11" s="16">
        <v>2</v>
      </c>
      <c r="X11" s="16" t="s">
        <v>223</v>
      </c>
      <c r="Y11" s="16" t="s">
        <v>220</v>
      </c>
      <c r="Z11" s="16" t="s">
        <v>0</v>
      </c>
      <c r="AA11" s="16" t="s">
        <v>98</v>
      </c>
      <c r="AB11" s="16" t="s">
        <v>224</v>
      </c>
      <c r="AC11" s="16" t="s">
        <v>2</v>
      </c>
      <c r="AD11" s="16" t="s">
        <v>100</v>
      </c>
      <c r="AE11" s="16" t="s">
        <v>252</v>
      </c>
      <c r="AF11" s="12">
        <v>0.22</v>
      </c>
      <c r="AG11" s="12">
        <v>0.24</v>
      </c>
      <c r="AH11" s="12">
        <v>0.54</v>
      </c>
      <c r="AI11" s="1">
        <f t="shared" si="4"/>
        <v>6.9635928141394479E-2</v>
      </c>
      <c r="AJ11" s="1">
        <f t="shared" si="5"/>
        <v>-3.7788560889399754E-2</v>
      </c>
    </row>
    <row r="12" spans="1:36" s="12" customFormat="1" ht="14.25" customHeight="1">
      <c r="A12" s="12">
        <v>186</v>
      </c>
      <c r="B12" s="12" t="s">
        <v>27</v>
      </c>
      <c r="C12" s="12" t="s">
        <v>91</v>
      </c>
      <c r="D12" s="12">
        <v>2020</v>
      </c>
      <c r="E12" s="12">
        <v>2016</v>
      </c>
      <c r="F12" s="12" t="s">
        <v>152</v>
      </c>
      <c r="G12" s="12" t="s">
        <v>117</v>
      </c>
      <c r="H12" s="12">
        <v>54.283183999999999</v>
      </c>
      <c r="I12" s="12">
        <v>-118.216606</v>
      </c>
      <c r="J12" s="12" t="s">
        <v>128</v>
      </c>
      <c r="K12" s="12" t="s">
        <v>176</v>
      </c>
      <c r="L12" s="12" t="s">
        <v>186</v>
      </c>
      <c r="M12" s="12" t="s">
        <v>236</v>
      </c>
      <c r="N12" s="12" t="s">
        <v>238</v>
      </c>
      <c r="O12" s="12" t="s">
        <v>86</v>
      </c>
      <c r="P12" s="12" t="s">
        <v>2</v>
      </c>
      <c r="Q12" s="12" t="s">
        <v>93</v>
      </c>
      <c r="R12" s="12" t="s">
        <v>2</v>
      </c>
      <c r="V12" s="12">
        <v>16</v>
      </c>
      <c r="W12" s="12">
        <v>16</v>
      </c>
      <c r="X12" s="12" t="s">
        <v>204</v>
      </c>
      <c r="Z12" s="12" t="s">
        <v>0</v>
      </c>
      <c r="AA12" s="12" t="s">
        <v>98</v>
      </c>
      <c r="AB12" s="12" t="s">
        <v>202</v>
      </c>
      <c r="AC12" s="12" t="s">
        <v>99</v>
      </c>
      <c r="AD12" s="12" t="s">
        <v>111</v>
      </c>
      <c r="AE12" s="12" t="s">
        <v>254</v>
      </c>
      <c r="AF12" s="12">
        <v>0.47</v>
      </c>
      <c r="AG12" s="12">
        <v>0.44</v>
      </c>
      <c r="AH12" s="12">
        <v>0.41</v>
      </c>
      <c r="AI12" s="12">
        <f t="shared" si="4"/>
        <v>-0.34625753560135808</v>
      </c>
      <c r="AJ12" s="12">
        <f t="shared" si="5"/>
        <v>2.8645181449530009E-2</v>
      </c>
    </row>
    <row r="13" spans="1:36" s="1" customFormat="1" ht="14.25" customHeight="1">
      <c r="A13" s="12">
        <v>497</v>
      </c>
      <c r="B13" s="12" t="s">
        <v>66</v>
      </c>
      <c r="C13" s="1" t="s">
        <v>85</v>
      </c>
      <c r="D13" s="1">
        <v>2023</v>
      </c>
      <c r="E13" s="1">
        <v>2020</v>
      </c>
      <c r="F13" s="1" t="s">
        <v>96</v>
      </c>
      <c r="G13" s="1" t="s">
        <v>109</v>
      </c>
      <c r="H13" s="1">
        <v>-35.136108</v>
      </c>
      <c r="I13" s="1">
        <v>150.68715700000001</v>
      </c>
      <c r="J13" s="1" t="s">
        <v>128</v>
      </c>
      <c r="K13" s="1" t="s">
        <v>112</v>
      </c>
      <c r="L13" s="1" t="s">
        <v>257</v>
      </c>
      <c r="M13" s="1" t="s">
        <v>237</v>
      </c>
      <c r="N13" s="1" t="s">
        <v>238</v>
      </c>
      <c r="O13" s="1" t="s">
        <v>86</v>
      </c>
      <c r="P13" s="1" t="s">
        <v>2</v>
      </c>
      <c r="Q13" s="1" t="s">
        <v>255</v>
      </c>
      <c r="R13" s="1">
        <v>2017</v>
      </c>
      <c r="S13" s="1">
        <v>3</v>
      </c>
      <c r="V13" s="1">
        <v>6</v>
      </c>
      <c r="W13" s="1">
        <v>18</v>
      </c>
      <c r="X13" s="1" t="s">
        <v>97</v>
      </c>
      <c r="Y13" s="1" t="s">
        <v>133</v>
      </c>
      <c r="Z13" s="1" t="s">
        <v>1</v>
      </c>
      <c r="AA13" s="1" t="s">
        <v>98</v>
      </c>
      <c r="AB13" s="1" t="s">
        <v>202</v>
      </c>
      <c r="AC13" s="1" t="s">
        <v>99</v>
      </c>
      <c r="AD13" s="1" t="s">
        <v>102</v>
      </c>
      <c r="AE13" s="1" t="s">
        <v>256</v>
      </c>
      <c r="AF13" s="12">
        <v>0.56999999999999995</v>
      </c>
      <c r="AG13" s="12">
        <v>0.51</v>
      </c>
      <c r="AH13" s="12">
        <v>0.67</v>
      </c>
      <c r="AI13" s="12">
        <f t="shared" si="4"/>
        <v>-0.20734895278612328</v>
      </c>
      <c r="AJ13" s="12">
        <f t="shared" si="5"/>
        <v>4.8304679574554955E-2</v>
      </c>
    </row>
    <row r="14" spans="1:36" s="1" customFormat="1" ht="14.25" customHeight="1">
      <c r="A14" s="12">
        <v>497</v>
      </c>
      <c r="B14" s="12" t="s">
        <v>66</v>
      </c>
      <c r="C14" s="1" t="s">
        <v>85</v>
      </c>
      <c r="D14" s="1">
        <v>2023</v>
      </c>
      <c r="E14" s="1">
        <v>2020</v>
      </c>
      <c r="F14" s="1" t="s">
        <v>96</v>
      </c>
      <c r="G14" s="1" t="s">
        <v>109</v>
      </c>
      <c r="H14" s="1">
        <v>-35.136108</v>
      </c>
      <c r="I14" s="1">
        <v>150.68715700000001</v>
      </c>
      <c r="J14" s="1" t="s">
        <v>128</v>
      </c>
      <c r="K14" s="1" t="s">
        <v>112</v>
      </c>
      <c r="L14" s="1" t="s">
        <v>257</v>
      </c>
      <c r="M14" s="1" t="s">
        <v>237</v>
      </c>
      <c r="N14" s="1" t="s">
        <v>238</v>
      </c>
      <c r="O14" s="1" t="s">
        <v>86</v>
      </c>
      <c r="P14" s="1" t="s">
        <v>2</v>
      </c>
      <c r="Q14" s="1" t="s">
        <v>255</v>
      </c>
      <c r="R14" s="1">
        <v>2017</v>
      </c>
      <c r="S14" s="1">
        <v>19</v>
      </c>
      <c r="V14" s="1">
        <v>6</v>
      </c>
      <c r="W14" s="1">
        <v>18</v>
      </c>
      <c r="X14" s="1" t="s">
        <v>97</v>
      </c>
      <c r="Y14" s="1" t="s">
        <v>133</v>
      </c>
      <c r="Z14" s="1" t="s">
        <v>1</v>
      </c>
      <c r="AA14" s="1" t="s">
        <v>98</v>
      </c>
      <c r="AB14" s="1" t="s">
        <v>202</v>
      </c>
      <c r="AC14" s="1" t="s">
        <v>99</v>
      </c>
      <c r="AD14" s="1" t="s">
        <v>102</v>
      </c>
      <c r="AE14" s="1" t="s">
        <v>256</v>
      </c>
      <c r="AF14" s="12">
        <v>0.46</v>
      </c>
      <c r="AG14" s="12">
        <v>0.51</v>
      </c>
      <c r="AH14" s="12">
        <v>0.48</v>
      </c>
      <c r="AI14" s="12">
        <f t="shared" ref="AI14:AI15" si="6">LOG(AH14/(AG14+AF14))</f>
        <v>-0.30553049689065764</v>
      </c>
      <c r="AJ14" s="12">
        <f t="shared" ref="AJ14:AJ15" si="7">LOG(AF14/AG14)</f>
        <v>-4.4812344416362282E-2</v>
      </c>
    </row>
    <row r="15" spans="1:36" s="1" customFormat="1" ht="14.25" customHeight="1">
      <c r="A15" s="12">
        <v>481</v>
      </c>
      <c r="B15" s="12" t="s">
        <v>64</v>
      </c>
      <c r="C15" s="1" t="s">
        <v>85</v>
      </c>
      <c r="D15" s="1">
        <v>2022</v>
      </c>
      <c r="E15" s="1" t="s">
        <v>141</v>
      </c>
      <c r="F15" s="1" t="s">
        <v>96</v>
      </c>
      <c r="G15" s="1" t="s">
        <v>161</v>
      </c>
      <c r="H15" s="1">
        <v>-37.911065999999998</v>
      </c>
      <c r="I15" s="1">
        <v>143.81197700000001</v>
      </c>
      <c r="J15" s="1" t="s">
        <v>128</v>
      </c>
      <c r="K15" s="1" t="s">
        <v>112</v>
      </c>
      <c r="L15" s="1" t="s">
        <v>180</v>
      </c>
      <c r="M15" s="1" t="s">
        <v>237</v>
      </c>
      <c r="N15" s="1" t="s">
        <v>238</v>
      </c>
      <c r="O15" s="1" t="s">
        <v>86</v>
      </c>
      <c r="P15" s="1" t="s">
        <v>129</v>
      </c>
      <c r="Q15" s="1" t="s">
        <v>93</v>
      </c>
      <c r="R15" s="1">
        <v>2009</v>
      </c>
      <c r="S15" s="1">
        <v>8</v>
      </c>
      <c r="U15" s="1" t="s">
        <v>2</v>
      </c>
      <c r="V15" s="1">
        <v>4</v>
      </c>
      <c r="W15" s="1">
        <v>6</v>
      </c>
      <c r="X15" s="1" t="s">
        <v>97</v>
      </c>
      <c r="Y15" s="1" t="s">
        <v>133</v>
      </c>
      <c r="Z15" s="1" t="s">
        <v>1</v>
      </c>
      <c r="AA15" s="1" t="s">
        <v>98</v>
      </c>
      <c r="AB15" s="1" t="s">
        <v>202</v>
      </c>
      <c r="AC15" s="1" t="s">
        <v>99</v>
      </c>
      <c r="AD15" s="1" t="s">
        <v>100</v>
      </c>
      <c r="AE15" s="1" t="s">
        <v>258</v>
      </c>
      <c r="AF15" s="12">
        <v>0.9</v>
      </c>
      <c r="AG15" s="12">
        <v>1.32</v>
      </c>
      <c r="AH15" s="12">
        <v>2.79</v>
      </c>
      <c r="AI15" s="12">
        <f t="shared" si="6"/>
        <v>9.9251228822958865E-2</v>
      </c>
      <c r="AJ15" s="12">
        <f t="shared" si="7"/>
        <v>-0.16633142176652502</v>
      </c>
    </row>
    <row r="16" spans="1:36" s="1" customFormat="1" ht="14.25" customHeight="1">
      <c r="A16" s="12">
        <v>481</v>
      </c>
      <c r="B16" s="12" t="s">
        <v>64</v>
      </c>
      <c r="C16" s="1" t="s">
        <v>85</v>
      </c>
      <c r="D16" s="1">
        <v>2022</v>
      </c>
      <c r="E16" s="1" t="s">
        <v>141</v>
      </c>
      <c r="F16" s="1" t="s">
        <v>96</v>
      </c>
      <c r="G16" s="1" t="s">
        <v>161</v>
      </c>
      <c r="H16" s="1">
        <v>-37.911065999999998</v>
      </c>
      <c r="I16" s="1">
        <v>143.81197700000001</v>
      </c>
      <c r="J16" s="1" t="s">
        <v>128</v>
      </c>
      <c r="K16" s="1" t="s">
        <v>112</v>
      </c>
      <c r="L16" s="1" t="s">
        <v>180</v>
      </c>
      <c r="M16" s="1" t="s">
        <v>237</v>
      </c>
      <c r="N16" s="1" t="s">
        <v>238</v>
      </c>
      <c r="O16" s="1" t="s">
        <v>86</v>
      </c>
      <c r="P16" s="1" t="s">
        <v>129</v>
      </c>
      <c r="Q16" s="1" t="s">
        <v>93</v>
      </c>
      <c r="R16" s="1">
        <v>2009</v>
      </c>
      <c r="S16" s="1">
        <v>8</v>
      </c>
      <c r="U16" s="1" t="s">
        <v>2</v>
      </c>
      <c r="V16" s="1">
        <v>4</v>
      </c>
      <c r="W16" s="1">
        <v>6</v>
      </c>
      <c r="X16" s="1" t="s">
        <v>97</v>
      </c>
      <c r="Y16" s="1" t="s">
        <v>133</v>
      </c>
      <c r="Z16" s="1" t="s">
        <v>1</v>
      </c>
      <c r="AA16" s="1" t="s">
        <v>98</v>
      </c>
      <c r="AB16" s="1" t="s">
        <v>202</v>
      </c>
      <c r="AC16" s="1" t="s">
        <v>99</v>
      </c>
      <c r="AD16" s="1" t="s">
        <v>100</v>
      </c>
      <c r="AE16" s="1" t="s">
        <v>254</v>
      </c>
      <c r="AF16" s="1">
        <v>0.22</v>
      </c>
      <c r="AG16" s="1">
        <v>0.2</v>
      </c>
      <c r="AH16" s="1">
        <v>0.3</v>
      </c>
      <c r="AI16" s="12">
        <f t="shared" ref="AI16:AI25" si="8">LOG(AH16/(AG16+AF16))</f>
        <v>-0.14612803567823809</v>
      </c>
      <c r="AJ16" s="12">
        <f t="shared" ref="AJ16:AJ25" si="9">LOG(AF16/AG16)</f>
        <v>4.1392685158224987E-2</v>
      </c>
    </row>
    <row r="17" spans="1:36" s="1" customFormat="1" ht="14.25" customHeight="1">
      <c r="A17" s="12">
        <v>481</v>
      </c>
      <c r="B17" s="12" t="s">
        <v>64</v>
      </c>
      <c r="C17" s="1" t="s">
        <v>85</v>
      </c>
      <c r="D17" s="1">
        <v>2022</v>
      </c>
      <c r="E17" s="1" t="s">
        <v>141</v>
      </c>
      <c r="F17" s="1" t="s">
        <v>96</v>
      </c>
      <c r="G17" s="1" t="s">
        <v>161</v>
      </c>
      <c r="H17" s="1">
        <v>-37.911065999999998</v>
      </c>
      <c r="I17" s="1">
        <v>143.81197700000001</v>
      </c>
      <c r="J17" s="1" t="s">
        <v>128</v>
      </c>
      <c r="K17" s="1" t="s">
        <v>112</v>
      </c>
      <c r="L17" s="1" t="s">
        <v>180</v>
      </c>
      <c r="M17" s="1" t="s">
        <v>237</v>
      </c>
      <c r="N17" s="1" t="s">
        <v>238</v>
      </c>
      <c r="O17" s="1" t="s">
        <v>86</v>
      </c>
      <c r="P17" s="1" t="s">
        <v>129</v>
      </c>
      <c r="Q17" s="1" t="s">
        <v>93</v>
      </c>
      <c r="R17" s="1">
        <v>2009</v>
      </c>
      <c r="S17" s="1">
        <v>8</v>
      </c>
      <c r="U17" s="1" t="s">
        <v>2</v>
      </c>
      <c r="V17" s="1">
        <v>4</v>
      </c>
      <c r="W17" s="1">
        <v>6</v>
      </c>
      <c r="X17" s="1" t="s">
        <v>97</v>
      </c>
      <c r="Y17" s="1" t="s">
        <v>288</v>
      </c>
      <c r="Z17" s="1" t="s">
        <v>1</v>
      </c>
      <c r="AA17" s="1" t="s">
        <v>98</v>
      </c>
      <c r="AB17" s="1" t="s">
        <v>202</v>
      </c>
      <c r="AC17" s="1" t="s">
        <v>99</v>
      </c>
      <c r="AD17" s="1" t="s">
        <v>100</v>
      </c>
      <c r="AE17" s="1" t="s">
        <v>258</v>
      </c>
      <c r="AF17" s="12">
        <v>0.7</v>
      </c>
      <c r="AG17" s="12">
        <v>0.63</v>
      </c>
      <c r="AH17" s="12">
        <v>1.26</v>
      </c>
      <c r="AI17" s="12">
        <f t="shared" si="8"/>
        <v>-2.3481095849522914E-2</v>
      </c>
      <c r="AJ17" s="12">
        <f t="shared" si="9"/>
        <v>4.575749056067506E-2</v>
      </c>
    </row>
    <row r="18" spans="1:36" s="1" customFormat="1" ht="14.25" customHeight="1">
      <c r="A18" s="12">
        <v>481</v>
      </c>
      <c r="B18" s="12" t="s">
        <v>64</v>
      </c>
      <c r="C18" s="1" t="s">
        <v>85</v>
      </c>
      <c r="D18" s="1">
        <v>2022</v>
      </c>
      <c r="E18" s="1" t="s">
        <v>141</v>
      </c>
      <c r="F18" s="1" t="s">
        <v>96</v>
      </c>
      <c r="G18" s="1" t="s">
        <v>161</v>
      </c>
      <c r="H18" s="1">
        <v>-37.911065999999998</v>
      </c>
      <c r="I18" s="1">
        <v>143.81197700000001</v>
      </c>
      <c r="J18" s="1" t="s">
        <v>128</v>
      </c>
      <c r="K18" s="1" t="s">
        <v>112</v>
      </c>
      <c r="L18" s="1" t="s">
        <v>180</v>
      </c>
      <c r="M18" s="1" t="s">
        <v>237</v>
      </c>
      <c r="N18" s="1" t="s">
        <v>238</v>
      </c>
      <c r="O18" s="1" t="s">
        <v>86</v>
      </c>
      <c r="P18" s="1" t="s">
        <v>129</v>
      </c>
      <c r="Q18" s="1" t="s">
        <v>93</v>
      </c>
      <c r="R18" s="1">
        <v>2009</v>
      </c>
      <c r="S18" s="1">
        <v>8</v>
      </c>
      <c r="U18" s="1" t="s">
        <v>2</v>
      </c>
      <c r="V18" s="1">
        <v>4</v>
      </c>
      <c r="W18" s="1">
        <v>6</v>
      </c>
      <c r="X18" s="1" t="s">
        <v>97</v>
      </c>
      <c r="Y18" s="1" t="s">
        <v>288</v>
      </c>
      <c r="Z18" s="1" t="s">
        <v>1</v>
      </c>
      <c r="AA18" s="1" t="s">
        <v>98</v>
      </c>
      <c r="AB18" s="1" t="s">
        <v>202</v>
      </c>
      <c r="AC18" s="1" t="s">
        <v>99</v>
      </c>
      <c r="AD18" s="1" t="s">
        <v>100</v>
      </c>
      <c r="AE18" s="1" t="s">
        <v>254</v>
      </c>
      <c r="AF18" s="1">
        <v>0.2</v>
      </c>
      <c r="AG18" s="1">
        <v>7.0000000000000007E-2</v>
      </c>
      <c r="AH18" s="1">
        <v>0.26</v>
      </c>
      <c r="AI18" s="12">
        <f t="shared" si="8"/>
        <v>-1.639041618816937E-2</v>
      </c>
      <c r="AJ18" s="12">
        <f t="shared" si="9"/>
        <v>0.45593195564972439</v>
      </c>
    </row>
    <row r="19" spans="1:36" s="12" customFormat="1" ht="14.25" customHeight="1">
      <c r="A19" s="12">
        <v>410</v>
      </c>
      <c r="B19" s="12" t="s">
        <v>51</v>
      </c>
      <c r="C19" s="12" t="s">
        <v>85</v>
      </c>
      <c r="D19" s="12">
        <v>2013</v>
      </c>
      <c r="E19" s="12">
        <v>2011</v>
      </c>
      <c r="F19" s="12" t="s">
        <v>143</v>
      </c>
      <c r="G19" s="12" t="s">
        <v>142</v>
      </c>
      <c r="H19" s="12">
        <v>33.053629000000001</v>
      </c>
      <c r="I19" s="12">
        <v>-83.677790000000002</v>
      </c>
      <c r="J19" s="12" t="s">
        <v>128</v>
      </c>
      <c r="K19" s="12" t="s">
        <v>176</v>
      </c>
      <c r="L19" s="12" t="s">
        <v>208</v>
      </c>
      <c r="M19" s="12" t="s">
        <v>236</v>
      </c>
      <c r="N19" s="12" t="s">
        <v>238</v>
      </c>
      <c r="O19" s="12" t="s">
        <v>121</v>
      </c>
      <c r="Q19" s="12" t="s">
        <v>93</v>
      </c>
      <c r="S19" s="12">
        <v>3</v>
      </c>
      <c r="U19" s="12">
        <v>0.8</v>
      </c>
      <c r="V19" s="12">
        <v>4</v>
      </c>
      <c r="W19" s="12">
        <v>4</v>
      </c>
      <c r="X19" s="12" t="s">
        <v>97</v>
      </c>
      <c r="Y19" s="12" t="s">
        <v>133</v>
      </c>
      <c r="Z19" s="12" t="s">
        <v>0</v>
      </c>
      <c r="AA19" s="12" t="s">
        <v>98</v>
      </c>
      <c r="AB19" s="12" t="s">
        <v>202</v>
      </c>
      <c r="AC19" s="12" t="s">
        <v>227</v>
      </c>
      <c r="AD19" s="12" t="s">
        <v>100</v>
      </c>
      <c r="AE19" s="12" t="s">
        <v>256</v>
      </c>
      <c r="AF19" s="12">
        <v>0.33</v>
      </c>
      <c r="AG19" s="12">
        <v>0.25</v>
      </c>
      <c r="AH19" s="12">
        <v>0.38</v>
      </c>
      <c r="AI19" s="12">
        <f t="shared" si="8"/>
        <v>-0.18364439694612714</v>
      </c>
      <c r="AJ19" s="12">
        <f t="shared" si="9"/>
        <v>0.12057393120584989</v>
      </c>
    </row>
    <row r="20" spans="1:36" s="12" customFormat="1" ht="14.25" customHeight="1">
      <c r="A20" s="12">
        <v>410</v>
      </c>
      <c r="B20" s="12" t="s">
        <v>51</v>
      </c>
      <c r="C20" s="12" t="s">
        <v>85</v>
      </c>
      <c r="D20" s="12">
        <v>2013</v>
      </c>
      <c r="E20" s="12">
        <v>2011</v>
      </c>
      <c r="F20" s="12" t="s">
        <v>143</v>
      </c>
      <c r="G20" s="12" t="s">
        <v>142</v>
      </c>
      <c r="H20" s="12">
        <v>33.053629000000001</v>
      </c>
      <c r="I20" s="12">
        <v>-83.677790000000002</v>
      </c>
      <c r="J20" s="12" t="s">
        <v>128</v>
      </c>
      <c r="K20" s="12" t="s">
        <v>176</v>
      </c>
      <c r="L20" s="12" t="s">
        <v>208</v>
      </c>
      <c r="M20" s="12" t="s">
        <v>236</v>
      </c>
      <c r="N20" s="12" t="s">
        <v>238</v>
      </c>
      <c r="O20" s="12" t="s">
        <v>121</v>
      </c>
      <c r="Q20" s="12" t="s">
        <v>93</v>
      </c>
      <c r="S20" s="12">
        <v>6</v>
      </c>
      <c r="U20" s="12">
        <v>0.8</v>
      </c>
      <c r="V20" s="12">
        <v>4</v>
      </c>
      <c r="W20" s="12">
        <v>4</v>
      </c>
      <c r="X20" s="12" t="s">
        <v>97</v>
      </c>
      <c r="Y20" s="12" t="s">
        <v>133</v>
      </c>
      <c r="Z20" s="12" t="s">
        <v>0</v>
      </c>
      <c r="AA20" s="12" t="s">
        <v>98</v>
      </c>
      <c r="AB20" s="12" t="s">
        <v>202</v>
      </c>
      <c r="AC20" s="12" t="s">
        <v>227</v>
      </c>
      <c r="AD20" s="12" t="s">
        <v>100</v>
      </c>
      <c r="AE20" s="12" t="s">
        <v>256</v>
      </c>
      <c r="AF20" s="12">
        <v>0.42</v>
      </c>
      <c r="AG20" s="12">
        <v>0.25</v>
      </c>
      <c r="AH20" s="12">
        <v>0.32</v>
      </c>
      <c r="AI20" s="12">
        <f t="shared" si="8"/>
        <v>-0.3209248243809204</v>
      </c>
      <c r="AJ20" s="12">
        <f t="shared" si="9"/>
        <v>0.22530928172586284</v>
      </c>
    </row>
    <row r="21" spans="1:36" s="12" customFormat="1" ht="14.25" customHeight="1">
      <c r="A21" s="12">
        <v>260</v>
      </c>
      <c r="B21" s="12" t="s">
        <v>41</v>
      </c>
      <c r="C21" s="12" t="s">
        <v>85</v>
      </c>
      <c r="D21" s="12">
        <v>2021</v>
      </c>
      <c r="E21" s="12">
        <v>2014</v>
      </c>
      <c r="F21" s="12" t="s">
        <v>143</v>
      </c>
      <c r="G21" s="12" t="s">
        <v>226</v>
      </c>
      <c r="H21" s="12">
        <v>32.396189999999997</v>
      </c>
      <c r="I21" s="12">
        <v>-110.6938</v>
      </c>
      <c r="J21" s="12" t="s">
        <v>135</v>
      </c>
      <c r="K21" s="12" t="s">
        <v>176</v>
      </c>
      <c r="L21" s="12" t="s">
        <v>192</v>
      </c>
      <c r="M21" s="12" t="s">
        <v>236</v>
      </c>
      <c r="N21" s="12" t="s">
        <v>238</v>
      </c>
      <c r="O21" s="12" t="s">
        <v>86</v>
      </c>
      <c r="P21" s="12" t="s">
        <v>210</v>
      </c>
      <c r="Q21" s="12" t="s">
        <v>93</v>
      </c>
      <c r="R21" s="12">
        <v>2003</v>
      </c>
      <c r="S21" s="12">
        <v>11</v>
      </c>
      <c r="U21" s="12">
        <v>32250</v>
      </c>
      <c r="V21" s="12">
        <v>33</v>
      </c>
      <c r="W21" s="12">
        <v>33</v>
      </c>
      <c r="X21" s="12" t="s">
        <v>134</v>
      </c>
      <c r="Y21" s="12" t="s">
        <v>2</v>
      </c>
      <c r="Z21" s="12" t="s">
        <v>1</v>
      </c>
      <c r="AA21" s="12" t="s">
        <v>98</v>
      </c>
      <c r="AB21" s="12" t="s">
        <v>158</v>
      </c>
      <c r="AC21" s="12" t="s">
        <v>2</v>
      </c>
      <c r="AD21" s="12" t="s">
        <v>100</v>
      </c>
      <c r="AE21" s="12" t="s">
        <v>256</v>
      </c>
      <c r="AF21" s="12">
        <v>0.14000000000000001</v>
      </c>
      <c r="AG21" s="12">
        <v>0.36</v>
      </c>
      <c r="AH21" s="12">
        <v>0.28000000000000003</v>
      </c>
      <c r="AI21" s="12">
        <f t="shared" si="8"/>
        <v>-0.25181197299379954</v>
      </c>
      <c r="AJ21" s="12">
        <f t="shared" si="9"/>
        <v>-0.41017446508904915</v>
      </c>
    </row>
    <row r="22" spans="1:36" s="12" customFormat="1" ht="14.25" customHeight="1">
      <c r="A22" s="12">
        <v>260</v>
      </c>
      <c r="B22" s="12" t="s">
        <v>41</v>
      </c>
      <c r="C22" s="12" t="s">
        <v>85</v>
      </c>
      <c r="D22" s="12">
        <v>2021</v>
      </c>
      <c r="E22" s="12">
        <v>2014</v>
      </c>
      <c r="F22" s="12" t="s">
        <v>143</v>
      </c>
      <c r="G22" s="12" t="s">
        <v>226</v>
      </c>
      <c r="H22" s="12">
        <v>32.650438000000001</v>
      </c>
      <c r="I22" s="12">
        <v>-109.84411299999999</v>
      </c>
      <c r="J22" s="12" t="s">
        <v>135</v>
      </c>
      <c r="K22" s="12" t="s">
        <v>176</v>
      </c>
      <c r="L22" s="12" t="s">
        <v>192</v>
      </c>
      <c r="M22" s="12" t="s">
        <v>236</v>
      </c>
      <c r="N22" s="12" t="s">
        <v>238</v>
      </c>
      <c r="O22" s="12" t="s">
        <v>86</v>
      </c>
      <c r="P22" s="12" t="s">
        <v>210</v>
      </c>
      <c r="Q22" s="12" t="s">
        <v>93</v>
      </c>
      <c r="R22" s="12">
        <v>2004</v>
      </c>
      <c r="S22" s="12">
        <v>10</v>
      </c>
      <c r="U22" s="12">
        <v>19892</v>
      </c>
      <c r="V22" s="12">
        <v>30</v>
      </c>
      <c r="W22" s="12">
        <v>30</v>
      </c>
      <c r="X22" s="12" t="s">
        <v>134</v>
      </c>
      <c r="Y22" s="12" t="s">
        <v>2</v>
      </c>
      <c r="Z22" s="12" t="s">
        <v>1</v>
      </c>
      <c r="AA22" s="12" t="s">
        <v>98</v>
      </c>
      <c r="AB22" s="12" t="s">
        <v>158</v>
      </c>
      <c r="AC22" s="12" t="s">
        <v>2</v>
      </c>
      <c r="AD22" s="12" t="s">
        <v>100</v>
      </c>
      <c r="AE22" s="12" t="s">
        <v>256</v>
      </c>
      <c r="AF22" s="12">
        <v>0.21</v>
      </c>
      <c r="AG22" s="12">
        <v>0.26</v>
      </c>
      <c r="AH22" s="12">
        <v>0.37</v>
      </c>
      <c r="AI22" s="12">
        <f t="shared" si="8"/>
        <v>-0.10389613386872246</v>
      </c>
      <c r="AJ22" s="12">
        <f t="shared" si="9"/>
        <v>-9.2754053236898754E-2</v>
      </c>
    </row>
    <row r="23" spans="1:36" s="12" customFormat="1" ht="14.25" customHeight="1">
      <c r="A23" s="12">
        <v>180</v>
      </c>
      <c r="B23" s="12" t="s">
        <v>25</v>
      </c>
      <c r="C23" s="12" t="s">
        <v>85</v>
      </c>
      <c r="D23" s="12">
        <v>2015</v>
      </c>
      <c r="E23" s="12">
        <v>2009</v>
      </c>
      <c r="F23" s="12" t="s">
        <v>92</v>
      </c>
      <c r="G23" s="12" t="s">
        <v>109</v>
      </c>
      <c r="H23" s="12">
        <v>39.831530000000001</v>
      </c>
      <c r="I23" s="12">
        <v>-7.8358790000000003</v>
      </c>
      <c r="J23" s="12" t="s">
        <v>128</v>
      </c>
      <c r="K23" s="12" t="s">
        <v>176</v>
      </c>
      <c r="L23" s="12" t="s">
        <v>177</v>
      </c>
      <c r="M23" s="12" t="s">
        <v>236</v>
      </c>
      <c r="N23" s="12" t="s">
        <v>238</v>
      </c>
      <c r="O23" s="12" t="s">
        <v>86</v>
      </c>
      <c r="Q23" s="12" t="s">
        <v>93</v>
      </c>
      <c r="R23" s="12">
        <v>2003</v>
      </c>
      <c r="V23" s="12">
        <v>3</v>
      </c>
      <c r="W23" s="12">
        <v>3</v>
      </c>
      <c r="X23" s="12" t="s">
        <v>97</v>
      </c>
      <c r="Y23" s="12" t="s">
        <v>147</v>
      </c>
      <c r="Z23" s="12" t="s">
        <v>0</v>
      </c>
      <c r="AA23" s="12" t="s">
        <v>98</v>
      </c>
      <c r="AB23" s="12" t="s">
        <v>202</v>
      </c>
      <c r="AC23" s="12" t="s">
        <v>228</v>
      </c>
      <c r="AD23" s="12" t="s">
        <v>111</v>
      </c>
      <c r="AE23" s="12" t="s">
        <v>290</v>
      </c>
      <c r="AF23" s="12">
        <v>0.18</v>
      </c>
      <c r="AG23" s="12">
        <v>0.77</v>
      </c>
      <c r="AH23" s="12">
        <v>2.75</v>
      </c>
      <c r="AI23" s="12">
        <f t="shared" si="8"/>
        <v>0.46160908854141491</v>
      </c>
      <c r="AJ23" s="12">
        <f t="shared" si="9"/>
        <v>-0.63121822006917583</v>
      </c>
    </row>
    <row r="24" spans="1:36" s="1" customFormat="1" ht="14.25" customHeight="1">
      <c r="A24" s="12">
        <v>11</v>
      </c>
      <c r="B24" s="12" t="s">
        <v>3</v>
      </c>
      <c r="C24" s="1" t="s">
        <v>91</v>
      </c>
      <c r="D24" s="1">
        <v>2010</v>
      </c>
      <c r="E24" s="1">
        <v>2007</v>
      </c>
      <c r="F24" s="1" t="s">
        <v>92</v>
      </c>
      <c r="G24" s="1" t="s">
        <v>109</v>
      </c>
      <c r="H24" s="1">
        <v>39.831530000000001</v>
      </c>
      <c r="I24" s="1">
        <v>-7.8358790000000003</v>
      </c>
      <c r="J24" s="1" t="s">
        <v>135</v>
      </c>
      <c r="K24" s="12" t="s">
        <v>176</v>
      </c>
      <c r="L24" s="12" t="s">
        <v>177</v>
      </c>
      <c r="M24" s="12" t="s">
        <v>236</v>
      </c>
      <c r="N24" s="12" t="s">
        <v>238</v>
      </c>
      <c r="O24" s="1" t="s">
        <v>86</v>
      </c>
      <c r="P24" s="1" t="s">
        <v>2</v>
      </c>
      <c r="Q24" s="1" t="s">
        <v>93</v>
      </c>
      <c r="R24" s="1">
        <v>2003</v>
      </c>
      <c r="S24" s="1">
        <v>4</v>
      </c>
      <c r="U24" s="1" t="s">
        <v>2</v>
      </c>
      <c r="V24" s="1">
        <v>11</v>
      </c>
      <c r="W24" s="1">
        <v>11</v>
      </c>
      <c r="X24" s="1" t="s">
        <v>134</v>
      </c>
      <c r="Y24" s="1" t="s">
        <v>147</v>
      </c>
      <c r="Z24" s="1" t="s">
        <v>0</v>
      </c>
      <c r="AA24" s="1" t="s">
        <v>98</v>
      </c>
      <c r="AB24" s="1" t="s">
        <v>158</v>
      </c>
      <c r="AC24" s="1" t="s">
        <v>144</v>
      </c>
      <c r="AD24" s="1" t="s">
        <v>100</v>
      </c>
      <c r="AE24" s="12" t="s">
        <v>290</v>
      </c>
      <c r="AF24" s="12">
        <v>0.98</v>
      </c>
      <c r="AG24" s="12">
        <v>0.43</v>
      </c>
      <c r="AH24" s="12">
        <v>0.76</v>
      </c>
      <c r="AI24" s="12">
        <f t="shared" si="8"/>
        <v>-0.26840552037458854</v>
      </c>
      <c r="AJ24" s="12">
        <f t="shared" si="9"/>
        <v>0.35775762011290835</v>
      </c>
    </row>
    <row r="25" spans="1:36" s="1" customFormat="1" ht="14.25" customHeight="1">
      <c r="A25" s="12">
        <v>11</v>
      </c>
      <c r="B25" s="12" t="s">
        <v>3</v>
      </c>
      <c r="C25" s="1" t="s">
        <v>91</v>
      </c>
      <c r="D25" s="1">
        <v>2010</v>
      </c>
      <c r="E25" s="1">
        <v>2007</v>
      </c>
      <c r="F25" s="1" t="s">
        <v>92</v>
      </c>
      <c r="G25" s="1" t="s">
        <v>109</v>
      </c>
      <c r="H25" s="1">
        <v>39.831530000000001</v>
      </c>
      <c r="I25" s="1">
        <v>-7.8358790000000003</v>
      </c>
      <c r="J25" s="1" t="s">
        <v>135</v>
      </c>
      <c r="K25" s="1" t="s">
        <v>178</v>
      </c>
      <c r="L25" s="1" t="s">
        <v>179</v>
      </c>
      <c r="M25" s="1" t="s">
        <v>237</v>
      </c>
      <c r="N25" s="12" t="s">
        <v>238</v>
      </c>
      <c r="O25" s="1" t="s">
        <v>86</v>
      </c>
      <c r="P25" s="1" t="s">
        <v>2</v>
      </c>
      <c r="Q25" s="1" t="s">
        <v>93</v>
      </c>
      <c r="R25" s="1">
        <v>2003</v>
      </c>
      <c r="S25" s="1">
        <v>4</v>
      </c>
      <c r="U25" s="1" t="s">
        <v>2</v>
      </c>
      <c r="V25" s="1">
        <v>11</v>
      </c>
      <c r="W25" s="1">
        <v>11</v>
      </c>
      <c r="X25" s="1" t="s">
        <v>134</v>
      </c>
      <c r="Y25" s="1" t="s">
        <v>147</v>
      </c>
      <c r="Z25" s="1" t="s">
        <v>0</v>
      </c>
      <c r="AA25" s="1" t="s">
        <v>98</v>
      </c>
      <c r="AB25" s="1" t="s">
        <v>158</v>
      </c>
      <c r="AC25" s="1" t="s">
        <v>144</v>
      </c>
      <c r="AD25" s="1" t="s">
        <v>100</v>
      </c>
      <c r="AE25" s="12" t="s">
        <v>290</v>
      </c>
      <c r="AF25" s="12">
        <v>1.74</v>
      </c>
      <c r="AG25" s="12">
        <v>1.55</v>
      </c>
      <c r="AH25" s="12">
        <v>2.39</v>
      </c>
      <c r="AI25" s="12">
        <f t="shared" si="8"/>
        <v>-0.13879799700183659</v>
      </c>
      <c r="AJ25" s="12">
        <f t="shared" si="9"/>
        <v>5.0217550112308225E-2</v>
      </c>
    </row>
    <row r="26" spans="1:36" s="12" customFormat="1" ht="14.25" customHeight="1">
      <c r="A26" s="12">
        <v>521</v>
      </c>
      <c r="B26" s="12" t="s">
        <v>67</v>
      </c>
      <c r="C26" s="12" t="s">
        <v>85</v>
      </c>
      <c r="D26" s="12">
        <v>2020</v>
      </c>
      <c r="E26" s="12">
        <v>2014</v>
      </c>
      <c r="F26" s="12" t="s">
        <v>120</v>
      </c>
      <c r="G26" s="12" t="s">
        <v>109</v>
      </c>
      <c r="H26" s="12">
        <v>41.696944000000002</v>
      </c>
      <c r="I26" s="12">
        <v>-6.2241109999999997</v>
      </c>
      <c r="J26" s="12" t="s">
        <v>128</v>
      </c>
      <c r="K26" s="12" t="s">
        <v>184</v>
      </c>
      <c r="L26" s="12" t="s">
        <v>185</v>
      </c>
      <c r="M26" s="12" t="s">
        <v>237</v>
      </c>
      <c r="N26" s="12" t="s">
        <v>238</v>
      </c>
      <c r="O26" s="12" t="s">
        <v>86</v>
      </c>
      <c r="Q26" s="12" t="s">
        <v>93</v>
      </c>
      <c r="R26" s="12">
        <v>2002</v>
      </c>
      <c r="S26" s="12">
        <v>8</v>
      </c>
      <c r="V26" s="12">
        <v>15</v>
      </c>
      <c r="W26" s="12">
        <v>15</v>
      </c>
      <c r="X26" s="12" t="s">
        <v>97</v>
      </c>
      <c r="Y26" s="12" t="s">
        <v>122</v>
      </c>
      <c r="Z26" s="12" t="s">
        <v>0</v>
      </c>
      <c r="AA26" s="12" t="s">
        <v>98</v>
      </c>
      <c r="AB26" s="12" t="s">
        <v>202</v>
      </c>
      <c r="AC26" s="12" t="s">
        <v>99</v>
      </c>
      <c r="AD26" s="12" t="s">
        <v>111</v>
      </c>
      <c r="AE26" s="12" t="s">
        <v>256</v>
      </c>
      <c r="AF26" s="12">
        <v>0.13</v>
      </c>
      <c r="AG26" s="12">
        <v>0.24</v>
      </c>
      <c r="AH26" s="12">
        <v>0.48</v>
      </c>
      <c r="AI26" s="12">
        <f t="shared" ref="AI26:AI40" si="10">LOG(AH26/(AG26+AF26))</f>
        <v>0.11303951330859224</v>
      </c>
      <c r="AJ26" s="12">
        <f t="shared" ref="AJ26:AJ40" si="11">LOG(AF26/AG26)</f>
        <v>-0.2662678894047692</v>
      </c>
    </row>
    <row r="27" spans="1:36" s="12" customFormat="1" ht="14.25" customHeight="1">
      <c r="A27" s="12">
        <v>521</v>
      </c>
      <c r="B27" s="12" t="s">
        <v>67</v>
      </c>
      <c r="C27" s="12" t="s">
        <v>85</v>
      </c>
      <c r="D27" s="12">
        <v>2020</v>
      </c>
      <c r="E27" s="12">
        <v>2014</v>
      </c>
      <c r="F27" s="12" t="s">
        <v>120</v>
      </c>
      <c r="G27" s="12" t="s">
        <v>109</v>
      </c>
      <c r="H27" s="12">
        <v>41.696944000000002</v>
      </c>
      <c r="I27" s="12">
        <v>-6.2241109999999997</v>
      </c>
      <c r="J27" s="12" t="s">
        <v>128</v>
      </c>
      <c r="K27" s="12" t="s">
        <v>184</v>
      </c>
      <c r="L27" s="12" t="s">
        <v>185</v>
      </c>
      <c r="M27" s="12" t="s">
        <v>237</v>
      </c>
      <c r="N27" s="12" t="s">
        <v>238</v>
      </c>
      <c r="O27" s="12" t="s">
        <v>121</v>
      </c>
      <c r="Q27" s="12" t="s">
        <v>93</v>
      </c>
      <c r="R27" s="12">
        <v>2010</v>
      </c>
      <c r="S27" s="12">
        <v>4</v>
      </c>
      <c r="V27" s="12">
        <v>15</v>
      </c>
      <c r="W27" s="12">
        <v>15</v>
      </c>
      <c r="X27" s="12" t="s">
        <v>97</v>
      </c>
      <c r="Y27" s="12" t="s">
        <v>122</v>
      </c>
      <c r="Z27" s="12" t="s">
        <v>0</v>
      </c>
      <c r="AA27" s="12" t="s">
        <v>98</v>
      </c>
      <c r="AB27" s="12" t="s">
        <v>202</v>
      </c>
      <c r="AC27" s="12" t="s">
        <v>99</v>
      </c>
      <c r="AD27" s="12" t="s">
        <v>111</v>
      </c>
      <c r="AE27" s="12" t="s">
        <v>256</v>
      </c>
      <c r="AF27" s="12">
        <v>0.36</v>
      </c>
      <c r="AG27" s="12">
        <v>0.47</v>
      </c>
      <c r="AH27" s="12">
        <v>0.43</v>
      </c>
      <c r="AI27" s="12">
        <f t="shared" si="10"/>
        <v>-0.28560963679648738</v>
      </c>
      <c r="AJ27" s="12">
        <f t="shared" si="11"/>
        <v>-0.1157953571684302</v>
      </c>
    </row>
    <row r="28" spans="1:36" s="12" customFormat="1" ht="14.25" customHeight="1">
      <c r="A28" s="12">
        <v>449</v>
      </c>
      <c r="B28" s="12" t="s">
        <v>57</v>
      </c>
      <c r="C28" s="12" t="s">
        <v>85</v>
      </c>
      <c r="D28" s="12">
        <v>2019</v>
      </c>
      <c r="E28" s="12">
        <v>2015</v>
      </c>
      <c r="F28" s="12" t="s">
        <v>152</v>
      </c>
      <c r="G28" s="12" t="s">
        <v>117</v>
      </c>
      <c r="H28" s="12">
        <v>61.714253999999997</v>
      </c>
      <c r="I28" s="12">
        <v>-116.79387</v>
      </c>
      <c r="J28" s="12" t="s">
        <v>128</v>
      </c>
      <c r="K28" s="12" t="s">
        <v>103</v>
      </c>
      <c r="L28" s="12" t="s">
        <v>187</v>
      </c>
      <c r="M28" s="12" t="s">
        <v>236</v>
      </c>
      <c r="N28" s="12" t="s">
        <v>238</v>
      </c>
      <c r="O28" s="12" t="s">
        <v>86</v>
      </c>
      <c r="P28" s="12" t="s">
        <v>129</v>
      </c>
      <c r="Q28" s="12" t="s">
        <v>93</v>
      </c>
      <c r="R28" s="12">
        <v>2014</v>
      </c>
      <c r="S28" s="12">
        <v>1</v>
      </c>
      <c r="V28" s="12">
        <v>8</v>
      </c>
      <c r="W28" s="12">
        <v>39</v>
      </c>
      <c r="X28" s="12" t="s">
        <v>97</v>
      </c>
      <c r="Y28" s="12" t="s">
        <v>130</v>
      </c>
      <c r="Z28" s="12" t="s">
        <v>1</v>
      </c>
      <c r="AA28" s="12" t="s">
        <v>98</v>
      </c>
      <c r="AB28" s="12" t="s">
        <v>202</v>
      </c>
      <c r="AC28" s="12" t="s">
        <v>99</v>
      </c>
      <c r="AD28" s="12" t="s">
        <v>100</v>
      </c>
      <c r="AE28" s="12" t="s">
        <v>254</v>
      </c>
      <c r="AF28" s="12">
        <v>0.3</v>
      </c>
      <c r="AG28" s="12">
        <v>0.54</v>
      </c>
      <c r="AH28" s="12">
        <v>0.68</v>
      </c>
      <c r="AI28" s="12">
        <f t="shared" si="10"/>
        <v>-9.1770373355645335E-2</v>
      </c>
      <c r="AJ28" s="12">
        <f t="shared" si="11"/>
        <v>-0.25527250510330612</v>
      </c>
    </row>
    <row r="29" spans="1:36" s="12" customFormat="1" ht="14.25" customHeight="1">
      <c r="A29" s="12">
        <v>442</v>
      </c>
      <c r="B29" s="12" t="s">
        <v>54</v>
      </c>
      <c r="C29" s="12" t="s">
        <v>85</v>
      </c>
      <c r="D29" s="12">
        <v>2015</v>
      </c>
      <c r="E29" s="12" t="s">
        <v>217</v>
      </c>
      <c r="F29" s="12" t="s">
        <v>120</v>
      </c>
      <c r="G29" s="12" t="s">
        <v>109</v>
      </c>
      <c r="H29" s="12">
        <v>41.696944000000002</v>
      </c>
      <c r="I29" s="12">
        <v>-6.2241109999999997</v>
      </c>
      <c r="J29" s="12" t="s">
        <v>126</v>
      </c>
      <c r="K29" s="12" t="s">
        <v>184</v>
      </c>
      <c r="L29" s="12" t="s">
        <v>185</v>
      </c>
      <c r="M29" s="12" t="s">
        <v>237</v>
      </c>
      <c r="N29" s="12" t="s">
        <v>238</v>
      </c>
      <c r="O29" s="12" t="s">
        <v>86</v>
      </c>
      <c r="Q29" s="12" t="s">
        <v>93</v>
      </c>
      <c r="R29" s="12">
        <v>2002</v>
      </c>
      <c r="S29" s="12">
        <v>8</v>
      </c>
      <c r="V29" s="12">
        <v>3</v>
      </c>
      <c r="W29" s="12">
        <v>3</v>
      </c>
      <c r="X29" s="12" t="s">
        <v>114</v>
      </c>
      <c r="Y29" s="12" t="s">
        <v>2</v>
      </c>
      <c r="Z29" s="12" t="s">
        <v>0</v>
      </c>
      <c r="AA29" s="12" t="s">
        <v>113</v>
      </c>
      <c r="AB29" s="12" t="s">
        <v>2</v>
      </c>
      <c r="AC29" s="12" t="s">
        <v>2</v>
      </c>
      <c r="AD29" s="12" t="s">
        <v>2</v>
      </c>
      <c r="AE29" s="12" t="s">
        <v>256</v>
      </c>
      <c r="AF29" s="12">
        <v>0.25</v>
      </c>
      <c r="AG29" s="12">
        <v>0.69</v>
      </c>
      <c r="AH29" s="12">
        <v>1.39</v>
      </c>
      <c r="AI29" s="12">
        <f t="shared" si="10"/>
        <v>0.16988694665439644</v>
      </c>
      <c r="AJ29" s="12">
        <f t="shared" si="11"/>
        <v>-0.44090908206521762</v>
      </c>
    </row>
    <row r="30" spans="1:36" s="12" customFormat="1" ht="14.25" customHeight="1">
      <c r="A30" s="12">
        <v>442</v>
      </c>
      <c r="B30" s="12" t="s">
        <v>54</v>
      </c>
      <c r="C30" s="12" t="s">
        <v>85</v>
      </c>
      <c r="D30" s="12">
        <v>2015</v>
      </c>
      <c r="E30" s="12" t="s">
        <v>217</v>
      </c>
      <c r="F30" s="12" t="s">
        <v>120</v>
      </c>
      <c r="G30" s="12" t="s">
        <v>109</v>
      </c>
      <c r="H30" s="12">
        <v>41.696944000000002</v>
      </c>
      <c r="I30" s="12">
        <v>-6.2241109999999997</v>
      </c>
      <c r="J30" s="12" t="s">
        <v>126</v>
      </c>
      <c r="K30" s="12" t="s">
        <v>184</v>
      </c>
      <c r="L30" s="12" t="s">
        <v>185</v>
      </c>
      <c r="M30" s="12" t="s">
        <v>237</v>
      </c>
      <c r="N30" s="12" t="s">
        <v>238</v>
      </c>
      <c r="O30" s="12" t="s">
        <v>121</v>
      </c>
      <c r="Q30" s="12" t="s">
        <v>93</v>
      </c>
      <c r="R30" s="12">
        <v>2010</v>
      </c>
      <c r="S30" s="12">
        <v>1.5</v>
      </c>
      <c r="V30" s="12">
        <v>3</v>
      </c>
      <c r="W30" s="12">
        <v>3</v>
      </c>
      <c r="X30" s="12" t="s">
        <v>114</v>
      </c>
      <c r="Y30" s="12" t="s">
        <v>2</v>
      </c>
      <c r="Z30" s="12" t="s">
        <v>0</v>
      </c>
      <c r="AA30" s="12" t="s">
        <v>113</v>
      </c>
      <c r="AB30" s="12" t="s">
        <v>2</v>
      </c>
      <c r="AC30" s="12" t="s">
        <v>2</v>
      </c>
      <c r="AD30" s="12" t="s">
        <v>2</v>
      </c>
      <c r="AE30" s="12" t="s">
        <v>256</v>
      </c>
      <c r="AF30" s="12">
        <v>0.74</v>
      </c>
      <c r="AG30" s="12">
        <v>0.69</v>
      </c>
      <c r="AH30" s="12">
        <v>1.1599999999999999</v>
      </c>
      <c r="AI30" s="12">
        <f t="shared" si="10"/>
        <v>-9.0878048238143355E-2</v>
      </c>
      <c r="AJ30" s="12">
        <f t="shared" si="11"/>
        <v>3.0382628993720916E-2</v>
      </c>
    </row>
    <row r="31" spans="1:36" s="12" customFormat="1" ht="14.25" customHeight="1">
      <c r="A31" s="12">
        <v>493</v>
      </c>
      <c r="B31" s="12" t="s">
        <v>65</v>
      </c>
      <c r="C31" s="12" t="s">
        <v>85</v>
      </c>
      <c r="D31" s="12">
        <v>2023</v>
      </c>
      <c r="E31" s="12">
        <v>2020</v>
      </c>
      <c r="F31" s="12" t="s">
        <v>214</v>
      </c>
      <c r="G31" s="12" t="s">
        <v>159</v>
      </c>
      <c r="H31" s="12">
        <v>53.468417000000002</v>
      </c>
      <c r="I31" s="12">
        <v>122.35216699999999</v>
      </c>
      <c r="J31" s="12" t="s">
        <v>128</v>
      </c>
      <c r="K31" s="12" t="s">
        <v>172</v>
      </c>
      <c r="L31" s="12" t="s">
        <v>173</v>
      </c>
      <c r="M31" s="12" t="s">
        <v>236</v>
      </c>
      <c r="N31" s="12" t="s">
        <v>238</v>
      </c>
      <c r="O31" s="12" t="s">
        <v>86</v>
      </c>
      <c r="P31" s="12" t="s">
        <v>146</v>
      </c>
      <c r="Q31" s="12" t="s">
        <v>93</v>
      </c>
      <c r="R31" s="12">
        <v>2010</v>
      </c>
      <c r="S31" s="12">
        <v>10</v>
      </c>
      <c r="V31" s="12">
        <v>3</v>
      </c>
      <c r="W31" s="12">
        <v>3</v>
      </c>
      <c r="X31" s="12" t="s">
        <v>97</v>
      </c>
      <c r="Y31" s="12" t="s">
        <v>133</v>
      </c>
      <c r="Z31" s="12" t="s">
        <v>0</v>
      </c>
      <c r="AA31" s="12" t="s">
        <v>98</v>
      </c>
      <c r="AB31" s="12" t="s">
        <v>202</v>
      </c>
      <c r="AC31" s="12" t="s">
        <v>99</v>
      </c>
      <c r="AD31" s="12" t="s">
        <v>100</v>
      </c>
      <c r="AE31" s="12" t="s">
        <v>254</v>
      </c>
      <c r="AF31" s="12">
        <v>1.7000000000000001E-2</v>
      </c>
      <c r="AG31" s="12">
        <v>1.6E-2</v>
      </c>
      <c r="AH31" s="12">
        <v>0.91</v>
      </c>
      <c r="AI31" s="12">
        <f t="shared" si="10"/>
        <v>1.4405274524432061</v>
      </c>
      <c r="AJ31" s="12">
        <f t="shared" si="11"/>
        <v>2.6328938722349149E-2</v>
      </c>
    </row>
    <row r="32" spans="1:36" s="12" customFormat="1" ht="14.25" customHeight="1">
      <c r="A32" s="12">
        <v>493</v>
      </c>
      <c r="B32" s="12" t="s">
        <v>65</v>
      </c>
      <c r="C32" s="12" t="s">
        <v>85</v>
      </c>
      <c r="D32" s="12">
        <v>2023</v>
      </c>
      <c r="E32" s="12">
        <v>2020</v>
      </c>
      <c r="F32" s="12" t="s">
        <v>214</v>
      </c>
      <c r="G32" s="12" t="s">
        <v>159</v>
      </c>
      <c r="H32" s="12">
        <v>53.468417000000002</v>
      </c>
      <c r="I32" s="12">
        <v>122.35216699999999</v>
      </c>
      <c r="J32" s="12" t="s">
        <v>128</v>
      </c>
      <c r="K32" s="12" t="s">
        <v>172</v>
      </c>
      <c r="L32" s="12" t="s">
        <v>173</v>
      </c>
      <c r="M32" s="12" t="s">
        <v>236</v>
      </c>
      <c r="N32" s="12" t="s">
        <v>238</v>
      </c>
      <c r="O32" s="12" t="s">
        <v>86</v>
      </c>
      <c r="P32" s="12" t="s">
        <v>210</v>
      </c>
      <c r="Q32" s="12" t="s">
        <v>93</v>
      </c>
      <c r="R32" s="12">
        <v>2010</v>
      </c>
      <c r="S32" s="12">
        <v>10</v>
      </c>
      <c r="V32" s="12">
        <v>3</v>
      </c>
      <c r="W32" s="12">
        <v>3</v>
      </c>
      <c r="X32" s="12" t="s">
        <v>97</v>
      </c>
      <c r="Y32" s="12" t="s">
        <v>133</v>
      </c>
      <c r="Z32" s="12" t="s">
        <v>0</v>
      </c>
      <c r="AA32" s="12" t="s">
        <v>98</v>
      </c>
      <c r="AB32" s="12" t="s">
        <v>202</v>
      </c>
      <c r="AC32" s="12" t="s">
        <v>99</v>
      </c>
      <c r="AD32" s="12" t="s">
        <v>100</v>
      </c>
      <c r="AE32" s="12" t="s">
        <v>254</v>
      </c>
      <c r="AF32" s="12">
        <v>2.5000000000000001E-2</v>
      </c>
      <c r="AG32" s="12">
        <v>1.6E-2</v>
      </c>
      <c r="AH32" s="12">
        <v>0.88</v>
      </c>
      <c r="AI32" s="12">
        <f t="shared" si="10"/>
        <v>1.331698815430433</v>
      </c>
      <c r="AJ32" s="12">
        <f t="shared" si="11"/>
        <v>0.19382002601611284</v>
      </c>
    </row>
    <row r="33" spans="1:36" s="12" customFormat="1" ht="14.25" customHeight="1">
      <c r="A33" s="12">
        <v>493</v>
      </c>
      <c r="B33" s="12" t="s">
        <v>65</v>
      </c>
      <c r="C33" s="12" t="s">
        <v>85</v>
      </c>
      <c r="D33" s="12">
        <v>2023</v>
      </c>
      <c r="E33" s="12">
        <v>2020</v>
      </c>
      <c r="F33" s="12" t="s">
        <v>214</v>
      </c>
      <c r="G33" s="12" t="s">
        <v>159</v>
      </c>
      <c r="H33" s="12">
        <v>53.468417000000002</v>
      </c>
      <c r="I33" s="12">
        <v>122.35216699999999</v>
      </c>
      <c r="J33" s="12" t="s">
        <v>128</v>
      </c>
      <c r="K33" s="12" t="s">
        <v>172</v>
      </c>
      <c r="L33" s="12" t="s">
        <v>173</v>
      </c>
      <c r="M33" s="12" t="s">
        <v>236</v>
      </c>
      <c r="N33" s="12" t="s">
        <v>238</v>
      </c>
      <c r="O33" s="12" t="s">
        <v>86</v>
      </c>
      <c r="P33" s="12" t="s">
        <v>129</v>
      </c>
      <c r="Q33" s="12" t="s">
        <v>93</v>
      </c>
      <c r="R33" s="12">
        <v>2010</v>
      </c>
      <c r="S33" s="12">
        <v>10</v>
      </c>
      <c r="V33" s="12">
        <v>3</v>
      </c>
      <c r="W33" s="12">
        <v>3</v>
      </c>
      <c r="X33" s="12" t="s">
        <v>97</v>
      </c>
      <c r="Y33" s="12" t="s">
        <v>133</v>
      </c>
      <c r="Z33" s="12" t="s">
        <v>0</v>
      </c>
      <c r="AA33" s="12" t="s">
        <v>98</v>
      </c>
      <c r="AB33" s="12" t="s">
        <v>202</v>
      </c>
      <c r="AC33" s="12" t="s">
        <v>99</v>
      </c>
      <c r="AD33" s="12" t="s">
        <v>100</v>
      </c>
      <c r="AE33" s="12" t="s">
        <v>254</v>
      </c>
      <c r="AF33" s="12">
        <v>4.8000000000000001E-2</v>
      </c>
      <c r="AG33" s="12">
        <v>1.6E-2</v>
      </c>
      <c r="AH33" s="12">
        <v>0.94</v>
      </c>
      <c r="AI33" s="12">
        <f t="shared" si="10"/>
        <v>1.1669478796158115</v>
      </c>
      <c r="AJ33" s="12">
        <f t="shared" si="11"/>
        <v>0.47712125471966244</v>
      </c>
    </row>
    <row r="34" spans="1:36" s="12" customFormat="1" ht="14.25" customHeight="1">
      <c r="A34" s="12">
        <v>141</v>
      </c>
      <c r="B34" s="12" t="s">
        <v>21</v>
      </c>
      <c r="C34" s="12" t="s">
        <v>85</v>
      </c>
      <c r="D34" s="12">
        <v>2022</v>
      </c>
      <c r="E34" s="12">
        <v>2015</v>
      </c>
      <c r="F34" s="12" t="s">
        <v>199</v>
      </c>
      <c r="G34" s="12" t="s">
        <v>124</v>
      </c>
      <c r="H34" s="12">
        <v>20.327825000000001</v>
      </c>
      <c r="I34" s="12">
        <v>-74.804070999999993</v>
      </c>
      <c r="J34" s="12" t="s">
        <v>126</v>
      </c>
      <c r="K34" s="12" t="s">
        <v>176</v>
      </c>
      <c r="L34" s="12" t="s">
        <v>200</v>
      </c>
      <c r="M34" s="12" t="s">
        <v>236</v>
      </c>
      <c r="N34" s="12" t="s">
        <v>238</v>
      </c>
      <c r="O34" s="12" t="s">
        <v>121</v>
      </c>
      <c r="Q34" s="12" t="s">
        <v>115</v>
      </c>
      <c r="R34" s="12">
        <v>2015</v>
      </c>
      <c r="S34" s="12" t="s">
        <v>300</v>
      </c>
      <c r="V34" s="12">
        <v>3</v>
      </c>
      <c r="W34" s="12">
        <v>3</v>
      </c>
      <c r="X34" s="12" t="s">
        <v>114</v>
      </c>
      <c r="Y34" s="12" t="s">
        <v>2</v>
      </c>
      <c r="Z34" s="12" t="s">
        <v>1</v>
      </c>
      <c r="AA34" s="12" t="s">
        <v>113</v>
      </c>
      <c r="AB34" s="12" t="s">
        <v>2</v>
      </c>
      <c r="AC34" s="12" t="s">
        <v>2</v>
      </c>
      <c r="AD34" s="12" t="s">
        <v>2</v>
      </c>
      <c r="AE34" s="12" t="s">
        <v>256</v>
      </c>
      <c r="AF34" s="12">
        <v>0.67</v>
      </c>
      <c r="AG34" s="12">
        <v>0.16</v>
      </c>
      <c r="AH34" s="12">
        <v>0.73</v>
      </c>
      <c r="AI34" s="12">
        <f t="shared" si="10"/>
        <v>-5.5755232255618029E-2</v>
      </c>
      <c r="AJ34" s="12">
        <f t="shared" si="11"/>
        <v>0.62195482004490166</v>
      </c>
    </row>
    <row r="35" spans="1:36" s="12" customFormat="1" ht="14.25" customHeight="1">
      <c r="A35" s="12">
        <v>141</v>
      </c>
      <c r="B35" s="12" t="s">
        <v>21</v>
      </c>
      <c r="C35" s="12" t="s">
        <v>85</v>
      </c>
      <c r="D35" s="12">
        <v>2022</v>
      </c>
      <c r="E35" s="12">
        <v>2015</v>
      </c>
      <c r="F35" s="12" t="s">
        <v>199</v>
      </c>
      <c r="G35" s="12" t="s">
        <v>124</v>
      </c>
      <c r="H35" s="12">
        <v>20.327825000000001</v>
      </c>
      <c r="I35" s="12">
        <v>-74.804070999999993</v>
      </c>
      <c r="J35" s="12" t="s">
        <v>126</v>
      </c>
      <c r="K35" s="12" t="s">
        <v>176</v>
      </c>
      <c r="L35" s="12" t="s">
        <v>200</v>
      </c>
      <c r="M35" s="12" t="s">
        <v>236</v>
      </c>
      <c r="N35" s="12" t="s">
        <v>238</v>
      </c>
      <c r="O35" s="12" t="s">
        <v>121</v>
      </c>
      <c r="Q35" s="12" t="s">
        <v>115</v>
      </c>
      <c r="R35" s="12">
        <v>2015</v>
      </c>
      <c r="S35" s="12" t="s">
        <v>298</v>
      </c>
      <c r="V35" s="12">
        <v>3</v>
      </c>
      <c r="W35" s="12">
        <v>3</v>
      </c>
      <c r="X35" s="12" t="s">
        <v>114</v>
      </c>
      <c r="Y35" s="12" t="s">
        <v>2</v>
      </c>
      <c r="Z35" s="12" t="s">
        <v>1</v>
      </c>
      <c r="AA35" s="12" t="s">
        <v>113</v>
      </c>
      <c r="AB35" s="12" t="s">
        <v>2</v>
      </c>
      <c r="AC35" s="12" t="s">
        <v>2</v>
      </c>
      <c r="AD35" s="12" t="s">
        <v>2</v>
      </c>
      <c r="AE35" s="12" t="s">
        <v>256</v>
      </c>
      <c r="AF35" s="12">
        <v>0.05</v>
      </c>
      <c r="AG35" s="12">
        <v>0.16</v>
      </c>
      <c r="AH35" s="12">
        <v>0.28000000000000003</v>
      </c>
      <c r="AI35" s="12">
        <f t="shared" si="10"/>
        <v>0.12493873660829993</v>
      </c>
      <c r="AJ35" s="12">
        <f t="shared" si="11"/>
        <v>-0.50514997831990593</v>
      </c>
    </row>
    <row r="36" spans="1:36" s="12" customFormat="1" ht="14.25" customHeight="1">
      <c r="A36" s="12">
        <v>474</v>
      </c>
      <c r="B36" s="12" t="s">
        <v>61</v>
      </c>
      <c r="C36" s="12" t="s">
        <v>85</v>
      </c>
      <c r="D36" s="12">
        <v>2023</v>
      </c>
      <c r="E36" s="12">
        <v>2020</v>
      </c>
      <c r="F36" s="12" t="s">
        <v>120</v>
      </c>
      <c r="G36" s="12" t="s">
        <v>109</v>
      </c>
      <c r="H36" s="12">
        <v>37.020277999999998</v>
      </c>
      <c r="I36" s="12">
        <v>-6.48</v>
      </c>
      <c r="J36" s="12" t="s">
        <v>128</v>
      </c>
      <c r="K36" s="12" t="s">
        <v>302</v>
      </c>
      <c r="M36" s="12" t="s">
        <v>237</v>
      </c>
      <c r="N36" s="12" t="s">
        <v>238</v>
      </c>
      <c r="O36" s="12" t="s">
        <v>121</v>
      </c>
      <c r="P36" s="16" t="s">
        <v>146</v>
      </c>
      <c r="Q36" s="12" t="s">
        <v>115</v>
      </c>
      <c r="R36" s="12">
        <v>2020</v>
      </c>
      <c r="S36" s="12" t="s">
        <v>305</v>
      </c>
      <c r="V36" s="16">
        <v>9</v>
      </c>
      <c r="W36" s="16">
        <v>9</v>
      </c>
      <c r="X36" s="12" t="s">
        <v>97</v>
      </c>
      <c r="Z36" s="12" t="s">
        <v>1</v>
      </c>
      <c r="AA36" s="12" t="s">
        <v>98</v>
      </c>
      <c r="AB36" s="12" t="s">
        <v>202</v>
      </c>
      <c r="AC36" s="12" t="s">
        <v>99</v>
      </c>
      <c r="AD36" s="12" t="s">
        <v>102</v>
      </c>
      <c r="AE36" s="16" t="s">
        <v>256</v>
      </c>
      <c r="AF36" s="16">
        <v>0.55000000000000004</v>
      </c>
      <c r="AG36" s="16">
        <v>0.45</v>
      </c>
      <c r="AH36" s="16">
        <v>0.5</v>
      </c>
      <c r="AI36" s="12">
        <f t="shared" ref="AI36:AI37" si="12">LOG(AH36/(AG36+AF36))</f>
        <v>-0.3010299956639812</v>
      </c>
      <c r="AJ36" s="12">
        <f t="shared" ref="AJ36:AJ37" si="13">LOG(AF36/AG36)</f>
        <v>8.71501757189002E-2</v>
      </c>
    </row>
    <row r="37" spans="1:36" s="12" customFormat="1" ht="14.25" customHeight="1">
      <c r="A37" s="12">
        <v>474</v>
      </c>
      <c r="B37" s="12" t="s">
        <v>61</v>
      </c>
      <c r="C37" s="12" t="s">
        <v>85</v>
      </c>
      <c r="D37" s="12">
        <v>2023</v>
      </c>
      <c r="E37" s="12">
        <v>2020</v>
      </c>
      <c r="F37" s="12" t="s">
        <v>120</v>
      </c>
      <c r="G37" s="12" t="s">
        <v>109</v>
      </c>
      <c r="H37" s="12">
        <v>37.020277999999998</v>
      </c>
      <c r="I37" s="12">
        <v>-6.48</v>
      </c>
      <c r="J37" s="12" t="s">
        <v>128</v>
      </c>
      <c r="K37" s="12" t="s">
        <v>302</v>
      </c>
      <c r="M37" s="12" t="s">
        <v>237</v>
      </c>
      <c r="N37" s="12" t="s">
        <v>238</v>
      </c>
      <c r="O37" s="12" t="s">
        <v>121</v>
      </c>
      <c r="P37" s="16" t="s">
        <v>146</v>
      </c>
      <c r="Q37" s="12" t="s">
        <v>115</v>
      </c>
      <c r="R37" s="12">
        <v>2020</v>
      </c>
      <c r="S37" s="12">
        <v>1</v>
      </c>
      <c r="V37" s="16">
        <v>9</v>
      </c>
      <c r="W37" s="16">
        <v>9</v>
      </c>
      <c r="X37" s="12" t="s">
        <v>97</v>
      </c>
      <c r="Z37" s="12" t="s">
        <v>1</v>
      </c>
      <c r="AA37" s="12" t="s">
        <v>98</v>
      </c>
      <c r="AB37" s="12" t="s">
        <v>202</v>
      </c>
      <c r="AC37" s="12" t="s">
        <v>99</v>
      </c>
      <c r="AD37" s="12" t="s">
        <v>102</v>
      </c>
      <c r="AE37" s="16" t="s">
        <v>256</v>
      </c>
      <c r="AF37" s="16">
        <v>0.64</v>
      </c>
      <c r="AG37" s="16">
        <v>0.45</v>
      </c>
      <c r="AH37" s="16">
        <v>0.56000000000000005</v>
      </c>
      <c r="AI37" s="12">
        <f t="shared" si="12"/>
        <v>-0.28923847093442318</v>
      </c>
      <c r="AJ37" s="12">
        <f t="shared" si="13"/>
        <v>0.15296746020854352</v>
      </c>
    </row>
    <row r="38" spans="1:36" s="16" customFormat="1">
      <c r="A38" s="16">
        <v>191</v>
      </c>
      <c r="B38" s="16" t="s">
        <v>240</v>
      </c>
      <c r="D38" s="16">
        <v>2025</v>
      </c>
      <c r="E38" s="16">
        <v>2020</v>
      </c>
      <c r="F38" s="16" t="s">
        <v>120</v>
      </c>
      <c r="G38" s="16" t="s">
        <v>109</v>
      </c>
      <c r="H38" s="16">
        <v>40.551667000000002</v>
      </c>
      <c r="I38" s="16">
        <v>-2.108889</v>
      </c>
      <c r="J38" s="12" t="s">
        <v>128</v>
      </c>
      <c r="K38" s="16" t="s">
        <v>176</v>
      </c>
      <c r="L38" s="16" t="s">
        <v>191</v>
      </c>
      <c r="M38" s="16" t="s">
        <v>236</v>
      </c>
      <c r="N38" s="16" t="s">
        <v>238</v>
      </c>
      <c r="O38" s="16" t="s">
        <v>121</v>
      </c>
      <c r="Q38" s="16" t="s">
        <v>93</v>
      </c>
      <c r="R38" s="16">
        <v>2019</v>
      </c>
      <c r="S38" s="16">
        <v>1</v>
      </c>
      <c r="V38" s="16">
        <v>9</v>
      </c>
      <c r="W38" s="16">
        <v>9</v>
      </c>
      <c r="X38" s="16" t="s">
        <v>97</v>
      </c>
      <c r="Y38" s="16" t="s">
        <v>147</v>
      </c>
      <c r="Z38" s="16" t="s">
        <v>1</v>
      </c>
      <c r="AA38" s="16" t="s">
        <v>98</v>
      </c>
      <c r="AB38" s="16" t="s">
        <v>202</v>
      </c>
      <c r="AC38" s="16" t="s">
        <v>99</v>
      </c>
      <c r="AD38" s="16" t="s">
        <v>102</v>
      </c>
      <c r="AE38" s="16" t="s">
        <v>256</v>
      </c>
      <c r="AF38" s="16">
        <v>0.63</v>
      </c>
      <c r="AG38" s="16">
        <v>0.71</v>
      </c>
      <c r="AH38" s="16">
        <v>0.67</v>
      </c>
      <c r="AI38" s="12">
        <f t="shared" si="10"/>
        <v>-0.30102999566398109</v>
      </c>
      <c r="AJ38" s="12">
        <f t="shared" si="11"/>
        <v>-5.1917799265493558E-2</v>
      </c>
    </row>
    <row r="39" spans="1:36" s="12" customFormat="1" ht="14.25" customHeight="1">
      <c r="A39" s="12">
        <v>102</v>
      </c>
      <c r="B39" s="12" t="s">
        <v>14</v>
      </c>
      <c r="C39" s="12" t="s">
        <v>85</v>
      </c>
      <c r="D39" s="12">
        <v>2024</v>
      </c>
      <c r="E39" s="12">
        <v>2020</v>
      </c>
      <c r="F39" s="12" t="s">
        <v>143</v>
      </c>
      <c r="G39" s="12" t="s">
        <v>166</v>
      </c>
      <c r="H39" s="12">
        <v>44.798842</v>
      </c>
      <c r="I39" s="12">
        <v>-111.290696</v>
      </c>
      <c r="J39" s="12" t="s">
        <v>128</v>
      </c>
      <c r="K39" s="12" t="s">
        <v>176</v>
      </c>
      <c r="L39" s="12" t="s">
        <v>186</v>
      </c>
      <c r="M39" s="16" t="s">
        <v>236</v>
      </c>
      <c r="N39" s="16" t="s">
        <v>238</v>
      </c>
      <c r="O39" s="12" t="s">
        <v>121</v>
      </c>
      <c r="Q39" s="12" t="s">
        <v>93</v>
      </c>
      <c r="R39" s="12">
        <v>2019</v>
      </c>
      <c r="S39" s="12" t="s">
        <v>165</v>
      </c>
      <c r="V39" s="12">
        <v>7</v>
      </c>
      <c r="W39" s="12">
        <v>15</v>
      </c>
      <c r="X39" s="12" t="s">
        <v>97</v>
      </c>
      <c r="Y39" s="12" t="s">
        <v>130</v>
      </c>
      <c r="Z39" s="12" t="s">
        <v>1</v>
      </c>
      <c r="AA39" s="12" t="s">
        <v>98</v>
      </c>
      <c r="AB39" s="12" t="s">
        <v>202</v>
      </c>
      <c r="AC39" s="12" t="s">
        <v>99</v>
      </c>
      <c r="AD39" s="12" t="s">
        <v>111</v>
      </c>
      <c r="AE39" s="16" t="s">
        <v>256</v>
      </c>
      <c r="AF39" s="16">
        <v>0.31</v>
      </c>
      <c r="AG39" s="16">
        <v>0.25</v>
      </c>
      <c r="AH39" s="16">
        <v>0.65</v>
      </c>
      <c r="AI39" s="16">
        <f t="shared" si="10"/>
        <v>6.4725329636655116E-2</v>
      </c>
      <c r="AJ39" s="16">
        <f t="shared" si="11"/>
        <v>9.3421685162235063E-2</v>
      </c>
    </row>
    <row r="40" spans="1:36" s="12" customFormat="1" ht="14.25" customHeight="1">
      <c r="A40" s="12">
        <v>297</v>
      </c>
      <c r="B40" s="12" t="s">
        <v>45</v>
      </c>
      <c r="C40" s="12" t="s">
        <v>85</v>
      </c>
      <c r="D40" s="12">
        <v>2024</v>
      </c>
      <c r="E40" s="12">
        <v>2018</v>
      </c>
      <c r="F40" s="12" t="s">
        <v>143</v>
      </c>
      <c r="G40" s="12" t="s">
        <v>142</v>
      </c>
      <c r="H40" s="12">
        <v>30.238056</v>
      </c>
      <c r="I40" s="12">
        <v>-82.411389</v>
      </c>
      <c r="J40" s="12" t="s">
        <v>128</v>
      </c>
      <c r="K40" s="12" t="s">
        <v>176</v>
      </c>
      <c r="L40" s="12" t="s">
        <v>189</v>
      </c>
      <c r="M40" s="16" t="s">
        <v>236</v>
      </c>
      <c r="N40" s="16" t="s">
        <v>238</v>
      </c>
      <c r="O40" s="12" t="s">
        <v>121</v>
      </c>
      <c r="Q40" s="12" t="s">
        <v>93</v>
      </c>
      <c r="R40" s="12">
        <v>2018</v>
      </c>
      <c r="S40" s="12">
        <v>1</v>
      </c>
      <c r="V40" s="12">
        <v>6</v>
      </c>
      <c r="W40" s="12">
        <v>6</v>
      </c>
      <c r="X40" s="12" t="s">
        <v>97</v>
      </c>
      <c r="Y40" s="12" t="s">
        <v>133</v>
      </c>
      <c r="Z40" s="12" t="s">
        <v>1</v>
      </c>
      <c r="AA40" s="12" t="s">
        <v>98</v>
      </c>
      <c r="AB40" s="12" t="s">
        <v>202</v>
      </c>
      <c r="AC40" s="12" t="s">
        <v>99</v>
      </c>
      <c r="AD40" s="12" t="s">
        <v>102</v>
      </c>
      <c r="AE40" s="12" t="s">
        <v>256</v>
      </c>
      <c r="AF40" s="16">
        <v>0.3</v>
      </c>
      <c r="AG40" s="16">
        <v>0.36</v>
      </c>
      <c r="AH40" s="16">
        <v>0.92</v>
      </c>
      <c r="AI40" s="16">
        <f t="shared" si="10"/>
        <v>0.14424389180368669</v>
      </c>
      <c r="AJ40" s="16">
        <f t="shared" si="11"/>
        <v>-7.9181246047624804E-2</v>
      </c>
    </row>
    <row r="41" spans="1:36" s="12" customFormat="1" ht="14.25" customHeight="1">
      <c r="A41" s="12">
        <v>562</v>
      </c>
      <c r="B41" s="12" t="s">
        <v>71</v>
      </c>
      <c r="C41" s="12" t="s">
        <v>85</v>
      </c>
      <c r="D41" s="12">
        <v>2023</v>
      </c>
      <c r="E41" s="12">
        <v>2021</v>
      </c>
      <c r="F41" s="12" t="s">
        <v>96</v>
      </c>
      <c r="G41" s="12" t="s">
        <v>119</v>
      </c>
      <c r="H41" s="12">
        <v>-36.537121999999997</v>
      </c>
      <c r="I41" s="12">
        <v>142.010153</v>
      </c>
      <c r="J41" s="12" t="s">
        <v>128</v>
      </c>
      <c r="K41" s="12" t="s">
        <v>112</v>
      </c>
      <c r="M41" s="12" t="s">
        <v>237</v>
      </c>
      <c r="O41" s="12" t="s">
        <v>86</v>
      </c>
      <c r="Q41" s="12" t="s">
        <v>93</v>
      </c>
      <c r="S41" s="12">
        <v>1</v>
      </c>
      <c r="V41" s="12">
        <v>18</v>
      </c>
      <c r="W41" s="12">
        <v>11</v>
      </c>
      <c r="X41" s="12" t="s">
        <v>97</v>
      </c>
      <c r="Y41" s="12" t="s">
        <v>106</v>
      </c>
      <c r="Z41" s="12" t="s">
        <v>1</v>
      </c>
      <c r="AA41" s="12" t="s">
        <v>98</v>
      </c>
      <c r="AB41" s="12" t="s">
        <v>202</v>
      </c>
      <c r="AC41" s="12" t="s">
        <v>99</v>
      </c>
      <c r="AD41" s="12" t="s">
        <v>102</v>
      </c>
      <c r="AE41" s="12" t="s">
        <v>256</v>
      </c>
      <c r="AF41" s="16">
        <v>0.99</v>
      </c>
      <c r="AG41" s="16">
        <v>1.01</v>
      </c>
      <c r="AH41" s="16">
        <v>0.67</v>
      </c>
      <c r="AI41" s="16">
        <f t="shared" ref="AI41:AI46" si="14">LOG(AH41/(AG41+AF41))</f>
        <v>-0.47495519296315475</v>
      </c>
      <c r="AJ41" s="16">
        <f t="shared" ref="AJ41:AJ46" si="15">LOG(AF41/AG41)</f>
        <v>-8.6861791850926674E-3</v>
      </c>
    </row>
    <row r="42" spans="1:36" s="12" customFormat="1" ht="14.25" customHeight="1">
      <c r="A42" s="12">
        <v>562</v>
      </c>
      <c r="B42" s="12" t="s">
        <v>71</v>
      </c>
      <c r="C42" s="12" t="s">
        <v>85</v>
      </c>
      <c r="D42" s="12">
        <v>2023</v>
      </c>
      <c r="E42" s="12">
        <v>2021</v>
      </c>
      <c r="F42" s="12" t="s">
        <v>96</v>
      </c>
      <c r="G42" s="12" t="s">
        <v>119</v>
      </c>
      <c r="H42" s="12">
        <v>-36.537121999999997</v>
      </c>
      <c r="I42" s="12">
        <v>142.010153</v>
      </c>
      <c r="J42" s="12" t="s">
        <v>128</v>
      </c>
      <c r="K42" s="12" t="s">
        <v>112</v>
      </c>
      <c r="M42" s="12" t="s">
        <v>237</v>
      </c>
      <c r="O42" s="12" t="s">
        <v>86</v>
      </c>
      <c r="Q42" s="12" t="s">
        <v>93</v>
      </c>
      <c r="S42" s="12">
        <v>5</v>
      </c>
      <c r="V42" s="12">
        <v>18</v>
      </c>
      <c r="W42" s="12">
        <v>17</v>
      </c>
      <c r="X42" s="12" t="s">
        <v>97</v>
      </c>
      <c r="Y42" s="12" t="s">
        <v>106</v>
      </c>
      <c r="Z42" s="12" t="s">
        <v>1</v>
      </c>
      <c r="AA42" s="12" t="s">
        <v>98</v>
      </c>
      <c r="AB42" s="12" t="s">
        <v>202</v>
      </c>
      <c r="AC42" s="12" t="s">
        <v>99</v>
      </c>
      <c r="AD42" s="12" t="s">
        <v>102</v>
      </c>
      <c r="AE42" s="12" t="s">
        <v>256</v>
      </c>
      <c r="AF42" s="16">
        <v>1.24</v>
      </c>
      <c r="AG42" s="16">
        <v>1.01</v>
      </c>
      <c r="AH42" s="16">
        <v>1.21</v>
      </c>
      <c r="AI42" s="16">
        <f t="shared" si="14"/>
        <v>-0.26939714779491236</v>
      </c>
      <c r="AJ42" s="16">
        <f t="shared" si="15"/>
        <v>8.9100311379592484E-2</v>
      </c>
    </row>
    <row r="43" spans="1:36" s="12" customFormat="1" ht="14.25" customHeight="1">
      <c r="A43" s="12">
        <v>425</v>
      </c>
      <c r="B43" s="12" t="s">
        <v>53</v>
      </c>
      <c r="C43" s="12" t="s">
        <v>85</v>
      </c>
      <c r="D43" s="12">
        <v>2021</v>
      </c>
      <c r="F43" s="12" t="s">
        <v>143</v>
      </c>
      <c r="G43" s="12" t="s">
        <v>142</v>
      </c>
      <c r="H43" s="12">
        <v>30.75</v>
      </c>
      <c r="I43" s="12">
        <v>-84</v>
      </c>
      <c r="J43" s="12" t="s">
        <v>128</v>
      </c>
      <c r="K43" s="12" t="s">
        <v>176</v>
      </c>
      <c r="L43" s="12" t="s">
        <v>189</v>
      </c>
      <c r="M43" s="12" t="s">
        <v>236</v>
      </c>
      <c r="N43" s="16" t="s">
        <v>238</v>
      </c>
      <c r="O43" s="12" t="s">
        <v>121</v>
      </c>
      <c r="Q43" s="12" t="s">
        <v>115</v>
      </c>
      <c r="R43" s="12">
        <v>2017</v>
      </c>
      <c r="S43" s="12" t="s">
        <v>156</v>
      </c>
      <c r="V43" s="12">
        <v>9</v>
      </c>
      <c r="W43" s="12">
        <v>15</v>
      </c>
      <c r="X43" s="12" t="s">
        <v>97</v>
      </c>
      <c r="Y43" s="12" t="s">
        <v>132</v>
      </c>
      <c r="Z43" s="12" t="s">
        <v>1</v>
      </c>
      <c r="AA43" s="12" t="s">
        <v>98</v>
      </c>
      <c r="AB43" s="12" t="s">
        <v>202</v>
      </c>
      <c r="AC43" s="12" t="s">
        <v>99</v>
      </c>
      <c r="AD43" s="12" t="s">
        <v>102</v>
      </c>
      <c r="AE43" s="12" t="s">
        <v>256</v>
      </c>
      <c r="AF43" s="12">
        <v>1.23</v>
      </c>
      <c r="AG43" s="12">
        <v>1.32</v>
      </c>
      <c r="AH43" s="12">
        <v>1.27</v>
      </c>
      <c r="AI43" s="12">
        <f t="shared" si="14"/>
        <v>-0.30273645947799827</v>
      </c>
      <c r="AJ43" s="12">
        <f t="shared" si="15"/>
        <v>-3.0668819766451961E-2</v>
      </c>
    </row>
    <row r="44" spans="1:36" s="12" customFormat="1" ht="14.25" customHeight="1">
      <c r="A44" s="12">
        <v>545</v>
      </c>
      <c r="B44" s="12" t="s">
        <v>69</v>
      </c>
      <c r="C44" s="12" t="s">
        <v>85</v>
      </c>
      <c r="D44" s="12">
        <v>2024</v>
      </c>
      <c r="F44" s="12" t="s">
        <v>96</v>
      </c>
      <c r="G44" s="12" t="s">
        <v>109</v>
      </c>
      <c r="H44" s="12">
        <v>-38.46</v>
      </c>
      <c r="I44" s="12">
        <v>144.09</v>
      </c>
      <c r="J44" s="12" t="s">
        <v>128</v>
      </c>
      <c r="K44" s="12" t="s">
        <v>112</v>
      </c>
      <c r="M44" s="12" t="s">
        <v>237</v>
      </c>
      <c r="N44" s="12" t="s">
        <v>238</v>
      </c>
      <c r="O44" s="12" t="s">
        <v>121</v>
      </c>
      <c r="P44" s="12" t="s">
        <v>146</v>
      </c>
      <c r="Q44" s="12" t="s">
        <v>93</v>
      </c>
      <c r="S44" s="12">
        <v>1.5</v>
      </c>
      <c r="T44" s="18"/>
      <c r="X44" s="12" t="s">
        <v>97</v>
      </c>
      <c r="Y44" s="12" t="s">
        <v>133</v>
      </c>
      <c r="AA44" s="12" t="s">
        <v>98</v>
      </c>
      <c r="AB44" s="12" t="s">
        <v>202</v>
      </c>
      <c r="AC44" s="12" t="s">
        <v>99</v>
      </c>
      <c r="AD44" s="12" t="s">
        <v>100</v>
      </c>
      <c r="AE44" s="12" t="s">
        <v>256</v>
      </c>
      <c r="AF44" s="12">
        <v>0.52</v>
      </c>
      <c r="AG44" s="12">
        <v>0.42</v>
      </c>
      <c r="AH44" s="12">
        <v>0.41</v>
      </c>
      <c r="AI44" s="12">
        <f t="shared" si="14"/>
        <v>-0.36034399687996316</v>
      </c>
      <c r="AJ44" s="12">
        <f t="shared" si="15"/>
        <v>9.2754053236898712E-2</v>
      </c>
    </row>
    <row r="45" spans="1:36" s="12" customFormat="1" ht="14.25" customHeight="1">
      <c r="A45" s="12">
        <v>545</v>
      </c>
      <c r="B45" s="12" t="s">
        <v>69</v>
      </c>
      <c r="C45" s="12" t="s">
        <v>85</v>
      </c>
      <c r="D45" s="12">
        <v>2024</v>
      </c>
      <c r="F45" s="12" t="s">
        <v>96</v>
      </c>
      <c r="G45" s="12" t="s">
        <v>109</v>
      </c>
      <c r="H45" s="12">
        <v>-38.46</v>
      </c>
      <c r="I45" s="12">
        <v>144.09</v>
      </c>
      <c r="J45" s="12" t="s">
        <v>128</v>
      </c>
      <c r="K45" s="12" t="s">
        <v>112</v>
      </c>
      <c r="M45" s="12" t="s">
        <v>237</v>
      </c>
      <c r="N45" s="12" t="s">
        <v>238</v>
      </c>
      <c r="O45" s="12" t="s">
        <v>121</v>
      </c>
      <c r="P45" s="12" t="s">
        <v>146</v>
      </c>
      <c r="Q45" s="12" t="s">
        <v>93</v>
      </c>
      <c r="S45" s="12">
        <v>6.5</v>
      </c>
      <c r="T45" s="18"/>
      <c r="V45" s="12">
        <v>6</v>
      </c>
      <c r="W45" s="12">
        <v>7</v>
      </c>
      <c r="X45" s="12" t="s">
        <v>97</v>
      </c>
      <c r="Y45" s="12" t="s">
        <v>133</v>
      </c>
      <c r="Z45" s="12" t="s">
        <v>0</v>
      </c>
      <c r="AA45" s="12" t="s">
        <v>98</v>
      </c>
      <c r="AB45" s="12" t="s">
        <v>202</v>
      </c>
      <c r="AC45" s="12" t="s">
        <v>99</v>
      </c>
      <c r="AD45" s="12" t="s">
        <v>100</v>
      </c>
      <c r="AE45" s="12" t="s">
        <v>256</v>
      </c>
      <c r="AF45" s="12">
        <v>0.28999999999999998</v>
      </c>
      <c r="AG45" s="12">
        <v>0.42</v>
      </c>
      <c r="AH45" s="12">
        <v>0.41</v>
      </c>
      <c r="AI45" s="12">
        <f t="shared" si="14"/>
        <v>-0.23847449199933979</v>
      </c>
      <c r="AJ45" s="12">
        <f t="shared" si="15"/>
        <v>-0.16085129249894439</v>
      </c>
    </row>
    <row r="46" spans="1:36" s="12" customFormat="1" ht="14.25" customHeight="1">
      <c r="A46" s="12">
        <v>545</v>
      </c>
      <c r="B46" s="12" t="s">
        <v>69</v>
      </c>
      <c r="C46" s="12" t="s">
        <v>85</v>
      </c>
      <c r="D46" s="12">
        <v>2024</v>
      </c>
      <c r="F46" s="12" t="s">
        <v>96</v>
      </c>
      <c r="G46" s="12" t="s">
        <v>109</v>
      </c>
      <c r="H46" s="12">
        <v>-38.46</v>
      </c>
      <c r="I46" s="12">
        <v>144.09</v>
      </c>
      <c r="J46" s="12" t="s">
        <v>128</v>
      </c>
      <c r="K46" s="12" t="s">
        <v>112</v>
      </c>
      <c r="M46" s="12" t="s">
        <v>237</v>
      </c>
      <c r="N46" s="12" t="s">
        <v>238</v>
      </c>
      <c r="O46" s="12" t="s">
        <v>121</v>
      </c>
      <c r="P46" s="12" t="s">
        <v>146</v>
      </c>
      <c r="Q46" s="12" t="s">
        <v>93</v>
      </c>
      <c r="S46" s="12">
        <v>10</v>
      </c>
      <c r="T46" s="18"/>
      <c r="V46" s="12">
        <v>6</v>
      </c>
      <c r="W46" s="12">
        <v>6</v>
      </c>
      <c r="X46" s="12" t="s">
        <v>97</v>
      </c>
      <c r="Y46" s="12" t="s">
        <v>133</v>
      </c>
      <c r="Z46" s="12" t="s">
        <v>0</v>
      </c>
      <c r="AA46" s="12" t="s">
        <v>98</v>
      </c>
      <c r="AB46" s="12" t="s">
        <v>202</v>
      </c>
      <c r="AC46" s="12" t="s">
        <v>99</v>
      </c>
      <c r="AD46" s="12" t="s">
        <v>100</v>
      </c>
      <c r="AE46" s="12" t="s">
        <v>256</v>
      </c>
      <c r="AF46" s="12">
        <v>0.37</v>
      </c>
      <c r="AG46" s="12">
        <v>0.42</v>
      </c>
      <c r="AH46" s="12">
        <v>0.37</v>
      </c>
      <c r="AI46" s="12">
        <f t="shared" si="14"/>
        <v>-0.32942536722344645</v>
      </c>
      <c r="AJ46" s="12">
        <f t="shared" si="15"/>
        <v>-5.5047566330905476E-2</v>
      </c>
    </row>
    <row r="47" spans="1:36" s="12" customFormat="1" ht="14.25" customHeight="1">
      <c r="A47" s="12">
        <v>271</v>
      </c>
      <c r="B47" s="12" t="s">
        <v>42</v>
      </c>
      <c r="C47" s="12" t="s">
        <v>85</v>
      </c>
      <c r="D47" s="12">
        <v>2012</v>
      </c>
      <c r="E47" s="12" t="s">
        <v>137</v>
      </c>
      <c r="F47" s="12" t="s">
        <v>136</v>
      </c>
      <c r="H47" s="12">
        <v>55.345132999999997</v>
      </c>
      <c r="I47" s="12">
        <v>21.021471999999999</v>
      </c>
      <c r="J47" s="12" t="s">
        <v>126</v>
      </c>
      <c r="K47" s="12" t="s">
        <v>176</v>
      </c>
      <c r="L47" s="12" t="s">
        <v>193</v>
      </c>
      <c r="M47" s="12" t="s">
        <v>236</v>
      </c>
      <c r="N47" s="12" t="s">
        <v>311</v>
      </c>
      <c r="O47" s="12" t="s">
        <v>86</v>
      </c>
      <c r="P47" s="12" t="s">
        <v>129</v>
      </c>
      <c r="Q47" s="12" t="s">
        <v>93</v>
      </c>
      <c r="R47" s="12">
        <v>2006</v>
      </c>
      <c r="U47" s="12">
        <v>230</v>
      </c>
      <c r="V47" s="12">
        <v>3</v>
      </c>
      <c r="W47" s="12">
        <v>3</v>
      </c>
      <c r="X47" s="12" t="s">
        <v>114</v>
      </c>
      <c r="Y47" s="12" t="s">
        <v>2</v>
      </c>
      <c r="Z47" s="12" t="s">
        <v>1</v>
      </c>
      <c r="AA47" s="12" t="s">
        <v>113</v>
      </c>
      <c r="AC47" s="12" t="s">
        <v>2</v>
      </c>
      <c r="AD47" s="12" t="s">
        <v>2</v>
      </c>
      <c r="AE47" s="12" t="s">
        <v>256</v>
      </c>
      <c r="AF47" s="12">
        <v>0.1</v>
      </c>
      <c r="AG47" s="12">
        <v>0.04</v>
      </c>
      <c r="AH47" s="12">
        <v>0.33</v>
      </c>
      <c r="AI47" s="12">
        <f t="shared" ref="AI47:AI52" si="16">LOG(AH47/(AG47+AF47))</f>
        <v>0.37238590419964945</v>
      </c>
      <c r="AJ47" s="12">
        <f t="shared" ref="AJ47:AJ61" si="17">LOG(AF47/AG47)</f>
        <v>0.3979400086720376</v>
      </c>
    </row>
    <row r="48" spans="1:36" s="12" customFormat="1" ht="14.25" customHeight="1">
      <c r="A48" s="12">
        <v>467</v>
      </c>
      <c r="B48" s="12" t="s">
        <v>60</v>
      </c>
      <c r="C48" s="12" t="s">
        <v>85</v>
      </c>
      <c r="D48" s="12">
        <v>2023</v>
      </c>
      <c r="E48" s="12">
        <v>2014</v>
      </c>
      <c r="F48" s="12" t="s">
        <v>120</v>
      </c>
      <c r="G48" s="12" t="s">
        <v>109</v>
      </c>
      <c r="H48" s="12">
        <v>41.696944000000002</v>
      </c>
      <c r="I48" s="12">
        <v>-6.2241109999999997</v>
      </c>
      <c r="J48" s="12" t="s">
        <v>128</v>
      </c>
      <c r="K48" s="12" t="s">
        <v>184</v>
      </c>
      <c r="L48" s="12" t="s">
        <v>185</v>
      </c>
      <c r="M48" s="12" t="s">
        <v>237</v>
      </c>
      <c r="N48" s="12" t="s">
        <v>238</v>
      </c>
      <c r="O48" s="1" t="s">
        <v>121</v>
      </c>
      <c r="Q48" s="12" t="s">
        <v>93</v>
      </c>
      <c r="R48" s="12">
        <v>2010</v>
      </c>
      <c r="S48" s="12">
        <v>4</v>
      </c>
      <c r="V48" s="12">
        <v>3</v>
      </c>
      <c r="W48" s="12">
        <v>3</v>
      </c>
      <c r="X48" s="12" t="s">
        <v>97</v>
      </c>
      <c r="Y48" s="12" t="s">
        <v>371</v>
      </c>
      <c r="Z48" s="12" t="s">
        <v>0</v>
      </c>
      <c r="AA48" s="12" t="s">
        <v>98</v>
      </c>
      <c r="AB48" s="12" t="s">
        <v>202</v>
      </c>
      <c r="AC48" s="12" t="s">
        <v>372</v>
      </c>
      <c r="AD48" s="12" t="s">
        <v>102</v>
      </c>
      <c r="AE48" s="12" t="s">
        <v>256</v>
      </c>
      <c r="AF48" s="12">
        <v>0.55000000000000004</v>
      </c>
      <c r="AG48" s="12">
        <v>0.28999999999999998</v>
      </c>
      <c r="AH48" s="12">
        <v>0.38</v>
      </c>
      <c r="AI48" s="12">
        <f t="shared" si="16"/>
        <v>-0.34449568944507153</v>
      </c>
      <c r="AJ48" s="12">
        <f t="shared" si="17"/>
        <v>0.27796469159528781</v>
      </c>
    </row>
    <row r="49" spans="1:47" s="12" customFormat="1" ht="14.25" customHeight="1">
      <c r="A49" s="12">
        <v>467</v>
      </c>
      <c r="B49" s="12" t="s">
        <v>60</v>
      </c>
      <c r="C49" s="12" t="s">
        <v>85</v>
      </c>
      <c r="D49" s="12">
        <v>2023</v>
      </c>
      <c r="E49" s="12">
        <v>2014</v>
      </c>
      <c r="F49" s="12" t="s">
        <v>120</v>
      </c>
      <c r="G49" s="12" t="s">
        <v>109</v>
      </c>
      <c r="H49" s="12">
        <v>41.696944000000002</v>
      </c>
      <c r="I49" s="12">
        <v>-6.2241109999999997</v>
      </c>
      <c r="J49" s="12" t="s">
        <v>128</v>
      </c>
      <c r="K49" s="12" t="s">
        <v>184</v>
      </c>
      <c r="L49" s="12" t="s">
        <v>185</v>
      </c>
      <c r="M49" s="12" t="s">
        <v>237</v>
      </c>
      <c r="N49" s="12" t="s">
        <v>238</v>
      </c>
      <c r="O49" s="1" t="s">
        <v>86</v>
      </c>
      <c r="Q49" s="12" t="s">
        <v>93</v>
      </c>
      <c r="R49" s="12">
        <v>2006</v>
      </c>
      <c r="S49" s="12">
        <v>8</v>
      </c>
      <c r="V49" s="12">
        <v>3</v>
      </c>
      <c r="W49" s="12">
        <v>3</v>
      </c>
      <c r="X49" s="12" t="s">
        <v>97</v>
      </c>
      <c r="Y49" s="12" t="s">
        <v>371</v>
      </c>
      <c r="Z49" s="12" t="s">
        <v>0</v>
      </c>
      <c r="AA49" s="12" t="s">
        <v>98</v>
      </c>
      <c r="AB49" s="12" t="s">
        <v>202</v>
      </c>
      <c r="AC49" s="12" t="s">
        <v>372</v>
      </c>
      <c r="AD49" s="12" t="s">
        <v>102</v>
      </c>
      <c r="AE49" s="12" t="s">
        <v>256</v>
      </c>
      <c r="AF49" s="12">
        <v>0.17</v>
      </c>
      <c r="AG49" s="12">
        <v>0.28999999999999998</v>
      </c>
      <c r="AH49" s="12">
        <v>0.64</v>
      </c>
      <c r="AI49" s="12">
        <f t="shared" si="16"/>
        <v>0.14342214230231315</v>
      </c>
      <c r="AJ49" s="12">
        <f t="shared" si="17"/>
        <v>-0.23194907652068211</v>
      </c>
    </row>
    <row r="50" spans="1:47" s="12" customFormat="1" ht="14.1" customHeight="1">
      <c r="A50" s="12">
        <v>121</v>
      </c>
      <c r="B50" s="12" t="s">
        <v>17</v>
      </c>
      <c r="C50" s="12" t="s">
        <v>85</v>
      </c>
      <c r="D50" s="12">
        <v>2014</v>
      </c>
      <c r="E50" s="12">
        <v>2009</v>
      </c>
      <c r="F50" s="12" t="s">
        <v>136</v>
      </c>
      <c r="G50" s="12" t="s">
        <v>161</v>
      </c>
      <c r="H50" s="12">
        <v>55.345132999999997</v>
      </c>
      <c r="I50" s="12">
        <v>21.021471999999999</v>
      </c>
      <c r="J50" s="12" t="s">
        <v>126</v>
      </c>
      <c r="K50" s="12" t="s">
        <v>176</v>
      </c>
      <c r="L50" s="12" t="s">
        <v>193</v>
      </c>
      <c r="M50" s="12" t="s">
        <v>236</v>
      </c>
      <c r="N50" s="12" t="s">
        <v>311</v>
      </c>
      <c r="O50" s="12" t="s">
        <v>86</v>
      </c>
      <c r="P50" s="12" t="s">
        <v>129</v>
      </c>
      <c r="Q50" s="12" t="s">
        <v>93</v>
      </c>
      <c r="R50" s="12">
        <v>2006</v>
      </c>
      <c r="S50" s="12">
        <v>3</v>
      </c>
      <c r="U50" s="12">
        <v>230</v>
      </c>
      <c r="X50" s="12" t="s">
        <v>114</v>
      </c>
      <c r="Y50" s="12" t="s">
        <v>2</v>
      </c>
      <c r="AA50" s="12" t="s">
        <v>2</v>
      </c>
      <c r="AB50" s="12" t="s">
        <v>2</v>
      </c>
      <c r="AC50" s="12" t="s">
        <v>2</v>
      </c>
      <c r="AD50" s="12" t="s">
        <v>2</v>
      </c>
      <c r="AE50" s="12" t="s">
        <v>256</v>
      </c>
      <c r="AF50" s="12">
        <v>0.09</v>
      </c>
      <c r="AG50" s="12">
        <v>0.04</v>
      </c>
      <c r="AH50" s="12">
        <v>0.38</v>
      </c>
      <c r="AI50" s="12">
        <f t="shared" si="16"/>
        <v>0.46584024430997334</v>
      </c>
      <c r="AJ50" s="12">
        <f t="shared" si="17"/>
        <v>0.35218251811136247</v>
      </c>
    </row>
    <row r="51" spans="1:47" s="12" customFormat="1" ht="14.1" customHeight="1">
      <c r="A51" s="12">
        <v>121</v>
      </c>
      <c r="B51" s="12" t="s">
        <v>17</v>
      </c>
      <c r="C51" s="12" t="s">
        <v>85</v>
      </c>
      <c r="D51" s="12">
        <v>2014</v>
      </c>
      <c r="E51" s="12">
        <v>2009</v>
      </c>
      <c r="F51" s="12" t="s">
        <v>136</v>
      </c>
      <c r="G51" s="12" t="s">
        <v>161</v>
      </c>
      <c r="H51" s="12">
        <v>55.345132999999997</v>
      </c>
      <c r="I51" s="12">
        <v>21.021471999999999</v>
      </c>
      <c r="J51" s="12" t="s">
        <v>126</v>
      </c>
      <c r="K51" s="12" t="s">
        <v>176</v>
      </c>
      <c r="L51" s="12" t="s">
        <v>182</v>
      </c>
      <c r="M51" s="12" t="s">
        <v>236</v>
      </c>
      <c r="N51" s="12" t="s">
        <v>238</v>
      </c>
      <c r="O51" s="12" t="s">
        <v>86</v>
      </c>
      <c r="P51" s="12" t="s">
        <v>146</v>
      </c>
      <c r="Q51" s="12" t="s">
        <v>93</v>
      </c>
      <c r="R51" s="12">
        <v>2006</v>
      </c>
      <c r="S51" s="12">
        <v>3</v>
      </c>
      <c r="U51" s="12">
        <v>230</v>
      </c>
      <c r="X51" s="12" t="s">
        <v>114</v>
      </c>
      <c r="Y51" s="12" t="s">
        <v>2</v>
      </c>
      <c r="AA51" s="12" t="s">
        <v>2</v>
      </c>
      <c r="AB51" s="12" t="s">
        <v>2</v>
      </c>
      <c r="AC51" s="12" t="s">
        <v>2</v>
      </c>
      <c r="AD51" s="12" t="s">
        <v>2</v>
      </c>
      <c r="AE51" s="12" t="s">
        <v>256</v>
      </c>
      <c r="AF51" s="12">
        <v>0.1</v>
      </c>
      <c r="AG51" s="12">
        <v>0.01</v>
      </c>
      <c r="AH51" s="12">
        <v>0.13</v>
      </c>
      <c r="AI51" s="12">
        <f t="shared" si="16"/>
        <v>7.2550667148611747E-2</v>
      </c>
      <c r="AJ51" s="12">
        <f t="shared" si="17"/>
        <v>1</v>
      </c>
    </row>
    <row r="52" spans="1:47" s="12" customFormat="1" ht="14.25" customHeight="1">
      <c r="A52" s="12">
        <v>35</v>
      </c>
      <c r="B52" s="12" t="s">
        <v>6</v>
      </c>
      <c r="C52" s="12" t="s">
        <v>85</v>
      </c>
      <c r="D52" s="12">
        <v>2005</v>
      </c>
      <c r="E52" s="12">
        <v>2000</v>
      </c>
      <c r="F52" s="12" t="s">
        <v>152</v>
      </c>
      <c r="G52" s="12" t="s">
        <v>117</v>
      </c>
      <c r="H52" s="12">
        <v>56.733333000000002</v>
      </c>
      <c r="I52" s="12">
        <v>-118.333333</v>
      </c>
      <c r="J52" s="12" t="s">
        <v>135</v>
      </c>
      <c r="K52" s="12" t="s">
        <v>103</v>
      </c>
      <c r="L52" s="12" t="s">
        <v>195</v>
      </c>
      <c r="M52" s="12" t="s">
        <v>236</v>
      </c>
      <c r="N52" s="16" t="s">
        <v>238</v>
      </c>
      <c r="O52" s="12" t="s">
        <v>121</v>
      </c>
      <c r="P52" s="12" t="s">
        <v>2</v>
      </c>
      <c r="Q52" s="12" t="s">
        <v>93</v>
      </c>
      <c r="R52" s="12">
        <v>1999</v>
      </c>
      <c r="S52" s="12">
        <v>1</v>
      </c>
      <c r="U52" s="12" t="s">
        <v>2</v>
      </c>
      <c r="V52" s="12">
        <v>15</v>
      </c>
      <c r="W52" s="12">
        <v>15</v>
      </c>
      <c r="X52" s="12" t="s">
        <v>134</v>
      </c>
      <c r="Y52" s="12" t="s">
        <v>154</v>
      </c>
      <c r="Z52" s="12" t="s">
        <v>0</v>
      </c>
      <c r="AA52" s="12" t="s">
        <v>148</v>
      </c>
      <c r="AB52" s="12" t="s">
        <v>2</v>
      </c>
      <c r="AC52" s="12" t="s">
        <v>2</v>
      </c>
      <c r="AD52" s="12" t="s">
        <v>2</v>
      </c>
      <c r="AE52" s="12" t="s">
        <v>250</v>
      </c>
      <c r="AF52" s="12">
        <v>0.15</v>
      </c>
      <c r="AG52" s="12">
        <v>0.6</v>
      </c>
      <c r="AH52" s="12">
        <v>2.1</v>
      </c>
      <c r="AI52" s="12">
        <f t="shared" si="16"/>
        <v>0.44715803134221926</v>
      </c>
      <c r="AJ52" s="12">
        <f t="shared" si="17"/>
        <v>-0.6020599913279624</v>
      </c>
    </row>
    <row r="53" spans="1:47" s="12" customFormat="1" ht="14.25" customHeight="1">
      <c r="A53" s="12">
        <v>480</v>
      </c>
      <c r="B53" s="12" t="s">
        <v>63</v>
      </c>
      <c r="C53" s="12" t="s">
        <v>85</v>
      </c>
      <c r="D53" s="12">
        <v>2023</v>
      </c>
      <c r="E53" s="12">
        <v>2021</v>
      </c>
      <c r="F53" s="12" t="s">
        <v>214</v>
      </c>
      <c r="G53" s="12" t="s">
        <v>161</v>
      </c>
      <c r="H53" s="12">
        <v>52.037222</v>
      </c>
      <c r="I53" s="12">
        <v>124.083611</v>
      </c>
      <c r="J53" s="12" t="s">
        <v>128</v>
      </c>
      <c r="K53" s="12" t="s">
        <v>172</v>
      </c>
      <c r="L53" s="12" t="s">
        <v>173</v>
      </c>
      <c r="M53" s="12" t="s">
        <v>236</v>
      </c>
      <c r="N53" s="12" t="s">
        <v>238</v>
      </c>
      <c r="O53" s="12" t="s">
        <v>86</v>
      </c>
      <c r="Q53" s="12" t="s">
        <v>93</v>
      </c>
      <c r="R53" s="12">
        <v>2020</v>
      </c>
      <c r="S53" s="12">
        <v>1</v>
      </c>
      <c r="V53" s="12">
        <v>6</v>
      </c>
      <c r="W53" s="12">
        <v>6</v>
      </c>
      <c r="X53" s="12" t="s">
        <v>97</v>
      </c>
      <c r="Y53" s="12" t="s">
        <v>2</v>
      </c>
      <c r="Z53" s="12" t="s">
        <v>1</v>
      </c>
      <c r="AA53" s="12" t="s">
        <v>98</v>
      </c>
      <c r="AB53" s="12" t="s">
        <v>202</v>
      </c>
      <c r="AC53" s="12" t="s">
        <v>99</v>
      </c>
      <c r="AD53" s="12" t="s">
        <v>111</v>
      </c>
      <c r="AE53" s="12" t="s">
        <v>256</v>
      </c>
      <c r="AF53" s="12">
        <v>0.26</v>
      </c>
      <c r="AG53" s="12">
        <v>0.6</v>
      </c>
      <c r="AH53" s="12">
        <v>0.45</v>
      </c>
      <c r="AI53" s="12">
        <f t="shared" ref="AI53:AI82" si="18">LOG(AH53/(AG53+AF53))</f>
        <v>-0.281285937468224</v>
      </c>
      <c r="AJ53" s="12">
        <f t="shared" si="17"/>
        <v>-0.36317790241282566</v>
      </c>
    </row>
    <row r="54" spans="1:47" s="12" customFormat="1" ht="14.25" customHeight="1">
      <c r="A54" s="12">
        <v>480</v>
      </c>
      <c r="B54" s="12" t="s">
        <v>63</v>
      </c>
      <c r="C54" s="12" t="s">
        <v>85</v>
      </c>
      <c r="D54" s="12">
        <v>2023</v>
      </c>
      <c r="E54" s="12">
        <v>2021</v>
      </c>
      <c r="F54" s="12" t="s">
        <v>214</v>
      </c>
      <c r="G54" s="12" t="s">
        <v>161</v>
      </c>
      <c r="H54" s="12">
        <v>52.037222</v>
      </c>
      <c r="I54" s="12">
        <v>124.083611</v>
      </c>
      <c r="J54" s="12" t="s">
        <v>128</v>
      </c>
      <c r="K54" s="12" t="s">
        <v>172</v>
      </c>
      <c r="L54" s="12" t="s">
        <v>173</v>
      </c>
      <c r="M54" s="12" t="s">
        <v>236</v>
      </c>
      <c r="N54" s="12" t="s">
        <v>238</v>
      </c>
      <c r="O54" s="12" t="s">
        <v>86</v>
      </c>
      <c r="Q54" s="12" t="s">
        <v>93</v>
      </c>
      <c r="R54" s="12">
        <v>2017</v>
      </c>
      <c r="S54" s="12">
        <v>4</v>
      </c>
      <c r="V54" s="12">
        <v>6</v>
      </c>
      <c r="W54" s="12">
        <v>6</v>
      </c>
      <c r="X54" s="12" t="s">
        <v>97</v>
      </c>
      <c r="Y54" s="12" t="s">
        <v>2</v>
      </c>
      <c r="Z54" s="12" t="s">
        <v>1</v>
      </c>
      <c r="AA54" s="12" t="s">
        <v>98</v>
      </c>
      <c r="AB54" s="12" t="s">
        <v>202</v>
      </c>
      <c r="AC54" s="12" t="s">
        <v>99</v>
      </c>
      <c r="AD54" s="12" t="s">
        <v>111</v>
      </c>
      <c r="AE54" s="12" t="s">
        <v>256</v>
      </c>
      <c r="AF54" s="12">
        <v>0.19</v>
      </c>
      <c r="AG54" s="12">
        <v>0.6</v>
      </c>
      <c r="AH54" s="12">
        <v>0.57999999999999996</v>
      </c>
      <c r="AI54" s="12">
        <f t="shared" si="18"/>
        <v>-0.13419909772750419</v>
      </c>
      <c r="AJ54" s="12">
        <f t="shared" si="17"/>
        <v>-0.49939764943081461</v>
      </c>
    </row>
    <row r="55" spans="1:47" s="12" customFormat="1" ht="14.25" customHeight="1">
      <c r="A55" s="12">
        <v>480</v>
      </c>
      <c r="B55" s="12" t="s">
        <v>63</v>
      </c>
      <c r="C55" s="12" t="s">
        <v>85</v>
      </c>
      <c r="D55" s="12">
        <v>2023</v>
      </c>
      <c r="E55" s="12">
        <v>2021</v>
      </c>
      <c r="F55" s="12" t="s">
        <v>214</v>
      </c>
      <c r="G55" s="12" t="s">
        <v>161</v>
      </c>
      <c r="H55" s="12">
        <v>52.037222</v>
      </c>
      <c r="I55" s="12">
        <v>124.083611</v>
      </c>
      <c r="J55" s="12" t="s">
        <v>128</v>
      </c>
      <c r="K55" s="12" t="s">
        <v>172</v>
      </c>
      <c r="L55" s="12" t="s">
        <v>173</v>
      </c>
      <c r="M55" s="12" t="s">
        <v>236</v>
      </c>
      <c r="N55" s="12" t="s">
        <v>238</v>
      </c>
      <c r="O55" s="12" t="s">
        <v>86</v>
      </c>
      <c r="Q55" s="12" t="s">
        <v>93</v>
      </c>
      <c r="R55" s="12">
        <v>2012</v>
      </c>
      <c r="S55" s="12">
        <v>9</v>
      </c>
      <c r="V55" s="12">
        <v>6</v>
      </c>
      <c r="W55" s="12">
        <v>6</v>
      </c>
      <c r="X55" s="12" t="s">
        <v>97</v>
      </c>
      <c r="Y55" s="12" t="s">
        <v>2</v>
      </c>
      <c r="Z55" s="12" t="s">
        <v>1</v>
      </c>
      <c r="AA55" s="12" t="s">
        <v>98</v>
      </c>
      <c r="AB55" s="12" t="s">
        <v>202</v>
      </c>
      <c r="AC55" s="12" t="s">
        <v>99</v>
      </c>
      <c r="AD55" s="12" t="s">
        <v>111</v>
      </c>
      <c r="AE55" s="12" t="s">
        <v>256</v>
      </c>
      <c r="AF55" s="12">
        <v>0.35</v>
      </c>
      <c r="AG55" s="12">
        <v>0.6</v>
      </c>
      <c r="AH55" s="12">
        <v>0.48</v>
      </c>
      <c r="AI55" s="12">
        <f>LOG(AH55/(AG55+AF55))</f>
        <v>-0.29648236791326055</v>
      </c>
      <c r="AJ55" s="12">
        <f t="shared" si="17"/>
        <v>-0.23408320603336796</v>
      </c>
    </row>
    <row r="56" spans="1:47" s="12" customFormat="1" ht="14.25" customHeight="1">
      <c r="A56" s="12">
        <v>480</v>
      </c>
      <c r="B56" s="12" t="s">
        <v>63</v>
      </c>
      <c r="C56" s="12" t="s">
        <v>85</v>
      </c>
      <c r="D56" s="12">
        <v>2023</v>
      </c>
      <c r="E56" s="12">
        <v>2021</v>
      </c>
      <c r="F56" s="12" t="s">
        <v>214</v>
      </c>
      <c r="G56" s="12" t="s">
        <v>161</v>
      </c>
      <c r="H56" s="12">
        <v>52.037222</v>
      </c>
      <c r="I56" s="12">
        <v>124.083611</v>
      </c>
      <c r="J56" s="12" t="s">
        <v>128</v>
      </c>
      <c r="K56" s="12" t="s">
        <v>172</v>
      </c>
      <c r="L56" s="12" t="s">
        <v>173</v>
      </c>
      <c r="M56" s="12" t="s">
        <v>236</v>
      </c>
      <c r="N56" s="12" t="s">
        <v>238</v>
      </c>
      <c r="O56" s="12" t="s">
        <v>86</v>
      </c>
      <c r="Q56" s="12" t="s">
        <v>93</v>
      </c>
      <c r="R56" s="12">
        <v>2004</v>
      </c>
      <c r="S56" s="12">
        <v>17</v>
      </c>
      <c r="V56" s="12">
        <v>6</v>
      </c>
      <c r="W56" s="12">
        <v>6</v>
      </c>
      <c r="X56" s="12" t="s">
        <v>97</v>
      </c>
      <c r="Y56" s="12" t="s">
        <v>2</v>
      </c>
      <c r="Z56" s="12" t="s">
        <v>1</v>
      </c>
      <c r="AA56" s="12" t="s">
        <v>98</v>
      </c>
      <c r="AB56" s="12" t="s">
        <v>202</v>
      </c>
      <c r="AC56" s="12" t="s">
        <v>99</v>
      </c>
      <c r="AD56" s="12" t="s">
        <v>111</v>
      </c>
      <c r="AE56" s="12" t="s">
        <v>256</v>
      </c>
      <c r="AF56" s="12">
        <v>0.45</v>
      </c>
      <c r="AG56" s="12">
        <v>0.6</v>
      </c>
      <c r="AH56" s="12">
        <v>0.52</v>
      </c>
      <c r="AI56" s="12">
        <f t="shared" si="18"/>
        <v>-0.30518595543513888</v>
      </c>
      <c r="AJ56" s="12">
        <f t="shared" si="17"/>
        <v>-0.12493873660829995</v>
      </c>
    </row>
    <row r="57" spans="1:47" s="16" customFormat="1">
      <c r="A57" s="16">
        <v>224</v>
      </c>
      <c r="B57" s="16" t="s">
        <v>241</v>
      </c>
      <c r="C57" s="16" t="s">
        <v>85</v>
      </c>
      <c r="D57" s="16">
        <v>2025</v>
      </c>
      <c r="E57" s="16">
        <v>2023</v>
      </c>
      <c r="F57" s="16" t="s">
        <v>120</v>
      </c>
      <c r="G57" s="16" t="s">
        <v>109</v>
      </c>
      <c r="H57" s="16">
        <v>41.897781999999999</v>
      </c>
      <c r="I57" s="16">
        <v>-6.3337250000000003</v>
      </c>
      <c r="J57" s="16" t="s">
        <v>128</v>
      </c>
      <c r="K57" s="16" t="s">
        <v>176</v>
      </c>
      <c r="L57" s="16" t="s">
        <v>177</v>
      </c>
      <c r="M57" s="16" t="s">
        <v>236</v>
      </c>
      <c r="N57" s="16" t="s">
        <v>238</v>
      </c>
      <c r="O57" s="16" t="s">
        <v>86</v>
      </c>
      <c r="P57" s="16" t="s">
        <v>129</v>
      </c>
      <c r="Q57" s="16" t="s">
        <v>93</v>
      </c>
      <c r="R57" s="16">
        <v>2022</v>
      </c>
      <c r="S57" s="16">
        <v>1</v>
      </c>
      <c r="U57" s="16">
        <v>56000</v>
      </c>
      <c r="X57" s="16" t="s">
        <v>97</v>
      </c>
      <c r="Y57" s="16" t="s">
        <v>133</v>
      </c>
      <c r="Z57" s="16" t="s">
        <v>0</v>
      </c>
      <c r="AA57" s="16" t="s">
        <v>98</v>
      </c>
      <c r="AB57" s="16" t="s">
        <v>202</v>
      </c>
      <c r="AC57" s="16" t="s">
        <v>99</v>
      </c>
      <c r="AD57" s="16" t="s">
        <v>111</v>
      </c>
      <c r="AE57" s="16" t="s">
        <v>256</v>
      </c>
      <c r="AF57" s="16">
        <v>0.1</v>
      </c>
      <c r="AG57" s="16">
        <v>0.21</v>
      </c>
      <c r="AH57" s="16">
        <v>0.73</v>
      </c>
      <c r="AI57" s="16">
        <f t="shared" si="18"/>
        <v>0.37196116628618325</v>
      </c>
      <c r="AJ57" s="16">
        <f t="shared" si="17"/>
        <v>-0.32221929473391925</v>
      </c>
      <c r="AT57" s="12"/>
      <c r="AU57" s="12"/>
    </row>
    <row r="58" spans="1:47" s="12" customFormat="1" ht="14.25" customHeight="1">
      <c r="A58" s="12">
        <v>138</v>
      </c>
      <c r="B58" s="12" t="s">
        <v>20</v>
      </c>
      <c r="C58" s="12" t="s">
        <v>85</v>
      </c>
      <c r="D58" s="12">
        <v>2014</v>
      </c>
      <c r="E58" s="12">
        <v>2007</v>
      </c>
      <c r="F58" s="12" t="s">
        <v>120</v>
      </c>
      <c r="G58" s="12" t="s">
        <v>109</v>
      </c>
      <c r="H58" s="12">
        <v>42.673546999999999</v>
      </c>
      <c r="I58" s="12">
        <v>-4.5904389999999999</v>
      </c>
      <c r="J58" s="12" t="s">
        <v>126</v>
      </c>
      <c r="K58" s="12" t="s">
        <v>176</v>
      </c>
      <c r="L58" s="12" t="s">
        <v>191</v>
      </c>
      <c r="M58" s="12" t="s">
        <v>236</v>
      </c>
      <c r="N58" s="12" t="s">
        <v>238</v>
      </c>
      <c r="O58" s="12" t="s">
        <v>86</v>
      </c>
      <c r="Q58" s="12" t="s">
        <v>93</v>
      </c>
      <c r="R58" s="12">
        <v>2002</v>
      </c>
      <c r="S58" s="12">
        <v>5</v>
      </c>
      <c r="U58" s="12">
        <v>118.03</v>
      </c>
      <c r="V58" s="12">
        <v>3</v>
      </c>
      <c r="W58" s="12">
        <v>3</v>
      </c>
      <c r="X58" s="12" t="s">
        <v>114</v>
      </c>
      <c r="Y58" s="12" t="s">
        <v>2</v>
      </c>
      <c r="Z58" s="12" t="s">
        <v>0</v>
      </c>
      <c r="AA58" s="12" t="s">
        <v>113</v>
      </c>
      <c r="AB58" s="12" t="s">
        <v>2</v>
      </c>
      <c r="AC58" s="12" t="s">
        <v>2</v>
      </c>
      <c r="AD58" s="12" t="s">
        <v>2</v>
      </c>
      <c r="AE58" s="12" t="s">
        <v>250</v>
      </c>
      <c r="AF58" s="12">
        <v>0.75</v>
      </c>
      <c r="AG58" s="12">
        <v>1.48</v>
      </c>
      <c r="AH58" s="12">
        <v>2.06</v>
      </c>
      <c r="AI58" s="12">
        <f t="shared" si="18"/>
        <v>-3.4437642679007271E-2</v>
      </c>
      <c r="AJ58" s="12">
        <f t="shared" si="17"/>
        <v>-0.29520045200325729</v>
      </c>
    </row>
    <row r="59" spans="1:47" s="12" customFormat="1" ht="14.25" customHeight="1">
      <c r="A59" s="12">
        <v>138</v>
      </c>
      <c r="B59" s="12" t="s">
        <v>20</v>
      </c>
      <c r="C59" s="12" t="s">
        <v>85</v>
      </c>
      <c r="D59" s="12">
        <v>2014</v>
      </c>
      <c r="E59" s="12">
        <v>2007</v>
      </c>
      <c r="F59" s="12" t="s">
        <v>120</v>
      </c>
      <c r="G59" s="12" t="s">
        <v>109</v>
      </c>
      <c r="H59" s="12">
        <v>42.673546999999999</v>
      </c>
      <c r="I59" s="12">
        <v>-4.5904389999999999</v>
      </c>
      <c r="J59" s="12" t="s">
        <v>126</v>
      </c>
      <c r="K59" s="12" t="s">
        <v>176</v>
      </c>
      <c r="L59" s="12" t="s">
        <v>191</v>
      </c>
      <c r="M59" s="12" t="s">
        <v>236</v>
      </c>
      <c r="N59" s="12" t="s">
        <v>238</v>
      </c>
      <c r="O59" s="12" t="s">
        <v>86</v>
      </c>
      <c r="Q59" s="12" t="s">
        <v>93</v>
      </c>
      <c r="R59" s="12">
        <v>2006</v>
      </c>
      <c r="S59" s="12">
        <v>1</v>
      </c>
      <c r="U59" s="12">
        <v>135.37</v>
      </c>
      <c r="V59" s="12">
        <v>3</v>
      </c>
      <c r="W59" s="12">
        <v>3</v>
      </c>
      <c r="X59" s="12" t="s">
        <v>114</v>
      </c>
      <c r="Y59" s="12" t="s">
        <v>2</v>
      </c>
      <c r="Z59" s="12" t="s">
        <v>0</v>
      </c>
      <c r="AA59" s="12" t="s">
        <v>113</v>
      </c>
      <c r="AB59" s="12" t="s">
        <v>2</v>
      </c>
      <c r="AC59" s="12" t="s">
        <v>2</v>
      </c>
      <c r="AD59" s="12" t="s">
        <v>2</v>
      </c>
      <c r="AE59" s="12" t="s">
        <v>250</v>
      </c>
      <c r="AF59" s="12">
        <v>0.55000000000000004</v>
      </c>
      <c r="AG59" s="12">
        <v>1.48</v>
      </c>
      <c r="AH59" s="12">
        <v>6.11</v>
      </c>
      <c r="AI59" s="12">
        <f t="shared" si="18"/>
        <v>0.4785451723293413</v>
      </c>
      <c r="AJ59" s="12">
        <f t="shared" si="17"/>
        <v>-0.42989902590071349</v>
      </c>
    </row>
    <row r="60" spans="1:47" s="12" customFormat="1" ht="14.1" customHeight="1">
      <c r="A60" s="12">
        <v>137</v>
      </c>
      <c r="B60" s="12" t="s">
        <v>19</v>
      </c>
      <c r="C60" s="12" t="s">
        <v>85</v>
      </c>
      <c r="D60" s="12">
        <v>2021</v>
      </c>
      <c r="E60" s="12">
        <v>2019</v>
      </c>
      <c r="F60" s="12" t="s">
        <v>163</v>
      </c>
      <c r="G60" s="12" t="s">
        <v>117</v>
      </c>
      <c r="H60" s="12">
        <v>53.832859999999997</v>
      </c>
      <c r="I60" s="12">
        <v>127.168154</v>
      </c>
      <c r="J60" s="12" t="s">
        <v>135</v>
      </c>
      <c r="K60" s="12" t="s">
        <v>172</v>
      </c>
      <c r="L60" s="12" t="s">
        <v>173</v>
      </c>
      <c r="M60" s="12" t="s">
        <v>236</v>
      </c>
      <c r="N60" s="12" t="s">
        <v>238</v>
      </c>
      <c r="O60" s="12" t="s">
        <v>86</v>
      </c>
      <c r="Q60" s="12" t="s">
        <v>93</v>
      </c>
      <c r="R60" s="12">
        <v>2003</v>
      </c>
      <c r="S60" s="12">
        <v>16</v>
      </c>
      <c r="U60" s="12">
        <v>24500</v>
      </c>
      <c r="V60" s="12">
        <v>1</v>
      </c>
      <c r="W60" s="12">
        <v>1</v>
      </c>
      <c r="X60" s="12" t="s">
        <v>134</v>
      </c>
      <c r="Y60" s="12" t="s">
        <v>2</v>
      </c>
      <c r="Z60" s="12" t="s">
        <v>1</v>
      </c>
      <c r="AA60" s="12" t="s">
        <v>98</v>
      </c>
      <c r="AB60" s="12" t="s">
        <v>158</v>
      </c>
      <c r="AC60" s="12" t="s">
        <v>203</v>
      </c>
      <c r="AD60" s="12" t="s">
        <v>100</v>
      </c>
      <c r="AE60" s="12" t="s">
        <v>256</v>
      </c>
      <c r="AF60" s="12">
        <v>0.55000000000000004</v>
      </c>
      <c r="AG60" s="12">
        <v>0.42</v>
      </c>
      <c r="AH60" s="12">
        <v>0.79</v>
      </c>
      <c r="AI60" s="12">
        <f>LOG(AH60/(AG60+AF60))</f>
        <v>-8.9144642975803365E-2</v>
      </c>
      <c r="AJ60" s="12">
        <f t="shared" si="17"/>
        <v>0.11711339909634345</v>
      </c>
    </row>
    <row r="61" spans="1:47" s="12" customFormat="1" ht="14.25" customHeight="1">
      <c r="A61" s="12">
        <v>457</v>
      </c>
      <c r="B61" s="12" t="s">
        <v>59</v>
      </c>
      <c r="C61" s="12" t="s">
        <v>85</v>
      </c>
      <c r="D61" s="12">
        <v>2022</v>
      </c>
      <c r="E61" s="12">
        <v>2019</v>
      </c>
      <c r="F61" s="12" t="s">
        <v>143</v>
      </c>
      <c r="H61" s="12">
        <v>40.990662999999998</v>
      </c>
      <c r="I61" s="12">
        <v>-106.195426</v>
      </c>
      <c r="J61" s="12" t="s">
        <v>128</v>
      </c>
      <c r="K61" s="12" t="s">
        <v>176</v>
      </c>
      <c r="L61" s="12" t="s">
        <v>186</v>
      </c>
      <c r="M61" s="12" t="s">
        <v>236</v>
      </c>
      <c r="O61" s="12" t="s">
        <v>86</v>
      </c>
      <c r="P61" s="12" t="s">
        <v>146</v>
      </c>
      <c r="Q61" s="12" t="s">
        <v>93</v>
      </c>
      <c r="R61" s="12">
        <v>2018</v>
      </c>
      <c r="S61" s="12">
        <v>1</v>
      </c>
      <c r="X61" s="12" t="s">
        <v>97</v>
      </c>
      <c r="Y61" s="12" t="s">
        <v>130</v>
      </c>
      <c r="Z61" s="12" t="s">
        <v>1</v>
      </c>
      <c r="AA61" s="12" t="s">
        <v>98</v>
      </c>
      <c r="AB61" s="12" t="s">
        <v>202</v>
      </c>
      <c r="AC61" s="12" t="s">
        <v>99</v>
      </c>
      <c r="AD61" s="12" t="s">
        <v>100</v>
      </c>
      <c r="AE61" s="12" t="s">
        <v>256</v>
      </c>
      <c r="AF61" s="12">
        <v>0.14000000000000001</v>
      </c>
      <c r="AG61" s="12">
        <v>0.38</v>
      </c>
      <c r="AH61" s="12">
        <v>0.51</v>
      </c>
      <c r="AI61" s="12">
        <f t="shared" si="18"/>
        <v>-8.433167536862813E-3</v>
      </c>
      <c r="AJ61" s="12">
        <f t="shared" si="17"/>
        <v>-0.4336555609385721</v>
      </c>
    </row>
    <row r="62" spans="1:47" s="12" customFormat="1" ht="14.25" customHeight="1">
      <c r="A62" s="12">
        <v>457</v>
      </c>
      <c r="B62" s="12" t="s">
        <v>59</v>
      </c>
      <c r="C62" s="12" t="s">
        <v>85</v>
      </c>
      <c r="D62" s="12">
        <v>2022</v>
      </c>
      <c r="E62" s="12">
        <v>2019</v>
      </c>
      <c r="F62" s="12" t="s">
        <v>143</v>
      </c>
      <c r="H62" s="12">
        <v>40.990662999999998</v>
      </c>
      <c r="I62" s="12">
        <v>-106.195426</v>
      </c>
      <c r="J62" s="12" t="s">
        <v>128</v>
      </c>
      <c r="K62" s="12" t="s">
        <v>176</v>
      </c>
      <c r="L62" s="12" t="s">
        <v>186</v>
      </c>
      <c r="M62" s="12" t="s">
        <v>236</v>
      </c>
      <c r="O62" s="12" t="s">
        <v>86</v>
      </c>
      <c r="P62" s="12" t="s">
        <v>146</v>
      </c>
      <c r="Q62" s="12" t="s">
        <v>93</v>
      </c>
      <c r="R62" s="12">
        <v>2018</v>
      </c>
      <c r="S62" s="12">
        <v>1</v>
      </c>
      <c r="X62" s="12" t="s">
        <v>97</v>
      </c>
      <c r="Y62" s="12" t="s">
        <v>232</v>
      </c>
      <c r="Z62" s="12" t="s">
        <v>1</v>
      </c>
      <c r="AA62" s="12" t="s">
        <v>98</v>
      </c>
      <c r="AB62" s="12" t="s">
        <v>202</v>
      </c>
      <c r="AC62" s="12" t="s">
        <v>99</v>
      </c>
      <c r="AD62" s="12" t="s">
        <v>100</v>
      </c>
      <c r="AE62" s="12" t="s">
        <v>256</v>
      </c>
      <c r="AF62" s="12">
        <v>0.33</v>
      </c>
      <c r="AG62" s="12">
        <v>0.31</v>
      </c>
      <c r="AH62" s="12">
        <v>0.43</v>
      </c>
      <c r="AI62" s="12">
        <f t="shared" si="18"/>
        <v>-0.17271151840430066</v>
      </c>
      <c r="AJ62" s="12">
        <f>LOG(AF62/AG62)</f>
        <v>2.7152246043614867E-2</v>
      </c>
    </row>
    <row r="63" spans="1:47" s="12" customFormat="1" ht="14.25" customHeight="1">
      <c r="A63" s="12">
        <v>457</v>
      </c>
      <c r="B63" s="12" t="s">
        <v>59</v>
      </c>
      <c r="C63" s="12" t="s">
        <v>85</v>
      </c>
      <c r="D63" s="12">
        <v>2022</v>
      </c>
      <c r="E63" s="12">
        <v>2019</v>
      </c>
      <c r="F63" s="12" t="s">
        <v>143</v>
      </c>
      <c r="H63" s="12">
        <v>40.990662999999998</v>
      </c>
      <c r="I63" s="12">
        <v>-106.195426</v>
      </c>
      <c r="J63" s="12" t="s">
        <v>128</v>
      </c>
      <c r="K63" s="12" t="s">
        <v>176</v>
      </c>
      <c r="L63" s="12" t="s">
        <v>186</v>
      </c>
      <c r="M63" s="12" t="s">
        <v>236</v>
      </c>
      <c r="O63" s="12" t="s">
        <v>86</v>
      </c>
      <c r="P63" s="12" t="s">
        <v>210</v>
      </c>
      <c r="Q63" s="12" t="s">
        <v>93</v>
      </c>
      <c r="R63" s="12">
        <v>2018</v>
      </c>
      <c r="S63" s="12">
        <v>1</v>
      </c>
      <c r="X63" s="12" t="s">
        <v>97</v>
      </c>
      <c r="Y63" s="12" t="s">
        <v>130</v>
      </c>
      <c r="Z63" s="12" t="s">
        <v>1</v>
      </c>
      <c r="AA63" s="12" t="s">
        <v>98</v>
      </c>
      <c r="AB63" s="12" t="s">
        <v>202</v>
      </c>
      <c r="AC63" s="12" t="s">
        <v>99</v>
      </c>
      <c r="AD63" s="12" t="s">
        <v>100</v>
      </c>
      <c r="AE63" s="12" t="s">
        <v>256</v>
      </c>
      <c r="AF63" s="12">
        <v>8.6999999999999994E-2</v>
      </c>
      <c r="AG63" s="12">
        <v>0.38</v>
      </c>
      <c r="AH63" s="12">
        <v>0.6</v>
      </c>
      <c r="AI63" s="12">
        <f t="shared" si="18"/>
        <v>0.10883436981753145</v>
      </c>
      <c r="AJ63" s="12">
        <f t="shared" ref="AJ63:AJ82" si="19">LOG(AF63/AG63)</f>
        <v>-0.64026434399819165</v>
      </c>
    </row>
    <row r="64" spans="1:47" s="12" customFormat="1" ht="14.25" customHeight="1">
      <c r="A64" s="12">
        <v>457</v>
      </c>
      <c r="B64" s="12" t="s">
        <v>59</v>
      </c>
      <c r="C64" s="12" t="s">
        <v>85</v>
      </c>
      <c r="D64" s="12">
        <v>2022</v>
      </c>
      <c r="E64" s="12">
        <v>2019</v>
      </c>
      <c r="F64" s="12" t="s">
        <v>143</v>
      </c>
      <c r="H64" s="12">
        <v>40.990662999999998</v>
      </c>
      <c r="I64" s="12">
        <v>-106.195426</v>
      </c>
      <c r="J64" s="12" t="s">
        <v>128</v>
      </c>
      <c r="K64" s="12" t="s">
        <v>176</v>
      </c>
      <c r="L64" s="12" t="s">
        <v>186</v>
      </c>
      <c r="M64" s="12" t="s">
        <v>236</v>
      </c>
      <c r="O64" s="12" t="s">
        <v>86</v>
      </c>
      <c r="P64" s="12" t="s">
        <v>210</v>
      </c>
      <c r="Q64" s="12" t="s">
        <v>93</v>
      </c>
      <c r="R64" s="12">
        <v>2018</v>
      </c>
      <c r="S64" s="12">
        <v>1</v>
      </c>
      <c r="X64" s="12" t="s">
        <v>97</v>
      </c>
      <c r="Y64" s="12" t="s">
        <v>232</v>
      </c>
      <c r="Z64" s="12" t="s">
        <v>1</v>
      </c>
      <c r="AA64" s="12" t="s">
        <v>98</v>
      </c>
      <c r="AB64" s="12" t="s">
        <v>202</v>
      </c>
      <c r="AC64" s="12" t="s">
        <v>99</v>
      </c>
      <c r="AD64" s="12" t="s">
        <v>100</v>
      </c>
      <c r="AE64" s="12" t="s">
        <v>256</v>
      </c>
      <c r="AF64" s="12">
        <v>0.34</v>
      </c>
      <c r="AG64" s="12">
        <v>0.31</v>
      </c>
      <c r="AH64" s="12">
        <v>0.56999999999999995</v>
      </c>
      <c r="AI64" s="12">
        <f t="shared" si="18"/>
        <v>-5.7038500970364232E-2</v>
      </c>
      <c r="AJ64" s="12">
        <f t="shared" si="19"/>
        <v>4.01172232079825E-2</v>
      </c>
    </row>
    <row r="65" spans="1:36" s="12" customFormat="1" ht="14.25" customHeight="1">
      <c r="A65" s="12">
        <v>457</v>
      </c>
      <c r="B65" s="12" t="s">
        <v>59</v>
      </c>
      <c r="C65" s="12" t="s">
        <v>85</v>
      </c>
      <c r="D65" s="12">
        <v>2022</v>
      </c>
      <c r="E65" s="12">
        <v>2019</v>
      </c>
      <c r="F65" s="12" t="s">
        <v>143</v>
      </c>
      <c r="H65" s="12">
        <v>40.990662999999998</v>
      </c>
      <c r="I65" s="12">
        <v>-106.195426</v>
      </c>
      <c r="J65" s="12" t="s">
        <v>128</v>
      </c>
      <c r="K65" s="12" t="s">
        <v>176</v>
      </c>
      <c r="L65" s="12" t="s">
        <v>186</v>
      </c>
      <c r="M65" s="12" t="s">
        <v>236</v>
      </c>
      <c r="O65" s="12" t="s">
        <v>86</v>
      </c>
      <c r="P65" s="12" t="s">
        <v>129</v>
      </c>
      <c r="Q65" s="12" t="s">
        <v>93</v>
      </c>
      <c r="R65" s="12">
        <v>2018</v>
      </c>
      <c r="S65" s="12">
        <v>1</v>
      </c>
      <c r="X65" s="12" t="s">
        <v>97</v>
      </c>
      <c r="Y65" s="12" t="s">
        <v>130</v>
      </c>
      <c r="Z65" s="12" t="s">
        <v>1</v>
      </c>
      <c r="AA65" s="12" t="s">
        <v>98</v>
      </c>
      <c r="AB65" s="12" t="s">
        <v>202</v>
      </c>
      <c r="AC65" s="12" t="s">
        <v>99</v>
      </c>
      <c r="AD65" s="12" t="s">
        <v>100</v>
      </c>
      <c r="AE65" s="12" t="s">
        <v>256</v>
      </c>
      <c r="AF65" s="12">
        <v>8.1000000000000003E-2</v>
      </c>
      <c r="AG65" s="12">
        <v>0.38</v>
      </c>
      <c r="AH65" s="12">
        <v>0.59</v>
      </c>
      <c r="AI65" s="12">
        <f t="shared" si="18"/>
        <v>0.10715108625249602</v>
      </c>
      <c r="AJ65" s="12">
        <f t="shared" si="19"/>
        <v>-0.67129857773816037</v>
      </c>
    </row>
    <row r="66" spans="1:36" s="12" customFormat="1" ht="14.25" customHeight="1">
      <c r="A66" s="12">
        <v>457</v>
      </c>
      <c r="B66" s="12" t="s">
        <v>59</v>
      </c>
      <c r="C66" s="12" t="s">
        <v>85</v>
      </c>
      <c r="D66" s="12">
        <v>2022</v>
      </c>
      <c r="E66" s="12">
        <v>2019</v>
      </c>
      <c r="F66" s="12" t="s">
        <v>143</v>
      </c>
      <c r="H66" s="12">
        <v>40.990662999999998</v>
      </c>
      <c r="I66" s="12">
        <v>-106.195426</v>
      </c>
      <c r="J66" s="12" t="s">
        <v>128</v>
      </c>
      <c r="K66" s="12" t="s">
        <v>176</v>
      </c>
      <c r="L66" s="12" t="s">
        <v>186</v>
      </c>
      <c r="M66" s="12" t="s">
        <v>236</v>
      </c>
      <c r="O66" s="12" t="s">
        <v>86</v>
      </c>
      <c r="P66" s="12" t="s">
        <v>129</v>
      </c>
      <c r="Q66" s="12" t="s">
        <v>93</v>
      </c>
      <c r="R66" s="12">
        <v>2018</v>
      </c>
      <c r="S66" s="12">
        <v>1</v>
      </c>
      <c r="X66" s="12" t="s">
        <v>97</v>
      </c>
      <c r="Y66" s="12" t="s">
        <v>232</v>
      </c>
      <c r="Z66" s="12" t="s">
        <v>1</v>
      </c>
      <c r="AA66" s="12" t="s">
        <v>98</v>
      </c>
      <c r="AB66" s="12" t="s">
        <v>202</v>
      </c>
      <c r="AC66" s="12" t="s">
        <v>99</v>
      </c>
      <c r="AD66" s="12" t="s">
        <v>100</v>
      </c>
      <c r="AE66" s="12" t="s">
        <v>256</v>
      </c>
      <c r="AF66" s="12">
        <v>0.31</v>
      </c>
      <c r="AG66" s="12">
        <v>0.31</v>
      </c>
      <c r="AH66" s="12">
        <v>0.54</v>
      </c>
      <c r="AI66" s="12">
        <f t="shared" si="18"/>
        <v>-5.9997929675285312E-2</v>
      </c>
      <c r="AJ66" s="12">
        <f t="shared" si="19"/>
        <v>0</v>
      </c>
    </row>
    <row r="67" spans="1:36" s="12" customFormat="1" ht="14.25" customHeight="1">
      <c r="A67" s="12">
        <v>70</v>
      </c>
      <c r="B67" s="12" t="s">
        <v>12</v>
      </c>
      <c r="C67" s="12" t="s">
        <v>85</v>
      </c>
      <c r="D67" s="12">
        <v>2021</v>
      </c>
      <c r="E67" s="12">
        <v>2019</v>
      </c>
      <c r="F67" s="12" t="s">
        <v>160</v>
      </c>
      <c r="G67" s="12" t="s">
        <v>161</v>
      </c>
      <c r="H67" s="12">
        <v>53.366832000000002</v>
      </c>
      <c r="I67" s="12">
        <v>21.324096999999998</v>
      </c>
      <c r="J67" s="12" t="s">
        <v>135</v>
      </c>
      <c r="K67" s="12" t="s">
        <v>176</v>
      </c>
      <c r="L67" s="12" t="s">
        <v>182</v>
      </c>
      <c r="M67" s="12" t="s">
        <v>236</v>
      </c>
      <c r="N67" s="12" t="s">
        <v>238</v>
      </c>
      <c r="O67" s="12" t="s">
        <v>86</v>
      </c>
      <c r="P67" s="12" t="s">
        <v>129</v>
      </c>
      <c r="Q67" s="12" t="s">
        <v>93</v>
      </c>
      <c r="R67" s="12">
        <v>2014</v>
      </c>
      <c r="S67" s="12">
        <v>5</v>
      </c>
      <c r="U67" s="12">
        <v>96</v>
      </c>
      <c r="X67" s="12" t="s">
        <v>134</v>
      </c>
      <c r="Y67" s="12" t="s">
        <v>154</v>
      </c>
      <c r="Z67" s="12" t="s">
        <v>1</v>
      </c>
      <c r="AA67" s="12" t="s">
        <v>98</v>
      </c>
      <c r="AB67" s="12" t="s">
        <v>158</v>
      </c>
      <c r="AD67" s="12" t="s">
        <v>100</v>
      </c>
      <c r="AE67" s="12" t="s">
        <v>256</v>
      </c>
      <c r="AF67" s="12">
        <v>1</v>
      </c>
      <c r="AG67" s="12">
        <v>0.85</v>
      </c>
      <c r="AH67" s="12">
        <v>0.92</v>
      </c>
      <c r="AI67" s="12">
        <f t="shared" si="18"/>
        <v>-0.30338390105745855</v>
      </c>
      <c r="AJ67" s="12">
        <f t="shared" si="19"/>
        <v>7.0581074285707285E-2</v>
      </c>
    </row>
    <row r="68" spans="1:36" s="12" customFormat="1" ht="14.25" customHeight="1">
      <c r="A68" s="12">
        <v>279</v>
      </c>
      <c r="B68" s="12" t="s">
        <v>43</v>
      </c>
      <c r="C68" s="12" t="s">
        <v>85</v>
      </c>
      <c r="D68" s="12">
        <v>2015</v>
      </c>
      <c r="E68" s="12">
        <v>2011</v>
      </c>
      <c r="F68" s="12" t="s">
        <v>143</v>
      </c>
      <c r="H68" s="12">
        <v>33.056356000000001</v>
      </c>
      <c r="I68" s="12">
        <v>-83.680222000000001</v>
      </c>
      <c r="J68" s="12" t="s">
        <v>128</v>
      </c>
      <c r="K68" s="12" t="s">
        <v>176</v>
      </c>
      <c r="L68" s="12" t="s">
        <v>208</v>
      </c>
      <c r="M68" s="12" t="s">
        <v>236</v>
      </c>
      <c r="N68" s="12" t="s">
        <v>238</v>
      </c>
      <c r="O68" s="12" t="s">
        <v>121</v>
      </c>
      <c r="P68" s="12" t="s">
        <v>146</v>
      </c>
      <c r="Q68" s="12" t="s">
        <v>93</v>
      </c>
      <c r="R68" s="12">
        <v>2008</v>
      </c>
      <c r="S68" s="12">
        <v>3</v>
      </c>
      <c r="T68" s="12" t="s">
        <v>350</v>
      </c>
      <c r="V68" s="12">
        <v>4</v>
      </c>
      <c r="W68" s="12">
        <v>4</v>
      </c>
      <c r="X68" s="12" t="s">
        <v>97</v>
      </c>
      <c r="Y68" s="12" t="s">
        <v>133</v>
      </c>
      <c r="Z68" s="12" t="s">
        <v>1</v>
      </c>
      <c r="AA68" s="12" t="s">
        <v>98</v>
      </c>
      <c r="AB68" s="12" t="s">
        <v>202</v>
      </c>
      <c r="AC68" s="12" t="s">
        <v>99</v>
      </c>
      <c r="AD68" s="12" t="s">
        <v>102</v>
      </c>
      <c r="AE68" s="12" t="s">
        <v>256</v>
      </c>
      <c r="AF68" s="12">
        <v>0.48</v>
      </c>
      <c r="AG68" s="12">
        <v>0.34</v>
      </c>
      <c r="AH68" s="12">
        <v>0.96</v>
      </c>
      <c r="AI68" s="12">
        <f t="shared" si="18"/>
        <v>6.8457380655851691E-2</v>
      </c>
      <c r="AJ68" s="12">
        <f t="shared" si="19"/>
        <v>0.14976232033333206</v>
      </c>
    </row>
    <row r="69" spans="1:36" s="12" customFormat="1" ht="14.25" customHeight="1">
      <c r="A69" s="12">
        <v>279</v>
      </c>
      <c r="B69" s="12" t="s">
        <v>43</v>
      </c>
      <c r="C69" s="12" t="s">
        <v>85</v>
      </c>
      <c r="D69" s="12">
        <v>2015</v>
      </c>
      <c r="E69" s="12">
        <v>2011</v>
      </c>
      <c r="F69" s="12" t="s">
        <v>143</v>
      </c>
      <c r="H69" s="12">
        <v>33.056356000000001</v>
      </c>
      <c r="I69" s="12">
        <v>-83.680222000000001</v>
      </c>
      <c r="J69" s="12" t="s">
        <v>128</v>
      </c>
      <c r="K69" s="12" t="s">
        <v>176</v>
      </c>
      <c r="L69" s="12" t="s">
        <v>208</v>
      </c>
      <c r="M69" s="12" t="s">
        <v>236</v>
      </c>
      <c r="N69" s="12" t="s">
        <v>238</v>
      </c>
      <c r="O69" s="12" t="s">
        <v>121</v>
      </c>
      <c r="P69" s="12" t="s">
        <v>146</v>
      </c>
      <c r="Q69" s="12" t="s">
        <v>93</v>
      </c>
      <c r="R69" s="12">
        <v>2001</v>
      </c>
      <c r="S69" s="12">
        <v>10</v>
      </c>
      <c r="T69" s="12" t="s">
        <v>351</v>
      </c>
      <c r="V69" s="12">
        <v>4</v>
      </c>
      <c r="W69" s="12">
        <v>4</v>
      </c>
      <c r="X69" s="12" t="s">
        <v>97</v>
      </c>
      <c r="Y69" s="12" t="s">
        <v>133</v>
      </c>
      <c r="Z69" s="12" t="s">
        <v>1</v>
      </c>
      <c r="AA69" s="12" t="s">
        <v>98</v>
      </c>
      <c r="AB69" s="12" t="s">
        <v>202</v>
      </c>
      <c r="AC69" s="12" t="s">
        <v>99</v>
      </c>
      <c r="AD69" s="12" t="s">
        <v>102</v>
      </c>
      <c r="AE69" s="12" t="s">
        <v>256</v>
      </c>
      <c r="AF69" s="12">
        <v>0.64</v>
      </c>
      <c r="AG69" s="12">
        <v>0.34</v>
      </c>
      <c r="AH69" s="12">
        <v>0.49</v>
      </c>
      <c r="AI69" s="12">
        <f t="shared" si="18"/>
        <v>-0.3010299956639812</v>
      </c>
      <c r="AJ69" s="12">
        <f t="shared" si="19"/>
        <v>0.27470105694163205</v>
      </c>
    </row>
    <row r="70" spans="1:36" s="12" customFormat="1" ht="14.25" customHeight="1">
      <c r="A70" s="12">
        <v>107</v>
      </c>
      <c r="B70" s="12" t="s">
        <v>15</v>
      </c>
      <c r="C70" s="12" t="s">
        <v>85</v>
      </c>
      <c r="D70" s="12">
        <v>2022</v>
      </c>
      <c r="E70" s="12">
        <v>2018</v>
      </c>
      <c r="F70" s="12" t="s">
        <v>167</v>
      </c>
      <c r="G70" s="12" t="s">
        <v>168</v>
      </c>
      <c r="H70" s="12">
        <v>59.183889000000001</v>
      </c>
      <c r="I70" s="12">
        <v>23.772221999999999</v>
      </c>
      <c r="J70" s="12" t="s">
        <v>128</v>
      </c>
      <c r="K70" s="12" t="s">
        <v>176</v>
      </c>
      <c r="L70" s="12" t="s">
        <v>182</v>
      </c>
      <c r="M70" s="12" t="s">
        <v>236</v>
      </c>
      <c r="N70" s="12" t="s">
        <v>238</v>
      </c>
      <c r="O70" s="12" t="s">
        <v>86</v>
      </c>
      <c r="P70" s="12" t="s">
        <v>129</v>
      </c>
      <c r="Q70" s="12" t="s">
        <v>93</v>
      </c>
      <c r="R70" s="12">
        <v>2008</v>
      </c>
      <c r="S70" s="12">
        <v>10</v>
      </c>
      <c r="U70" s="12" t="s">
        <v>169</v>
      </c>
      <c r="V70" s="12">
        <v>3</v>
      </c>
      <c r="W70" s="12">
        <v>3</v>
      </c>
      <c r="X70" s="12" t="s">
        <v>97</v>
      </c>
      <c r="Y70" s="12" t="s">
        <v>133</v>
      </c>
      <c r="Z70" s="12" t="s">
        <v>1</v>
      </c>
      <c r="AA70" s="12" t="s">
        <v>98</v>
      </c>
      <c r="AB70" s="12" t="s">
        <v>202</v>
      </c>
      <c r="AC70" s="12" t="s">
        <v>353</v>
      </c>
      <c r="AD70" s="12" t="s">
        <v>100</v>
      </c>
      <c r="AE70" s="12" t="s">
        <v>356</v>
      </c>
      <c r="AF70" s="12">
        <v>6.91</v>
      </c>
      <c r="AG70" s="12">
        <v>16.739999999999998</v>
      </c>
      <c r="AH70" s="12">
        <v>42.6</v>
      </c>
      <c r="AI70" s="12">
        <f t="shared" si="18"/>
        <v>0.25557845402888857</v>
      </c>
      <c r="AJ70" s="12">
        <f t="shared" si="19"/>
        <v>-0.38427740628304274</v>
      </c>
    </row>
    <row r="71" spans="1:36" s="12" customFormat="1" ht="14.25" customHeight="1">
      <c r="A71" s="12">
        <v>199</v>
      </c>
      <c r="B71" s="12" t="s">
        <v>30</v>
      </c>
      <c r="C71" s="12" t="s">
        <v>85</v>
      </c>
      <c r="D71" s="12">
        <v>2019</v>
      </c>
      <c r="E71" s="12">
        <v>2013</v>
      </c>
      <c r="F71" s="12" t="s">
        <v>143</v>
      </c>
      <c r="G71" s="12" t="s">
        <v>109</v>
      </c>
      <c r="H71" s="12">
        <v>34.363706000000001</v>
      </c>
      <c r="I71" s="12">
        <v>-112.274447</v>
      </c>
      <c r="J71" s="12" t="s">
        <v>126</v>
      </c>
      <c r="K71" s="12" t="s">
        <v>176</v>
      </c>
      <c r="L71" s="12" t="s">
        <v>192</v>
      </c>
      <c r="M71" s="12" t="s">
        <v>236</v>
      </c>
      <c r="N71" s="12" t="s">
        <v>238</v>
      </c>
      <c r="O71" s="12" t="s">
        <v>86</v>
      </c>
      <c r="P71" s="12" t="s">
        <v>210</v>
      </c>
      <c r="Q71" s="12" t="s">
        <v>93</v>
      </c>
      <c r="R71" s="12">
        <v>2000</v>
      </c>
      <c r="S71" s="12">
        <v>13</v>
      </c>
      <c r="U71" s="12">
        <v>6500</v>
      </c>
      <c r="V71" s="12">
        <v>3</v>
      </c>
      <c r="W71" s="12">
        <v>3</v>
      </c>
      <c r="X71" s="12" t="s">
        <v>114</v>
      </c>
      <c r="Y71" s="12" t="s">
        <v>2</v>
      </c>
      <c r="Z71" s="12" t="s">
        <v>0</v>
      </c>
      <c r="AA71" s="12" t="s">
        <v>113</v>
      </c>
      <c r="AB71" s="12" t="s">
        <v>2</v>
      </c>
      <c r="AC71" s="12" t="s">
        <v>2</v>
      </c>
      <c r="AD71" s="12" t="s">
        <v>2</v>
      </c>
      <c r="AE71" s="12" t="s">
        <v>352</v>
      </c>
      <c r="AF71" s="12">
        <v>0.93</v>
      </c>
      <c r="AG71" s="12">
        <v>1.04</v>
      </c>
      <c r="AH71" s="12">
        <v>1.21</v>
      </c>
      <c r="AI71" s="12">
        <f t="shared" si="18"/>
        <v>-0.21168085584514287</v>
      </c>
      <c r="AJ71" s="12">
        <f t="shared" si="19"/>
        <v>-4.8550390744845219E-2</v>
      </c>
    </row>
    <row r="72" spans="1:36" s="12" customFormat="1" ht="14.25" customHeight="1">
      <c r="A72" s="12">
        <v>199</v>
      </c>
      <c r="B72" s="12" t="s">
        <v>30</v>
      </c>
      <c r="C72" s="12" t="s">
        <v>85</v>
      </c>
      <c r="D72" s="12">
        <v>2019</v>
      </c>
      <c r="E72" s="12">
        <v>2013</v>
      </c>
      <c r="F72" s="12" t="s">
        <v>143</v>
      </c>
      <c r="G72" s="12" t="s">
        <v>109</v>
      </c>
      <c r="H72" s="12">
        <v>34.363706000000001</v>
      </c>
      <c r="I72" s="12">
        <v>-112.274447</v>
      </c>
      <c r="J72" s="12" t="s">
        <v>126</v>
      </c>
      <c r="K72" s="12" t="s">
        <v>176</v>
      </c>
      <c r="L72" s="12" t="s">
        <v>192</v>
      </c>
      <c r="M72" s="12" t="s">
        <v>236</v>
      </c>
      <c r="N72" s="12" t="s">
        <v>238</v>
      </c>
      <c r="O72" s="12" t="s">
        <v>86</v>
      </c>
      <c r="P72" s="12" t="s">
        <v>129</v>
      </c>
      <c r="Q72" s="12" t="s">
        <v>93</v>
      </c>
      <c r="R72" s="12">
        <v>2000</v>
      </c>
      <c r="S72" s="12">
        <v>13</v>
      </c>
      <c r="U72" s="12">
        <v>6500</v>
      </c>
      <c r="V72" s="12">
        <v>3</v>
      </c>
      <c r="W72" s="12">
        <v>3</v>
      </c>
      <c r="X72" s="12" t="s">
        <v>114</v>
      </c>
      <c r="Y72" s="12" t="s">
        <v>2</v>
      </c>
      <c r="Z72" s="12" t="s">
        <v>0</v>
      </c>
      <c r="AA72" s="12" t="s">
        <v>113</v>
      </c>
      <c r="AB72" s="12" t="s">
        <v>2</v>
      </c>
      <c r="AC72" s="12" t="s">
        <v>2</v>
      </c>
      <c r="AD72" s="12" t="s">
        <v>2</v>
      </c>
      <c r="AE72" s="12" t="s">
        <v>352</v>
      </c>
      <c r="AF72" s="12">
        <v>0.6</v>
      </c>
      <c r="AG72" s="12">
        <v>1.04</v>
      </c>
      <c r="AH72" s="12">
        <v>1.05</v>
      </c>
      <c r="AI72" s="12">
        <f t="shared" si="18"/>
        <v>-0.1936545489777598</v>
      </c>
      <c r="AJ72" s="12">
        <f t="shared" si="19"/>
        <v>-0.23888208891513676</v>
      </c>
    </row>
    <row r="73" spans="1:36" s="12" customFormat="1" ht="14.25" customHeight="1">
      <c r="A73" s="12">
        <v>199</v>
      </c>
      <c r="B73" s="12" t="s">
        <v>30</v>
      </c>
      <c r="C73" s="12" t="s">
        <v>85</v>
      </c>
      <c r="D73" s="12">
        <v>2019</v>
      </c>
      <c r="E73" s="12">
        <v>2013</v>
      </c>
      <c r="F73" s="12" t="s">
        <v>143</v>
      </c>
      <c r="G73" s="12" t="s">
        <v>109</v>
      </c>
      <c r="H73" s="12">
        <v>34.363706000000001</v>
      </c>
      <c r="I73" s="12">
        <v>-112.274447</v>
      </c>
      <c r="J73" s="12" t="s">
        <v>135</v>
      </c>
      <c r="K73" s="12" t="s">
        <v>176</v>
      </c>
      <c r="L73" s="12" t="s">
        <v>192</v>
      </c>
      <c r="M73" s="12" t="s">
        <v>236</v>
      </c>
      <c r="N73" s="12" t="s">
        <v>238</v>
      </c>
      <c r="O73" s="12" t="s">
        <v>86</v>
      </c>
      <c r="P73" s="12" t="s">
        <v>210</v>
      </c>
      <c r="Q73" s="12" t="s">
        <v>93</v>
      </c>
      <c r="R73" s="12">
        <v>2000</v>
      </c>
      <c r="S73" s="12">
        <v>13</v>
      </c>
      <c r="U73" s="12">
        <v>6500</v>
      </c>
      <c r="V73" s="12">
        <v>3</v>
      </c>
      <c r="W73" s="12">
        <v>3</v>
      </c>
      <c r="X73" s="12" t="s">
        <v>134</v>
      </c>
      <c r="Y73" s="12" t="s">
        <v>2</v>
      </c>
      <c r="Z73" s="12" t="s">
        <v>0</v>
      </c>
      <c r="AA73" s="12" t="s">
        <v>98</v>
      </c>
      <c r="AB73" s="12" t="s">
        <v>158</v>
      </c>
      <c r="AC73" s="12" t="s">
        <v>203</v>
      </c>
      <c r="AD73" s="12" t="s">
        <v>100</v>
      </c>
      <c r="AE73" s="12" t="s">
        <v>352</v>
      </c>
      <c r="AF73" s="12">
        <v>0.86</v>
      </c>
      <c r="AG73" s="12">
        <v>0.63</v>
      </c>
      <c r="AH73" s="12">
        <v>1.1000000000000001</v>
      </c>
      <c r="AI73" s="12">
        <f t="shared" si="18"/>
        <v>-0.13179358325404897</v>
      </c>
      <c r="AJ73" s="12">
        <f t="shared" si="19"/>
        <v>0.13515790178998602</v>
      </c>
    </row>
    <row r="74" spans="1:36" s="12" customFormat="1" ht="14.25" customHeight="1">
      <c r="A74" s="12">
        <v>199</v>
      </c>
      <c r="B74" s="12" t="s">
        <v>30</v>
      </c>
      <c r="C74" s="12" t="s">
        <v>85</v>
      </c>
      <c r="D74" s="12">
        <v>2019</v>
      </c>
      <c r="E74" s="12">
        <v>2013</v>
      </c>
      <c r="F74" s="12" t="s">
        <v>143</v>
      </c>
      <c r="G74" s="12" t="s">
        <v>109</v>
      </c>
      <c r="H74" s="12">
        <v>34.363706000000001</v>
      </c>
      <c r="I74" s="12">
        <v>-112.274447</v>
      </c>
      <c r="J74" s="12" t="s">
        <v>135</v>
      </c>
      <c r="K74" s="12" t="s">
        <v>176</v>
      </c>
      <c r="L74" s="12" t="s">
        <v>192</v>
      </c>
      <c r="M74" s="12" t="s">
        <v>236</v>
      </c>
      <c r="N74" s="12" t="s">
        <v>238</v>
      </c>
      <c r="O74" s="12" t="s">
        <v>86</v>
      </c>
      <c r="P74" s="12" t="s">
        <v>129</v>
      </c>
      <c r="Q74" s="12" t="s">
        <v>93</v>
      </c>
      <c r="R74" s="12">
        <v>2000</v>
      </c>
      <c r="S74" s="12">
        <v>13</v>
      </c>
      <c r="U74" s="12">
        <v>6500</v>
      </c>
      <c r="V74" s="12">
        <v>3</v>
      </c>
      <c r="W74" s="12">
        <v>3</v>
      </c>
      <c r="X74" s="12" t="s">
        <v>134</v>
      </c>
      <c r="Y74" s="12" t="s">
        <v>2</v>
      </c>
      <c r="Z74" s="12" t="s">
        <v>0</v>
      </c>
      <c r="AA74" s="12" t="s">
        <v>98</v>
      </c>
      <c r="AB74" s="12" t="s">
        <v>158</v>
      </c>
      <c r="AC74" s="12" t="s">
        <v>203</v>
      </c>
      <c r="AD74" s="12" t="s">
        <v>100</v>
      </c>
      <c r="AE74" s="12" t="s">
        <v>352</v>
      </c>
      <c r="AF74" s="12">
        <v>0.98</v>
      </c>
      <c r="AG74" s="12">
        <v>0.63</v>
      </c>
      <c r="AH74" s="12">
        <v>1.28</v>
      </c>
      <c r="AI74" s="12">
        <f t="shared" si="18"/>
        <v>-9.9615906383981309E-2</v>
      </c>
      <c r="AJ74" s="12">
        <f t="shared" si="19"/>
        <v>0.19188552623891317</v>
      </c>
    </row>
    <row r="75" spans="1:36" s="12" customFormat="1" ht="14.25" customHeight="1">
      <c r="A75" s="12">
        <v>43</v>
      </c>
      <c r="B75" s="12" t="s">
        <v>9</v>
      </c>
      <c r="C75" s="12" t="s">
        <v>85</v>
      </c>
      <c r="D75" s="12">
        <v>2023</v>
      </c>
      <c r="E75" s="12">
        <v>2020</v>
      </c>
      <c r="F75" s="12" t="s">
        <v>152</v>
      </c>
      <c r="G75" s="12" t="s">
        <v>159</v>
      </c>
      <c r="H75" s="12">
        <v>49.094827000000002</v>
      </c>
      <c r="I75" s="12">
        <v>-121.06218200000001</v>
      </c>
      <c r="J75" s="12" t="s">
        <v>128</v>
      </c>
      <c r="K75" s="12" t="s">
        <v>174</v>
      </c>
      <c r="L75" s="12" t="s">
        <v>175</v>
      </c>
      <c r="M75" s="12" t="s">
        <v>236</v>
      </c>
      <c r="N75" s="12" t="s">
        <v>238</v>
      </c>
      <c r="O75" s="12" t="s">
        <v>86</v>
      </c>
      <c r="P75" s="12" t="s">
        <v>146</v>
      </c>
      <c r="Q75" s="12" t="s">
        <v>93</v>
      </c>
      <c r="R75" s="12">
        <v>2020</v>
      </c>
      <c r="S75" s="12" t="s">
        <v>156</v>
      </c>
      <c r="U75" s="12" t="s">
        <v>155</v>
      </c>
      <c r="V75" s="12">
        <v>4</v>
      </c>
      <c r="W75" s="12">
        <v>2</v>
      </c>
      <c r="X75" s="12" t="s">
        <v>97</v>
      </c>
      <c r="Y75" s="12" t="s">
        <v>130</v>
      </c>
      <c r="Z75" s="12" t="s">
        <v>1</v>
      </c>
      <c r="AA75" s="12" t="s">
        <v>98</v>
      </c>
      <c r="AB75" s="12" t="s">
        <v>202</v>
      </c>
      <c r="AC75" s="12" t="s">
        <v>99</v>
      </c>
      <c r="AD75" s="12" t="s">
        <v>102</v>
      </c>
      <c r="AE75" s="12" t="s">
        <v>352</v>
      </c>
      <c r="AF75" s="12">
        <v>1.34</v>
      </c>
      <c r="AG75" s="12">
        <v>0.2</v>
      </c>
      <c r="AH75" s="12">
        <v>0.97</v>
      </c>
      <c r="AI75" s="12">
        <f t="shared" si="18"/>
        <v>-0.20074898657021825</v>
      </c>
      <c r="AJ75" s="12">
        <f t="shared" si="19"/>
        <v>0.82607480270082645</v>
      </c>
    </row>
    <row r="76" spans="1:36" s="12" customFormat="1" ht="14.25" customHeight="1">
      <c r="A76" s="12">
        <v>43</v>
      </c>
      <c r="B76" s="12" t="s">
        <v>9</v>
      </c>
      <c r="C76" s="12" t="s">
        <v>85</v>
      </c>
      <c r="D76" s="12">
        <v>2023</v>
      </c>
      <c r="E76" s="12">
        <v>2020</v>
      </c>
      <c r="F76" s="12" t="s">
        <v>152</v>
      </c>
      <c r="G76" s="12" t="s">
        <v>159</v>
      </c>
      <c r="H76" s="12">
        <v>49.094827000000002</v>
      </c>
      <c r="I76" s="12">
        <v>-121.06218200000001</v>
      </c>
      <c r="J76" s="12" t="s">
        <v>128</v>
      </c>
      <c r="K76" s="12" t="s">
        <v>174</v>
      </c>
      <c r="L76" s="12" t="s">
        <v>175</v>
      </c>
      <c r="M76" s="12" t="s">
        <v>236</v>
      </c>
      <c r="N76" s="12" t="s">
        <v>238</v>
      </c>
      <c r="O76" s="12" t="s">
        <v>86</v>
      </c>
      <c r="P76" s="12" t="s">
        <v>146</v>
      </c>
      <c r="Q76" s="12" t="s">
        <v>93</v>
      </c>
      <c r="R76" s="12">
        <v>2020</v>
      </c>
      <c r="S76" s="12" t="s">
        <v>156</v>
      </c>
      <c r="U76" s="12" t="s">
        <v>155</v>
      </c>
      <c r="V76" s="12">
        <v>4</v>
      </c>
      <c r="W76" s="12">
        <v>2</v>
      </c>
      <c r="X76" s="12" t="s">
        <v>97</v>
      </c>
      <c r="Y76" s="12" t="s">
        <v>232</v>
      </c>
      <c r="Z76" s="12" t="s">
        <v>1</v>
      </c>
      <c r="AA76" s="12" t="s">
        <v>98</v>
      </c>
      <c r="AB76" s="12" t="s">
        <v>202</v>
      </c>
      <c r="AC76" s="12" t="s">
        <v>99</v>
      </c>
      <c r="AD76" s="12" t="s">
        <v>102</v>
      </c>
      <c r="AE76" s="12" t="s">
        <v>352</v>
      </c>
      <c r="AF76" s="12">
        <v>0.64</v>
      </c>
      <c r="AG76" s="12">
        <v>0.24</v>
      </c>
      <c r="AH76" s="12">
        <v>0.48</v>
      </c>
      <c r="AI76" s="12">
        <f t="shared" si="18"/>
        <v>-0.26324143477458145</v>
      </c>
      <c r="AJ76" s="12">
        <f t="shared" si="19"/>
        <v>0.42596873227228121</v>
      </c>
    </row>
    <row r="77" spans="1:36" s="12" customFormat="1" ht="14.25" customHeight="1">
      <c r="A77" s="12">
        <v>43</v>
      </c>
      <c r="B77" s="12" t="s">
        <v>9</v>
      </c>
      <c r="C77" s="12" t="s">
        <v>85</v>
      </c>
      <c r="D77" s="12">
        <v>2023</v>
      </c>
      <c r="E77" s="12">
        <v>2020</v>
      </c>
      <c r="F77" s="12" t="s">
        <v>152</v>
      </c>
      <c r="G77" s="12" t="s">
        <v>159</v>
      </c>
      <c r="H77" s="12">
        <v>49.094827000000002</v>
      </c>
      <c r="I77" s="12">
        <v>-121.06218200000001</v>
      </c>
      <c r="J77" s="12" t="s">
        <v>128</v>
      </c>
      <c r="K77" s="12" t="s">
        <v>174</v>
      </c>
      <c r="L77" s="12" t="s">
        <v>175</v>
      </c>
      <c r="M77" s="12" t="s">
        <v>236</v>
      </c>
      <c r="N77" s="12" t="s">
        <v>238</v>
      </c>
      <c r="O77" s="12" t="s">
        <v>86</v>
      </c>
      <c r="P77" s="12" t="s">
        <v>210</v>
      </c>
      <c r="Q77" s="12" t="s">
        <v>93</v>
      </c>
      <c r="R77" s="12">
        <v>2020</v>
      </c>
      <c r="S77" s="12" t="s">
        <v>156</v>
      </c>
      <c r="U77" s="12" t="s">
        <v>155</v>
      </c>
      <c r="V77" s="12">
        <v>4</v>
      </c>
      <c r="W77" s="12">
        <v>3</v>
      </c>
      <c r="X77" s="12" t="s">
        <v>97</v>
      </c>
      <c r="Y77" s="12" t="s">
        <v>130</v>
      </c>
      <c r="Z77" s="12" t="s">
        <v>1</v>
      </c>
      <c r="AA77" s="12" t="s">
        <v>98</v>
      </c>
      <c r="AB77" s="12" t="s">
        <v>202</v>
      </c>
      <c r="AC77" s="12" t="s">
        <v>99</v>
      </c>
      <c r="AD77" s="12" t="s">
        <v>102</v>
      </c>
      <c r="AE77" s="12" t="s">
        <v>352</v>
      </c>
      <c r="AF77" s="12">
        <v>1.69</v>
      </c>
      <c r="AG77" s="12">
        <v>0.2</v>
      </c>
      <c r="AH77" s="12">
        <v>1.31</v>
      </c>
      <c r="AI77" s="12">
        <f t="shared" si="18"/>
        <v>-0.15919050851747987</v>
      </c>
      <c r="AJ77" s="12">
        <f t="shared" si="19"/>
        <v>0.9268567089496923</v>
      </c>
    </row>
    <row r="78" spans="1:36" s="12" customFormat="1" ht="14.25" customHeight="1">
      <c r="A78" s="12">
        <v>43</v>
      </c>
      <c r="B78" s="12" t="s">
        <v>9</v>
      </c>
      <c r="C78" s="12" t="s">
        <v>85</v>
      </c>
      <c r="D78" s="12">
        <v>2023</v>
      </c>
      <c r="E78" s="12">
        <v>2020</v>
      </c>
      <c r="F78" s="12" t="s">
        <v>152</v>
      </c>
      <c r="G78" s="12" t="s">
        <v>159</v>
      </c>
      <c r="H78" s="12">
        <v>49.094827000000002</v>
      </c>
      <c r="I78" s="12">
        <v>-121.06218200000001</v>
      </c>
      <c r="J78" s="12" t="s">
        <v>128</v>
      </c>
      <c r="K78" s="12" t="s">
        <v>174</v>
      </c>
      <c r="L78" s="12" t="s">
        <v>175</v>
      </c>
      <c r="M78" s="12" t="s">
        <v>236</v>
      </c>
      <c r="N78" s="12" t="s">
        <v>238</v>
      </c>
      <c r="O78" s="12" t="s">
        <v>86</v>
      </c>
      <c r="P78" s="12" t="s">
        <v>210</v>
      </c>
      <c r="Q78" s="12" t="s">
        <v>93</v>
      </c>
      <c r="R78" s="12">
        <v>2020</v>
      </c>
      <c r="S78" s="12" t="s">
        <v>156</v>
      </c>
      <c r="U78" s="12" t="s">
        <v>155</v>
      </c>
      <c r="V78" s="12">
        <v>4</v>
      </c>
      <c r="W78" s="12">
        <v>3</v>
      </c>
      <c r="X78" s="12" t="s">
        <v>97</v>
      </c>
      <c r="Y78" s="12" t="s">
        <v>232</v>
      </c>
      <c r="Z78" s="12" t="s">
        <v>1</v>
      </c>
      <c r="AA78" s="12" t="s">
        <v>98</v>
      </c>
      <c r="AB78" s="12" t="s">
        <v>202</v>
      </c>
      <c r="AC78" s="12" t="s">
        <v>99</v>
      </c>
      <c r="AD78" s="12" t="s">
        <v>102</v>
      </c>
      <c r="AE78" s="12" t="s">
        <v>352</v>
      </c>
      <c r="AF78" s="12">
        <v>1.04</v>
      </c>
      <c r="AG78" s="12">
        <v>0.24</v>
      </c>
      <c r="AH78" s="12">
        <v>0.82</v>
      </c>
      <c r="AI78" s="12">
        <f t="shared" si="18"/>
        <v>-0.19339611726415168</v>
      </c>
      <c r="AJ78" s="12">
        <f t="shared" si="19"/>
        <v>0.63682209758717434</v>
      </c>
    </row>
    <row r="79" spans="1:36" s="12" customFormat="1" ht="14.25" customHeight="1">
      <c r="A79" s="12">
        <v>43</v>
      </c>
      <c r="B79" s="12" t="s">
        <v>9</v>
      </c>
      <c r="C79" s="12" t="s">
        <v>85</v>
      </c>
      <c r="D79" s="12">
        <v>2023</v>
      </c>
      <c r="E79" s="12">
        <v>2020</v>
      </c>
      <c r="F79" s="12" t="s">
        <v>152</v>
      </c>
      <c r="G79" s="12" t="s">
        <v>159</v>
      </c>
      <c r="H79" s="12">
        <v>49.094827000000002</v>
      </c>
      <c r="I79" s="12">
        <v>-121.06218200000001</v>
      </c>
      <c r="J79" s="12" t="s">
        <v>128</v>
      </c>
      <c r="K79" s="12" t="s">
        <v>174</v>
      </c>
      <c r="L79" s="12" t="s">
        <v>175</v>
      </c>
      <c r="M79" s="12" t="s">
        <v>236</v>
      </c>
      <c r="N79" s="12" t="s">
        <v>238</v>
      </c>
      <c r="O79" s="12" t="s">
        <v>86</v>
      </c>
      <c r="P79" s="12" t="s">
        <v>129</v>
      </c>
      <c r="Q79" s="12" t="s">
        <v>93</v>
      </c>
      <c r="R79" s="12">
        <v>2020</v>
      </c>
      <c r="S79" s="12" t="s">
        <v>156</v>
      </c>
      <c r="U79" s="12" t="s">
        <v>155</v>
      </c>
      <c r="V79" s="12">
        <v>4</v>
      </c>
      <c r="W79" s="12">
        <v>4</v>
      </c>
      <c r="X79" s="12" t="s">
        <v>97</v>
      </c>
      <c r="Y79" s="12" t="s">
        <v>130</v>
      </c>
      <c r="Z79" s="12" t="s">
        <v>1</v>
      </c>
      <c r="AA79" s="12" t="s">
        <v>98</v>
      </c>
      <c r="AB79" s="12" t="s">
        <v>202</v>
      </c>
      <c r="AC79" s="12" t="s">
        <v>99</v>
      </c>
      <c r="AD79" s="12" t="s">
        <v>102</v>
      </c>
      <c r="AE79" s="12" t="s">
        <v>352</v>
      </c>
      <c r="AF79" s="12">
        <v>1.7</v>
      </c>
      <c r="AG79" s="12">
        <v>0.2</v>
      </c>
      <c r="AH79" s="12">
        <v>1.26</v>
      </c>
      <c r="AI79" s="12">
        <f t="shared" si="18"/>
        <v>-0.17838305583526601</v>
      </c>
      <c r="AJ79" s="12">
        <f t="shared" si="19"/>
        <v>0.92941892571429274</v>
      </c>
    </row>
    <row r="80" spans="1:36" s="12" customFormat="1" ht="14.25" customHeight="1">
      <c r="A80" s="12">
        <v>43</v>
      </c>
      <c r="B80" s="12" t="s">
        <v>9</v>
      </c>
      <c r="C80" s="12" t="s">
        <v>85</v>
      </c>
      <c r="D80" s="12">
        <v>2023</v>
      </c>
      <c r="E80" s="12">
        <v>2020</v>
      </c>
      <c r="F80" s="12" t="s">
        <v>152</v>
      </c>
      <c r="G80" s="12" t="s">
        <v>159</v>
      </c>
      <c r="H80" s="12">
        <v>49.094827000000002</v>
      </c>
      <c r="I80" s="12">
        <v>-121.06218200000001</v>
      </c>
      <c r="J80" s="12" t="s">
        <v>128</v>
      </c>
      <c r="K80" s="12" t="s">
        <v>174</v>
      </c>
      <c r="L80" s="12" t="s">
        <v>175</v>
      </c>
      <c r="M80" s="12" t="s">
        <v>236</v>
      </c>
      <c r="N80" s="12" t="s">
        <v>238</v>
      </c>
      <c r="O80" s="12" t="s">
        <v>86</v>
      </c>
      <c r="P80" s="12" t="s">
        <v>129</v>
      </c>
      <c r="Q80" s="12" t="s">
        <v>93</v>
      </c>
      <c r="R80" s="12">
        <v>2020</v>
      </c>
      <c r="S80" s="12" t="s">
        <v>156</v>
      </c>
      <c r="U80" s="12" t="s">
        <v>155</v>
      </c>
      <c r="V80" s="12">
        <v>4</v>
      </c>
      <c r="W80" s="12">
        <v>4</v>
      </c>
      <c r="X80" s="12" t="s">
        <v>97</v>
      </c>
      <c r="Y80" s="12" t="s">
        <v>232</v>
      </c>
      <c r="Z80" s="12" t="s">
        <v>1</v>
      </c>
      <c r="AA80" s="12" t="s">
        <v>98</v>
      </c>
      <c r="AB80" s="12" t="s">
        <v>202</v>
      </c>
      <c r="AC80" s="12" t="s">
        <v>99</v>
      </c>
      <c r="AD80" s="12" t="s">
        <v>102</v>
      </c>
      <c r="AE80" s="12" t="s">
        <v>352</v>
      </c>
      <c r="AF80" s="12">
        <v>1.52</v>
      </c>
      <c r="AG80" s="12">
        <v>0.24</v>
      </c>
      <c r="AH80" s="12">
        <v>1.21</v>
      </c>
      <c r="AI80" s="12">
        <f t="shared" si="18"/>
        <v>-0.16272729749769974</v>
      </c>
      <c r="AJ80" s="12">
        <f t="shared" si="19"/>
        <v>0.80163234623316659</v>
      </c>
    </row>
    <row r="81" spans="1:36" s="16" customFormat="1">
      <c r="A81" s="16">
        <v>257</v>
      </c>
      <c r="B81" s="16" t="s">
        <v>242</v>
      </c>
      <c r="C81" s="12" t="s">
        <v>85</v>
      </c>
      <c r="D81" s="16">
        <v>2025</v>
      </c>
      <c r="E81" s="16">
        <v>2019</v>
      </c>
      <c r="F81" s="16" t="s">
        <v>152</v>
      </c>
      <c r="G81" s="16" t="s">
        <v>159</v>
      </c>
      <c r="H81" s="16">
        <v>51.627439000000003</v>
      </c>
      <c r="I81" s="16">
        <v>-121.324494</v>
      </c>
      <c r="K81" s="12" t="s">
        <v>174</v>
      </c>
      <c r="L81" s="12" t="s">
        <v>175</v>
      </c>
      <c r="M81" s="12" t="s">
        <v>236</v>
      </c>
      <c r="N81" s="12" t="s">
        <v>238</v>
      </c>
      <c r="O81" s="12" t="s">
        <v>86</v>
      </c>
      <c r="P81" s="16" t="s">
        <v>146</v>
      </c>
      <c r="Q81" s="16" t="s">
        <v>93</v>
      </c>
      <c r="R81" s="16">
        <v>2017</v>
      </c>
      <c r="S81" s="16">
        <v>2</v>
      </c>
      <c r="U81" s="16">
        <v>5700</v>
      </c>
      <c r="X81" s="12" t="s">
        <v>97</v>
      </c>
      <c r="Y81" s="16" t="s">
        <v>130</v>
      </c>
      <c r="Z81" s="12" t="s">
        <v>1</v>
      </c>
      <c r="AA81" s="12" t="s">
        <v>98</v>
      </c>
      <c r="AB81" s="12" t="s">
        <v>202</v>
      </c>
      <c r="AC81" s="16" t="s">
        <v>354</v>
      </c>
      <c r="AD81" s="16" t="s">
        <v>100</v>
      </c>
      <c r="AE81" s="16" t="s">
        <v>352</v>
      </c>
      <c r="AF81" s="16">
        <v>0.15</v>
      </c>
      <c r="AG81" s="16">
        <v>0.11</v>
      </c>
      <c r="AH81" s="16">
        <v>0.54</v>
      </c>
      <c r="AI81" s="16">
        <f t="shared" si="18"/>
        <v>0.31742041185215059</v>
      </c>
      <c r="AJ81" s="16">
        <f t="shared" si="19"/>
        <v>0.13469857389745618</v>
      </c>
    </row>
    <row r="82" spans="1:36" s="16" customFormat="1">
      <c r="A82" s="16">
        <v>257</v>
      </c>
      <c r="B82" s="16" t="s">
        <v>242</v>
      </c>
      <c r="C82" s="12" t="s">
        <v>85</v>
      </c>
      <c r="D82" s="16">
        <v>2025</v>
      </c>
      <c r="E82" s="16">
        <v>2019</v>
      </c>
      <c r="F82" s="16" t="s">
        <v>152</v>
      </c>
      <c r="G82" s="16" t="s">
        <v>159</v>
      </c>
      <c r="H82" s="16">
        <v>51.627439000000003</v>
      </c>
      <c r="I82" s="16">
        <v>-121.324494</v>
      </c>
      <c r="K82" s="12" t="s">
        <v>174</v>
      </c>
      <c r="L82" s="12" t="s">
        <v>175</v>
      </c>
      <c r="M82" s="12" t="s">
        <v>236</v>
      </c>
      <c r="N82" s="12" t="s">
        <v>238</v>
      </c>
      <c r="O82" s="12" t="s">
        <v>86</v>
      </c>
      <c r="P82" s="16" t="s">
        <v>146</v>
      </c>
      <c r="Q82" s="16" t="s">
        <v>93</v>
      </c>
      <c r="R82" s="16">
        <v>2017</v>
      </c>
      <c r="S82" s="16">
        <v>2</v>
      </c>
      <c r="U82" s="16">
        <v>5700</v>
      </c>
      <c r="X82" s="12" t="s">
        <v>97</v>
      </c>
      <c r="Y82" s="16" t="s">
        <v>229</v>
      </c>
      <c r="Z82" s="12" t="s">
        <v>1</v>
      </c>
      <c r="AA82" s="12" t="s">
        <v>98</v>
      </c>
      <c r="AB82" s="12" t="s">
        <v>202</v>
      </c>
      <c r="AC82" s="16" t="s">
        <v>354</v>
      </c>
      <c r="AD82" s="16" t="s">
        <v>100</v>
      </c>
      <c r="AE82" s="16" t="s">
        <v>352</v>
      </c>
      <c r="AF82" s="16">
        <v>0.28000000000000003</v>
      </c>
      <c r="AG82" s="16">
        <v>0.17</v>
      </c>
      <c r="AH82" s="16">
        <v>0.56000000000000005</v>
      </c>
      <c r="AI82" s="16">
        <f t="shared" si="18"/>
        <v>9.4975513230856748E-2</v>
      </c>
      <c r="AJ82" s="16">
        <f t="shared" si="19"/>
        <v>0.21670910996394532</v>
      </c>
    </row>
    <row r="83" spans="1:36" s="16" customFormat="1">
      <c r="A83" s="16">
        <v>257</v>
      </c>
      <c r="B83" s="16" t="s">
        <v>242</v>
      </c>
      <c r="C83" s="12" t="s">
        <v>85</v>
      </c>
      <c r="D83" s="16">
        <v>2025</v>
      </c>
      <c r="E83" s="16">
        <v>2019</v>
      </c>
      <c r="F83" s="16" t="s">
        <v>152</v>
      </c>
      <c r="G83" s="16" t="s">
        <v>159</v>
      </c>
      <c r="H83" s="16">
        <v>51.627439000000003</v>
      </c>
      <c r="I83" s="16">
        <v>-121.324494</v>
      </c>
      <c r="K83" s="12" t="s">
        <v>174</v>
      </c>
      <c r="L83" s="12" t="s">
        <v>175</v>
      </c>
      <c r="M83" s="12" t="s">
        <v>236</v>
      </c>
      <c r="N83" s="12" t="s">
        <v>238</v>
      </c>
      <c r="O83" s="12" t="s">
        <v>86</v>
      </c>
      <c r="P83" s="16" t="s">
        <v>210</v>
      </c>
      <c r="Q83" s="16" t="s">
        <v>93</v>
      </c>
      <c r="R83" s="16">
        <v>2017</v>
      </c>
      <c r="S83" s="16">
        <v>2</v>
      </c>
      <c r="U83" s="16">
        <v>5700</v>
      </c>
      <c r="X83" s="12" t="s">
        <v>97</v>
      </c>
      <c r="Y83" s="16" t="s">
        <v>130</v>
      </c>
      <c r="Z83" s="12" t="s">
        <v>1</v>
      </c>
      <c r="AA83" s="12" t="s">
        <v>98</v>
      </c>
      <c r="AB83" s="12" t="s">
        <v>202</v>
      </c>
      <c r="AC83" s="16" t="s">
        <v>354</v>
      </c>
      <c r="AD83" s="16" t="s">
        <v>100</v>
      </c>
      <c r="AE83" s="16" t="s">
        <v>352</v>
      </c>
      <c r="AF83" s="16">
        <v>0.41</v>
      </c>
      <c r="AG83" s="16">
        <v>0.11</v>
      </c>
      <c r="AH83" s="16">
        <v>1.06</v>
      </c>
      <c r="AI83" s="16">
        <f t="shared" ref="AI83:AI87" si="20">LOG(AH83/(AG83+AF83))</f>
        <v>0.30930252162997107</v>
      </c>
      <c r="AJ83" s="16">
        <f t="shared" ref="AJ83:AJ87" si="21">LOG(AF83/AG83)</f>
        <v>0.57139117156151042</v>
      </c>
    </row>
    <row r="84" spans="1:36" s="16" customFormat="1">
      <c r="A84" s="16">
        <v>257</v>
      </c>
      <c r="B84" s="16" t="s">
        <v>242</v>
      </c>
      <c r="C84" s="12" t="s">
        <v>85</v>
      </c>
      <c r="D84" s="16">
        <v>2025</v>
      </c>
      <c r="E84" s="16">
        <v>2019</v>
      </c>
      <c r="F84" s="16" t="s">
        <v>152</v>
      </c>
      <c r="G84" s="16" t="s">
        <v>159</v>
      </c>
      <c r="H84" s="16">
        <v>51.627439000000003</v>
      </c>
      <c r="I84" s="16">
        <v>-121.324494</v>
      </c>
      <c r="K84" s="12" t="s">
        <v>174</v>
      </c>
      <c r="L84" s="12" t="s">
        <v>175</v>
      </c>
      <c r="M84" s="12" t="s">
        <v>236</v>
      </c>
      <c r="N84" s="12" t="s">
        <v>238</v>
      </c>
      <c r="O84" s="12" t="s">
        <v>86</v>
      </c>
      <c r="P84" s="16" t="s">
        <v>210</v>
      </c>
      <c r="Q84" s="16" t="s">
        <v>93</v>
      </c>
      <c r="R84" s="16">
        <v>2017</v>
      </c>
      <c r="S84" s="16">
        <v>2</v>
      </c>
      <c r="U84" s="16">
        <v>5700</v>
      </c>
      <c r="X84" s="12" t="s">
        <v>97</v>
      </c>
      <c r="Y84" s="16" t="s">
        <v>229</v>
      </c>
      <c r="Z84" s="12" t="s">
        <v>1</v>
      </c>
      <c r="AA84" s="12" t="s">
        <v>98</v>
      </c>
      <c r="AB84" s="12" t="s">
        <v>202</v>
      </c>
      <c r="AC84" s="16" t="s">
        <v>354</v>
      </c>
      <c r="AD84" s="16" t="s">
        <v>100</v>
      </c>
      <c r="AE84" s="16" t="s">
        <v>352</v>
      </c>
      <c r="AF84" s="16">
        <v>0.19</v>
      </c>
      <c r="AG84" s="16">
        <v>0.17</v>
      </c>
      <c r="AH84" s="16">
        <v>0.75</v>
      </c>
      <c r="AI84" s="16">
        <f t="shared" si="20"/>
        <v>0.31875876262441283</v>
      </c>
      <c r="AJ84" s="16">
        <f t="shared" si="21"/>
        <v>4.8304679574555046E-2</v>
      </c>
    </row>
    <row r="85" spans="1:36" s="16" customFormat="1">
      <c r="A85" s="16">
        <v>257</v>
      </c>
      <c r="B85" s="16" t="s">
        <v>242</v>
      </c>
      <c r="C85" s="12" t="s">
        <v>85</v>
      </c>
      <c r="D85" s="16">
        <v>2025</v>
      </c>
      <c r="E85" s="16">
        <v>2019</v>
      </c>
      <c r="F85" s="16" t="s">
        <v>152</v>
      </c>
      <c r="G85" s="16" t="s">
        <v>159</v>
      </c>
      <c r="H85" s="16">
        <v>51.627439000000003</v>
      </c>
      <c r="I85" s="16">
        <v>-121.324494</v>
      </c>
      <c r="K85" s="12" t="s">
        <v>174</v>
      </c>
      <c r="L85" s="12" t="s">
        <v>175</v>
      </c>
      <c r="M85" s="12" t="s">
        <v>236</v>
      </c>
      <c r="N85" s="12" t="s">
        <v>238</v>
      </c>
      <c r="O85" s="12" t="s">
        <v>86</v>
      </c>
      <c r="P85" s="16" t="s">
        <v>129</v>
      </c>
      <c r="Q85" s="16" t="s">
        <v>93</v>
      </c>
      <c r="R85" s="16">
        <v>2017</v>
      </c>
      <c r="S85" s="16">
        <v>2</v>
      </c>
      <c r="U85" s="16">
        <v>5700</v>
      </c>
      <c r="X85" s="12" t="s">
        <v>97</v>
      </c>
      <c r="Y85" s="16" t="s">
        <v>229</v>
      </c>
      <c r="Z85" s="12" t="s">
        <v>1</v>
      </c>
      <c r="AA85" s="12" t="s">
        <v>98</v>
      </c>
      <c r="AB85" s="12" t="s">
        <v>202</v>
      </c>
      <c r="AC85" s="16" t="s">
        <v>354</v>
      </c>
      <c r="AD85" s="16" t="s">
        <v>100</v>
      </c>
      <c r="AE85" s="16" t="s">
        <v>352</v>
      </c>
      <c r="AF85" s="16">
        <v>0.19</v>
      </c>
      <c r="AG85" s="16">
        <v>0.17</v>
      </c>
      <c r="AH85" s="16">
        <v>1.01</v>
      </c>
      <c r="AI85" s="16">
        <f t="shared" si="20"/>
        <v>0.44801887301535537</v>
      </c>
      <c r="AJ85" s="16">
        <f t="shared" si="21"/>
        <v>4.8304679574555046E-2</v>
      </c>
    </row>
    <row r="86" spans="1:36" s="12" customFormat="1" ht="14.25" customHeight="1">
      <c r="A86" s="12">
        <v>398</v>
      </c>
      <c r="B86" s="12" t="s">
        <v>49</v>
      </c>
      <c r="C86" s="12" t="s">
        <v>85</v>
      </c>
      <c r="D86" s="12">
        <v>2023</v>
      </c>
      <c r="E86" s="12">
        <v>2017</v>
      </c>
      <c r="F86" s="12" t="s">
        <v>143</v>
      </c>
      <c r="G86" s="16" t="s">
        <v>159</v>
      </c>
      <c r="H86" s="12">
        <v>49.513615000000001</v>
      </c>
      <c r="I86" s="12">
        <v>-91.655843000000004</v>
      </c>
      <c r="J86" s="12" t="s">
        <v>128</v>
      </c>
      <c r="K86" s="12" t="s">
        <v>176</v>
      </c>
      <c r="L86" s="12" t="s">
        <v>190</v>
      </c>
      <c r="M86" s="12" t="s">
        <v>236</v>
      </c>
      <c r="N86" s="12" t="s">
        <v>238</v>
      </c>
      <c r="O86" s="12" t="s">
        <v>86</v>
      </c>
      <c r="Q86" s="12" t="s">
        <v>93</v>
      </c>
      <c r="R86" s="12">
        <v>2005</v>
      </c>
      <c r="S86" s="12">
        <v>12</v>
      </c>
      <c r="V86" s="12">
        <v>27</v>
      </c>
      <c r="W86" s="12">
        <v>27</v>
      </c>
      <c r="X86" s="12" t="s">
        <v>97</v>
      </c>
      <c r="Y86" s="12" t="s">
        <v>133</v>
      </c>
      <c r="Z86" s="12" t="s">
        <v>1</v>
      </c>
      <c r="AA86" s="12" t="s">
        <v>98</v>
      </c>
      <c r="AB86" s="12" t="s">
        <v>202</v>
      </c>
      <c r="AC86" s="12" t="s">
        <v>99</v>
      </c>
      <c r="AD86" s="12" t="s">
        <v>100</v>
      </c>
      <c r="AE86" s="12" t="s">
        <v>256</v>
      </c>
      <c r="AF86" s="12">
        <v>0.23</v>
      </c>
      <c r="AG86" s="12">
        <v>0.24</v>
      </c>
      <c r="AH86" s="12">
        <v>1.22</v>
      </c>
      <c r="AI86" s="12">
        <f t="shared" si="20"/>
        <v>0.41426197273903076</v>
      </c>
      <c r="AJ86" s="12">
        <f t="shared" si="21"/>
        <v>-1.8483405694013126E-2</v>
      </c>
    </row>
    <row r="87" spans="1:36" s="12" customFormat="1" ht="14.25" customHeight="1">
      <c r="A87" s="12">
        <v>238</v>
      </c>
      <c r="B87" s="12" t="s">
        <v>37</v>
      </c>
      <c r="C87" s="12" t="s">
        <v>85</v>
      </c>
      <c r="D87" s="12">
        <v>2021</v>
      </c>
      <c r="E87" s="12">
        <v>2017</v>
      </c>
      <c r="F87" s="12" t="s">
        <v>143</v>
      </c>
      <c r="G87" s="16" t="s">
        <v>159</v>
      </c>
      <c r="H87" s="12">
        <v>48.602961000000001</v>
      </c>
      <c r="I87" s="12">
        <v>-119.23058899999999</v>
      </c>
      <c r="J87" s="12" t="s">
        <v>128</v>
      </c>
      <c r="K87" s="12" t="s">
        <v>176</v>
      </c>
      <c r="L87" s="12" t="s">
        <v>192</v>
      </c>
      <c r="M87" s="12" t="s">
        <v>236</v>
      </c>
      <c r="N87" s="12" t="s">
        <v>238</v>
      </c>
      <c r="O87" s="12" t="s">
        <v>86</v>
      </c>
      <c r="P87" s="12" t="s">
        <v>129</v>
      </c>
      <c r="Q87" s="12" t="s">
        <v>93</v>
      </c>
      <c r="R87" s="12">
        <v>2006</v>
      </c>
      <c r="S87" s="12">
        <v>11</v>
      </c>
      <c r="U87" s="12">
        <v>17000</v>
      </c>
      <c r="X87" s="12" t="s">
        <v>97</v>
      </c>
      <c r="Y87" s="12" t="s">
        <v>364</v>
      </c>
      <c r="Z87" s="12" t="s">
        <v>1</v>
      </c>
      <c r="AA87" s="12" t="s">
        <v>98</v>
      </c>
      <c r="AB87" s="12" t="s">
        <v>202</v>
      </c>
      <c r="AC87" s="12" t="s">
        <v>99</v>
      </c>
      <c r="AD87" s="12" t="s">
        <v>111</v>
      </c>
      <c r="AE87" s="12" t="s">
        <v>256</v>
      </c>
      <c r="AF87" s="12">
        <v>0.12</v>
      </c>
      <c r="AG87" s="12">
        <v>7.0000000000000007E-2</v>
      </c>
      <c r="AH87" s="12">
        <v>0.28999999999999998</v>
      </c>
      <c r="AI87" s="12">
        <f t="shared" si="20"/>
        <v>0.18364439694612708</v>
      </c>
      <c r="AJ87" s="12">
        <f t="shared" si="21"/>
        <v>0.23408320603336791</v>
      </c>
    </row>
    <row r="88" spans="1:36" s="12" customFormat="1" ht="14.25" customHeight="1">
      <c r="A88" s="12">
        <v>238</v>
      </c>
      <c r="B88" s="12" t="s">
        <v>37</v>
      </c>
      <c r="C88" s="12" t="s">
        <v>85</v>
      </c>
      <c r="D88" s="12">
        <v>2021</v>
      </c>
      <c r="E88" s="12">
        <v>2017</v>
      </c>
      <c r="F88" s="12" t="s">
        <v>143</v>
      </c>
      <c r="G88" s="16" t="s">
        <v>159</v>
      </c>
      <c r="H88" s="12">
        <v>48.602961000000001</v>
      </c>
      <c r="I88" s="12">
        <v>-119.23058899999999</v>
      </c>
      <c r="J88" s="12" t="s">
        <v>128</v>
      </c>
      <c r="K88" s="12" t="s">
        <v>176</v>
      </c>
      <c r="L88" s="12" t="s">
        <v>192</v>
      </c>
      <c r="M88" s="12" t="s">
        <v>236</v>
      </c>
      <c r="N88" s="12" t="s">
        <v>238</v>
      </c>
      <c r="O88" s="12" t="s">
        <v>86</v>
      </c>
      <c r="P88" s="12" t="s">
        <v>129</v>
      </c>
      <c r="Q88" s="12" t="s">
        <v>93</v>
      </c>
      <c r="R88" s="12">
        <v>2012</v>
      </c>
      <c r="S88" s="12">
        <v>5</v>
      </c>
      <c r="U88" s="12">
        <v>17000</v>
      </c>
      <c r="X88" s="12" t="s">
        <v>97</v>
      </c>
      <c r="Y88" s="12" t="s">
        <v>364</v>
      </c>
      <c r="Z88" s="12" t="s">
        <v>1</v>
      </c>
      <c r="AA88" s="12" t="s">
        <v>98</v>
      </c>
      <c r="AB88" s="12" t="s">
        <v>202</v>
      </c>
      <c r="AC88" s="12" t="s">
        <v>99</v>
      </c>
      <c r="AD88" s="12" t="s">
        <v>111</v>
      </c>
      <c r="AE88" s="12" t="s">
        <v>256</v>
      </c>
      <c r="AF88" s="12">
        <v>0.13</v>
      </c>
      <c r="AG88" s="12">
        <v>0.12</v>
      </c>
      <c r="AH88" s="12">
        <v>0.45</v>
      </c>
      <c r="AI88" s="12">
        <f t="shared" ref="AI88:AI93" si="22">LOG(AH88/(AG88+AF88))</f>
        <v>0.25527250510330607</v>
      </c>
      <c r="AJ88" s="12">
        <f t="shared" ref="AJ88:AJ93" si="23">LOG(AF88/AG88)</f>
        <v>3.4762106259212E-2</v>
      </c>
    </row>
    <row r="89" spans="1:36" s="12" customFormat="1" ht="14.25" customHeight="1">
      <c r="A89" s="12">
        <v>238</v>
      </c>
      <c r="B89" s="12" t="s">
        <v>37</v>
      </c>
      <c r="C89" s="12" t="s">
        <v>85</v>
      </c>
      <c r="D89" s="12">
        <v>2021</v>
      </c>
      <c r="E89" s="12">
        <v>2017</v>
      </c>
      <c r="F89" s="12" t="s">
        <v>143</v>
      </c>
      <c r="G89" s="16" t="s">
        <v>159</v>
      </c>
      <c r="H89" s="12">
        <v>48.602961000000001</v>
      </c>
      <c r="I89" s="12">
        <v>-119.23058899999999</v>
      </c>
      <c r="J89" s="12" t="s">
        <v>128</v>
      </c>
      <c r="K89" s="12" t="s">
        <v>176</v>
      </c>
      <c r="L89" s="12" t="s">
        <v>192</v>
      </c>
      <c r="M89" s="12" t="s">
        <v>236</v>
      </c>
      <c r="N89" s="12" t="s">
        <v>238</v>
      </c>
      <c r="O89" s="12" t="s">
        <v>86</v>
      </c>
      <c r="P89" s="12" t="s">
        <v>129</v>
      </c>
      <c r="Q89" s="12" t="s">
        <v>93</v>
      </c>
      <c r="R89" s="12">
        <v>2014</v>
      </c>
      <c r="S89" s="12">
        <v>3</v>
      </c>
      <c r="U89" s="12">
        <v>17000</v>
      </c>
      <c r="X89" s="12" t="s">
        <v>97</v>
      </c>
      <c r="Y89" s="12" t="s">
        <v>364</v>
      </c>
      <c r="Z89" s="12" t="s">
        <v>1</v>
      </c>
      <c r="AA89" s="12" t="s">
        <v>98</v>
      </c>
      <c r="AB89" s="12" t="s">
        <v>202</v>
      </c>
      <c r="AC89" s="12" t="s">
        <v>99</v>
      </c>
      <c r="AD89" s="12" t="s">
        <v>111</v>
      </c>
      <c r="AE89" s="12" t="s">
        <v>256</v>
      </c>
      <c r="AF89" s="12">
        <v>0.19</v>
      </c>
      <c r="AG89" s="12">
        <v>0.09</v>
      </c>
      <c r="AH89" s="12">
        <v>0.43</v>
      </c>
      <c r="AI89" s="12">
        <f t="shared" si="22"/>
        <v>0.18631042423736727</v>
      </c>
      <c r="AJ89" s="12">
        <f t="shared" si="23"/>
        <v>0.3245110915135041</v>
      </c>
    </row>
    <row r="90" spans="1:36" s="12" customFormat="1" ht="14.25" customHeight="1">
      <c r="A90" s="12">
        <v>238</v>
      </c>
      <c r="B90" s="12" t="s">
        <v>37</v>
      </c>
      <c r="C90" s="12" t="s">
        <v>85</v>
      </c>
      <c r="D90" s="12">
        <v>2021</v>
      </c>
      <c r="E90" s="12">
        <v>2017</v>
      </c>
      <c r="F90" s="12" t="s">
        <v>143</v>
      </c>
      <c r="G90" s="16" t="s">
        <v>159</v>
      </c>
      <c r="H90" s="12">
        <v>48.602961000000001</v>
      </c>
      <c r="I90" s="12">
        <v>-119.23058899999999</v>
      </c>
      <c r="J90" s="12" t="s">
        <v>128</v>
      </c>
      <c r="K90" s="12" t="s">
        <v>176</v>
      </c>
      <c r="L90" s="12" t="s">
        <v>192</v>
      </c>
      <c r="M90" s="12" t="s">
        <v>236</v>
      </c>
      <c r="N90" s="12" t="s">
        <v>238</v>
      </c>
      <c r="O90" s="12" t="s">
        <v>86</v>
      </c>
      <c r="P90" s="12" t="s">
        <v>129</v>
      </c>
      <c r="Q90" s="12" t="s">
        <v>93</v>
      </c>
      <c r="R90" s="12">
        <v>2016</v>
      </c>
      <c r="S90" s="12">
        <v>2</v>
      </c>
      <c r="U90" s="12">
        <v>17000</v>
      </c>
      <c r="X90" s="12" t="s">
        <v>97</v>
      </c>
      <c r="Y90" s="12" t="s">
        <v>364</v>
      </c>
      <c r="Z90" s="12" t="s">
        <v>1</v>
      </c>
      <c r="AA90" s="12" t="s">
        <v>98</v>
      </c>
      <c r="AB90" s="12" t="s">
        <v>202</v>
      </c>
      <c r="AC90" s="12" t="s">
        <v>99</v>
      </c>
      <c r="AD90" s="12" t="s">
        <v>111</v>
      </c>
      <c r="AE90" s="12" t="s">
        <v>256</v>
      </c>
      <c r="AF90" s="12">
        <v>0.14000000000000001</v>
      </c>
      <c r="AG90" s="12">
        <v>0.15</v>
      </c>
      <c r="AH90" s="12">
        <v>0.65</v>
      </c>
      <c r="AI90" s="12">
        <f t="shared" si="22"/>
        <v>0.35051535874389944</v>
      </c>
      <c r="AJ90" s="12">
        <f t="shared" si="23"/>
        <v>-2.9963223377443157E-2</v>
      </c>
    </row>
    <row r="91" spans="1:36" s="12" customFormat="1" ht="14.25" customHeight="1">
      <c r="A91" s="12">
        <v>534</v>
      </c>
      <c r="B91" s="12" t="s">
        <v>68</v>
      </c>
      <c r="C91" s="12" t="s">
        <v>85</v>
      </c>
      <c r="D91" s="12">
        <v>2022</v>
      </c>
      <c r="E91" s="12">
        <v>2018</v>
      </c>
      <c r="F91" s="12" t="s">
        <v>143</v>
      </c>
      <c r="G91" s="12" t="s">
        <v>109</v>
      </c>
      <c r="H91" s="12">
        <v>33.299100000000003</v>
      </c>
      <c r="I91" s="12">
        <v>-116.800786</v>
      </c>
      <c r="J91" s="12" t="s">
        <v>128</v>
      </c>
      <c r="K91" s="12" t="s">
        <v>218</v>
      </c>
      <c r="L91" s="12" t="s">
        <v>219</v>
      </c>
      <c r="M91" s="12" t="s">
        <v>237</v>
      </c>
      <c r="N91" s="12" t="s">
        <v>238</v>
      </c>
      <c r="O91" s="12" t="s">
        <v>86</v>
      </c>
      <c r="Q91" s="12" t="s">
        <v>93</v>
      </c>
      <c r="R91" s="12">
        <v>2018</v>
      </c>
      <c r="S91" s="12" t="s">
        <v>367</v>
      </c>
      <c r="U91" s="12">
        <v>9400</v>
      </c>
      <c r="X91" s="12" t="s">
        <v>97</v>
      </c>
      <c r="Y91" s="12" t="s">
        <v>133</v>
      </c>
      <c r="Z91" s="12" t="s">
        <v>0</v>
      </c>
      <c r="AA91" s="12" t="s">
        <v>98</v>
      </c>
      <c r="AB91" s="12" t="s">
        <v>202</v>
      </c>
      <c r="AC91" s="12" t="s">
        <v>99</v>
      </c>
      <c r="AD91" s="12" t="s">
        <v>102</v>
      </c>
      <c r="AE91" s="12" t="s">
        <v>256</v>
      </c>
      <c r="AF91" s="12">
        <v>0.18</v>
      </c>
      <c r="AG91" s="12">
        <v>0.2</v>
      </c>
      <c r="AH91" s="12">
        <v>0.43</v>
      </c>
      <c r="AI91" s="12">
        <f t="shared" si="22"/>
        <v>5.3684858962776354E-2</v>
      </c>
      <c r="AJ91" s="12">
        <f t="shared" si="23"/>
        <v>-4.5757490560675171E-2</v>
      </c>
    </row>
    <row r="92" spans="1:36" s="12" customFormat="1" ht="14.25" customHeight="1">
      <c r="A92" s="12">
        <v>534</v>
      </c>
      <c r="B92" s="12" t="s">
        <v>68</v>
      </c>
      <c r="C92" s="12" t="s">
        <v>85</v>
      </c>
      <c r="D92" s="12">
        <v>2022</v>
      </c>
      <c r="E92" s="12">
        <v>2018</v>
      </c>
      <c r="F92" s="12" t="s">
        <v>143</v>
      </c>
      <c r="G92" s="12" t="s">
        <v>109</v>
      </c>
      <c r="H92" s="12">
        <v>33.299100000000003</v>
      </c>
      <c r="I92" s="12">
        <v>-116.800786</v>
      </c>
      <c r="J92" s="12" t="s">
        <v>128</v>
      </c>
      <c r="K92" s="12" t="s">
        <v>218</v>
      </c>
      <c r="L92" s="12" t="s">
        <v>219</v>
      </c>
      <c r="M92" s="12" t="s">
        <v>237</v>
      </c>
      <c r="N92" s="12" t="s">
        <v>238</v>
      </c>
      <c r="O92" s="12" t="s">
        <v>86</v>
      </c>
      <c r="Q92" s="12" t="s">
        <v>93</v>
      </c>
      <c r="R92" s="12">
        <v>2018</v>
      </c>
      <c r="S92" s="12" t="s">
        <v>369</v>
      </c>
      <c r="U92" s="12">
        <v>9400</v>
      </c>
      <c r="X92" s="12" t="s">
        <v>97</v>
      </c>
      <c r="Y92" s="12" t="s">
        <v>133</v>
      </c>
      <c r="Z92" s="12" t="s">
        <v>0</v>
      </c>
      <c r="AA92" s="12" t="s">
        <v>98</v>
      </c>
      <c r="AB92" s="12" t="s">
        <v>202</v>
      </c>
      <c r="AC92" s="12" t="s">
        <v>99</v>
      </c>
      <c r="AD92" s="12" t="s">
        <v>102</v>
      </c>
      <c r="AE92" s="12" t="s">
        <v>256</v>
      </c>
      <c r="AF92" s="12">
        <v>0.21</v>
      </c>
      <c r="AG92" s="12">
        <v>0.22</v>
      </c>
      <c r="AH92" s="12">
        <v>0.56999999999999995</v>
      </c>
      <c r="AI92" s="12">
        <f t="shared" si="22"/>
        <v>0.12240640009290485</v>
      </c>
      <c r="AJ92" s="12">
        <f t="shared" si="23"/>
        <v>-2.0203386088287E-2</v>
      </c>
    </row>
    <row r="93" spans="1:36" s="12" customFormat="1" ht="14.25" customHeight="1">
      <c r="A93" s="12">
        <v>534</v>
      </c>
      <c r="B93" s="12" t="s">
        <v>68</v>
      </c>
      <c r="C93" s="12" t="s">
        <v>85</v>
      </c>
      <c r="D93" s="12">
        <v>2022</v>
      </c>
      <c r="E93" s="12">
        <v>2018</v>
      </c>
      <c r="F93" s="12" t="s">
        <v>143</v>
      </c>
      <c r="G93" s="12" t="s">
        <v>109</v>
      </c>
      <c r="H93" s="12">
        <v>33.299100000000003</v>
      </c>
      <c r="I93" s="12">
        <v>-116.800786</v>
      </c>
      <c r="J93" s="12" t="s">
        <v>128</v>
      </c>
      <c r="K93" s="12" t="s">
        <v>218</v>
      </c>
      <c r="L93" s="12" t="s">
        <v>219</v>
      </c>
      <c r="M93" s="12" t="s">
        <v>237</v>
      </c>
      <c r="N93" s="12" t="s">
        <v>238</v>
      </c>
      <c r="O93" s="12" t="s">
        <v>86</v>
      </c>
      <c r="Q93" s="12" t="s">
        <v>93</v>
      </c>
      <c r="R93" s="12">
        <v>2018</v>
      </c>
      <c r="S93" s="12">
        <v>1</v>
      </c>
      <c r="U93" s="12">
        <v>9400</v>
      </c>
      <c r="X93" s="12" t="s">
        <v>97</v>
      </c>
      <c r="Y93" s="12" t="s">
        <v>133</v>
      </c>
      <c r="Z93" s="12" t="s">
        <v>0</v>
      </c>
      <c r="AA93" s="12" t="s">
        <v>98</v>
      </c>
      <c r="AB93" s="12" t="s">
        <v>202</v>
      </c>
      <c r="AC93" s="12" t="s">
        <v>99</v>
      </c>
      <c r="AD93" s="12" t="s">
        <v>102</v>
      </c>
      <c r="AE93" s="12" t="s">
        <v>256</v>
      </c>
      <c r="AF93" s="12">
        <v>0.18</v>
      </c>
      <c r="AG93" s="12">
        <v>0.26</v>
      </c>
      <c r="AH93" s="12">
        <v>0.55000000000000004</v>
      </c>
      <c r="AI93" s="12">
        <f t="shared" si="22"/>
        <v>9.691001300805642E-2</v>
      </c>
      <c r="AJ93" s="12">
        <f t="shared" si="23"/>
        <v>-0.15970084286751191</v>
      </c>
    </row>
    <row r="94" spans="1:36" s="12" customFormat="1" ht="14.25" customHeight="1">
      <c r="A94" s="12">
        <v>294</v>
      </c>
      <c r="B94" s="12" t="s">
        <v>44</v>
      </c>
      <c r="C94" s="12" t="s">
        <v>85</v>
      </c>
      <c r="D94" s="12">
        <v>2016</v>
      </c>
      <c r="E94" s="12">
        <v>2013</v>
      </c>
      <c r="F94" s="12" t="s">
        <v>143</v>
      </c>
      <c r="G94" s="12" t="s">
        <v>159</v>
      </c>
      <c r="H94" s="12">
        <v>43.7</v>
      </c>
      <c r="I94" s="12">
        <v>-121.61666700000001</v>
      </c>
      <c r="J94" s="12" t="s">
        <v>128</v>
      </c>
      <c r="K94" s="12" t="s">
        <v>176</v>
      </c>
      <c r="L94" s="12" t="s">
        <v>192</v>
      </c>
      <c r="M94" s="12" t="s">
        <v>236</v>
      </c>
      <c r="N94" s="12" t="s">
        <v>238</v>
      </c>
      <c r="O94" s="12" t="s">
        <v>121</v>
      </c>
      <c r="P94" s="12" t="s">
        <v>146</v>
      </c>
      <c r="Q94" s="12" t="s">
        <v>115</v>
      </c>
      <c r="R94" s="12">
        <v>2013</v>
      </c>
      <c r="S94" s="12" t="s">
        <v>308</v>
      </c>
      <c r="U94" s="12">
        <v>199</v>
      </c>
      <c r="X94" s="12" t="s">
        <v>97</v>
      </c>
      <c r="Y94" s="12" t="s">
        <v>133</v>
      </c>
      <c r="Z94" s="12" t="s">
        <v>0</v>
      </c>
      <c r="AA94" s="12" t="s">
        <v>98</v>
      </c>
      <c r="AB94" s="12" t="s">
        <v>202</v>
      </c>
      <c r="AC94" s="12" t="s">
        <v>99</v>
      </c>
      <c r="AD94" s="12" t="s">
        <v>111</v>
      </c>
      <c r="AE94" s="12" t="s">
        <v>256</v>
      </c>
      <c r="AF94" s="12">
        <v>0.43</v>
      </c>
      <c r="AG94" s="12">
        <v>0.23</v>
      </c>
      <c r="AH94" s="12">
        <v>0.38</v>
      </c>
      <c r="AI94" s="12">
        <f t="shared" ref="AI94:AI101" si="24">LOG(AH94/(AG94+AF94))</f>
        <v>-0.23976033892505857</v>
      </c>
      <c r="AJ94" s="12">
        <f t="shared" ref="AJ94:AJ101" si="25">LOG(AF94/AG94)</f>
        <v>0.27174061956199363</v>
      </c>
    </row>
    <row r="95" spans="1:36" s="12" customFormat="1" ht="14.25" customHeight="1">
      <c r="A95" s="12">
        <v>294</v>
      </c>
      <c r="B95" s="12" t="s">
        <v>44</v>
      </c>
      <c r="C95" s="12" t="s">
        <v>85</v>
      </c>
      <c r="D95" s="12">
        <v>2016</v>
      </c>
      <c r="E95" s="12">
        <v>2013</v>
      </c>
      <c r="F95" s="12" t="s">
        <v>143</v>
      </c>
      <c r="G95" s="12" t="s">
        <v>159</v>
      </c>
      <c r="H95" s="12">
        <v>43.7</v>
      </c>
      <c r="I95" s="12">
        <v>-121.61666700000001</v>
      </c>
      <c r="J95" s="12" t="s">
        <v>128</v>
      </c>
      <c r="K95" s="12" t="s">
        <v>176</v>
      </c>
      <c r="L95" s="12" t="s">
        <v>192</v>
      </c>
      <c r="M95" s="12" t="s">
        <v>236</v>
      </c>
      <c r="N95" s="12" t="s">
        <v>238</v>
      </c>
      <c r="O95" s="12" t="s">
        <v>121</v>
      </c>
      <c r="P95" s="12" t="s">
        <v>129</v>
      </c>
      <c r="Q95" s="12" t="s">
        <v>115</v>
      </c>
      <c r="R95" s="12">
        <v>2013</v>
      </c>
      <c r="S95" s="12" t="s">
        <v>308</v>
      </c>
      <c r="U95" s="12">
        <v>199</v>
      </c>
      <c r="X95" s="12" t="s">
        <v>97</v>
      </c>
      <c r="Y95" s="12" t="s">
        <v>133</v>
      </c>
      <c r="Z95" s="12" t="s">
        <v>0</v>
      </c>
      <c r="AA95" s="12" t="s">
        <v>98</v>
      </c>
      <c r="AB95" s="12" t="s">
        <v>202</v>
      </c>
      <c r="AC95" s="12" t="s">
        <v>99</v>
      </c>
      <c r="AD95" s="12" t="s">
        <v>111</v>
      </c>
      <c r="AE95" s="12" t="s">
        <v>256</v>
      </c>
      <c r="AF95" s="12">
        <v>1.25</v>
      </c>
      <c r="AG95" s="12">
        <v>0.32</v>
      </c>
      <c r="AH95" s="12">
        <v>2.15</v>
      </c>
      <c r="AI95" s="12">
        <f t="shared" si="24"/>
        <v>0.13653880750637157</v>
      </c>
      <c r="AJ95" s="12">
        <f t="shared" si="25"/>
        <v>0.59176003468815042</v>
      </c>
    </row>
    <row r="96" spans="1:36" s="12" customFormat="1" ht="14.25" customHeight="1">
      <c r="A96" s="12">
        <v>213</v>
      </c>
      <c r="B96" s="12" t="s">
        <v>33</v>
      </c>
      <c r="C96" s="12" t="s">
        <v>85</v>
      </c>
      <c r="D96" s="12">
        <v>2014</v>
      </c>
      <c r="E96" s="12">
        <v>2008</v>
      </c>
      <c r="F96" s="12" t="s">
        <v>120</v>
      </c>
      <c r="G96" s="12" t="s">
        <v>109</v>
      </c>
      <c r="H96" s="12">
        <v>41.05</v>
      </c>
      <c r="I96" s="12">
        <v>-2.4333330000000002</v>
      </c>
      <c r="J96" s="12" t="s">
        <v>135</v>
      </c>
      <c r="K96" s="12" t="s">
        <v>176</v>
      </c>
      <c r="L96" s="12" t="s">
        <v>177</v>
      </c>
      <c r="M96" s="12" t="s">
        <v>236</v>
      </c>
      <c r="N96" s="12" t="s">
        <v>238</v>
      </c>
      <c r="O96" s="12" t="s">
        <v>86</v>
      </c>
      <c r="P96" s="12" t="s">
        <v>129</v>
      </c>
      <c r="Q96" s="12" t="s">
        <v>93</v>
      </c>
      <c r="R96" s="12">
        <v>1994</v>
      </c>
      <c r="S96" s="12">
        <v>14</v>
      </c>
      <c r="X96" s="12" t="s">
        <v>134</v>
      </c>
      <c r="Y96" s="12" t="s">
        <v>147</v>
      </c>
      <c r="Z96" s="12" t="s">
        <v>0</v>
      </c>
      <c r="AA96" s="12" t="s">
        <v>98</v>
      </c>
      <c r="AB96" s="12" t="s">
        <v>158</v>
      </c>
      <c r="AC96" s="12" t="s">
        <v>373</v>
      </c>
      <c r="AD96" s="12" t="s">
        <v>100</v>
      </c>
      <c r="AE96" s="12" t="s">
        <v>256</v>
      </c>
      <c r="AF96" s="12">
        <v>0.68</v>
      </c>
      <c r="AG96" s="12">
        <v>0.53</v>
      </c>
      <c r="AH96" s="12">
        <v>1.0900000000000001</v>
      </c>
      <c r="AI96" s="12">
        <f t="shared" si="24"/>
        <v>-4.5358872375826392E-2</v>
      </c>
      <c r="AJ96" s="12">
        <f t="shared" si="25"/>
        <v>0.10823304310544725</v>
      </c>
    </row>
    <row r="97" spans="1:45" s="12" customFormat="1" ht="14.25" customHeight="1">
      <c r="A97" s="12">
        <v>213</v>
      </c>
      <c r="B97" s="12" t="s">
        <v>33</v>
      </c>
      <c r="C97" s="12" t="s">
        <v>85</v>
      </c>
      <c r="D97" s="12">
        <v>2014</v>
      </c>
      <c r="E97" s="12">
        <v>2008</v>
      </c>
      <c r="F97" s="12" t="s">
        <v>120</v>
      </c>
      <c r="G97" s="12" t="s">
        <v>109</v>
      </c>
      <c r="H97" s="12">
        <v>41.05</v>
      </c>
      <c r="I97" s="12">
        <v>-2.4333330000000002</v>
      </c>
      <c r="J97" s="12" t="s">
        <v>135</v>
      </c>
      <c r="K97" s="12" t="s">
        <v>176</v>
      </c>
      <c r="L97" s="12" t="s">
        <v>177</v>
      </c>
      <c r="M97" s="12" t="s">
        <v>236</v>
      </c>
      <c r="N97" s="12" t="s">
        <v>238</v>
      </c>
      <c r="O97" s="12" t="s">
        <v>86</v>
      </c>
      <c r="P97" s="12" t="s">
        <v>129</v>
      </c>
      <c r="Q97" s="12" t="s">
        <v>93</v>
      </c>
      <c r="R97" s="12">
        <v>2005</v>
      </c>
      <c r="S97" s="12">
        <v>3</v>
      </c>
      <c r="X97" s="12" t="s">
        <v>134</v>
      </c>
      <c r="Y97" s="12" t="s">
        <v>147</v>
      </c>
      <c r="Z97" s="12" t="s">
        <v>0</v>
      </c>
      <c r="AA97" s="12" t="s">
        <v>98</v>
      </c>
      <c r="AB97" s="12" t="s">
        <v>158</v>
      </c>
      <c r="AC97" s="12" t="s">
        <v>373</v>
      </c>
      <c r="AD97" s="12" t="s">
        <v>100</v>
      </c>
      <c r="AE97" s="12" t="s">
        <v>256</v>
      </c>
      <c r="AF97" s="12">
        <v>0.56999999999999995</v>
      </c>
      <c r="AG97" s="12">
        <v>0.53</v>
      </c>
      <c r="AH97" s="12">
        <v>1.24</v>
      </c>
      <c r="AI97" s="12">
        <f t="shared" si="24"/>
        <v>5.202900000401E-2</v>
      </c>
      <c r="AJ97" s="12">
        <f t="shared" si="25"/>
        <v>3.1598986071702258E-2</v>
      </c>
    </row>
    <row r="98" spans="1:45" s="12" customFormat="1" ht="14.25" customHeight="1">
      <c r="A98" s="12">
        <v>188</v>
      </c>
      <c r="B98" s="12" t="s">
        <v>28</v>
      </c>
      <c r="C98" s="12" t="s">
        <v>85</v>
      </c>
      <c r="D98" s="12">
        <v>2008</v>
      </c>
      <c r="E98" s="12">
        <v>1998</v>
      </c>
      <c r="F98" s="12" t="s">
        <v>96</v>
      </c>
      <c r="H98" s="12">
        <v>-34.461578000000003</v>
      </c>
      <c r="I98" s="12">
        <v>116.173176</v>
      </c>
      <c r="J98" s="12" t="s">
        <v>126</v>
      </c>
      <c r="K98" s="12" t="s">
        <v>112</v>
      </c>
      <c r="L98" s="12" t="s">
        <v>181</v>
      </c>
      <c r="M98" s="12" t="s">
        <v>237</v>
      </c>
      <c r="O98" s="12" t="s">
        <v>86</v>
      </c>
      <c r="Q98" s="12" t="s">
        <v>93</v>
      </c>
      <c r="R98" s="12">
        <v>1997</v>
      </c>
      <c r="S98" s="12">
        <v>1</v>
      </c>
      <c r="U98" s="12">
        <v>1600</v>
      </c>
      <c r="V98" s="12">
        <v>5</v>
      </c>
      <c r="W98" s="12">
        <v>5</v>
      </c>
      <c r="X98" s="12" t="s">
        <v>114</v>
      </c>
      <c r="Y98" s="12" t="s">
        <v>2</v>
      </c>
      <c r="AA98" s="12" t="s">
        <v>113</v>
      </c>
      <c r="AD98" s="12" t="s">
        <v>2</v>
      </c>
      <c r="AE98" s="12" t="s">
        <v>256</v>
      </c>
      <c r="AF98" s="12">
        <v>0.36</v>
      </c>
      <c r="AG98" s="12">
        <v>1.21</v>
      </c>
      <c r="AH98" s="12">
        <v>2.73</v>
      </c>
      <c r="AI98" s="12">
        <f t="shared" si="24"/>
        <v>0.24026299463152231</v>
      </c>
      <c r="AJ98" s="12">
        <f t="shared" si="25"/>
        <v>-0.52648286954916279</v>
      </c>
    </row>
    <row r="99" spans="1:45" s="12" customFormat="1" ht="14.25" customHeight="1">
      <c r="A99" s="12">
        <v>188</v>
      </c>
      <c r="B99" s="12" t="s">
        <v>28</v>
      </c>
      <c r="C99" s="12" t="s">
        <v>85</v>
      </c>
      <c r="D99" s="12">
        <v>2008</v>
      </c>
      <c r="E99" s="12">
        <v>1998</v>
      </c>
      <c r="F99" s="12" t="s">
        <v>96</v>
      </c>
      <c r="H99" s="12">
        <v>-34.461578000000003</v>
      </c>
      <c r="I99" s="12">
        <v>116.173176</v>
      </c>
      <c r="J99" s="12" t="s">
        <v>126</v>
      </c>
      <c r="K99" s="12" t="s">
        <v>112</v>
      </c>
      <c r="L99" s="12" t="s">
        <v>181</v>
      </c>
      <c r="M99" s="12" t="s">
        <v>237</v>
      </c>
      <c r="O99" s="12" t="s">
        <v>86</v>
      </c>
      <c r="Q99" s="12" t="s">
        <v>93</v>
      </c>
      <c r="R99" s="12">
        <v>1997</v>
      </c>
      <c r="S99" s="12">
        <v>5</v>
      </c>
      <c r="U99" s="12">
        <v>1600</v>
      </c>
      <c r="V99" s="12">
        <v>5</v>
      </c>
      <c r="W99" s="12">
        <v>5</v>
      </c>
      <c r="X99" s="12" t="s">
        <v>114</v>
      </c>
      <c r="Y99" s="12" t="s">
        <v>2</v>
      </c>
      <c r="AA99" s="12" t="s">
        <v>113</v>
      </c>
      <c r="AD99" s="12" t="s">
        <v>2</v>
      </c>
      <c r="AE99" s="12" t="s">
        <v>256</v>
      </c>
      <c r="AF99" s="12">
        <v>0.56000000000000005</v>
      </c>
      <c r="AG99" s="12">
        <v>0.56000000000000005</v>
      </c>
      <c r="AH99" s="12">
        <v>0.63</v>
      </c>
      <c r="AI99" s="12">
        <f t="shared" si="24"/>
        <v>-0.24987747321659989</v>
      </c>
      <c r="AJ99" s="12">
        <f t="shared" si="25"/>
        <v>0</v>
      </c>
    </row>
    <row r="100" spans="1:45" s="12" customFormat="1" ht="14.25" customHeight="1">
      <c r="A100" s="12">
        <v>221</v>
      </c>
      <c r="B100" s="12" t="s">
        <v>35</v>
      </c>
      <c r="C100" s="12" t="s">
        <v>85</v>
      </c>
      <c r="D100" s="12">
        <v>2021</v>
      </c>
      <c r="E100" s="12">
        <v>2016</v>
      </c>
      <c r="F100" s="12" t="s">
        <v>152</v>
      </c>
      <c r="G100" s="12" t="s">
        <v>159</v>
      </c>
      <c r="H100" s="12">
        <v>53.646073000000001</v>
      </c>
      <c r="I100" s="12" t="s">
        <v>209</v>
      </c>
      <c r="J100" s="12" t="s">
        <v>128</v>
      </c>
      <c r="K100" s="12" t="s">
        <v>176</v>
      </c>
      <c r="L100" s="12" t="s">
        <v>187</v>
      </c>
      <c r="M100" s="12" t="s">
        <v>236</v>
      </c>
      <c r="N100" s="12" t="s">
        <v>238</v>
      </c>
      <c r="O100" s="12" t="s">
        <v>86</v>
      </c>
      <c r="Q100" s="12" t="s">
        <v>93</v>
      </c>
      <c r="R100" s="12">
        <v>2012</v>
      </c>
      <c r="S100" s="12">
        <v>4</v>
      </c>
      <c r="V100" s="12">
        <v>14</v>
      </c>
      <c r="W100" s="12">
        <v>3</v>
      </c>
      <c r="X100" s="12" t="s">
        <v>97</v>
      </c>
      <c r="Y100" s="12" t="s">
        <v>359</v>
      </c>
      <c r="Z100" s="12" t="s">
        <v>1</v>
      </c>
      <c r="AA100" s="12" t="s">
        <v>98</v>
      </c>
      <c r="AB100" s="12" t="s">
        <v>202</v>
      </c>
      <c r="AC100" s="12" t="s">
        <v>99</v>
      </c>
      <c r="AD100" s="12" t="s">
        <v>111</v>
      </c>
      <c r="AE100" s="12" t="s">
        <v>256</v>
      </c>
      <c r="AF100" s="12">
        <v>0.22</v>
      </c>
      <c r="AG100" s="12">
        <v>0.24</v>
      </c>
      <c r="AH100" s="12">
        <v>0.31</v>
      </c>
      <c r="AI100" s="12">
        <f t="shared" si="24"/>
        <v>-0.1713961378473014</v>
      </c>
      <c r="AJ100" s="12">
        <f t="shared" si="25"/>
        <v>-3.7788560889399754E-2</v>
      </c>
    </row>
    <row r="101" spans="1:45" s="12" customFormat="1" ht="14.25" customHeight="1">
      <c r="A101" s="12">
        <v>38</v>
      </c>
      <c r="B101" s="12" t="s">
        <v>7</v>
      </c>
      <c r="C101" s="12" t="s">
        <v>85</v>
      </c>
      <c r="D101" s="12">
        <v>2018</v>
      </c>
      <c r="E101" s="12">
        <v>2004</v>
      </c>
      <c r="F101" s="12" t="s">
        <v>153</v>
      </c>
      <c r="G101" s="12" t="s">
        <v>117</v>
      </c>
      <c r="H101" s="12">
        <v>63.266666999999998</v>
      </c>
      <c r="I101" s="12">
        <v>30.75</v>
      </c>
      <c r="J101" s="12" t="s">
        <v>126</v>
      </c>
      <c r="K101" s="12" t="s">
        <v>176</v>
      </c>
      <c r="L101" s="12" t="s">
        <v>182</v>
      </c>
      <c r="M101" s="12" t="s">
        <v>236</v>
      </c>
      <c r="N101" s="12" t="s">
        <v>238</v>
      </c>
      <c r="O101" s="12" t="s">
        <v>86</v>
      </c>
      <c r="P101" s="12" t="s">
        <v>146</v>
      </c>
      <c r="Q101" s="12" t="s">
        <v>93</v>
      </c>
      <c r="R101" s="12">
        <v>1992</v>
      </c>
      <c r="S101" s="12">
        <v>12</v>
      </c>
      <c r="U101" s="12">
        <v>143</v>
      </c>
      <c r="V101" s="12">
        <v>6</v>
      </c>
      <c r="W101" s="12">
        <v>4</v>
      </c>
      <c r="X101" s="12" t="s">
        <v>114</v>
      </c>
      <c r="Y101" s="12" t="s">
        <v>2</v>
      </c>
      <c r="Z101" s="12" t="s">
        <v>0</v>
      </c>
      <c r="AA101" s="12" t="s">
        <v>113</v>
      </c>
      <c r="AD101" s="12" t="s">
        <v>2</v>
      </c>
      <c r="AE101" s="12" t="s">
        <v>256</v>
      </c>
      <c r="AF101" s="12">
        <v>0.28000000000000003</v>
      </c>
      <c r="AG101" s="12">
        <v>0.33</v>
      </c>
      <c r="AH101" s="12">
        <v>0.3</v>
      </c>
      <c r="AI101" s="12">
        <f t="shared" si="24"/>
        <v>-0.30820858029110471</v>
      </c>
      <c r="AJ101" s="12">
        <f t="shared" si="25"/>
        <v>-7.1355908535668242E-2</v>
      </c>
    </row>
    <row r="102" spans="1:45" s="12" customFormat="1" ht="14.25" customHeight="1">
      <c r="A102" s="12">
        <v>38</v>
      </c>
      <c r="B102" s="12" t="s">
        <v>7</v>
      </c>
      <c r="C102" s="12" t="s">
        <v>85</v>
      </c>
      <c r="D102" s="12">
        <v>2018</v>
      </c>
      <c r="E102" s="12">
        <v>2004</v>
      </c>
      <c r="F102" s="12" t="s">
        <v>153</v>
      </c>
      <c r="G102" s="12" t="s">
        <v>117</v>
      </c>
      <c r="H102" s="12">
        <v>63.266666999999998</v>
      </c>
      <c r="I102" s="12">
        <v>30.75</v>
      </c>
      <c r="J102" s="12" t="s">
        <v>126</v>
      </c>
      <c r="K102" s="12" t="s">
        <v>176</v>
      </c>
      <c r="L102" s="12" t="s">
        <v>182</v>
      </c>
      <c r="M102" s="12" t="s">
        <v>236</v>
      </c>
      <c r="N102" s="12" t="s">
        <v>238</v>
      </c>
      <c r="O102" s="12" t="s">
        <v>86</v>
      </c>
      <c r="P102" s="12" t="s">
        <v>210</v>
      </c>
      <c r="Q102" s="12" t="s">
        <v>93</v>
      </c>
      <c r="R102" s="12">
        <v>1992</v>
      </c>
      <c r="S102" s="12">
        <v>12</v>
      </c>
      <c r="U102" s="12">
        <v>143</v>
      </c>
      <c r="V102" s="12">
        <v>6</v>
      </c>
      <c r="W102" s="12">
        <v>4</v>
      </c>
      <c r="X102" s="12" t="s">
        <v>114</v>
      </c>
      <c r="Y102" s="12" t="s">
        <v>2</v>
      </c>
      <c r="Z102" s="12" t="s">
        <v>0</v>
      </c>
      <c r="AA102" s="12" t="s">
        <v>113</v>
      </c>
      <c r="AD102" s="12" t="s">
        <v>2</v>
      </c>
      <c r="AE102" s="12" t="s">
        <v>256</v>
      </c>
      <c r="AF102" s="12">
        <v>0.23</v>
      </c>
      <c r="AG102" s="12">
        <v>0.33</v>
      </c>
      <c r="AH102" s="12">
        <v>0.32</v>
      </c>
      <c r="AI102" s="12">
        <f t="shared" ref="AI102:AI103" si="26">LOG(AH102/(AG102+AF102))</f>
        <v>-0.24303804868629447</v>
      </c>
      <c r="AJ102" s="12">
        <f t="shared" ref="AJ102:AJ103" si="27">LOG(AF102/AG102)</f>
        <v>-0.15678610386029457</v>
      </c>
    </row>
    <row r="103" spans="1:45" s="12" customFormat="1" ht="14.25" customHeight="1">
      <c r="A103" s="12">
        <v>38</v>
      </c>
      <c r="B103" s="12" t="s">
        <v>7</v>
      </c>
      <c r="C103" s="12" t="s">
        <v>85</v>
      </c>
      <c r="D103" s="12">
        <v>2018</v>
      </c>
      <c r="E103" s="12">
        <v>2004</v>
      </c>
      <c r="F103" s="12" t="s">
        <v>153</v>
      </c>
      <c r="G103" s="12" t="s">
        <v>117</v>
      </c>
      <c r="H103" s="12">
        <v>63.266666999999998</v>
      </c>
      <c r="I103" s="12">
        <v>30.75</v>
      </c>
      <c r="J103" s="12" t="s">
        <v>126</v>
      </c>
      <c r="K103" s="12" t="s">
        <v>176</v>
      </c>
      <c r="L103" s="12" t="s">
        <v>182</v>
      </c>
      <c r="M103" s="12" t="s">
        <v>236</v>
      </c>
      <c r="N103" s="12" t="s">
        <v>238</v>
      </c>
      <c r="O103" s="12" t="s">
        <v>86</v>
      </c>
      <c r="P103" s="12" t="s">
        <v>129</v>
      </c>
      <c r="Q103" s="12" t="s">
        <v>93</v>
      </c>
      <c r="R103" s="12">
        <v>1992</v>
      </c>
      <c r="S103" s="12">
        <v>12</v>
      </c>
      <c r="U103" s="12">
        <v>143</v>
      </c>
      <c r="V103" s="12">
        <v>6</v>
      </c>
      <c r="W103" s="12">
        <v>4</v>
      </c>
      <c r="X103" s="12" t="s">
        <v>114</v>
      </c>
      <c r="Y103" s="12" t="s">
        <v>2</v>
      </c>
      <c r="Z103" s="12" t="s">
        <v>0</v>
      </c>
      <c r="AA103" s="12" t="s">
        <v>113</v>
      </c>
      <c r="AD103" s="12" t="s">
        <v>2</v>
      </c>
      <c r="AE103" s="12" t="s">
        <v>256</v>
      </c>
      <c r="AF103" s="12">
        <v>0.49</v>
      </c>
      <c r="AG103" s="12">
        <v>0.33</v>
      </c>
      <c r="AH103" s="12">
        <v>0.6</v>
      </c>
      <c r="AI103" s="12">
        <f t="shared" si="26"/>
        <v>-0.13566260200007313</v>
      </c>
      <c r="AJ103" s="12">
        <f t="shared" si="27"/>
        <v>0.17168214015062619</v>
      </c>
    </row>
    <row r="104" spans="1:45" s="1" customFormat="1" ht="14.25" customHeight="1">
      <c r="A104" s="12">
        <v>170</v>
      </c>
      <c r="B104" s="12" t="s">
        <v>23</v>
      </c>
      <c r="C104" s="1" t="s">
        <v>85</v>
      </c>
      <c r="D104" s="1">
        <v>2021</v>
      </c>
      <c r="E104" s="1">
        <v>2017</v>
      </c>
      <c r="F104" s="1" t="s">
        <v>143</v>
      </c>
      <c r="G104" s="1" t="s">
        <v>109</v>
      </c>
      <c r="H104" s="1">
        <v>38.460099999999997</v>
      </c>
      <c r="I104" s="1">
        <v>-122.5515</v>
      </c>
      <c r="J104" s="1" t="s">
        <v>128</v>
      </c>
      <c r="K104" s="1" t="s">
        <v>174</v>
      </c>
      <c r="L104" s="1" t="s">
        <v>175</v>
      </c>
      <c r="M104" s="1" t="s">
        <v>236</v>
      </c>
      <c r="N104" s="1" t="s">
        <v>238</v>
      </c>
      <c r="O104" s="1" t="s">
        <v>86</v>
      </c>
      <c r="P104" s="1" t="s">
        <v>129</v>
      </c>
      <c r="Q104" s="1" t="s">
        <v>93</v>
      </c>
      <c r="R104" s="1">
        <v>2017</v>
      </c>
      <c r="S104" s="1" t="s">
        <v>151</v>
      </c>
      <c r="U104" s="1">
        <v>90000</v>
      </c>
      <c r="V104" s="1">
        <v>6</v>
      </c>
      <c r="W104" s="1">
        <v>6</v>
      </c>
      <c r="X104" s="1" t="s">
        <v>97</v>
      </c>
      <c r="Y104" s="1" t="s">
        <v>133</v>
      </c>
      <c r="Z104" s="1" t="s">
        <v>1</v>
      </c>
      <c r="AA104" s="1" t="s">
        <v>98</v>
      </c>
      <c r="AB104" s="1" t="s">
        <v>202</v>
      </c>
      <c r="AC104" s="1" t="s">
        <v>99</v>
      </c>
      <c r="AD104" s="1" t="s">
        <v>100</v>
      </c>
      <c r="AE104" s="1" t="s">
        <v>256</v>
      </c>
      <c r="AF104" s="1">
        <v>0.24</v>
      </c>
      <c r="AG104" s="1">
        <v>0.26</v>
      </c>
      <c r="AH104" s="1">
        <v>1.32</v>
      </c>
      <c r="AI104" s="1">
        <f t="shared" ref="AI104:AI105" si="28">LOG(AH104/(AG104+AF104))</f>
        <v>0.42160392686983106</v>
      </c>
      <c r="AJ104" s="1">
        <f t="shared" ref="AJ104:AJ105" si="29">LOG(AF104/AG104)</f>
        <v>-3.4762106259211972E-2</v>
      </c>
    </row>
    <row r="105" spans="1:45" s="1" customFormat="1" ht="14.25" customHeight="1">
      <c r="A105" s="12">
        <v>170</v>
      </c>
      <c r="B105" s="12" t="s">
        <v>23</v>
      </c>
      <c r="C105" s="1" t="s">
        <v>85</v>
      </c>
      <c r="D105" s="1">
        <v>2021</v>
      </c>
      <c r="E105" s="1">
        <v>2017</v>
      </c>
      <c r="F105" s="1" t="s">
        <v>143</v>
      </c>
      <c r="G105" s="1" t="s">
        <v>109</v>
      </c>
      <c r="H105" s="1">
        <v>38.460099999999997</v>
      </c>
      <c r="I105" s="1">
        <v>-122.5515</v>
      </c>
      <c r="J105" s="1" t="s">
        <v>128</v>
      </c>
      <c r="K105" s="1" t="s">
        <v>178</v>
      </c>
      <c r="L105" s="1" t="s">
        <v>183</v>
      </c>
      <c r="M105" s="1" t="s">
        <v>237</v>
      </c>
      <c r="N105" s="1" t="s">
        <v>238</v>
      </c>
      <c r="O105" s="1" t="s">
        <v>86</v>
      </c>
      <c r="P105" s="1" t="s">
        <v>129</v>
      </c>
      <c r="Q105" s="1" t="s">
        <v>93</v>
      </c>
      <c r="R105" s="1">
        <v>2017</v>
      </c>
      <c r="S105" s="1" t="s">
        <v>151</v>
      </c>
      <c r="U105" s="1">
        <v>90000</v>
      </c>
      <c r="V105" s="1">
        <v>3</v>
      </c>
      <c r="W105" s="1">
        <v>3</v>
      </c>
      <c r="X105" s="1" t="s">
        <v>97</v>
      </c>
      <c r="Y105" s="1" t="s">
        <v>133</v>
      </c>
      <c r="Z105" s="1" t="s">
        <v>1</v>
      </c>
      <c r="AA105" s="1" t="s">
        <v>98</v>
      </c>
      <c r="AB105" s="1" t="s">
        <v>202</v>
      </c>
      <c r="AC105" s="1" t="s">
        <v>99</v>
      </c>
      <c r="AD105" s="1" t="s">
        <v>100</v>
      </c>
      <c r="AE105" s="1" t="s">
        <v>256</v>
      </c>
      <c r="AF105" s="1">
        <v>0.15</v>
      </c>
      <c r="AG105" s="1">
        <v>0.18</v>
      </c>
      <c r="AH105" s="1">
        <v>0.27</v>
      </c>
      <c r="AI105" s="1">
        <f t="shared" si="28"/>
        <v>-8.7150175718900075E-2</v>
      </c>
      <c r="AJ105" s="1">
        <f t="shared" si="29"/>
        <v>-7.9181246047624804E-2</v>
      </c>
    </row>
    <row r="106" spans="1:45" s="1" customFormat="1" ht="14.25" customHeight="1">
      <c r="A106" s="12">
        <v>227</v>
      </c>
      <c r="B106" s="12" t="s">
        <v>36</v>
      </c>
      <c r="C106" s="1" t="s">
        <v>85</v>
      </c>
      <c r="D106" s="1">
        <v>2015</v>
      </c>
      <c r="E106" s="1">
        <v>2011</v>
      </c>
      <c r="F106" s="1" t="s">
        <v>153</v>
      </c>
      <c r="G106" s="1" t="s">
        <v>117</v>
      </c>
      <c r="H106" s="1">
        <v>67.766666999999998</v>
      </c>
      <c r="I106" s="1">
        <v>29.583333</v>
      </c>
      <c r="J106" s="1" t="s">
        <v>128</v>
      </c>
      <c r="K106" s="1" t="s">
        <v>176</v>
      </c>
      <c r="L106" s="1" t="s">
        <v>182</v>
      </c>
      <c r="M106" s="1" t="s">
        <v>236</v>
      </c>
      <c r="N106" s="1" t="s">
        <v>238</v>
      </c>
      <c r="O106" s="1" t="s">
        <v>86</v>
      </c>
      <c r="Q106" s="1" t="s">
        <v>93</v>
      </c>
      <c r="R106" s="1">
        <v>2009</v>
      </c>
      <c r="S106" s="1">
        <v>2</v>
      </c>
      <c r="V106" s="1">
        <v>10</v>
      </c>
      <c r="W106" s="1">
        <v>10</v>
      </c>
      <c r="X106" s="1" t="s">
        <v>97</v>
      </c>
      <c r="Z106" s="1" t="s">
        <v>1</v>
      </c>
      <c r="AA106" s="1" t="s">
        <v>98</v>
      </c>
      <c r="AB106" s="1" t="s">
        <v>202</v>
      </c>
      <c r="AC106" s="1" t="s">
        <v>228</v>
      </c>
      <c r="AD106" s="1" t="s">
        <v>102</v>
      </c>
      <c r="AE106" s="1" t="s">
        <v>256</v>
      </c>
      <c r="AF106" s="1">
        <v>0.28999999999999998</v>
      </c>
      <c r="AG106" s="1">
        <v>0.28000000000000003</v>
      </c>
      <c r="AH106" s="1">
        <v>0.56999999999999995</v>
      </c>
      <c r="AI106" s="1">
        <f t="shared" ref="AI106:AI124" si="30">LOG(AH106/(AG106+AF106))</f>
        <v>-9.6432746655328721E-17</v>
      </c>
      <c r="AJ106" s="1">
        <f t="shared" ref="AJ106:AJ124" si="31">LOG(AF106/AG106)</f>
        <v>1.5239966556736814E-2</v>
      </c>
    </row>
    <row r="107" spans="1:45" s="16" customFormat="1">
      <c r="A107" s="16">
        <v>320</v>
      </c>
      <c r="B107" s="16" t="s">
        <v>243</v>
      </c>
      <c r="C107" s="12" t="s">
        <v>85</v>
      </c>
      <c r="D107" s="16">
        <v>2024</v>
      </c>
      <c r="E107" s="16">
        <v>2021</v>
      </c>
      <c r="F107" s="16" t="s">
        <v>120</v>
      </c>
      <c r="G107" s="16" t="s">
        <v>109</v>
      </c>
      <c r="H107" s="16">
        <v>42.345813999999997</v>
      </c>
      <c r="I107" s="16">
        <v>-6.3904769999999997</v>
      </c>
      <c r="J107" s="16" t="s">
        <v>126</v>
      </c>
      <c r="K107" s="16" t="s">
        <v>176</v>
      </c>
      <c r="L107" s="16" t="s">
        <v>177</v>
      </c>
      <c r="M107" s="16" t="s">
        <v>236</v>
      </c>
      <c r="N107" s="16" t="s">
        <v>238</v>
      </c>
      <c r="O107" s="16" t="s">
        <v>86</v>
      </c>
      <c r="Q107" s="16" t="s">
        <v>93</v>
      </c>
      <c r="R107" s="16">
        <v>2012</v>
      </c>
      <c r="S107" s="16">
        <v>9</v>
      </c>
      <c r="T107" s="16">
        <v>11891</v>
      </c>
      <c r="X107" s="16" t="s">
        <v>114</v>
      </c>
      <c r="Y107" s="16" t="s">
        <v>2</v>
      </c>
      <c r="Z107" s="16" t="s">
        <v>1</v>
      </c>
      <c r="AA107" s="16" t="s">
        <v>113</v>
      </c>
      <c r="AB107" s="12" t="s">
        <v>2</v>
      </c>
      <c r="AC107" s="12" t="s">
        <v>2</v>
      </c>
      <c r="AD107" s="12" t="s">
        <v>2</v>
      </c>
      <c r="AE107" s="16" t="s">
        <v>256</v>
      </c>
      <c r="AF107" s="16">
        <v>0.32</v>
      </c>
      <c r="AG107" s="16">
        <v>0.46</v>
      </c>
      <c r="AH107" s="16">
        <v>0.54</v>
      </c>
      <c r="AI107" s="16">
        <f t="shared" si="30"/>
        <v>-0.15970084286751191</v>
      </c>
      <c r="AJ107" s="16">
        <f t="shared" si="31"/>
        <v>-0.1576078533616681</v>
      </c>
      <c r="AM107" s="12"/>
      <c r="AN107" s="12"/>
      <c r="AO107" s="12"/>
      <c r="AP107" s="12"/>
      <c r="AQ107" s="12"/>
      <c r="AR107" s="12"/>
      <c r="AS107" s="12"/>
    </row>
    <row r="108" spans="1:45" s="16" customFormat="1">
      <c r="A108" s="16">
        <v>320</v>
      </c>
      <c r="B108" s="16" t="s">
        <v>243</v>
      </c>
      <c r="C108" s="12" t="s">
        <v>85</v>
      </c>
      <c r="D108" s="16">
        <v>2024</v>
      </c>
      <c r="E108" s="16">
        <v>2021</v>
      </c>
      <c r="F108" s="16" t="s">
        <v>120</v>
      </c>
      <c r="G108" s="16" t="s">
        <v>109</v>
      </c>
      <c r="H108" s="16">
        <v>42.345813999999997</v>
      </c>
      <c r="I108" s="16">
        <v>-6.3904769999999997</v>
      </c>
      <c r="J108" s="16" t="s">
        <v>126</v>
      </c>
      <c r="K108" s="16" t="s">
        <v>176</v>
      </c>
      <c r="L108" s="16" t="s">
        <v>177</v>
      </c>
      <c r="M108" s="16" t="s">
        <v>236</v>
      </c>
      <c r="N108" s="16" t="s">
        <v>238</v>
      </c>
      <c r="O108" s="16" t="s">
        <v>86</v>
      </c>
      <c r="Q108" s="16" t="s">
        <v>93</v>
      </c>
      <c r="R108" s="16">
        <v>2005</v>
      </c>
      <c r="S108" s="16">
        <v>16</v>
      </c>
      <c r="T108" s="16">
        <v>1172</v>
      </c>
      <c r="X108" s="16" t="s">
        <v>114</v>
      </c>
      <c r="Y108" s="16" t="s">
        <v>2</v>
      </c>
      <c r="Z108" s="16" t="s">
        <v>1</v>
      </c>
      <c r="AA108" s="16" t="s">
        <v>113</v>
      </c>
      <c r="AB108" s="12" t="s">
        <v>2</v>
      </c>
      <c r="AC108" s="12" t="s">
        <v>2</v>
      </c>
      <c r="AD108" s="12" t="s">
        <v>2</v>
      </c>
      <c r="AE108" s="16" t="s">
        <v>256</v>
      </c>
      <c r="AF108" s="16">
        <v>0.4</v>
      </c>
      <c r="AG108" s="16">
        <v>0.46</v>
      </c>
      <c r="AH108" s="16">
        <v>0.63</v>
      </c>
      <c r="AI108" s="16">
        <f t="shared" si="30"/>
        <v>-0.13515790178998605</v>
      </c>
      <c r="AJ108" s="16">
        <f t="shared" si="31"/>
        <v>-6.0697840353611698E-2</v>
      </c>
    </row>
    <row r="109" spans="1:45" s="12" customFormat="1" ht="14.25" customHeight="1">
      <c r="A109" s="12">
        <v>192</v>
      </c>
      <c r="B109" s="12" t="s">
        <v>29</v>
      </c>
      <c r="C109" s="12" t="s">
        <v>91</v>
      </c>
      <c r="D109" s="12">
        <v>2016</v>
      </c>
      <c r="E109" s="12">
        <v>2009</v>
      </c>
      <c r="F109" s="12" t="s">
        <v>120</v>
      </c>
      <c r="G109" s="12" t="s">
        <v>109</v>
      </c>
      <c r="H109" s="12">
        <v>41.511228000000003</v>
      </c>
      <c r="I109" s="12" t="s">
        <v>205</v>
      </c>
      <c r="J109" s="12" t="s">
        <v>135</v>
      </c>
      <c r="K109" s="12" t="s">
        <v>176</v>
      </c>
      <c r="L109" s="12" t="s">
        <v>177</v>
      </c>
      <c r="M109" s="12" t="s">
        <v>236</v>
      </c>
      <c r="N109" s="12" t="s">
        <v>238</v>
      </c>
      <c r="O109" s="12" t="s">
        <v>86</v>
      </c>
      <c r="P109" s="12" t="s">
        <v>210</v>
      </c>
      <c r="Q109" s="12" t="s">
        <v>93</v>
      </c>
      <c r="R109" s="12">
        <v>2008</v>
      </c>
      <c r="S109" s="12">
        <v>1</v>
      </c>
      <c r="U109" s="12">
        <v>1200</v>
      </c>
      <c r="V109" s="12">
        <v>25</v>
      </c>
      <c r="W109" s="12">
        <v>25</v>
      </c>
      <c r="X109" s="12" t="s">
        <v>134</v>
      </c>
      <c r="Y109" s="12" t="s">
        <v>147</v>
      </c>
      <c r="Z109" s="12" t="s">
        <v>1</v>
      </c>
      <c r="AA109" s="12" t="s">
        <v>148</v>
      </c>
      <c r="AB109" s="12" t="s">
        <v>2</v>
      </c>
      <c r="AC109" s="12" t="s">
        <v>2</v>
      </c>
      <c r="AD109" s="12" t="s">
        <v>2</v>
      </c>
      <c r="AE109" s="12" t="s">
        <v>358</v>
      </c>
      <c r="AF109" s="12">
        <v>0.83</v>
      </c>
      <c r="AG109" s="12">
        <v>0.77</v>
      </c>
      <c r="AH109" s="12">
        <v>2.5099999999999998</v>
      </c>
      <c r="AI109" s="12">
        <f t="shared" si="30"/>
        <v>0.19555373882511332</v>
      </c>
      <c r="AJ109" s="12">
        <f t="shared" si="31"/>
        <v>3.2587367203592045E-2</v>
      </c>
    </row>
    <row r="110" spans="1:45" s="12" customFormat="1" ht="14.25" customHeight="1">
      <c r="A110" s="12">
        <v>192</v>
      </c>
      <c r="B110" s="12" t="s">
        <v>29</v>
      </c>
      <c r="C110" s="12" t="s">
        <v>91</v>
      </c>
      <c r="D110" s="12">
        <v>2016</v>
      </c>
      <c r="E110" s="12">
        <v>2009</v>
      </c>
      <c r="F110" s="12" t="s">
        <v>120</v>
      </c>
      <c r="G110" s="12" t="s">
        <v>109</v>
      </c>
      <c r="H110" s="12">
        <v>41.511228000000003</v>
      </c>
      <c r="I110" s="12" t="s">
        <v>205</v>
      </c>
      <c r="J110" s="12" t="s">
        <v>135</v>
      </c>
      <c r="K110" s="12" t="s">
        <v>176</v>
      </c>
      <c r="L110" s="12" t="s">
        <v>177</v>
      </c>
      <c r="M110" s="12" t="s">
        <v>236</v>
      </c>
      <c r="N110" s="12" t="s">
        <v>238</v>
      </c>
      <c r="O110" s="12" t="s">
        <v>86</v>
      </c>
      <c r="P110" s="12" t="s">
        <v>129</v>
      </c>
      <c r="Q110" s="12" t="s">
        <v>93</v>
      </c>
      <c r="R110" s="12">
        <v>2008</v>
      </c>
      <c r="S110" s="12">
        <v>1</v>
      </c>
      <c r="U110" s="12">
        <v>1200</v>
      </c>
      <c r="V110" s="12">
        <v>25</v>
      </c>
      <c r="W110" s="12">
        <v>25</v>
      </c>
      <c r="X110" s="12" t="s">
        <v>134</v>
      </c>
      <c r="Y110" s="12" t="s">
        <v>147</v>
      </c>
      <c r="Z110" s="12" t="s">
        <v>1</v>
      </c>
      <c r="AA110" s="12" t="s">
        <v>148</v>
      </c>
      <c r="AB110" s="12" t="s">
        <v>2</v>
      </c>
      <c r="AC110" s="12" t="s">
        <v>2</v>
      </c>
      <c r="AD110" s="12" t="s">
        <v>2</v>
      </c>
      <c r="AE110" s="12" t="s">
        <v>358</v>
      </c>
      <c r="AF110" s="12">
        <v>0.67</v>
      </c>
      <c r="AG110" s="12">
        <v>0.77</v>
      </c>
      <c r="AH110" s="12">
        <v>2.56</v>
      </c>
      <c r="AI110" s="12">
        <f t="shared" si="30"/>
        <v>0.24987747321659995</v>
      </c>
      <c r="AJ110" s="12">
        <f t="shared" si="31"/>
        <v>-6.0415922471655406E-2</v>
      </c>
    </row>
    <row r="111" spans="1:45" s="12" customFormat="1" ht="14.25" customHeight="1">
      <c r="A111" s="12">
        <v>327</v>
      </c>
      <c r="B111" s="12" t="s">
        <v>46</v>
      </c>
      <c r="C111" s="12" t="s">
        <v>85</v>
      </c>
      <c r="D111" s="12">
        <v>2022</v>
      </c>
      <c r="E111" s="12">
        <v>2020</v>
      </c>
      <c r="F111" s="12" t="s">
        <v>120</v>
      </c>
      <c r="G111" s="12" t="s">
        <v>109</v>
      </c>
      <c r="H111" s="12">
        <v>40.578930999999997</v>
      </c>
      <c r="I111" s="12">
        <v>-2.0713569999999999</v>
      </c>
      <c r="J111" s="12" t="s">
        <v>128</v>
      </c>
      <c r="K111" s="12" t="s">
        <v>176</v>
      </c>
      <c r="L111" s="12" t="s">
        <v>191</v>
      </c>
      <c r="M111" s="12" t="s">
        <v>236</v>
      </c>
      <c r="N111" s="12" t="s">
        <v>238</v>
      </c>
      <c r="O111" s="12" t="s">
        <v>121</v>
      </c>
      <c r="P111" s="12" t="s">
        <v>146</v>
      </c>
      <c r="Q111" s="12" t="s">
        <v>93</v>
      </c>
      <c r="R111" s="12">
        <v>2016</v>
      </c>
      <c r="S111" s="12">
        <v>4</v>
      </c>
      <c r="V111" s="12">
        <v>15</v>
      </c>
      <c r="W111" s="12">
        <v>15</v>
      </c>
      <c r="X111" s="12" t="s">
        <v>97</v>
      </c>
      <c r="Y111" s="12" t="s">
        <v>147</v>
      </c>
      <c r="Z111" s="12" t="s">
        <v>1</v>
      </c>
      <c r="AA111" s="12" t="s">
        <v>98</v>
      </c>
      <c r="AB111" s="12" t="s">
        <v>202</v>
      </c>
      <c r="AC111" s="12" t="s">
        <v>110</v>
      </c>
      <c r="AD111" s="12" t="s">
        <v>102</v>
      </c>
      <c r="AE111" s="12" t="s">
        <v>256</v>
      </c>
      <c r="AF111" s="12">
        <v>0.42</v>
      </c>
      <c r="AG111" s="12">
        <v>0.65</v>
      </c>
      <c r="AH111" s="12">
        <v>0.52</v>
      </c>
      <c r="AI111" s="12">
        <f t="shared" si="30"/>
        <v>-0.31338043405041049</v>
      </c>
      <c r="AJ111" s="12">
        <f t="shared" si="31"/>
        <v>-0.18966406624495516</v>
      </c>
    </row>
    <row r="112" spans="1:45" s="12" customFormat="1" ht="14.25" customHeight="1">
      <c r="A112" s="12">
        <v>448</v>
      </c>
      <c r="B112" s="12" t="s">
        <v>56</v>
      </c>
      <c r="C112" s="12" t="s">
        <v>85</v>
      </c>
      <c r="D112" s="12">
        <v>2019</v>
      </c>
      <c r="E112" s="12">
        <v>2015</v>
      </c>
      <c r="F112" s="12" t="s">
        <v>152</v>
      </c>
      <c r="G112" s="12" t="s">
        <v>117</v>
      </c>
      <c r="H112" s="12">
        <v>61.96461</v>
      </c>
      <c r="I112" s="12">
        <v>-116.850157</v>
      </c>
      <c r="J112" s="12" t="s">
        <v>128</v>
      </c>
      <c r="K112" s="12" t="s">
        <v>103</v>
      </c>
      <c r="L112" s="12" t="s">
        <v>187</v>
      </c>
      <c r="M112" s="12" t="s">
        <v>236</v>
      </c>
      <c r="N112" s="12" t="s">
        <v>238</v>
      </c>
      <c r="O112" s="12" t="s">
        <v>86</v>
      </c>
      <c r="P112" s="12" t="s">
        <v>129</v>
      </c>
      <c r="Q112" s="12" t="s">
        <v>93</v>
      </c>
      <c r="R112" s="12">
        <v>2014</v>
      </c>
      <c r="S112" s="12">
        <v>1</v>
      </c>
      <c r="U112" s="12" t="s">
        <v>278</v>
      </c>
      <c r="V112" s="12">
        <v>12</v>
      </c>
      <c r="W112" s="12">
        <v>50</v>
      </c>
      <c r="X112" s="12" t="s">
        <v>97</v>
      </c>
      <c r="Y112" s="12">
        <v>13.5</v>
      </c>
      <c r="Z112" s="12" t="s">
        <v>1</v>
      </c>
      <c r="AA112" s="12" t="s">
        <v>98</v>
      </c>
      <c r="AB112" s="12" t="s">
        <v>202</v>
      </c>
      <c r="AC112" s="12" t="s">
        <v>99</v>
      </c>
      <c r="AD112" s="12" t="s">
        <v>102</v>
      </c>
      <c r="AE112" s="12" t="s">
        <v>256</v>
      </c>
      <c r="AF112" s="12">
        <v>0.22</v>
      </c>
      <c r="AG112" s="12">
        <v>0.19</v>
      </c>
      <c r="AH112" s="12">
        <v>0.4</v>
      </c>
      <c r="AI112" s="12">
        <f t="shared" si="30"/>
        <v>-1.0723865391773113E-2</v>
      </c>
      <c r="AJ112" s="12">
        <f t="shared" si="31"/>
        <v>6.3669079869377296E-2</v>
      </c>
    </row>
    <row r="113" spans="1:36" s="1" customFormat="1" ht="14.25" customHeight="1">
      <c r="A113" s="12">
        <v>403</v>
      </c>
      <c r="B113" s="12" t="s">
        <v>50</v>
      </c>
      <c r="C113" s="1" t="s">
        <v>85</v>
      </c>
      <c r="D113" s="1">
        <v>2020</v>
      </c>
      <c r="E113" s="1">
        <v>2017</v>
      </c>
      <c r="F113" s="1" t="s">
        <v>214</v>
      </c>
      <c r="G113" s="1" t="s">
        <v>161</v>
      </c>
      <c r="H113" s="1">
        <v>50.903193999999999</v>
      </c>
      <c r="I113" s="1">
        <v>121.194889</v>
      </c>
      <c r="J113" s="1" t="s">
        <v>128</v>
      </c>
      <c r="K113" s="1" t="s">
        <v>172</v>
      </c>
      <c r="L113" s="1" t="s">
        <v>173</v>
      </c>
      <c r="M113" s="1" t="s">
        <v>236</v>
      </c>
      <c r="N113" s="1" t="s">
        <v>238</v>
      </c>
      <c r="O113" s="1" t="s">
        <v>86</v>
      </c>
      <c r="P113" s="1" t="s">
        <v>2</v>
      </c>
      <c r="Q113" s="1" t="s">
        <v>93</v>
      </c>
      <c r="R113" s="1">
        <v>2016</v>
      </c>
      <c r="S113" s="1">
        <v>1</v>
      </c>
      <c r="U113" s="1" t="s">
        <v>2</v>
      </c>
      <c r="V113" s="1">
        <v>4</v>
      </c>
      <c r="W113" s="1">
        <v>4</v>
      </c>
      <c r="X113" s="1" t="s">
        <v>97</v>
      </c>
      <c r="Y113" s="1" t="s">
        <v>130</v>
      </c>
      <c r="Z113" s="1" t="s">
        <v>1</v>
      </c>
      <c r="AA113" s="1" t="s">
        <v>98</v>
      </c>
      <c r="AB113" s="1" t="s">
        <v>202</v>
      </c>
      <c r="AC113" s="1" t="s">
        <v>99</v>
      </c>
      <c r="AD113" s="1" t="s">
        <v>102</v>
      </c>
      <c r="AE113" s="1" t="s">
        <v>256</v>
      </c>
      <c r="AF113" s="1">
        <v>0.41</v>
      </c>
      <c r="AG113" s="1">
        <v>0.44</v>
      </c>
      <c r="AH113" s="1">
        <v>1.06</v>
      </c>
      <c r="AI113" s="1">
        <f t="shared" si="30"/>
        <v>9.5886939550477515E-2</v>
      </c>
      <c r="AJ113" s="1">
        <f t="shared" si="31"/>
        <v>-3.0668819766451961E-2</v>
      </c>
    </row>
    <row r="114" spans="1:36" s="1" customFormat="1" ht="14.25" customHeight="1">
      <c r="A114" s="12">
        <v>403</v>
      </c>
      <c r="B114" s="12" t="s">
        <v>50</v>
      </c>
      <c r="C114" s="1" t="s">
        <v>85</v>
      </c>
      <c r="D114" s="1">
        <v>2020</v>
      </c>
      <c r="E114" s="1">
        <v>2017</v>
      </c>
      <c r="F114" s="1" t="s">
        <v>214</v>
      </c>
      <c r="G114" s="1" t="s">
        <v>161</v>
      </c>
      <c r="H114" s="1">
        <v>50.903193999999999</v>
      </c>
      <c r="I114" s="1">
        <v>121.194889</v>
      </c>
      <c r="J114" s="1" t="s">
        <v>128</v>
      </c>
      <c r="K114" s="1" t="s">
        <v>172</v>
      </c>
      <c r="L114" s="1" t="s">
        <v>173</v>
      </c>
      <c r="M114" s="1" t="s">
        <v>236</v>
      </c>
      <c r="N114" s="1" t="s">
        <v>238</v>
      </c>
      <c r="O114" s="1" t="s">
        <v>86</v>
      </c>
      <c r="P114" s="1" t="s">
        <v>2</v>
      </c>
      <c r="Q114" s="1" t="s">
        <v>93</v>
      </c>
      <c r="R114" s="1">
        <v>2016</v>
      </c>
      <c r="S114" s="1">
        <v>1</v>
      </c>
      <c r="U114" s="1" t="s">
        <v>2</v>
      </c>
      <c r="V114" s="1">
        <v>4</v>
      </c>
      <c r="W114" s="1">
        <v>4</v>
      </c>
      <c r="X114" s="1" t="s">
        <v>97</v>
      </c>
      <c r="Y114" s="1" t="s">
        <v>232</v>
      </c>
      <c r="Z114" s="1" t="s">
        <v>1</v>
      </c>
      <c r="AA114" s="1" t="s">
        <v>98</v>
      </c>
      <c r="AB114" s="1" t="s">
        <v>202</v>
      </c>
      <c r="AC114" s="1" t="s">
        <v>99</v>
      </c>
      <c r="AD114" s="1" t="s">
        <v>102</v>
      </c>
      <c r="AE114" s="1" t="s">
        <v>256</v>
      </c>
      <c r="AF114" s="1">
        <v>0.27</v>
      </c>
      <c r="AG114" s="1">
        <v>0.94</v>
      </c>
      <c r="AH114" s="1">
        <v>0.82</v>
      </c>
      <c r="AI114" s="1">
        <f t="shared" si="30"/>
        <v>-0.16897151793273341</v>
      </c>
      <c r="AJ114" s="1">
        <f t="shared" si="31"/>
        <v>-0.54176408944071131</v>
      </c>
    </row>
    <row r="115" spans="1:36" s="1" customFormat="1" ht="14.25" customHeight="1">
      <c r="A115" s="12">
        <v>403</v>
      </c>
      <c r="B115" s="12" t="s">
        <v>50</v>
      </c>
      <c r="C115" s="1" t="s">
        <v>85</v>
      </c>
      <c r="D115" s="1">
        <v>2020</v>
      </c>
      <c r="E115" s="1">
        <v>2017</v>
      </c>
      <c r="F115" s="1" t="s">
        <v>214</v>
      </c>
      <c r="G115" s="1" t="s">
        <v>161</v>
      </c>
      <c r="H115" s="1">
        <v>50.903193999999999</v>
      </c>
      <c r="I115" s="1">
        <v>121.194889</v>
      </c>
      <c r="J115" s="1" t="s">
        <v>128</v>
      </c>
      <c r="K115" s="1" t="s">
        <v>172</v>
      </c>
      <c r="L115" s="1" t="s">
        <v>173</v>
      </c>
      <c r="M115" s="1" t="s">
        <v>236</v>
      </c>
      <c r="N115" s="1" t="s">
        <v>238</v>
      </c>
      <c r="O115" s="1" t="s">
        <v>86</v>
      </c>
      <c r="P115" s="1" t="s">
        <v>2</v>
      </c>
      <c r="Q115" s="1" t="s">
        <v>93</v>
      </c>
      <c r="R115" s="1">
        <v>2016</v>
      </c>
      <c r="S115" s="1">
        <v>1</v>
      </c>
      <c r="U115" s="1" t="s">
        <v>2</v>
      </c>
      <c r="V115" s="1">
        <v>4</v>
      </c>
      <c r="W115" s="1">
        <v>4</v>
      </c>
      <c r="X115" s="1" t="s">
        <v>97</v>
      </c>
      <c r="Y115" s="1" t="s">
        <v>220</v>
      </c>
      <c r="Z115" s="1" t="s">
        <v>1</v>
      </c>
      <c r="AA115" s="1" t="s">
        <v>98</v>
      </c>
      <c r="AB115" s="1" t="s">
        <v>202</v>
      </c>
      <c r="AC115" s="1" t="s">
        <v>99</v>
      </c>
      <c r="AD115" s="1" t="s">
        <v>102</v>
      </c>
      <c r="AE115" s="1" t="s">
        <v>256</v>
      </c>
      <c r="AF115" s="1">
        <v>0.33</v>
      </c>
      <c r="AG115" s="1">
        <v>0.9</v>
      </c>
      <c r="AH115" s="1">
        <v>0.81</v>
      </c>
      <c r="AI115" s="1">
        <f t="shared" si="30"/>
        <v>-0.18142009256074818</v>
      </c>
      <c r="AJ115" s="1">
        <f t="shared" si="31"/>
        <v>-0.43572856956143735</v>
      </c>
    </row>
    <row r="116" spans="1:36" s="1" customFormat="1" ht="14.25" customHeight="1">
      <c r="A116" s="12">
        <v>403</v>
      </c>
      <c r="B116" s="12" t="s">
        <v>50</v>
      </c>
      <c r="C116" s="1" t="s">
        <v>85</v>
      </c>
      <c r="D116" s="1">
        <v>2020</v>
      </c>
      <c r="E116" s="1">
        <v>2017</v>
      </c>
      <c r="F116" s="1" t="s">
        <v>214</v>
      </c>
      <c r="G116" s="1" t="s">
        <v>161</v>
      </c>
      <c r="H116" s="1">
        <v>50.903193999999999</v>
      </c>
      <c r="I116" s="1">
        <v>121.194889</v>
      </c>
      <c r="J116" s="1" t="s">
        <v>128</v>
      </c>
      <c r="K116" s="1" t="s">
        <v>172</v>
      </c>
      <c r="L116" s="1" t="s">
        <v>173</v>
      </c>
      <c r="M116" s="1" t="s">
        <v>236</v>
      </c>
      <c r="N116" s="1" t="s">
        <v>238</v>
      </c>
      <c r="O116" s="1" t="s">
        <v>86</v>
      </c>
      <c r="P116" s="1" t="s">
        <v>2</v>
      </c>
      <c r="Q116" s="1" t="s">
        <v>93</v>
      </c>
      <c r="R116" s="1">
        <v>2015</v>
      </c>
      <c r="S116" s="1">
        <v>2</v>
      </c>
      <c r="U116" s="1" t="s">
        <v>2</v>
      </c>
      <c r="V116" s="1">
        <v>4</v>
      </c>
      <c r="W116" s="1">
        <v>4</v>
      </c>
      <c r="X116" s="1" t="s">
        <v>97</v>
      </c>
      <c r="Y116" s="1" t="s">
        <v>130</v>
      </c>
      <c r="Z116" s="1" t="s">
        <v>1</v>
      </c>
      <c r="AA116" s="1" t="s">
        <v>98</v>
      </c>
      <c r="AB116" s="1" t="s">
        <v>202</v>
      </c>
      <c r="AC116" s="1" t="s">
        <v>99</v>
      </c>
      <c r="AD116" s="1" t="s">
        <v>102</v>
      </c>
      <c r="AE116" s="1" t="s">
        <v>256</v>
      </c>
      <c r="AF116" s="1">
        <v>0.25</v>
      </c>
      <c r="AG116" s="1">
        <v>0.26</v>
      </c>
      <c r="AH116" s="1">
        <v>1.25</v>
      </c>
      <c r="AI116" s="1">
        <f t="shared" si="30"/>
        <v>0.38933983691012009</v>
      </c>
      <c r="AJ116" s="1">
        <f t="shared" si="31"/>
        <v>-1.7033339298780394E-2</v>
      </c>
    </row>
    <row r="117" spans="1:36" s="1" customFormat="1" ht="14.25" customHeight="1">
      <c r="A117" s="12">
        <v>403</v>
      </c>
      <c r="B117" s="12" t="s">
        <v>50</v>
      </c>
      <c r="C117" s="1" t="s">
        <v>85</v>
      </c>
      <c r="D117" s="1">
        <v>2020</v>
      </c>
      <c r="E117" s="1">
        <v>2017</v>
      </c>
      <c r="F117" s="1" t="s">
        <v>214</v>
      </c>
      <c r="G117" s="1" t="s">
        <v>161</v>
      </c>
      <c r="H117" s="1">
        <v>50.903193999999999</v>
      </c>
      <c r="I117" s="1">
        <v>121.194889</v>
      </c>
      <c r="J117" s="1" t="s">
        <v>128</v>
      </c>
      <c r="K117" s="1" t="s">
        <v>172</v>
      </c>
      <c r="L117" s="1" t="s">
        <v>173</v>
      </c>
      <c r="M117" s="1" t="s">
        <v>236</v>
      </c>
      <c r="N117" s="1" t="s">
        <v>238</v>
      </c>
      <c r="O117" s="1" t="s">
        <v>86</v>
      </c>
      <c r="P117" s="1" t="s">
        <v>2</v>
      </c>
      <c r="Q117" s="1" t="s">
        <v>93</v>
      </c>
      <c r="R117" s="1">
        <v>2015</v>
      </c>
      <c r="S117" s="1">
        <v>2</v>
      </c>
      <c r="U117" s="1" t="s">
        <v>2</v>
      </c>
      <c r="V117" s="1">
        <v>4</v>
      </c>
      <c r="W117" s="1">
        <v>4</v>
      </c>
      <c r="X117" s="1" t="s">
        <v>97</v>
      </c>
      <c r="Y117" s="1" t="s">
        <v>232</v>
      </c>
      <c r="Z117" s="1" t="s">
        <v>1</v>
      </c>
      <c r="AA117" s="1" t="s">
        <v>98</v>
      </c>
      <c r="AB117" s="1" t="s">
        <v>202</v>
      </c>
      <c r="AC117" s="1" t="s">
        <v>99</v>
      </c>
      <c r="AD117" s="1" t="s">
        <v>102</v>
      </c>
      <c r="AE117" s="1" t="s">
        <v>256</v>
      </c>
      <c r="AF117" s="1">
        <v>0.23</v>
      </c>
      <c r="AG117" s="1">
        <v>0.37</v>
      </c>
      <c r="AH117" s="1">
        <v>0.48</v>
      </c>
      <c r="AI117" s="1">
        <f t="shared" si="30"/>
        <v>-9.6910013008056392E-2</v>
      </c>
      <c r="AJ117" s="1">
        <f t="shared" si="31"/>
        <v>-0.20647388804940214</v>
      </c>
    </row>
    <row r="118" spans="1:36" s="1" customFormat="1" ht="14.25" customHeight="1">
      <c r="A118" s="12">
        <v>403</v>
      </c>
      <c r="B118" s="12" t="s">
        <v>50</v>
      </c>
      <c r="C118" s="1" t="s">
        <v>85</v>
      </c>
      <c r="D118" s="1">
        <v>2020</v>
      </c>
      <c r="E118" s="1">
        <v>2017</v>
      </c>
      <c r="F118" s="1" t="s">
        <v>214</v>
      </c>
      <c r="G118" s="1" t="s">
        <v>161</v>
      </c>
      <c r="H118" s="1">
        <v>50.903193999999999</v>
      </c>
      <c r="I118" s="1">
        <v>121.194889</v>
      </c>
      <c r="J118" s="1" t="s">
        <v>128</v>
      </c>
      <c r="K118" s="1" t="s">
        <v>172</v>
      </c>
      <c r="L118" s="1" t="s">
        <v>173</v>
      </c>
      <c r="M118" s="1" t="s">
        <v>236</v>
      </c>
      <c r="N118" s="1" t="s">
        <v>238</v>
      </c>
      <c r="O118" s="1" t="s">
        <v>86</v>
      </c>
      <c r="P118" s="1" t="s">
        <v>2</v>
      </c>
      <c r="Q118" s="1" t="s">
        <v>93</v>
      </c>
      <c r="R118" s="1">
        <v>2015</v>
      </c>
      <c r="S118" s="1">
        <v>2</v>
      </c>
      <c r="U118" s="1" t="s">
        <v>2</v>
      </c>
      <c r="V118" s="1">
        <v>4</v>
      </c>
      <c r="W118" s="1">
        <v>4</v>
      </c>
      <c r="X118" s="1" t="s">
        <v>97</v>
      </c>
      <c r="Y118" s="1" t="s">
        <v>220</v>
      </c>
      <c r="Z118" s="1" t="s">
        <v>1</v>
      </c>
      <c r="AA118" s="1" t="s">
        <v>98</v>
      </c>
      <c r="AB118" s="1" t="s">
        <v>202</v>
      </c>
      <c r="AC118" s="1" t="s">
        <v>99</v>
      </c>
      <c r="AD118" s="1" t="s">
        <v>102</v>
      </c>
      <c r="AE118" s="1" t="s">
        <v>256</v>
      </c>
      <c r="AF118" s="1">
        <v>0.27</v>
      </c>
      <c r="AG118" s="1">
        <v>0.55000000000000004</v>
      </c>
      <c r="AH118" s="1">
        <v>0.52</v>
      </c>
      <c r="AI118" s="1">
        <f t="shared" si="30"/>
        <v>-0.19781050874891754</v>
      </c>
      <c r="AJ118" s="1">
        <f t="shared" si="31"/>
        <v>-0.30899892533525652</v>
      </c>
    </row>
    <row r="119" spans="1:36" s="1" customFormat="1" ht="14.25" customHeight="1">
      <c r="A119" s="12">
        <v>403</v>
      </c>
      <c r="B119" s="12" t="s">
        <v>50</v>
      </c>
      <c r="C119" s="1" t="s">
        <v>85</v>
      </c>
      <c r="D119" s="1">
        <v>2020</v>
      </c>
      <c r="E119" s="1">
        <v>2017</v>
      </c>
      <c r="F119" s="1" t="s">
        <v>214</v>
      </c>
      <c r="G119" s="1" t="s">
        <v>161</v>
      </c>
      <c r="H119" s="1">
        <v>50.903193999999999</v>
      </c>
      <c r="I119" s="1">
        <v>121.194889</v>
      </c>
      <c r="J119" s="1" t="s">
        <v>128</v>
      </c>
      <c r="K119" s="1" t="s">
        <v>172</v>
      </c>
      <c r="L119" s="1" t="s">
        <v>173</v>
      </c>
      <c r="M119" s="1" t="s">
        <v>236</v>
      </c>
      <c r="N119" s="1" t="s">
        <v>238</v>
      </c>
      <c r="O119" s="1" t="s">
        <v>86</v>
      </c>
      <c r="P119" s="1" t="s">
        <v>2</v>
      </c>
      <c r="Q119" s="1" t="s">
        <v>93</v>
      </c>
      <c r="R119" s="1">
        <v>2009</v>
      </c>
      <c r="S119" s="1">
        <v>8</v>
      </c>
      <c r="U119" s="1" t="s">
        <v>2</v>
      </c>
      <c r="V119" s="1">
        <v>4</v>
      </c>
      <c r="W119" s="1">
        <v>4</v>
      </c>
      <c r="X119" s="1" t="s">
        <v>97</v>
      </c>
      <c r="Y119" s="1" t="s">
        <v>130</v>
      </c>
      <c r="Z119" s="1" t="s">
        <v>1</v>
      </c>
      <c r="AA119" s="1" t="s">
        <v>98</v>
      </c>
      <c r="AB119" s="1" t="s">
        <v>202</v>
      </c>
      <c r="AC119" s="1" t="s">
        <v>99</v>
      </c>
      <c r="AD119" s="1" t="s">
        <v>102</v>
      </c>
      <c r="AE119" s="1" t="s">
        <v>256</v>
      </c>
      <c r="AF119" s="1">
        <v>0.36</v>
      </c>
      <c r="AG119" s="1">
        <v>0.31</v>
      </c>
      <c r="AH119" s="1">
        <v>0.89</v>
      </c>
      <c r="AI119" s="1">
        <f t="shared" si="30"/>
        <v>0.12331520394408638</v>
      </c>
      <c r="AJ119" s="1">
        <f t="shared" si="31"/>
        <v>6.494080693301453E-2</v>
      </c>
    </row>
    <row r="120" spans="1:36" s="1" customFormat="1" ht="14.25" customHeight="1">
      <c r="A120" s="12">
        <v>403</v>
      </c>
      <c r="B120" s="12" t="s">
        <v>50</v>
      </c>
      <c r="C120" s="1" t="s">
        <v>85</v>
      </c>
      <c r="D120" s="1">
        <v>2020</v>
      </c>
      <c r="E120" s="1">
        <v>2017</v>
      </c>
      <c r="F120" s="1" t="s">
        <v>214</v>
      </c>
      <c r="G120" s="1" t="s">
        <v>161</v>
      </c>
      <c r="H120" s="1">
        <v>50.903193999999999</v>
      </c>
      <c r="I120" s="1">
        <v>121.194889</v>
      </c>
      <c r="J120" s="1" t="s">
        <v>128</v>
      </c>
      <c r="K120" s="1" t="s">
        <v>172</v>
      </c>
      <c r="L120" s="1" t="s">
        <v>173</v>
      </c>
      <c r="M120" s="1" t="s">
        <v>236</v>
      </c>
      <c r="N120" s="1" t="s">
        <v>238</v>
      </c>
      <c r="O120" s="1" t="s">
        <v>86</v>
      </c>
      <c r="P120" s="1" t="s">
        <v>2</v>
      </c>
      <c r="Q120" s="1" t="s">
        <v>93</v>
      </c>
      <c r="R120" s="1">
        <v>2009</v>
      </c>
      <c r="S120" s="1">
        <v>8</v>
      </c>
      <c r="U120" s="1" t="s">
        <v>2</v>
      </c>
      <c r="V120" s="1">
        <v>4</v>
      </c>
      <c r="W120" s="1">
        <v>4</v>
      </c>
      <c r="X120" s="1" t="s">
        <v>97</v>
      </c>
      <c r="Y120" s="1" t="s">
        <v>232</v>
      </c>
      <c r="Z120" s="1" t="s">
        <v>1</v>
      </c>
      <c r="AA120" s="1" t="s">
        <v>98</v>
      </c>
      <c r="AB120" s="1" t="s">
        <v>202</v>
      </c>
      <c r="AC120" s="1" t="s">
        <v>99</v>
      </c>
      <c r="AD120" s="1" t="s">
        <v>102</v>
      </c>
      <c r="AE120" s="1" t="s">
        <v>256</v>
      </c>
      <c r="AF120" s="1">
        <v>0.3</v>
      </c>
      <c r="AG120" s="1">
        <v>0.32</v>
      </c>
      <c r="AH120" s="1">
        <v>1.1100000000000001</v>
      </c>
      <c r="AI120" s="1">
        <f t="shared" si="30"/>
        <v>0.25293128928840358</v>
      </c>
      <c r="AJ120" s="1">
        <f t="shared" si="31"/>
        <v>-2.8028723600243537E-2</v>
      </c>
    </row>
    <row r="121" spans="1:36" s="1" customFormat="1" ht="14.25" customHeight="1">
      <c r="A121" s="12">
        <v>403</v>
      </c>
      <c r="B121" s="12" t="s">
        <v>50</v>
      </c>
      <c r="C121" s="1" t="s">
        <v>85</v>
      </c>
      <c r="D121" s="1">
        <v>2020</v>
      </c>
      <c r="E121" s="1">
        <v>2017</v>
      </c>
      <c r="F121" s="1" t="s">
        <v>214</v>
      </c>
      <c r="G121" s="1" t="s">
        <v>161</v>
      </c>
      <c r="H121" s="1">
        <v>50.903193999999999</v>
      </c>
      <c r="I121" s="1">
        <v>121.194889</v>
      </c>
      <c r="J121" s="1" t="s">
        <v>128</v>
      </c>
      <c r="K121" s="1" t="s">
        <v>172</v>
      </c>
      <c r="L121" s="1" t="s">
        <v>173</v>
      </c>
      <c r="M121" s="1" t="s">
        <v>236</v>
      </c>
      <c r="N121" s="1" t="s">
        <v>238</v>
      </c>
      <c r="O121" s="1" t="s">
        <v>86</v>
      </c>
      <c r="P121" s="1" t="s">
        <v>2</v>
      </c>
      <c r="Q121" s="1" t="s">
        <v>93</v>
      </c>
      <c r="R121" s="1">
        <v>2009</v>
      </c>
      <c r="S121" s="1">
        <v>8</v>
      </c>
      <c r="U121" s="1" t="s">
        <v>2</v>
      </c>
      <c r="V121" s="1">
        <v>4</v>
      </c>
      <c r="W121" s="1">
        <v>4</v>
      </c>
      <c r="X121" s="1" t="s">
        <v>97</v>
      </c>
      <c r="Y121" s="1" t="s">
        <v>220</v>
      </c>
      <c r="Z121" s="1" t="s">
        <v>1</v>
      </c>
      <c r="AA121" s="1" t="s">
        <v>98</v>
      </c>
      <c r="AB121" s="1" t="s">
        <v>202</v>
      </c>
      <c r="AC121" s="1" t="s">
        <v>99</v>
      </c>
      <c r="AD121" s="1" t="s">
        <v>102</v>
      </c>
      <c r="AE121" s="1" t="s">
        <v>256</v>
      </c>
      <c r="AF121" s="1">
        <v>0.7</v>
      </c>
      <c r="AG121" s="1">
        <v>0.54</v>
      </c>
      <c r="AH121" s="1">
        <v>0.59</v>
      </c>
      <c r="AI121" s="1">
        <f t="shared" si="30"/>
        <v>-0.32256967352009092</v>
      </c>
      <c r="AJ121" s="1">
        <f t="shared" si="31"/>
        <v>0.11270428019128824</v>
      </c>
    </row>
    <row r="122" spans="1:36" s="1" customFormat="1" ht="14.25" customHeight="1">
      <c r="A122" s="12">
        <v>403</v>
      </c>
      <c r="B122" s="12" t="s">
        <v>50</v>
      </c>
      <c r="C122" s="1" t="s">
        <v>85</v>
      </c>
      <c r="D122" s="1">
        <v>2020</v>
      </c>
      <c r="E122" s="1">
        <v>2017</v>
      </c>
      <c r="F122" s="1" t="s">
        <v>214</v>
      </c>
      <c r="G122" s="1" t="s">
        <v>161</v>
      </c>
      <c r="H122" s="1">
        <v>50.903193999999999</v>
      </c>
      <c r="I122" s="1">
        <v>121.194889</v>
      </c>
      <c r="J122" s="1" t="s">
        <v>128</v>
      </c>
      <c r="K122" s="1" t="s">
        <v>172</v>
      </c>
      <c r="L122" s="1" t="s">
        <v>173</v>
      </c>
      <c r="M122" s="1" t="s">
        <v>236</v>
      </c>
      <c r="N122" s="1" t="s">
        <v>238</v>
      </c>
      <c r="O122" s="1" t="s">
        <v>86</v>
      </c>
      <c r="P122" s="1" t="s">
        <v>2</v>
      </c>
      <c r="Q122" s="1" t="s">
        <v>93</v>
      </c>
      <c r="R122" s="1">
        <v>2003</v>
      </c>
      <c r="S122" s="1">
        <v>14</v>
      </c>
      <c r="U122" s="1" t="s">
        <v>2</v>
      </c>
      <c r="V122" s="1">
        <v>4</v>
      </c>
      <c r="W122" s="1">
        <v>4</v>
      </c>
      <c r="X122" s="1" t="s">
        <v>97</v>
      </c>
      <c r="Y122" s="1" t="s">
        <v>130</v>
      </c>
      <c r="Z122" s="1" t="s">
        <v>1</v>
      </c>
      <c r="AA122" s="1" t="s">
        <v>98</v>
      </c>
      <c r="AB122" s="1" t="s">
        <v>202</v>
      </c>
      <c r="AC122" s="1" t="s">
        <v>99</v>
      </c>
      <c r="AD122" s="1" t="s">
        <v>102</v>
      </c>
      <c r="AE122" s="1" t="s">
        <v>256</v>
      </c>
      <c r="AF122" s="1">
        <v>0.19</v>
      </c>
      <c r="AG122" s="1">
        <v>0.26</v>
      </c>
      <c r="AH122" s="1">
        <v>1.36</v>
      </c>
      <c r="AI122" s="1">
        <f t="shared" si="30"/>
        <v>0.48032639459487381</v>
      </c>
      <c r="AJ122" s="1">
        <f t="shared" si="31"/>
        <v>-0.13621974701798903</v>
      </c>
    </row>
    <row r="123" spans="1:36" s="1" customFormat="1" ht="14.25" customHeight="1">
      <c r="A123" s="12">
        <v>403</v>
      </c>
      <c r="B123" s="12" t="s">
        <v>50</v>
      </c>
      <c r="C123" s="1" t="s">
        <v>85</v>
      </c>
      <c r="D123" s="1">
        <v>2020</v>
      </c>
      <c r="E123" s="1">
        <v>2017</v>
      </c>
      <c r="F123" s="1" t="s">
        <v>214</v>
      </c>
      <c r="G123" s="1" t="s">
        <v>161</v>
      </c>
      <c r="H123" s="1">
        <v>50.903193999999999</v>
      </c>
      <c r="I123" s="1">
        <v>121.194889</v>
      </c>
      <c r="J123" s="1" t="s">
        <v>128</v>
      </c>
      <c r="K123" s="1" t="s">
        <v>172</v>
      </c>
      <c r="L123" s="1" t="s">
        <v>173</v>
      </c>
      <c r="M123" s="1" t="s">
        <v>236</v>
      </c>
      <c r="N123" s="1" t="s">
        <v>238</v>
      </c>
      <c r="O123" s="1" t="s">
        <v>86</v>
      </c>
      <c r="P123" s="1" t="s">
        <v>2</v>
      </c>
      <c r="Q123" s="1" t="s">
        <v>93</v>
      </c>
      <c r="R123" s="1">
        <v>2003</v>
      </c>
      <c r="S123" s="1">
        <v>14</v>
      </c>
      <c r="U123" s="1" t="s">
        <v>2</v>
      </c>
      <c r="V123" s="1">
        <v>4</v>
      </c>
      <c r="W123" s="1">
        <v>4</v>
      </c>
      <c r="X123" s="1" t="s">
        <v>97</v>
      </c>
      <c r="Y123" s="1" t="s">
        <v>232</v>
      </c>
      <c r="Z123" s="1" t="s">
        <v>1</v>
      </c>
      <c r="AA123" s="1" t="s">
        <v>98</v>
      </c>
      <c r="AB123" s="1" t="s">
        <v>202</v>
      </c>
      <c r="AC123" s="1" t="s">
        <v>99</v>
      </c>
      <c r="AD123" s="1" t="s">
        <v>102</v>
      </c>
      <c r="AE123" s="1" t="s">
        <v>256</v>
      </c>
      <c r="AF123" s="1">
        <v>0.34</v>
      </c>
      <c r="AG123" s="1">
        <v>0.46</v>
      </c>
      <c r="AH123" s="1">
        <v>0.92</v>
      </c>
      <c r="AI123" s="1">
        <f t="shared" si="30"/>
        <v>6.069784035361165E-2</v>
      </c>
      <c r="AJ123" s="1">
        <f t="shared" si="31"/>
        <v>-0.1312789146393189</v>
      </c>
    </row>
    <row r="124" spans="1:36" s="1" customFormat="1" ht="14.25" customHeight="1">
      <c r="A124" s="12">
        <v>403</v>
      </c>
      <c r="B124" s="12" t="s">
        <v>50</v>
      </c>
      <c r="C124" s="1" t="s">
        <v>85</v>
      </c>
      <c r="D124" s="1">
        <v>2020</v>
      </c>
      <c r="E124" s="1">
        <v>2017</v>
      </c>
      <c r="F124" s="1" t="s">
        <v>214</v>
      </c>
      <c r="G124" s="1" t="s">
        <v>161</v>
      </c>
      <c r="H124" s="1">
        <v>50.903193999999999</v>
      </c>
      <c r="I124" s="1">
        <v>121.194889</v>
      </c>
      <c r="J124" s="1" t="s">
        <v>128</v>
      </c>
      <c r="K124" s="1" t="s">
        <v>172</v>
      </c>
      <c r="L124" s="1" t="s">
        <v>173</v>
      </c>
      <c r="M124" s="1" t="s">
        <v>236</v>
      </c>
      <c r="N124" s="1" t="s">
        <v>238</v>
      </c>
      <c r="O124" s="1" t="s">
        <v>86</v>
      </c>
      <c r="P124" s="1" t="s">
        <v>2</v>
      </c>
      <c r="Q124" s="1" t="s">
        <v>93</v>
      </c>
      <c r="R124" s="1">
        <v>2003</v>
      </c>
      <c r="S124" s="1">
        <v>14</v>
      </c>
      <c r="U124" s="1" t="s">
        <v>2</v>
      </c>
      <c r="V124" s="1">
        <v>4</v>
      </c>
      <c r="W124" s="1">
        <v>4</v>
      </c>
      <c r="X124" s="1" t="s">
        <v>97</v>
      </c>
      <c r="Y124" s="1" t="s">
        <v>220</v>
      </c>
      <c r="Z124" s="1" t="s">
        <v>1</v>
      </c>
      <c r="AA124" s="1" t="s">
        <v>98</v>
      </c>
      <c r="AB124" s="1" t="s">
        <v>202</v>
      </c>
      <c r="AC124" s="1" t="s">
        <v>99</v>
      </c>
      <c r="AD124" s="1" t="s">
        <v>102</v>
      </c>
      <c r="AE124" s="1" t="s">
        <v>256</v>
      </c>
      <c r="AF124" s="1">
        <v>0.27</v>
      </c>
      <c r="AG124" s="1">
        <v>0.52</v>
      </c>
      <c r="AH124" s="1">
        <v>0.95</v>
      </c>
      <c r="AI124" s="1">
        <f t="shared" si="30"/>
        <v>8.0096513998406324E-2</v>
      </c>
      <c r="AJ124" s="1">
        <f t="shared" si="31"/>
        <v>-0.28463957947581181</v>
      </c>
    </row>
    <row r="125" spans="1:36" s="1" customFormat="1" ht="15" customHeight="1">
      <c r="A125" s="12">
        <v>452</v>
      </c>
      <c r="B125" s="12" t="s">
        <v>58</v>
      </c>
      <c r="C125" s="1" t="s">
        <v>85</v>
      </c>
      <c r="D125" s="1">
        <v>2022</v>
      </c>
      <c r="E125" s="1">
        <v>2015</v>
      </c>
      <c r="F125" s="1" t="s">
        <v>152</v>
      </c>
      <c r="G125" s="1" t="s">
        <v>117</v>
      </c>
      <c r="H125" s="1">
        <v>66.900244999999998</v>
      </c>
      <c r="I125" s="1">
        <v>-136.24644499999999</v>
      </c>
      <c r="J125" s="1" t="s">
        <v>128</v>
      </c>
      <c r="K125" s="1" t="s">
        <v>103</v>
      </c>
      <c r="L125" s="1" t="s">
        <v>260</v>
      </c>
      <c r="M125" s="1" t="s">
        <v>236</v>
      </c>
      <c r="N125" s="1" t="s">
        <v>238</v>
      </c>
      <c r="O125" s="1" t="s">
        <v>86</v>
      </c>
      <c r="P125" s="1" t="s">
        <v>2</v>
      </c>
      <c r="Q125" s="1" t="s">
        <v>93</v>
      </c>
      <c r="R125" s="1">
        <v>2012</v>
      </c>
      <c r="S125" s="1">
        <v>3</v>
      </c>
      <c r="U125" s="1" t="s">
        <v>2</v>
      </c>
      <c r="V125" s="1">
        <v>9</v>
      </c>
      <c r="W125" s="1">
        <v>9</v>
      </c>
      <c r="X125" s="1" t="s">
        <v>97</v>
      </c>
      <c r="Y125" s="1" t="s">
        <v>130</v>
      </c>
      <c r="Z125" s="1" t="s">
        <v>1</v>
      </c>
      <c r="AA125" s="1" t="s">
        <v>98</v>
      </c>
      <c r="AB125" s="1" t="s">
        <v>202</v>
      </c>
      <c r="AC125" s="1" t="s">
        <v>99</v>
      </c>
      <c r="AD125" s="1" t="s">
        <v>102</v>
      </c>
      <c r="AE125" s="1" t="s">
        <v>254</v>
      </c>
      <c r="AF125" s="1">
        <v>17.72</v>
      </c>
      <c r="AG125" s="1">
        <v>19.61</v>
      </c>
      <c r="AH125" s="1">
        <v>31.16</v>
      </c>
      <c r="AI125" s="1">
        <f>LOG(AH125/(AG125+AF125))</f>
        <v>-7.8460540925777686E-2</v>
      </c>
      <c r="AJ125" s="1">
        <f>LOG(AF125/AG125)</f>
        <v>-4.4013876116752129E-2</v>
      </c>
    </row>
    <row r="126" spans="1:36" s="1" customFormat="1" ht="14.25" customHeight="1">
      <c r="A126" s="12">
        <v>452</v>
      </c>
      <c r="B126" s="12" t="s">
        <v>58</v>
      </c>
      <c r="C126" s="1" t="s">
        <v>85</v>
      </c>
      <c r="D126" s="1">
        <v>2022</v>
      </c>
      <c r="E126" s="1">
        <v>2015</v>
      </c>
      <c r="F126" s="1" t="s">
        <v>152</v>
      </c>
      <c r="G126" s="1" t="s">
        <v>117</v>
      </c>
      <c r="H126" s="1">
        <v>66.900244999999998</v>
      </c>
      <c r="I126" s="1">
        <v>-136.24644499999999</v>
      </c>
      <c r="J126" s="1" t="s">
        <v>128</v>
      </c>
      <c r="K126" s="1" t="s">
        <v>103</v>
      </c>
      <c r="L126" s="1" t="s">
        <v>260</v>
      </c>
      <c r="M126" s="1" t="s">
        <v>236</v>
      </c>
      <c r="N126" s="1" t="s">
        <v>238</v>
      </c>
      <c r="O126" s="1" t="s">
        <v>86</v>
      </c>
      <c r="P126" s="1" t="s">
        <v>2</v>
      </c>
      <c r="Q126" s="1" t="s">
        <v>93</v>
      </c>
      <c r="R126" s="1">
        <v>2012</v>
      </c>
      <c r="S126" s="1">
        <v>3</v>
      </c>
      <c r="U126" s="1" t="s">
        <v>2</v>
      </c>
      <c r="V126" s="1">
        <v>9</v>
      </c>
      <c r="W126" s="1">
        <v>9</v>
      </c>
      <c r="X126" s="1" t="s">
        <v>97</v>
      </c>
      <c r="Y126" s="1" t="s">
        <v>232</v>
      </c>
      <c r="Z126" s="1" t="s">
        <v>1</v>
      </c>
      <c r="AA126" s="1" t="s">
        <v>98</v>
      </c>
      <c r="AB126" s="1" t="s">
        <v>202</v>
      </c>
      <c r="AC126" s="1" t="s">
        <v>99</v>
      </c>
      <c r="AD126" s="1" t="s">
        <v>102</v>
      </c>
      <c r="AE126" s="1" t="s">
        <v>254</v>
      </c>
      <c r="AF126" s="1">
        <v>18.87</v>
      </c>
      <c r="AG126" s="1">
        <v>33.049999999999997</v>
      </c>
      <c r="AH126" s="1">
        <v>36.72</v>
      </c>
      <c r="AI126" s="1">
        <f>LOG(AH126/(AG126+AF126))</f>
        <v>-0.15043201126310798</v>
      </c>
      <c r="AJ126" s="1">
        <f>LOG(AF126/AG126)</f>
        <v>-0.24339956365672766</v>
      </c>
    </row>
    <row r="127" spans="1:36" s="1" customFormat="1" ht="14.25" customHeight="1">
      <c r="A127" s="12">
        <v>452</v>
      </c>
      <c r="B127" s="12" t="s">
        <v>58</v>
      </c>
      <c r="C127" s="1" t="s">
        <v>85</v>
      </c>
      <c r="D127" s="1">
        <v>2022</v>
      </c>
      <c r="E127" s="1">
        <v>2015</v>
      </c>
      <c r="F127" s="1" t="s">
        <v>152</v>
      </c>
      <c r="G127" s="1" t="s">
        <v>117</v>
      </c>
      <c r="H127" s="1">
        <v>66.900244999999998</v>
      </c>
      <c r="I127" s="1">
        <v>-136.24644499999999</v>
      </c>
      <c r="J127" s="1" t="s">
        <v>128</v>
      </c>
      <c r="K127" s="1" t="s">
        <v>103</v>
      </c>
      <c r="L127" s="1" t="s">
        <v>260</v>
      </c>
      <c r="M127" s="1" t="s">
        <v>236</v>
      </c>
      <c r="N127" s="1" t="s">
        <v>238</v>
      </c>
      <c r="O127" s="1" t="s">
        <v>86</v>
      </c>
      <c r="P127" s="1" t="s">
        <v>2</v>
      </c>
      <c r="Q127" s="1" t="s">
        <v>93</v>
      </c>
      <c r="R127" s="1">
        <v>2012</v>
      </c>
      <c r="S127" s="1">
        <v>3</v>
      </c>
      <c r="U127" s="1" t="s">
        <v>2</v>
      </c>
      <c r="V127" s="1">
        <v>9</v>
      </c>
      <c r="W127" s="1">
        <v>9</v>
      </c>
      <c r="X127" s="1" t="s">
        <v>97</v>
      </c>
      <c r="Y127" s="1" t="s">
        <v>233</v>
      </c>
      <c r="Z127" s="1" t="s">
        <v>1</v>
      </c>
      <c r="AA127" s="1" t="s">
        <v>98</v>
      </c>
      <c r="AB127" s="1" t="s">
        <v>202</v>
      </c>
      <c r="AC127" s="1" t="s">
        <v>99</v>
      </c>
      <c r="AD127" s="1" t="s">
        <v>102</v>
      </c>
      <c r="AE127" s="1" t="s">
        <v>254</v>
      </c>
      <c r="AF127" s="1">
        <v>10.34</v>
      </c>
      <c r="AG127" s="1">
        <v>22.76</v>
      </c>
      <c r="AH127" s="1">
        <v>31.15</v>
      </c>
      <c r="AI127" s="1">
        <f>LOG(AH127/(AG127+AF127))</f>
        <v>-2.6369942780530373E-2</v>
      </c>
      <c r="AJ127" s="1">
        <f>LOG(AF127/AG127)</f>
        <v>-0.34265171896510993</v>
      </c>
    </row>
    <row r="128" spans="1:36">
      <c r="AF128" s="1"/>
      <c r="AG128" s="1"/>
      <c r="AH128" s="1"/>
      <c r="AI128" s="1"/>
      <c r="AJ128" s="1"/>
    </row>
  </sheetData>
  <autoFilter ref="A1:AJ128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sqref="A1:E4"/>
    </sheetView>
  </sheetViews>
  <sheetFormatPr baseColWidth="10" defaultRowHeight="14.25"/>
  <sheetData>
    <row r="1" spans="1:5">
      <c r="C1" t="s">
        <v>128</v>
      </c>
      <c r="D1" t="s">
        <v>382</v>
      </c>
      <c r="E1" t="s">
        <v>114</v>
      </c>
    </row>
    <row r="2" spans="1:5">
      <c r="A2" t="s">
        <v>85</v>
      </c>
      <c r="B2">
        <v>65</v>
      </c>
      <c r="C2">
        <v>37</v>
      </c>
      <c r="D2">
        <v>12</v>
      </c>
      <c r="E2">
        <v>15</v>
      </c>
    </row>
    <row r="3" spans="1:5">
      <c r="A3" t="s">
        <v>91</v>
      </c>
      <c r="B3">
        <v>3</v>
      </c>
      <c r="C3">
        <v>1</v>
      </c>
      <c r="D3">
        <v>2</v>
      </c>
      <c r="E3">
        <v>0</v>
      </c>
    </row>
    <row r="4" spans="1:5">
      <c r="A4" t="s">
        <v>381</v>
      </c>
      <c r="B4">
        <v>4</v>
      </c>
      <c r="C4">
        <v>1</v>
      </c>
      <c r="D4">
        <v>3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means_data</vt:lpstr>
      <vt:lpstr>ordinations_data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Amara Santiesteban Serrano</dc:creator>
  <cp:lastModifiedBy>amara santiesteban serrano</cp:lastModifiedBy>
  <dcterms:created xsi:type="dcterms:W3CDTF">2024-09-09T18:41:41Z</dcterms:created>
  <dcterms:modified xsi:type="dcterms:W3CDTF">2025-12-30T13:13:43Z</dcterms:modified>
</cp:coreProperties>
</file>