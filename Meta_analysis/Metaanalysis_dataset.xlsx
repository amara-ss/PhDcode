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showInkAnnotation="0"/>
  <mc:AlternateContent xmlns:mc="http://schemas.openxmlformats.org/markup-compatibility/2006">
    <mc:Choice Requires="x15">
      <x15ac:absPath xmlns:x15ac="http://schemas.microsoft.com/office/spreadsheetml/2010/11/ac" url="C:\Users\amara.santiesteban\Desktop\FPI_INIA\PhDcode\Meta_analysis\"/>
    </mc:Choice>
  </mc:AlternateContent>
  <bookViews>
    <workbookView xWindow="-105" yWindow="-105" windowWidth="19425" windowHeight="10425" activeTab="1"/>
  </bookViews>
  <sheets>
    <sheet name="metadata_WOS" sheetId="1" r:id="rId1"/>
    <sheet name="means_data" sheetId="2" r:id="rId2"/>
    <sheet name="ordinations_data" sheetId="4" r:id="rId3"/>
    <sheet name="Notes_includedArt" sheetId="3" r:id="rId4"/>
  </sheets>
  <definedNames>
    <definedName name="_xlnm._FilterDatabase" localSheetId="1" hidden="1">means_data!$A$1:$AV$275</definedName>
    <definedName name="_xlnm._FilterDatabase" localSheetId="0" hidden="1">metadata_WOS!$A$1:$AA$631</definedName>
    <definedName name="_xlnm._FilterDatabase" localSheetId="3" hidden="1">Notes_includedArt!$A$1:$D$1</definedName>
    <definedName name="_xlnm._FilterDatabase" localSheetId="2" hidden="1">ordinations_data!$A$1:$AK$1</definedName>
    <definedName name="ExternalData_1" localSheetId="0">metadata_WOS!$B$1:$J$629</definedName>
  </definedNames>
  <calcPr calcId="162913"/>
</workbook>
</file>

<file path=xl/calcChain.xml><?xml version="1.0" encoding="utf-8"?>
<calcChain xmlns="http://schemas.openxmlformats.org/spreadsheetml/2006/main">
  <c r="AJ38" i="4" l="1"/>
  <c r="AK38" i="4"/>
  <c r="AQ59" i="2"/>
  <c r="AN59" i="2"/>
  <c r="AM59" i="2"/>
  <c r="AQ58" i="2"/>
  <c r="AN58" i="2"/>
  <c r="AM58" i="2"/>
  <c r="AO58" i="2" s="1"/>
  <c r="AJ35" i="4"/>
  <c r="AK35" i="4"/>
  <c r="AJ36" i="4"/>
  <c r="AK36" i="4"/>
  <c r="AJ37" i="4"/>
  <c r="AK37" i="4"/>
  <c r="AJ34" i="4"/>
  <c r="AK34" i="4"/>
  <c r="AG38" i="2"/>
  <c r="AJ44" i="2"/>
  <c r="AJ38" i="2"/>
  <c r="AT38" i="2" s="1"/>
  <c r="AG44" i="2"/>
  <c r="AT44" i="2" s="1"/>
  <c r="AG43" i="2"/>
  <c r="AJ43" i="2"/>
  <c r="AG37" i="2"/>
  <c r="AJ37" i="2"/>
  <c r="AJ42" i="2"/>
  <c r="AJ41" i="2"/>
  <c r="AG42" i="2"/>
  <c r="AG41" i="2"/>
  <c r="AJ36" i="2"/>
  <c r="AG36" i="2"/>
  <c r="AT36" i="2" s="1"/>
  <c r="AJ35" i="2"/>
  <c r="AG35" i="2"/>
  <c r="AT35" i="2" s="1"/>
  <c r="AO59" i="2" l="1"/>
  <c r="AR59" i="2" s="1"/>
  <c r="AU41" i="2"/>
  <c r="AU42" i="2"/>
  <c r="AP59" i="2"/>
  <c r="AS59" i="2" s="1"/>
  <c r="AP58" i="2"/>
  <c r="AS58" i="2" s="1"/>
  <c r="AR58" i="2"/>
  <c r="AU35" i="2"/>
  <c r="AU38" i="2"/>
  <c r="AT43" i="2"/>
  <c r="AU37" i="2"/>
  <c r="AU36" i="2"/>
  <c r="AT37" i="2"/>
  <c r="AU44" i="2"/>
  <c r="AU43" i="2"/>
  <c r="AT42" i="2"/>
  <c r="AT41" i="2"/>
  <c r="AI40" i="2"/>
  <c r="AH40" i="2" s="1"/>
  <c r="AL40" i="2"/>
  <c r="AK40" i="2" s="1"/>
  <c r="AL34" i="2"/>
  <c r="AK34" i="2" s="1"/>
  <c r="AI34" i="2"/>
  <c r="AH34" i="2" s="1"/>
  <c r="AM40" i="2"/>
  <c r="AQ40" i="2"/>
  <c r="AM34" i="2"/>
  <c r="AQ34" i="2"/>
  <c r="AK33" i="4"/>
  <c r="AJ33" i="4"/>
  <c r="AJ32" i="4"/>
  <c r="AK32" i="4"/>
  <c r="AN40" i="2" l="1"/>
  <c r="AN34" i="2"/>
  <c r="AO40" i="2"/>
  <c r="AP40" i="2"/>
  <c r="AS40" i="2" s="1"/>
  <c r="AR40" i="2"/>
  <c r="AO34" i="2"/>
  <c r="AP34" i="2" s="1"/>
  <c r="AS34" i="2" s="1"/>
  <c r="AR34" i="2"/>
  <c r="AK25" i="2"/>
  <c r="AK26" i="2"/>
  <c r="AK27" i="2"/>
  <c r="AK23" i="2"/>
  <c r="AK24" i="2"/>
  <c r="AK22" i="2"/>
  <c r="AH22" i="2"/>
  <c r="AH23" i="2"/>
  <c r="AH24" i="2"/>
  <c r="AH26" i="2"/>
  <c r="AH27" i="2"/>
  <c r="AH25" i="2"/>
  <c r="AH5" i="2"/>
  <c r="AJ28" i="4"/>
  <c r="AK28" i="4"/>
  <c r="AJ29" i="4"/>
  <c r="AK29" i="4"/>
  <c r="AJ30" i="4"/>
  <c r="AK30" i="4"/>
  <c r="AJ31" i="4"/>
  <c r="AK31" i="4"/>
  <c r="AJ27" i="4"/>
  <c r="AJ24" i="4"/>
  <c r="AK24" i="4"/>
  <c r="AJ25" i="4"/>
  <c r="AK25" i="4"/>
  <c r="AJ26" i="4"/>
  <c r="AK26" i="4"/>
  <c r="AK27" i="4"/>
  <c r="AJ22" i="4"/>
  <c r="AK22" i="4"/>
  <c r="AJ23" i="4"/>
  <c r="AK23" i="4"/>
  <c r="AJ11" i="2"/>
  <c r="AJ10" i="2"/>
  <c r="AJ9" i="2"/>
  <c r="AJ8" i="2"/>
  <c r="AG11" i="2"/>
  <c r="AG10" i="2"/>
  <c r="AG9" i="2"/>
  <c r="AG8" i="2"/>
  <c r="AK6" i="2"/>
  <c r="AN6" i="2" s="1"/>
  <c r="AK5" i="2"/>
  <c r="AQ7" i="2"/>
  <c r="AM7" i="2"/>
  <c r="AN7" i="2"/>
  <c r="AQ6" i="2"/>
  <c r="AM6" i="2"/>
  <c r="AQ4" i="2"/>
  <c r="AM4" i="2"/>
  <c r="AH4" i="2"/>
  <c r="AN4" i="2" s="1"/>
  <c r="AQ3" i="2"/>
  <c r="AM3" i="2"/>
  <c r="AK3" i="2"/>
  <c r="AH3" i="2"/>
  <c r="AK2" i="2"/>
  <c r="AH2" i="2"/>
  <c r="AK209" i="2"/>
  <c r="AH209" i="2"/>
  <c r="AK205" i="2"/>
  <c r="AH205" i="2"/>
  <c r="AK208" i="2"/>
  <c r="AH208" i="2"/>
  <c r="AK204" i="2"/>
  <c r="AH204" i="2"/>
  <c r="AK207" i="2"/>
  <c r="AH207" i="2"/>
  <c r="AK203" i="2"/>
  <c r="AH203" i="2"/>
  <c r="AQ209" i="2"/>
  <c r="AM209" i="2"/>
  <c r="AQ208" i="2"/>
  <c r="AM208" i="2"/>
  <c r="AQ207" i="2"/>
  <c r="AM207" i="2"/>
  <c r="AQ205" i="2"/>
  <c r="AM205" i="2"/>
  <c r="AQ204" i="2"/>
  <c r="AM204" i="2"/>
  <c r="AQ203" i="2"/>
  <c r="AM203" i="2"/>
  <c r="AQ2" i="2"/>
  <c r="AQ5" i="2"/>
  <c r="AQ22" i="2"/>
  <c r="AQ23" i="2"/>
  <c r="AQ24" i="2"/>
  <c r="AQ25" i="2"/>
  <c r="AQ26" i="2"/>
  <c r="AQ27" i="2"/>
  <c r="AQ28" i="2"/>
  <c r="AQ29" i="2"/>
  <c r="AQ30" i="2"/>
  <c r="AQ31" i="2"/>
  <c r="AQ32" i="2"/>
  <c r="AQ45" i="2"/>
  <c r="AQ48" i="2"/>
  <c r="AQ51" i="2"/>
  <c r="AQ52" i="2"/>
  <c r="AQ53" i="2"/>
  <c r="AQ54" i="2"/>
  <c r="AQ55" i="2"/>
  <c r="AQ56" i="2"/>
  <c r="AQ57" i="2"/>
  <c r="AQ61" i="2"/>
  <c r="AQ62" i="2"/>
  <c r="AQ63" i="2"/>
  <c r="AQ64" i="2"/>
  <c r="AQ65" i="2"/>
  <c r="AQ66" i="2"/>
  <c r="AQ67" i="2"/>
  <c r="AQ68" i="2"/>
  <c r="AQ69" i="2"/>
  <c r="AQ70" i="2"/>
  <c r="AQ71" i="2"/>
  <c r="AQ72" i="2"/>
  <c r="AQ73" i="2"/>
  <c r="AQ74" i="2"/>
  <c r="AQ75" i="2"/>
  <c r="AQ76" i="2"/>
  <c r="AQ77" i="2"/>
  <c r="AQ78" i="2"/>
  <c r="AQ79" i="2"/>
  <c r="AQ80" i="2"/>
  <c r="AQ81" i="2"/>
  <c r="AQ82" i="2"/>
  <c r="AQ83" i="2"/>
  <c r="AQ84" i="2"/>
  <c r="AQ85" i="2"/>
  <c r="AQ86" i="2"/>
  <c r="AQ87" i="2"/>
  <c r="AQ88" i="2"/>
  <c r="AQ89" i="2"/>
  <c r="AQ90" i="2"/>
  <c r="AQ91" i="2"/>
  <c r="AQ92" i="2"/>
  <c r="AQ93" i="2"/>
  <c r="AQ94" i="2"/>
  <c r="AQ95" i="2"/>
  <c r="AQ96" i="2"/>
  <c r="AQ97" i="2"/>
  <c r="AQ98" i="2"/>
  <c r="AQ99" i="2"/>
  <c r="AQ100" i="2"/>
  <c r="AQ101" i="2"/>
  <c r="AQ102" i="2"/>
  <c r="AQ103" i="2"/>
  <c r="AQ104" i="2"/>
  <c r="AQ105" i="2"/>
  <c r="AQ106" i="2"/>
  <c r="AQ107" i="2"/>
  <c r="AQ108" i="2"/>
  <c r="AQ109" i="2"/>
  <c r="AQ110" i="2"/>
  <c r="AQ111" i="2"/>
  <c r="AQ112" i="2"/>
  <c r="AQ113" i="2"/>
  <c r="AQ114" i="2"/>
  <c r="AQ115" i="2"/>
  <c r="AQ116" i="2"/>
  <c r="AQ117" i="2"/>
  <c r="AQ118" i="2"/>
  <c r="AQ119" i="2"/>
  <c r="AQ120" i="2"/>
  <c r="AQ121" i="2"/>
  <c r="AQ122" i="2"/>
  <c r="AQ123" i="2"/>
  <c r="AQ124" i="2"/>
  <c r="AQ125" i="2"/>
  <c r="AQ126" i="2"/>
  <c r="AQ127" i="2"/>
  <c r="AQ128" i="2"/>
  <c r="AQ129" i="2"/>
  <c r="AQ130" i="2"/>
  <c r="AQ131" i="2"/>
  <c r="AQ132" i="2"/>
  <c r="AQ133" i="2"/>
  <c r="AQ134" i="2"/>
  <c r="AQ135" i="2"/>
  <c r="AQ136" i="2"/>
  <c r="AQ137" i="2"/>
  <c r="AQ138" i="2"/>
  <c r="AQ139" i="2"/>
  <c r="AQ140" i="2"/>
  <c r="AQ141" i="2"/>
  <c r="AQ142" i="2"/>
  <c r="AQ143" i="2"/>
  <c r="AQ144" i="2"/>
  <c r="AQ145" i="2"/>
  <c r="AQ146" i="2"/>
  <c r="AQ147" i="2"/>
  <c r="AQ148" i="2"/>
  <c r="AQ149" i="2"/>
  <c r="AQ150" i="2"/>
  <c r="AQ151" i="2"/>
  <c r="AQ152" i="2"/>
  <c r="AQ153" i="2"/>
  <c r="AQ154" i="2"/>
  <c r="AQ155" i="2"/>
  <c r="AQ156" i="2"/>
  <c r="AQ157" i="2"/>
  <c r="AQ158" i="2"/>
  <c r="AQ159" i="2"/>
  <c r="AQ160" i="2"/>
  <c r="AQ161" i="2"/>
  <c r="AQ162" i="2"/>
  <c r="AQ163" i="2"/>
  <c r="AQ164" i="2"/>
  <c r="AQ165" i="2"/>
  <c r="AQ166" i="2"/>
  <c r="AQ167" i="2"/>
  <c r="AQ168" i="2"/>
  <c r="AQ169" i="2"/>
  <c r="AQ170" i="2"/>
  <c r="AQ171" i="2"/>
  <c r="AQ172" i="2"/>
  <c r="AQ173" i="2"/>
  <c r="AQ174" i="2"/>
  <c r="AQ175" i="2"/>
  <c r="AQ176" i="2"/>
  <c r="AQ177" i="2"/>
  <c r="AQ178" i="2"/>
  <c r="AQ179" i="2"/>
  <c r="AQ180" i="2"/>
  <c r="AQ181" i="2"/>
  <c r="AQ182" i="2"/>
  <c r="AQ183" i="2"/>
  <c r="AQ184" i="2"/>
  <c r="AQ185" i="2"/>
  <c r="AQ186" i="2"/>
  <c r="AQ187" i="2"/>
  <c r="AQ188" i="2"/>
  <c r="AQ189" i="2"/>
  <c r="AQ190" i="2"/>
  <c r="AQ191" i="2"/>
  <c r="AQ192" i="2"/>
  <c r="AQ193" i="2"/>
  <c r="AQ194" i="2"/>
  <c r="AQ195" i="2"/>
  <c r="AQ196" i="2"/>
  <c r="AQ197" i="2"/>
  <c r="AQ198" i="2"/>
  <c r="AQ199" i="2"/>
  <c r="AQ200" i="2"/>
  <c r="AQ201" i="2"/>
  <c r="AQ202" i="2"/>
  <c r="AQ206" i="2"/>
  <c r="AQ210" i="2"/>
  <c r="AQ211" i="2"/>
  <c r="AQ212" i="2"/>
  <c r="AQ213" i="2"/>
  <c r="AQ214" i="2"/>
  <c r="AQ215" i="2"/>
  <c r="AQ216" i="2"/>
  <c r="AQ217" i="2"/>
  <c r="AQ218" i="2"/>
  <c r="AQ219" i="2"/>
  <c r="AN28" i="2"/>
  <c r="AN29" i="2"/>
  <c r="AN30" i="2"/>
  <c r="AN31" i="2"/>
  <c r="AN32" i="2"/>
  <c r="AN45" i="2"/>
  <c r="AN48" i="2"/>
  <c r="AN51" i="2"/>
  <c r="AN52" i="2"/>
  <c r="AN53" i="2"/>
  <c r="AN54" i="2"/>
  <c r="AN55" i="2"/>
  <c r="AN56" i="2"/>
  <c r="AO56" i="2" s="1"/>
  <c r="AN57" i="2"/>
  <c r="AN61" i="2"/>
  <c r="AN62" i="2"/>
  <c r="AN63" i="2"/>
  <c r="AN64" i="2"/>
  <c r="AN65" i="2"/>
  <c r="AN66" i="2"/>
  <c r="AN67" i="2"/>
  <c r="AN68" i="2"/>
  <c r="AN69" i="2"/>
  <c r="AN70" i="2"/>
  <c r="AN71" i="2"/>
  <c r="AN72" i="2"/>
  <c r="AN73" i="2"/>
  <c r="AN74" i="2"/>
  <c r="AN75" i="2"/>
  <c r="AN76" i="2"/>
  <c r="AN77" i="2"/>
  <c r="AN78" i="2"/>
  <c r="AN79" i="2"/>
  <c r="AN80" i="2"/>
  <c r="AN81" i="2"/>
  <c r="AN82" i="2"/>
  <c r="AN83" i="2"/>
  <c r="AN84" i="2"/>
  <c r="AN85" i="2"/>
  <c r="AN86" i="2"/>
  <c r="AN87" i="2"/>
  <c r="AN88" i="2"/>
  <c r="AN89" i="2"/>
  <c r="AN90" i="2"/>
  <c r="AN91" i="2"/>
  <c r="AN92" i="2"/>
  <c r="AN93" i="2"/>
  <c r="AN94" i="2"/>
  <c r="AN95" i="2"/>
  <c r="AN96" i="2"/>
  <c r="AN97" i="2"/>
  <c r="AN98" i="2"/>
  <c r="AN99" i="2"/>
  <c r="AN100" i="2"/>
  <c r="AN101" i="2"/>
  <c r="AN102" i="2"/>
  <c r="AN103" i="2"/>
  <c r="AN104" i="2"/>
  <c r="AN105" i="2"/>
  <c r="AN106" i="2"/>
  <c r="AN107" i="2"/>
  <c r="AN108" i="2"/>
  <c r="AN109" i="2"/>
  <c r="AN110" i="2"/>
  <c r="AN111" i="2"/>
  <c r="AN112" i="2"/>
  <c r="AN113" i="2"/>
  <c r="AN114" i="2"/>
  <c r="AN115" i="2"/>
  <c r="AN116" i="2"/>
  <c r="AN117" i="2"/>
  <c r="AN118" i="2"/>
  <c r="AN119" i="2"/>
  <c r="AN120" i="2"/>
  <c r="AN121" i="2"/>
  <c r="AN122" i="2"/>
  <c r="AN123" i="2"/>
  <c r="AN124" i="2"/>
  <c r="AN125" i="2"/>
  <c r="AN126" i="2"/>
  <c r="AN127" i="2"/>
  <c r="AN128" i="2"/>
  <c r="AN129" i="2"/>
  <c r="AN130" i="2"/>
  <c r="AN131" i="2"/>
  <c r="AN132" i="2"/>
  <c r="AN133" i="2"/>
  <c r="AN134" i="2"/>
  <c r="AN135" i="2"/>
  <c r="AN136" i="2"/>
  <c r="AN137" i="2"/>
  <c r="AN138" i="2"/>
  <c r="AN139" i="2"/>
  <c r="AN140" i="2"/>
  <c r="AN141" i="2"/>
  <c r="AN142" i="2"/>
  <c r="AN143" i="2"/>
  <c r="AN144" i="2"/>
  <c r="AN145" i="2"/>
  <c r="AN146" i="2"/>
  <c r="AN147" i="2"/>
  <c r="AN148" i="2"/>
  <c r="AN149" i="2"/>
  <c r="AN150" i="2"/>
  <c r="AN151" i="2"/>
  <c r="AN152" i="2"/>
  <c r="AN153" i="2"/>
  <c r="AN154" i="2"/>
  <c r="AN155" i="2"/>
  <c r="AN156" i="2"/>
  <c r="AN157" i="2"/>
  <c r="AN158" i="2"/>
  <c r="AN159" i="2"/>
  <c r="AN160" i="2"/>
  <c r="AN161" i="2"/>
  <c r="AN162" i="2"/>
  <c r="AN163" i="2"/>
  <c r="AN164" i="2"/>
  <c r="AN165" i="2"/>
  <c r="AN166" i="2"/>
  <c r="AN167" i="2"/>
  <c r="AN168" i="2"/>
  <c r="AN169" i="2"/>
  <c r="AN170" i="2"/>
  <c r="AN171" i="2"/>
  <c r="AN172" i="2"/>
  <c r="AN173" i="2"/>
  <c r="AN174" i="2"/>
  <c r="AN175" i="2"/>
  <c r="AN176" i="2"/>
  <c r="AN177" i="2"/>
  <c r="AN178" i="2"/>
  <c r="AN179" i="2"/>
  <c r="AN180" i="2"/>
  <c r="AN181" i="2"/>
  <c r="AN182" i="2"/>
  <c r="AN183" i="2"/>
  <c r="AN184" i="2"/>
  <c r="AN185" i="2"/>
  <c r="AN186" i="2"/>
  <c r="AN187" i="2"/>
  <c r="AN188" i="2"/>
  <c r="AN189" i="2"/>
  <c r="AN190" i="2"/>
  <c r="AN191" i="2"/>
  <c r="AN192" i="2"/>
  <c r="AN193" i="2"/>
  <c r="AN194" i="2"/>
  <c r="AN195" i="2"/>
  <c r="AN196" i="2"/>
  <c r="AN197" i="2"/>
  <c r="AN198" i="2"/>
  <c r="AN199" i="2"/>
  <c r="AN200" i="2"/>
  <c r="AN201" i="2"/>
  <c r="AN210" i="2"/>
  <c r="AN211" i="2"/>
  <c r="AN212" i="2"/>
  <c r="AN213" i="2"/>
  <c r="AN214" i="2"/>
  <c r="AN215" i="2"/>
  <c r="AN216" i="2"/>
  <c r="AN217" i="2"/>
  <c r="AN218" i="2"/>
  <c r="AN219" i="2"/>
  <c r="AK206" i="2"/>
  <c r="AH206" i="2"/>
  <c r="AK202" i="2"/>
  <c r="AH202" i="2"/>
  <c r="AJ39" i="4"/>
  <c r="AK39" i="4"/>
  <c r="AJ40" i="4"/>
  <c r="AK40" i="4"/>
  <c r="AM211" i="2"/>
  <c r="AM210" i="2"/>
  <c r="AK41" i="4"/>
  <c r="AJ41" i="4"/>
  <c r="AK222" i="2"/>
  <c r="AH222" i="2"/>
  <c r="AK221" i="2"/>
  <c r="AK220" i="2"/>
  <c r="AH221" i="2"/>
  <c r="AQ220" i="2"/>
  <c r="AQ221" i="2"/>
  <c r="AQ222" i="2"/>
  <c r="AQ223" i="2"/>
  <c r="AQ224" i="2"/>
  <c r="AQ225" i="2"/>
  <c r="AQ226" i="2"/>
  <c r="AQ227" i="2"/>
  <c r="AQ228" i="2"/>
  <c r="AN223" i="2"/>
  <c r="AN224" i="2"/>
  <c r="AN225" i="2"/>
  <c r="AN226" i="2"/>
  <c r="AN227" i="2"/>
  <c r="AN228" i="2"/>
  <c r="AH220" i="2"/>
  <c r="AN25" i="2" l="1"/>
  <c r="AN27" i="2"/>
  <c r="AN26" i="2"/>
  <c r="AN24" i="2"/>
  <c r="AN23" i="2"/>
  <c r="AN209" i="2"/>
  <c r="AN22" i="2"/>
  <c r="AT8" i="2"/>
  <c r="AT9" i="2"/>
  <c r="AT10" i="2"/>
  <c r="AT11" i="2"/>
  <c r="AU8" i="2"/>
  <c r="AU11" i="2"/>
  <c r="AU10" i="2"/>
  <c r="AN205" i="2"/>
  <c r="AO205" i="2" s="1"/>
  <c r="AR205" i="2" s="1"/>
  <c r="AO210" i="2"/>
  <c r="AR210" i="2" s="1"/>
  <c r="AO211" i="2"/>
  <c r="AR211" i="2" s="1"/>
  <c r="AN204" i="2"/>
  <c r="AO204" i="2" s="1"/>
  <c r="AR204" i="2" s="1"/>
  <c r="AU9" i="2"/>
  <c r="AN208" i="2"/>
  <c r="AO208" i="2" s="1"/>
  <c r="AN207" i="2"/>
  <c r="AO207" i="2" s="1"/>
  <c r="AN203" i="2"/>
  <c r="AO203" i="2" s="1"/>
  <c r="AN221" i="2"/>
  <c r="AN206" i="2"/>
  <c r="AN202" i="2"/>
  <c r="AN2" i="2"/>
  <c r="AO7" i="2"/>
  <c r="AO6" i="2"/>
  <c r="AN3" i="2"/>
  <c r="AO3" i="2" s="1"/>
  <c r="AO4" i="2"/>
  <c r="AN5" i="2"/>
  <c r="AR56" i="2"/>
  <c r="AP56" i="2"/>
  <c r="AS56" i="2" s="1"/>
  <c r="AN222" i="2"/>
  <c r="AO209" i="2"/>
  <c r="AR209" i="2" s="1"/>
  <c r="AN220" i="2"/>
  <c r="AM222" i="2"/>
  <c r="AM221" i="2"/>
  <c r="AI246" i="2"/>
  <c r="AH246" i="2" s="1"/>
  <c r="AL246" i="2"/>
  <c r="AK246" i="2" s="1"/>
  <c r="AI243" i="2"/>
  <c r="AH243" i="2" s="1"/>
  <c r="AL243" i="2"/>
  <c r="AK243" i="2" s="1"/>
  <c r="AI240" i="2"/>
  <c r="AH240" i="2" s="1"/>
  <c r="AL240" i="2"/>
  <c r="AK240" i="2" s="1"/>
  <c r="AI237" i="2"/>
  <c r="AH237" i="2" s="1"/>
  <c r="AL237" i="2"/>
  <c r="AK237" i="2" s="1"/>
  <c r="AI234" i="2"/>
  <c r="AH234" i="2" s="1"/>
  <c r="AM234" i="2"/>
  <c r="AL234" i="2"/>
  <c r="AK234" i="2" s="1"/>
  <c r="AI231" i="2"/>
  <c r="AH231" i="2" s="1"/>
  <c r="AQ231" i="2"/>
  <c r="AQ232" i="2"/>
  <c r="AQ233" i="2"/>
  <c r="AQ234" i="2"/>
  <c r="AM231" i="2"/>
  <c r="AL231" i="2"/>
  <c r="AK231" i="2" s="1"/>
  <c r="AI245" i="2"/>
  <c r="AH245" i="2" s="1"/>
  <c r="AL245" i="2"/>
  <c r="AK245" i="2" s="1"/>
  <c r="AI242" i="2"/>
  <c r="AH242" i="2" s="1"/>
  <c r="AM245" i="2"/>
  <c r="AQ245" i="2"/>
  <c r="AM246" i="2"/>
  <c r="AQ246" i="2"/>
  <c r="AM242" i="2"/>
  <c r="AQ242" i="2"/>
  <c r="AM243" i="2"/>
  <c r="AQ243" i="2"/>
  <c r="AM239" i="2"/>
  <c r="AQ239" i="2"/>
  <c r="AM240" i="2"/>
  <c r="AQ240" i="2"/>
  <c r="AM237" i="2"/>
  <c r="AQ237" i="2"/>
  <c r="AM236" i="2"/>
  <c r="AQ236" i="2"/>
  <c r="AL242" i="2"/>
  <c r="AK242" i="2" s="1"/>
  <c r="AI239" i="2"/>
  <c r="AH239" i="2" s="1"/>
  <c r="AL239" i="2"/>
  <c r="AK239" i="2" s="1"/>
  <c r="AI236" i="2"/>
  <c r="AH236" i="2" s="1"/>
  <c r="AL236" i="2"/>
  <c r="AK236" i="2" s="1"/>
  <c r="AM233" i="2"/>
  <c r="AI233" i="2"/>
  <c r="AH233" i="2" s="1"/>
  <c r="AL233" i="2"/>
  <c r="AK233" i="2" s="1"/>
  <c r="AQ230" i="2"/>
  <c r="AM230" i="2"/>
  <c r="AI230" i="2"/>
  <c r="AH230" i="2" s="1"/>
  <c r="AL230" i="2"/>
  <c r="AK230" i="2" s="1"/>
  <c r="AI244" i="2"/>
  <c r="AH244" i="2" s="1"/>
  <c r="AL244" i="2"/>
  <c r="AK244" i="2" s="1"/>
  <c r="AI241" i="2"/>
  <c r="AH241" i="2" s="1"/>
  <c r="AL241" i="2"/>
  <c r="AK241" i="2" s="1"/>
  <c r="AL238" i="2"/>
  <c r="AK238" i="2" s="1"/>
  <c r="AL235" i="2"/>
  <c r="AK235" i="2" s="1"/>
  <c r="AL232" i="2"/>
  <c r="AK232" i="2" s="1"/>
  <c r="AI238" i="2"/>
  <c r="AH238" i="2" s="1"/>
  <c r="AI235" i="2"/>
  <c r="AH235" i="2" s="1"/>
  <c r="AI232" i="2"/>
  <c r="AH232" i="2" s="1"/>
  <c r="AI229" i="2"/>
  <c r="AH229" i="2" s="1"/>
  <c r="AQ229" i="2"/>
  <c r="AQ235" i="2"/>
  <c r="AQ238" i="2"/>
  <c r="AQ241" i="2"/>
  <c r="AQ244" i="2"/>
  <c r="AQ247" i="2"/>
  <c r="AQ248" i="2"/>
  <c r="AQ249" i="2"/>
  <c r="AQ250" i="2"/>
  <c r="AQ251" i="2"/>
  <c r="AQ252" i="2"/>
  <c r="AQ253" i="2"/>
  <c r="AQ254" i="2"/>
  <c r="AQ255" i="2"/>
  <c r="AQ256" i="2"/>
  <c r="AQ257" i="2"/>
  <c r="AQ258" i="2"/>
  <c r="AQ259" i="2"/>
  <c r="AQ260" i="2"/>
  <c r="AQ261" i="2"/>
  <c r="AQ262" i="2"/>
  <c r="AQ263" i="2"/>
  <c r="AQ264" i="2"/>
  <c r="AQ265" i="2"/>
  <c r="AQ266" i="2"/>
  <c r="AQ267" i="2"/>
  <c r="AQ268" i="2"/>
  <c r="AN247" i="2"/>
  <c r="AN248" i="2"/>
  <c r="AN249" i="2"/>
  <c r="AN250" i="2"/>
  <c r="AN251" i="2"/>
  <c r="AN252" i="2"/>
  <c r="AN253" i="2"/>
  <c r="AN254" i="2"/>
  <c r="AN255" i="2"/>
  <c r="AN256" i="2"/>
  <c r="AN257" i="2"/>
  <c r="AN258" i="2"/>
  <c r="AN259" i="2"/>
  <c r="AN260" i="2"/>
  <c r="AN261" i="2"/>
  <c r="AN262" i="2"/>
  <c r="AN263" i="2"/>
  <c r="AN264" i="2"/>
  <c r="AN265" i="2"/>
  <c r="AN266" i="2"/>
  <c r="AN267" i="2"/>
  <c r="AN268" i="2"/>
  <c r="AL229" i="2"/>
  <c r="AK229" i="2" s="1"/>
  <c r="AK42" i="4"/>
  <c r="AK43" i="4"/>
  <c r="AK44" i="4"/>
  <c r="AK45" i="4"/>
  <c r="AK46" i="4"/>
  <c r="AK47" i="4"/>
  <c r="AK48" i="4"/>
  <c r="AK49" i="4"/>
  <c r="AK50" i="4"/>
  <c r="AK51" i="4"/>
  <c r="AK52" i="4"/>
  <c r="AK53" i="4"/>
  <c r="AJ42" i="4"/>
  <c r="AJ43" i="4"/>
  <c r="AJ44" i="4"/>
  <c r="AJ45" i="4"/>
  <c r="AJ46" i="4"/>
  <c r="AJ47" i="4"/>
  <c r="AJ48" i="4"/>
  <c r="AJ49" i="4"/>
  <c r="AJ50" i="4"/>
  <c r="AJ51" i="4"/>
  <c r="AJ52" i="4"/>
  <c r="AJ53" i="4"/>
  <c r="AP210" i="2" l="1"/>
  <c r="AS210" i="2" s="1"/>
  <c r="AP211" i="2"/>
  <c r="AS211" i="2" s="1"/>
  <c r="AO221" i="2"/>
  <c r="AN235" i="2"/>
  <c r="AN238" i="2"/>
  <c r="AN241" i="2"/>
  <c r="AR7" i="2"/>
  <c r="AP7" i="2"/>
  <c r="AS7" i="2" s="1"/>
  <c r="AR6" i="2"/>
  <c r="AP6" i="2"/>
  <c r="AS6" i="2" s="1"/>
  <c r="AR4" i="2"/>
  <c r="AP4" i="2"/>
  <c r="AS4" i="2" s="1"/>
  <c r="AR3" i="2"/>
  <c r="AP3" i="2"/>
  <c r="AS3" i="2" s="1"/>
  <c r="AP204" i="2"/>
  <c r="AS204" i="2" s="1"/>
  <c r="AN232" i="2"/>
  <c r="AP205" i="2"/>
  <c r="AS205" i="2" s="1"/>
  <c r="AO222" i="2"/>
  <c r="AR222" i="2" s="1"/>
  <c r="AP209" i="2"/>
  <c r="AS209" i="2" s="1"/>
  <c r="AR208" i="2"/>
  <c r="AP208" i="2"/>
  <c r="AS208" i="2" s="1"/>
  <c r="AR207" i="2"/>
  <c r="AP207" i="2"/>
  <c r="AS207" i="2" s="1"/>
  <c r="AR203" i="2"/>
  <c r="AP203" i="2"/>
  <c r="AS203" i="2" s="1"/>
  <c r="AN245" i="2"/>
  <c r="AO245" i="2" s="1"/>
  <c r="AR245" i="2" s="1"/>
  <c r="AN243" i="2"/>
  <c r="AO243" i="2" s="1"/>
  <c r="AR243" i="2" s="1"/>
  <c r="AN244" i="2"/>
  <c r="AN242" i="2"/>
  <c r="AO242" i="2" s="1"/>
  <c r="AR242" i="2" s="1"/>
  <c r="AN239" i="2"/>
  <c r="AO239" i="2" s="1"/>
  <c r="AR239" i="2" s="1"/>
  <c r="AN234" i="2"/>
  <c r="AO234" i="2" s="1"/>
  <c r="AP234" i="2" s="1"/>
  <c r="AS234" i="2" s="1"/>
  <c r="AN236" i="2"/>
  <c r="AO236" i="2" s="1"/>
  <c r="AP236" i="2" s="1"/>
  <c r="AS236" i="2" s="1"/>
  <c r="AN231" i="2"/>
  <c r="AO231" i="2" s="1"/>
  <c r="AN246" i="2"/>
  <c r="AO246" i="2" s="1"/>
  <c r="AN237" i="2"/>
  <c r="AO237" i="2" s="1"/>
  <c r="AN230" i="2"/>
  <c r="AO230" i="2" s="1"/>
  <c r="AP230" i="2" s="1"/>
  <c r="AS230" i="2" s="1"/>
  <c r="AN233" i="2"/>
  <c r="AO233" i="2" s="1"/>
  <c r="AR233" i="2" s="1"/>
  <c r="AN240" i="2"/>
  <c r="AO240" i="2" s="1"/>
  <c r="AR240" i="2" s="1"/>
  <c r="AN229" i="2"/>
  <c r="AR221" i="2"/>
  <c r="AP221" i="2"/>
  <c r="AS221" i="2" s="1"/>
  <c r="AJ54" i="4"/>
  <c r="AN269" i="2"/>
  <c r="AM269" i="2"/>
  <c r="AP222" i="2" l="1"/>
  <c r="AS222" i="2" s="1"/>
  <c r="AR234" i="2"/>
  <c r="AP239" i="2"/>
  <c r="AS239" i="2" s="1"/>
  <c r="AR236" i="2"/>
  <c r="AP242" i="2"/>
  <c r="AS242" i="2" s="1"/>
  <c r="AR231" i="2"/>
  <c r="AP231" i="2"/>
  <c r="AS231" i="2" s="1"/>
  <c r="AP243" i="2"/>
  <c r="AS243" i="2" s="1"/>
  <c r="AP233" i="2"/>
  <c r="AS233" i="2" s="1"/>
  <c r="AR237" i="2"/>
  <c r="AP237" i="2"/>
  <c r="AS237" i="2" s="1"/>
  <c r="AR246" i="2"/>
  <c r="AP246" i="2"/>
  <c r="AS246" i="2" s="1"/>
  <c r="AR230" i="2"/>
  <c r="AP240" i="2"/>
  <c r="AS240" i="2" s="1"/>
  <c r="AP245" i="2"/>
  <c r="AS245" i="2" s="1"/>
  <c r="AM265" i="2"/>
  <c r="AO265" i="2" s="1"/>
  <c r="AM264" i="2"/>
  <c r="AO264" i="2" s="1"/>
  <c r="AM268" i="2"/>
  <c r="AO268" i="2" s="1"/>
  <c r="AM267" i="2"/>
  <c r="AO267" i="2" s="1"/>
  <c r="AM262" i="2"/>
  <c r="AO262" i="2" s="1"/>
  <c r="AM261" i="2"/>
  <c r="AO261" i="2" s="1"/>
  <c r="AM259" i="2"/>
  <c r="AO259" i="2" s="1"/>
  <c r="AM258" i="2"/>
  <c r="AO258" i="2" s="1"/>
  <c r="AK57" i="4"/>
  <c r="AJ57" i="4"/>
  <c r="AK56" i="4"/>
  <c r="AJ56" i="4"/>
  <c r="AK55" i="4"/>
  <c r="AJ55" i="4"/>
  <c r="AK54" i="4"/>
  <c r="AR262" i="2" l="1"/>
  <c r="AP262" i="2"/>
  <c r="AS262" i="2" s="1"/>
  <c r="AR268" i="2"/>
  <c r="AP268" i="2"/>
  <c r="AS268" i="2" s="1"/>
  <c r="AR258" i="2"/>
  <c r="AP258" i="2"/>
  <c r="AS258" i="2" s="1"/>
  <c r="AP264" i="2"/>
  <c r="AS264" i="2" s="1"/>
  <c r="AR264" i="2"/>
  <c r="AR267" i="2"/>
  <c r="AP267" i="2"/>
  <c r="AS267" i="2" s="1"/>
  <c r="AR265" i="2"/>
  <c r="AP265" i="2"/>
  <c r="AS265" i="2" s="1"/>
  <c r="AR259" i="2"/>
  <c r="AP259" i="2"/>
  <c r="AS259" i="2" s="1"/>
  <c r="AP261" i="2"/>
  <c r="AS261" i="2" s="1"/>
  <c r="AR261" i="2"/>
  <c r="AQ270" i="2"/>
  <c r="AQ271" i="2"/>
  <c r="AQ272" i="2"/>
  <c r="AQ273" i="2"/>
  <c r="AQ274" i="2"/>
  <c r="AQ275" i="2"/>
  <c r="AQ276" i="2"/>
  <c r="AQ277" i="2"/>
  <c r="AQ269" i="2"/>
  <c r="AN270" i="2"/>
  <c r="AN271" i="2"/>
  <c r="AN272" i="2"/>
  <c r="AN273" i="2"/>
  <c r="AN274" i="2"/>
  <c r="AN275" i="2"/>
  <c r="AN276" i="2"/>
  <c r="AN277" i="2"/>
  <c r="AM277" i="2"/>
  <c r="AM276" i="2"/>
  <c r="AM274" i="2"/>
  <c r="AM273" i="2"/>
  <c r="AM271" i="2"/>
  <c r="AM270" i="2"/>
  <c r="AM5" i="2"/>
  <c r="AO5" i="2" s="1"/>
  <c r="AM22" i="2"/>
  <c r="AO22" i="2" s="1"/>
  <c r="AM23" i="2"/>
  <c r="AO23" i="2" s="1"/>
  <c r="AM24" i="2"/>
  <c r="AO24" i="2" s="1"/>
  <c r="AM25" i="2"/>
  <c r="AO25" i="2" s="1"/>
  <c r="AM26" i="2"/>
  <c r="AO26" i="2" s="1"/>
  <c r="AM27" i="2"/>
  <c r="AO27" i="2" s="1"/>
  <c r="AM28" i="2"/>
  <c r="AO28" i="2" s="1"/>
  <c r="AM29" i="2"/>
  <c r="AO29" i="2" s="1"/>
  <c r="AM30" i="2"/>
  <c r="AO30" i="2" s="1"/>
  <c r="AM31" i="2"/>
  <c r="AO31" i="2" s="1"/>
  <c r="AM32" i="2"/>
  <c r="AO32" i="2" s="1"/>
  <c r="AM45" i="2"/>
  <c r="AO45" i="2" s="1"/>
  <c r="AM48" i="2"/>
  <c r="AO48" i="2" s="1"/>
  <c r="AM51" i="2"/>
  <c r="AO51" i="2" s="1"/>
  <c r="AM52" i="2"/>
  <c r="AO52" i="2" s="1"/>
  <c r="AM53" i="2"/>
  <c r="AO53" i="2" s="1"/>
  <c r="AM54" i="2"/>
  <c r="AO54" i="2" s="1"/>
  <c r="AM55" i="2"/>
  <c r="AO55" i="2" s="1"/>
  <c r="AM57" i="2"/>
  <c r="AO57" i="2" s="1"/>
  <c r="AM61" i="2"/>
  <c r="AO61" i="2" s="1"/>
  <c r="AM62" i="2"/>
  <c r="AO62" i="2" s="1"/>
  <c r="AM63" i="2"/>
  <c r="AO63" i="2" s="1"/>
  <c r="AM64" i="2"/>
  <c r="AO64" i="2" s="1"/>
  <c r="AM65" i="2"/>
  <c r="AO65" i="2" s="1"/>
  <c r="AM66" i="2"/>
  <c r="AO66" i="2" s="1"/>
  <c r="AM67" i="2"/>
  <c r="AO67" i="2" s="1"/>
  <c r="AM68" i="2"/>
  <c r="AO68" i="2" s="1"/>
  <c r="AM69" i="2"/>
  <c r="AO69" i="2" s="1"/>
  <c r="AM71" i="2"/>
  <c r="AO71" i="2" s="1"/>
  <c r="AM72" i="2"/>
  <c r="AO72" i="2" s="1"/>
  <c r="AM73" i="2"/>
  <c r="AO73" i="2" s="1"/>
  <c r="AM74" i="2"/>
  <c r="AO74" i="2" s="1"/>
  <c r="AM75" i="2"/>
  <c r="AO75" i="2" s="1"/>
  <c r="AM76" i="2"/>
  <c r="AO76" i="2" s="1"/>
  <c r="AM77" i="2"/>
  <c r="AO77" i="2" s="1"/>
  <c r="AM78" i="2"/>
  <c r="AO78" i="2" s="1"/>
  <c r="AM79" i="2"/>
  <c r="AO79" i="2" s="1"/>
  <c r="AM80" i="2"/>
  <c r="AO80" i="2" s="1"/>
  <c r="AM81" i="2"/>
  <c r="AO81" i="2" s="1"/>
  <c r="AM82" i="2"/>
  <c r="AO82" i="2" s="1"/>
  <c r="AM83" i="2"/>
  <c r="AO83" i="2" s="1"/>
  <c r="AM84" i="2"/>
  <c r="AO84" i="2" s="1"/>
  <c r="AM85" i="2"/>
  <c r="AO85" i="2" s="1"/>
  <c r="AM86" i="2"/>
  <c r="AO86" i="2" s="1"/>
  <c r="AM87" i="2"/>
  <c r="AO87" i="2" s="1"/>
  <c r="AM88" i="2"/>
  <c r="AO88" i="2" s="1"/>
  <c r="AM89" i="2"/>
  <c r="AO89" i="2" s="1"/>
  <c r="AM90" i="2"/>
  <c r="AO90" i="2" s="1"/>
  <c r="AM91" i="2"/>
  <c r="AO91" i="2" s="1"/>
  <c r="AM92" i="2"/>
  <c r="AO92" i="2" s="1"/>
  <c r="AM93" i="2"/>
  <c r="AO93" i="2" s="1"/>
  <c r="AM94" i="2"/>
  <c r="AO94" i="2" s="1"/>
  <c r="AM95" i="2"/>
  <c r="AO95" i="2" s="1"/>
  <c r="AM96" i="2"/>
  <c r="AO96" i="2" s="1"/>
  <c r="AM97" i="2"/>
  <c r="AO97" i="2" s="1"/>
  <c r="AM98" i="2"/>
  <c r="AO98" i="2" s="1"/>
  <c r="AM99" i="2"/>
  <c r="AO99" i="2" s="1"/>
  <c r="AM100" i="2"/>
  <c r="AO100" i="2" s="1"/>
  <c r="AM101" i="2"/>
  <c r="AO101" i="2" s="1"/>
  <c r="AM102" i="2"/>
  <c r="AO102" i="2" s="1"/>
  <c r="AM103" i="2"/>
  <c r="AO103" i="2" s="1"/>
  <c r="AM104" i="2"/>
  <c r="AO104" i="2" s="1"/>
  <c r="AM105" i="2"/>
  <c r="AO105" i="2" s="1"/>
  <c r="AM106" i="2"/>
  <c r="AO106" i="2" s="1"/>
  <c r="AM107" i="2"/>
  <c r="AO107" i="2" s="1"/>
  <c r="AM108" i="2"/>
  <c r="AO108" i="2" s="1"/>
  <c r="AM109" i="2"/>
  <c r="AO109" i="2" s="1"/>
  <c r="AM110" i="2"/>
  <c r="AO110" i="2" s="1"/>
  <c r="AM111" i="2"/>
  <c r="AO111" i="2" s="1"/>
  <c r="AM112" i="2"/>
  <c r="AO112" i="2" s="1"/>
  <c r="AM113" i="2"/>
  <c r="AO113" i="2" s="1"/>
  <c r="AM114" i="2"/>
  <c r="AO114" i="2" s="1"/>
  <c r="AM115" i="2"/>
  <c r="AO115" i="2" s="1"/>
  <c r="AM116" i="2"/>
  <c r="AO116" i="2" s="1"/>
  <c r="AM117" i="2"/>
  <c r="AO117" i="2" s="1"/>
  <c r="AM118" i="2"/>
  <c r="AO118" i="2" s="1"/>
  <c r="AM119" i="2"/>
  <c r="AO119" i="2" s="1"/>
  <c r="AM120" i="2"/>
  <c r="AO120" i="2" s="1"/>
  <c r="AM121" i="2"/>
  <c r="AO121" i="2" s="1"/>
  <c r="AM122" i="2"/>
  <c r="AO122" i="2" s="1"/>
  <c r="AM123" i="2"/>
  <c r="AO123" i="2" s="1"/>
  <c r="AM124" i="2"/>
  <c r="AO124" i="2" s="1"/>
  <c r="AM125" i="2"/>
  <c r="AO125" i="2" s="1"/>
  <c r="AM126" i="2"/>
  <c r="AO126" i="2" s="1"/>
  <c r="AM127" i="2"/>
  <c r="AO127" i="2" s="1"/>
  <c r="AM128" i="2"/>
  <c r="AO128" i="2" s="1"/>
  <c r="AM129" i="2"/>
  <c r="AO129" i="2" s="1"/>
  <c r="AM130" i="2"/>
  <c r="AO130" i="2" s="1"/>
  <c r="AM131" i="2"/>
  <c r="AO131" i="2" s="1"/>
  <c r="AM132" i="2"/>
  <c r="AO132" i="2" s="1"/>
  <c r="AM133" i="2"/>
  <c r="AO133" i="2" s="1"/>
  <c r="AM134" i="2"/>
  <c r="AO134" i="2" s="1"/>
  <c r="AM135" i="2"/>
  <c r="AO135" i="2" s="1"/>
  <c r="AM136" i="2"/>
  <c r="AO136" i="2" s="1"/>
  <c r="AM137" i="2"/>
  <c r="AO137" i="2" s="1"/>
  <c r="AM138" i="2"/>
  <c r="AO138" i="2" s="1"/>
  <c r="AM139" i="2"/>
  <c r="AO139" i="2" s="1"/>
  <c r="AM140" i="2"/>
  <c r="AO140" i="2" s="1"/>
  <c r="AM141" i="2"/>
  <c r="AO141" i="2" s="1"/>
  <c r="AM142" i="2"/>
  <c r="AO142" i="2" s="1"/>
  <c r="AM143" i="2"/>
  <c r="AO143" i="2" s="1"/>
  <c r="AM144" i="2"/>
  <c r="AO144" i="2" s="1"/>
  <c r="AM145" i="2"/>
  <c r="AO145" i="2" s="1"/>
  <c r="AM146" i="2"/>
  <c r="AO146" i="2" s="1"/>
  <c r="AM147" i="2"/>
  <c r="AO147" i="2" s="1"/>
  <c r="AM148" i="2"/>
  <c r="AO148" i="2" s="1"/>
  <c r="AM149" i="2"/>
  <c r="AO149" i="2" s="1"/>
  <c r="AM150" i="2"/>
  <c r="AO150" i="2" s="1"/>
  <c r="AM151" i="2"/>
  <c r="AO151" i="2" s="1"/>
  <c r="AM152" i="2"/>
  <c r="AO152" i="2" s="1"/>
  <c r="AM153" i="2"/>
  <c r="AO153" i="2" s="1"/>
  <c r="AM154" i="2"/>
  <c r="AO154" i="2" s="1"/>
  <c r="AM155" i="2"/>
  <c r="AO155" i="2" s="1"/>
  <c r="AM156" i="2"/>
  <c r="AO156" i="2" s="1"/>
  <c r="AM157" i="2"/>
  <c r="AO157" i="2" s="1"/>
  <c r="AM158" i="2"/>
  <c r="AO158" i="2" s="1"/>
  <c r="AM159" i="2"/>
  <c r="AO159" i="2" s="1"/>
  <c r="AM160" i="2"/>
  <c r="AO160" i="2" s="1"/>
  <c r="AM161" i="2"/>
  <c r="AO161" i="2" s="1"/>
  <c r="AM162" i="2"/>
  <c r="AO162" i="2" s="1"/>
  <c r="AM163" i="2"/>
  <c r="AO163" i="2" s="1"/>
  <c r="AM164" i="2"/>
  <c r="AO164" i="2" s="1"/>
  <c r="AM165" i="2"/>
  <c r="AO165" i="2" s="1"/>
  <c r="AM166" i="2"/>
  <c r="AO166" i="2" s="1"/>
  <c r="AM167" i="2"/>
  <c r="AO167" i="2" s="1"/>
  <c r="AM168" i="2"/>
  <c r="AO168" i="2" s="1"/>
  <c r="AM169" i="2"/>
  <c r="AO169" i="2" s="1"/>
  <c r="AM170" i="2"/>
  <c r="AO170" i="2" s="1"/>
  <c r="AM171" i="2"/>
  <c r="AO171" i="2" s="1"/>
  <c r="AM172" i="2"/>
  <c r="AO172" i="2" s="1"/>
  <c r="AM173" i="2"/>
  <c r="AO173" i="2" s="1"/>
  <c r="AM174" i="2"/>
  <c r="AO174" i="2" s="1"/>
  <c r="AM175" i="2"/>
  <c r="AO175" i="2" s="1"/>
  <c r="AM176" i="2"/>
  <c r="AO176" i="2" s="1"/>
  <c r="AM177" i="2"/>
  <c r="AO177" i="2" s="1"/>
  <c r="AM178" i="2"/>
  <c r="AO178" i="2" s="1"/>
  <c r="AM179" i="2"/>
  <c r="AO179" i="2" s="1"/>
  <c r="AM180" i="2"/>
  <c r="AO180" i="2" s="1"/>
  <c r="AM181" i="2"/>
  <c r="AO181" i="2" s="1"/>
  <c r="AM182" i="2"/>
  <c r="AO182" i="2" s="1"/>
  <c r="AM183" i="2"/>
  <c r="AO183" i="2" s="1"/>
  <c r="AM184" i="2"/>
  <c r="AO184" i="2" s="1"/>
  <c r="AM185" i="2"/>
  <c r="AO185" i="2" s="1"/>
  <c r="AM186" i="2"/>
  <c r="AO186" i="2" s="1"/>
  <c r="AM187" i="2"/>
  <c r="AO187" i="2" s="1"/>
  <c r="AM188" i="2"/>
  <c r="AO188" i="2" s="1"/>
  <c r="AM189" i="2"/>
  <c r="AO189" i="2" s="1"/>
  <c r="AM190" i="2"/>
  <c r="AO190" i="2" s="1"/>
  <c r="AM191" i="2"/>
  <c r="AO191" i="2" s="1"/>
  <c r="AM192" i="2"/>
  <c r="AO192" i="2" s="1"/>
  <c r="AM193" i="2"/>
  <c r="AO193" i="2" s="1"/>
  <c r="AM194" i="2"/>
  <c r="AO194" i="2" s="1"/>
  <c r="AM195" i="2"/>
  <c r="AO195" i="2" s="1"/>
  <c r="AM196" i="2"/>
  <c r="AO196" i="2" s="1"/>
  <c r="AM197" i="2"/>
  <c r="AO197" i="2" s="1"/>
  <c r="AM198" i="2"/>
  <c r="AO198" i="2" s="1"/>
  <c r="AM199" i="2"/>
  <c r="AO199" i="2" s="1"/>
  <c r="AM200" i="2"/>
  <c r="AO200" i="2" s="1"/>
  <c r="AM201" i="2"/>
  <c r="AO201" i="2" s="1"/>
  <c r="AM202" i="2"/>
  <c r="AO202" i="2" s="1"/>
  <c r="AM206" i="2"/>
  <c r="AO206" i="2" s="1"/>
  <c r="AM212" i="2"/>
  <c r="AO212" i="2" s="1"/>
  <c r="AM213" i="2"/>
  <c r="AO213" i="2" s="1"/>
  <c r="AM214" i="2"/>
  <c r="AO214" i="2" s="1"/>
  <c r="AM215" i="2"/>
  <c r="AO215" i="2" s="1"/>
  <c r="AM216" i="2"/>
  <c r="AO216" i="2" s="1"/>
  <c r="AM217" i="2"/>
  <c r="AO217" i="2" s="1"/>
  <c r="AM218" i="2"/>
  <c r="AO218" i="2" s="1"/>
  <c r="AM219" i="2"/>
  <c r="AO219" i="2" s="1"/>
  <c r="AM220" i="2"/>
  <c r="AO220" i="2" s="1"/>
  <c r="AM223" i="2"/>
  <c r="AO223" i="2" s="1"/>
  <c r="AM224" i="2"/>
  <c r="AO224" i="2" s="1"/>
  <c r="AM225" i="2"/>
  <c r="AO225" i="2" s="1"/>
  <c r="AM226" i="2"/>
  <c r="AO226" i="2" s="1"/>
  <c r="AM227" i="2"/>
  <c r="AO227" i="2" s="1"/>
  <c r="AM228" i="2"/>
  <c r="AO228" i="2" s="1"/>
  <c r="AM229" i="2"/>
  <c r="AO229" i="2" s="1"/>
  <c r="AM232" i="2"/>
  <c r="AO232" i="2" s="1"/>
  <c r="AM235" i="2"/>
  <c r="AO235" i="2" s="1"/>
  <c r="AM238" i="2"/>
  <c r="AO238" i="2" s="1"/>
  <c r="AM241" i="2"/>
  <c r="AO241" i="2" s="1"/>
  <c r="AM244" i="2"/>
  <c r="AO244" i="2" s="1"/>
  <c r="AM247" i="2"/>
  <c r="AO247" i="2" s="1"/>
  <c r="AM248" i="2"/>
  <c r="AO248" i="2" s="1"/>
  <c r="AM249" i="2"/>
  <c r="AO249" i="2" s="1"/>
  <c r="AM250" i="2"/>
  <c r="AO250" i="2" s="1"/>
  <c r="AM251" i="2"/>
  <c r="AO251" i="2" s="1"/>
  <c r="AM252" i="2"/>
  <c r="AO252" i="2" s="1"/>
  <c r="AM253" i="2"/>
  <c r="AO253" i="2" s="1"/>
  <c r="AM254" i="2"/>
  <c r="AO254" i="2" s="1"/>
  <c r="AM255" i="2"/>
  <c r="AO255" i="2" s="1"/>
  <c r="AM256" i="2"/>
  <c r="AO256" i="2" s="1"/>
  <c r="AM257" i="2"/>
  <c r="AO257" i="2" s="1"/>
  <c r="AM260" i="2"/>
  <c r="AO260" i="2" s="1"/>
  <c r="AM263" i="2"/>
  <c r="AO263" i="2" s="1"/>
  <c r="AM266" i="2"/>
  <c r="AO266" i="2" s="1"/>
  <c r="AO269" i="2"/>
  <c r="AR269" i="2" s="1"/>
  <c r="AM272" i="2"/>
  <c r="AM275" i="2"/>
  <c r="AM70" i="2"/>
  <c r="AO70" i="2" s="1"/>
  <c r="AM2" i="2"/>
  <c r="AO2" i="2" s="1"/>
  <c r="AP121" i="2" l="1"/>
  <c r="AS121" i="2" s="1"/>
  <c r="AR121" i="2"/>
  <c r="AR57" i="2"/>
  <c r="AP57" i="2"/>
  <c r="AS57" i="2" s="1"/>
  <c r="AR156" i="2"/>
  <c r="AP156" i="2"/>
  <c r="AS156" i="2" s="1"/>
  <c r="AR132" i="2"/>
  <c r="AP132" i="2"/>
  <c r="AS132" i="2" s="1"/>
  <c r="AR120" i="2"/>
  <c r="AP120" i="2"/>
  <c r="AS120" i="2" s="1"/>
  <c r="AR108" i="2"/>
  <c r="AP108" i="2"/>
  <c r="AS108" i="2" s="1"/>
  <c r="AR96" i="2"/>
  <c r="AP96" i="2"/>
  <c r="AS96" i="2" s="1"/>
  <c r="AR84" i="2"/>
  <c r="AP84" i="2"/>
  <c r="AS84" i="2" s="1"/>
  <c r="AR72" i="2"/>
  <c r="AP72" i="2"/>
  <c r="AS72" i="2" s="1"/>
  <c r="AR30" i="2"/>
  <c r="AP30" i="2"/>
  <c r="AS30" i="2" s="1"/>
  <c r="AR181" i="2"/>
  <c r="AP181" i="2"/>
  <c r="AS181" i="2" s="1"/>
  <c r="AR206" i="2"/>
  <c r="AP206" i="2"/>
  <c r="AS206" i="2" s="1"/>
  <c r="AR107" i="2"/>
  <c r="AP107" i="2"/>
  <c r="AS107" i="2" s="1"/>
  <c r="AR83" i="2"/>
  <c r="AP83" i="2"/>
  <c r="AS83" i="2" s="1"/>
  <c r="AR71" i="2"/>
  <c r="AP71" i="2"/>
  <c r="AS71" i="2" s="1"/>
  <c r="AR55" i="2"/>
  <c r="AP55" i="2"/>
  <c r="AS55" i="2" s="1"/>
  <c r="AR45" i="2"/>
  <c r="AP45" i="2"/>
  <c r="AS45" i="2" s="1"/>
  <c r="AR29" i="2"/>
  <c r="AP29" i="2"/>
  <c r="AS29" i="2" s="1"/>
  <c r="AR193" i="2"/>
  <c r="AP193" i="2"/>
  <c r="AS193" i="2" s="1"/>
  <c r="AP97" i="2"/>
  <c r="AS97" i="2" s="1"/>
  <c r="AR97" i="2"/>
  <c r="AR180" i="2"/>
  <c r="AP180" i="2"/>
  <c r="AS180" i="2" s="1"/>
  <c r="AR154" i="2"/>
  <c r="AP154" i="2"/>
  <c r="AS154" i="2" s="1"/>
  <c r="AR142" i="2"/>
  <c r="AP142" i="2"/>
  <c r="AS142" i="2" s="1"/>
  <c r="AR130" i="2"/>
  <c r="AP130" i="2"/>
  <c r="AS130" i="2" s="1"/>
  <c r="AR118" i="2"/>
  <c r="AP118" i="2"/>
  <c r="AS118" i="2" s="1"/>
  <c r="AR106" i="2"/>
  <c r="AP106" i="2"/>
  <c r="AS106" i="2" s="1"/>
  <c r="AR94" i="2"/>
  <c r="AP94" i="2"/>
  <c r="AS94" i="2" s="1"/>
  <c r="AR82" i="2"/>
  <c r="AP82" i="2"/>
  <c r="AS82" i="2" s="1"/>
  <c r="AR69" i="2"/>
  <c r="AP69" i="2"/>
  <c r="AS69" i="2" s="1"/>
  <c r="AR28" i="2"/>
  <c r="AP28" i="2"/>
  <c r="AS28" i="2" s="1"/>
  <c r="AR213" i="2"/>
  <c r="AP213" i="2"/>
  <c r="AS213" i="2" s="1"/>
  <c r="AR109" i="2"/>
  <c r="AP109" i="2"/>
  <c r="AS109" i="2" s="1"/>
  <c r="AR31" i="2"/>
  <c r="AP31" i="2"/>
  <c r="AS31" i="2" s="1"/>
  <c r="AR95" i="2"/>
  <c r="AP95" i="2"/>
  <c r="AS95" i="2" s="1"/>
  <c r="AR153" i="2"/>
  <c r="AP153" i="2"/>
  <c r="AS153" i="2" s="1"/>
  <c r="AR129" i="2"/>
  <c r="AP129" i="2"/>
  <c r="AS129" i="2" s="1"/>
  <c r="AR117" i="2"/>
  <c r="AP117" i="2"/>
  <c r="AS117" i="2" s="1"/>
  <c r="AR105" i="2"/>
  <c r="AP105" i="2"/>
  <c r="AS105" i="2" s="1"/>
  <c r="AR93" i="2"/>
  <c r="AP93" i="2"/>
  <c r="AS93" i="2" s="1"/>
  <c r="AR81" i="2"/>
  <c r="AP81" i="2"/>
  <c r="AS81" i="2" s="1"/>
  <c r="AR68" i="2"/>
  <c r="AP68" i="2"/>
  <c r="AS68" i="2" s="1"/>
  <c r="AR54" i="2"/>
  <c r="AP54" i="2"/>
  <c r="AS54" i="2" s="1"/>
  <c r="AR27" i="2"/>
  <c r="AP27" i="2"/>
  <c r="AS27" i="2" s="1"/>
  <c r="AR145" i="2"/>
  <c r="AP145" i="2"/>
  <c r="AS145" i="2" s="1"/>
  <c r="AR212" i="2"/>
  <c r="AP212" i="2"/>
  <c r="AS212" i="2" s="1"/>
  <c r="AR131" i="2"/>
  <c r="AP131" i="2"/>
  <c r="AS131" i="2" s="1"/>
  <c r="AP202" i="2"/>
  <c r="AS202" i="2" s="1"/>
  <c r="AR202" i="2"/>
  <c r="AR140" i="2"/>
  <c r="AP140" i="2"/>
  <c r="AS140" i="2" s="1"/>
  <c r="AR128" i="2"/>
  <c r="AP128" i="2"/>
  <c r="AS128" i="2" s="1"/>
  <c r="AR116" i="2"/>
  <c r="AP116" i="2"/>
  <c r="AS116" i="2" s="1"/>
  <c r="AR104" i="2"/>
  <c r="AP104" i="2"/>
  <c r="AS104" i="2" s="1"/>
  <c r="AR92" i="2"/>
  <c r="AP92" i="2"/>
  <c r="AS92" i="2" s="1"/>
  <c r="AR80" i="2"/>
  <c r="AP80" i="2"/>
  <c r="AS80" i="2" s="1"/>
  <c r="AR67" i="2"/>
  <c r="AP67" i="2"/>
  <c r="AS67" i="2" s="1"/>
  <c r="AR53" i="2"/>
  <c r="AP53" i="2"/>
  <c r="AS53" i="2" s="1"/>
  <c r="AR26" i="2"/>
  <c r="AP26" i="2"/>
  <c r="AS26" i="2" s="1"/>
  <c r="AR157" i="2"/>
  <c r="AP157" i="2"/>
  <c r="AS157" i="2" s="1"/>
  <c r="AR179" i="2"/>
  <c r="AP179" i="2"/>
  <c r="AS179" i="2" s="1"/>
  <c r="AR166" i="2"/>
  <c r="AP166" i="2"/>
  <c r="AS166" i="2" s="1"/>
  <c r="AR189" i="2"/>
  <c r="AP189" i="2"/>
  <c r="AS189" i="2" s="1"/>
  <c r="AR199" i="2"/>
  <c r="AP199" i="2"/>
  <c r="AS199" i="2" s="1"/>
  <c r="AR175" i="2"/>
  <c r="AP175" i="2"/>
  <c r="AS175" i="2" s="1"/>
  <c r="AR163" i="2"/>
  <c r="AP163" i="2"/>
  <c r="AS163" i="2" s="1"/>
  <c r="AR151" i="2"/>
  <c r="AP151" i="2"/>
  <c r="AS151" i="2" s="1"/>
  <c r="AR139" i="2"/>
  <c r="AP139" i="2"/>
  <c r="AS139" i="2" s="1"/>
  <c r="AR127" i="2"/>
  <c r="AP127" i="2"/>
  <c r="AS127" i="2" s="1"/>
  <c r="AR115" i="2"/>
  <c r="AP115" i="2"/>
  <c r="AS115" i="2" s="1"/>
  <c r="AR103" i="2"/>
  <c r="AP103" i="2"/>
  <c r="AS103" i="2" s="1"/>
  <c r="AR91" i="2"/>
  <c r="AP91" i="2"/>
  <c r="AS91" i="2" s="1"/>
  <c r="AR79" i="2"/>
  <c r="AP79" i="2"/>
  <c r="AS79" i="2" s="1"/>
  <c r="AR66" i="2"/>
  <c r="AP66" i="2"/>
  <c r="AS66" i="2" s="1"/>
  <c r="AP25" i="2"/>
  <c r="AS25" i="2" s="1"/>
  <c r="AR25" i="2"/>
  <c r="AR167" i="2"/>
  <c r="AP167" i="2"/>
  <c r="AS167" i="2" s="1"/>
  <c r="AR178" i="2"/>
  <c r="AP178" i="2"/>
  <c r="AS178" i="2" s="1"/>
  <c r="AR165" i="2"/>
  <c r="AP165" i="2"/>
  <c r="AS165" i="2" s="1"/>
  <c r="AR188" i="2"/>
  <c r="AP188" i="2"/>
  <c r="AS188" i="2" s="1"/>
  <c r="AR219" i="2"/>
  <c r="AP219" i="2"/>
  <c r="AS219" i="2" s="1"/>
  <c r="AR186" i="2"/>
  <c r="AP186" i="2"/>
  <c r="AS186" i="2" s="1"/>
  <c r="AR162" i="2"/>
  <c r="AP162" i="2"/>
  <c r="AS162" i="2" s="1"/>
  <c r="AR150" i="2"/>
  <c r="AP150" i="2"/>
  <c r="AS150" i="2" s="1"/>
  <c r="AR138" i="2"/>
  <c r="AP138" i="2"/>
  <c r="AS138" i="2" s="1"/>
  <c r="AR126" i="2"/>
  <c r="AP126" i="2"/>
  <c r="AS126" i="2" s="1"/>
  <c r="AR114" i="2"/>
  <c r="AP114" i="2"/>
  <c r="AS114" i="2" s="1"/>
  <c r="AR102" i="2"/>
  <c r="AP102" i="2"/>
  <c r="AS102" i="2" s="1"/>
  <c r="AR90" i="2"/>
  <c r="AP90" i="2"/>
  <c r="AS90" i="2" s="1"/>
  <c r="AR78" i="2"/>
  <c r="AP78" i="2"/>
  <c r="AS78" i="2" s="1"/>
  <c r="AP65" i="2"/>
  <c r="AS65" i="2" s="1"/>
  <c r="AR65" i="2"/>
  <c r="AP52" i="2"/>
  <c r="AS52" i="2" s="1"/>
  <c r="AR52" i="2"/>
  <c r="AR73" i="2"/>
  <c r="AP73" i="2"/>
  <c r="AS73" i="2" s="1"/>
  <c r="AR144" i="2"/>
  <c r="AP144" i="2"/>
  <c r="AS144" i="2" s="1"/>
  <c r="AR191" i="2"/>
  <c r="AP191" i="2"/>
  <c r="AS191" i="2" s="1"/>
  <c r="AR201" i="2"/>
  <c r="AP201" i="2"/>
  <c r="AS201" i="2" s="1"/>
  <c r="AR176" i="2"/>
  <c r="AP176" i="2"/>
  <c r="AS176" i="2" s="1"/>
  <c r="AR187" i="2"/>
  <c r="AP187" i="2"/>
  <c r="AS187" i="2" s="1"/>
  <c r="AP197" i="2"/>
  <c r="AS197" i="2" s="1"/>
  <c r="AR197" i="2"/>
  <c r="AP185" i="2"/>
  <c r="AS185" i="2" s="1"/>
  <c r="AR185" i="2"/>
  <c r="AP173" i="2"/>
  <c r="AS173" i="2" s="1"/>
  <c r="AR173" i="2"/>
  <c r="AP161" i="2"/>
  <c r="AS161" i="2" s="1"/>
  <c r="AR161" i="2"/>
  <c r="AP149" i="2"/>
  <c r="AS149" i="2" s="1"/>
  <c r="AR149" i="2"/>
  <c r="AP137" i="2"/>
  <c r="AS137" i="2" s="1"/>
  <c r="AR137" i="2"/>
  <c r="AP125" i="2"/>
  <c r="AS125" i="2" s="1"/>
  <c r="AR125" i="2"/>
  <c r="AP113" i="2"/>
  <c r="AS113" i="2" s="1"/>
  <c r="AR113" i="2"/>
  <c r="AP101" i="2"/>
  <c r="AS101" i="2" s="1"/>
  <c r="AR101" i="2"/>
  <c r="AP89" i="2"/>
  <c r="AS89" i="2" s="1"/>
  <c r="AR89" i="2"/>
  <c r="AP77" i="2"/>
  <c r="AS77" i="2" s="1"/>
  <c r="AR77" i="2"/>
  <c r="AP64" i="2"/>
  <c r="AS64" i="2" s="1"/>
  <c r="AR64" i="2"/>
  <c r="AR51" i="2"/>
  <c r="AP51" i="2"/>
  <c r="AS51" i="2" s="1"/>
  <c r="AP5" i="2"/>
  <c r="AS5" i="2" s="1"/>
  <c r="AR5" i="2"/>
  <c r="AR155" i="2"/>
  <c r="AP155" i="2"/>
  <c r="AS155" i="2" s="1"/>
  <c r="AR190" i="2"/>
  <c r="AP190" i="2"/>
  <c r="AS190" i="2" s="1"/>
  <c r="AR177" i="2"/>
  <c r="AP177" i="2"/>
  <c r="AS177" i="2" s="1"/>
  <c r="AR164" i="2"/>
  <c r="AP164" i="2"/>
  <c r="AS164" i="2" s="1"/>
  <c r="AR174" i="2"/>
  <c r="AP174" i="2"/>
  <c r="AS174" i="2" s="1"/>
  <c r="AP184" i="2"/>
  <c r="AS184" i="2" s="1"/>
  <c r="AR184" i="2"/>
  <c r="AP148" i="2"/>
  <c r="AS148" i="2" s="1"/>
  <c r="AR148" i="2"/>
  <c r="AP136" i="2"/>
  <c r="AS136" i="2" s="1"/>
  <c r="AR136" i="2"/>
  <c r="AP124" i="2"/>
  <c r="AS124" i="2" s="1"/>
  <c r="AR124" i="2"/>
  <c r="AP112" i="2"/>
  <c r="AS112" i="2" s="1"/>
  <c r="AR112" i="2"/>
  <c r="AP100" i="2"/>
  <c r="AS100" i="2" s="1"/>
  <c r="AR100" i="2"/>
  <c r="AP88" i="2"/>
  <c r="AS88" i="2" s="1"/>
  <c r="AR88" i="2"/>
  <c r="AP76" i="2"/>
  <c r="AS76" i="2" s="1"/>
  <c r="AR76" i="2"/>
  <c r="AR63" i="2"/>
  <c r="AP63" i="2"/>
  <c r="AS63" i="2" s="1"/>
  <c r="AR24" i="2"/>
  <c r="AP24" i="2"/>
  <c r="AS24" i="2" s="1"/>
  <c r="AR133" i="2"/>
  <c r="AP133" i="2"/>
  <c r="AS133" i="2" s="1"/>
  <c r="AR85" i="2"/>
  <c r="AP85" i="2"/>
  <c r="AS85" i="2" s="1"/>
  <c r="AR168" i="2"/>
  <c r="AP168" i="2"/>
  <c r="AS168" i="2" s="1"/>
  <c r="AR143" i="2"/>
  <c r="AP143" i="2"/>
  <c r="AS143" i="2" s="1"/>
  <c r="AR200" i="2"/>
  <c r="AP200" i="2"/>
  <c r="AS200" i="2" s="1"/>
  <c r="AP218" i="2"/>
  <c r="AS218" i="2" s="1"/>
  <c r="AR218" i="2"/>
  <c r="AP217" i="2"/>
  <c r="AS217" i="2" s="1"/>
  <c r="AR217" i="2"/>
  <c r="AR216" i="2"/>
  <c r="AP216" i="2"/>
  <c r="AS216" i="2" s="1"/>
  <c r="AP172" i="2"/>
  <c r="AS172" i="2" s="1"/>
  <c r="AR172" i="2"/>
  <c r="AR215" i="2"/>
  <c r="AP215" i="2"/>
  <c r="AS215" i="2" s="1"/>
  <c r="AR183" i="2"/>
  <c r="AP183" i="2"/>
  <c r="AS183" i="2" s="1"/>
  <c r="AR159" i="2"/>
  <c r="AP159" i="2"/>
  <c r="AS159" i="2" s="1"/>
  <c r="AR147" i="2"/>
  <c r="AP147" i="2"/>
  <c r="AS147" i="2" s="1"/>
  <c r="AR135" i="2"/>
  <c r="AP135" i="2"/>
  <c r="AS135" i="2" s="1"/>
  <c r="AR123" i="2"/>
  <c r="AP123" i="2"/>
  <c r="AS123" i="2" s="1"/>
  <c r="AP111" i="2"/>
  <c r="AS111" i="2" s="1"/>
  <c r="AR111" i="2"/>
  <c r="AR99" i="2"/>
  <c r="AP99" i="2"/>
  <c r="AS99" i="2" s="1"/>
  <c r="AR87" i="2"/>
  <c r="AP87" i="2"/>
  <c r="AS87" i="2" s="1"/>
  <c r="AR75" i="2"/>
  <c r="AP75" i="2"/>
  <c r="AS75" i="2" s="1"/>
  <c r="AR62" i="2"/>
  <c r="AP62" i="2"/>
  <c r="AS62" i="2" s="1"/>
  <c r="AR23" i="2"/>
  <c r="AP23" i="2"/>
  <c r="AS23" i="2" s="1"/>
  <c r="AR169" i="2"/>
  <c r="AP169" i="2"/>
  <c r="AS169" i="2" s="1"/>
  <c r="AR192" i="2"/>
  <c r="AP192" i="2"/>
  <c r="AS192" i="2" s="1"/>
  <c r="AR119" i="2"/>
  <c r="AP119" i="2"/>
  <c r="AS119" i="2" s="1"/>
  <c r="AR141" i="2"/>
  <c r="AP141" i="2"/>
  <c r="AS141" i="2" s="1"/>
  <c r="AR152" i="2"/>
  <c r="AP152" i="2"/>
  <c r="AS152" i="2" s="1"/>
  <c r="AR198" i="2"/>
  <c r="AP198" i="2"/>
  <c r="AS198" i="2" s="1"/>
  <c r="AP196" i="2"/>
  <c r="AS196" i="2" s="1"/>
  <c r="AR196" i="2"/>
  <c r="AP160" i="2"/>
  <c r="AS160" i="2" s="1"/>
  <c r="AR160" i="2"/>
  <c r="AP2" i="2"/>
  <c r="AS2" i="2" s="1"/>
  <c r="AR2" i="2"/>
  <c r="AR195" i="2"/>
  <c r="AP195" i="2"/>
  <c r="AS195" i="2" s="1"/>
  <c r="AR171" i="2"/>
  <c r="AP171" i="2"/>
  <c r="AS171" i="2" s="1"/>
  <c r="AR70" i="2"/>
  <c r="AP70" i="2"/>
  <c r="AS70" i="2" s="1"/>
  <c r="AP214" i="2"/>
  <c r="AS214" i="2" s="1"/>
  <c r="AR214" i="2"/>
  <c r="AR194" i="2"/>
  <c r="AP194" i="2"/>
  <c r="AS194" i="2" s="1"/>
  <c r="AR182" i="2"/>
  <c r="AP182" i="2"/>
  <c r="AS182" i="2" s="1"/>
  <c r="AR170" i="2"/>
  <c r="AP170" i="2"/>
  <c r="AS170" i="2" s="1"/>
  <c r="AR158" i="2"/>
  <c r="AP158" i="2"/>
  <c r="AS158" i="2" s="1"/>
  <c r="AR146" i="2"/>
  <c r="AP146" i="2"/>
  <c r="AS146" i="2" s="1"/>
  <c r="AR134" i="2"/>
  <c r="AP134" i="2"/>
  <c r="AS134" i="2" s="1"/>
  <c r="AR122" i="2"/>
  <c r="AP122" i="2"/>
  <c r="AS122" i="2" s="1"/>
  <c r="AR110" i="2"/>
  <c r="AP110" i="2"/>
  <c r="AS110" i="2" s="1"/>
  <c r="AR98" i="2"/>
  <c r="AP98" i="2"/>
  <c r="AS98" i="2" s="1"/>
  <c r="AR86" i="2"/>
  <c r="AP86" i="2"/>
  <c r="AS86" i="2" s="1"/>
  <c r="AR74" i="2"/>
  <c r="AP74" i="2"/>
  <c r="AS74" i="2" s="1"/>
  <c r="AR61" i="2"/>
  <c r="AP61" i="2"/>
  <c r="AS61" i="2" s="1"/>
  <c r="AR48" i="2"/>
  <c r="AP48" i="2"/>
  <c r="AS48" i="2" s="1"/>
  <c r="AR32" i="2"/>
  <c r="AP32" i="2"/>
  <c r="AS32" i="2" s="1"/>
  <c r="AR22" i="2"/>
  <c r="AP22" i="2"/>
  <c r="AS22" i="2" s="1"/>
  <c r="AR223" i="2"/>
  <c r="AP223" i="2"/>
  <c r="AS223" i="2" s="1"/>
  <c r="AP228" i="2"/>
  <c r="AS228" i="2" s="1"/>
  <c r="AR228" i="2"/>
  <c r="AR227" i="2"/>
  <c r="AP227" i="2"/>
  <c r="AS227" i="2" s="1"/>
  <c r="AR226" i="2"/>
  <c r="AP226" i="2"/>
  <c r="AS226" i="2" s="1"/>
  <c r="AP220" i="2"/>
  <c r="AS220" i="2" s="1"/>
  <c r="AR220" i="2"/>
  <c r="AR225" i="2"/>
  <c r="AP225" i="2"/>
  <c r="AS225" i="2" s="1"/>
  <c r="AR224" i="2"/>
  <c r="AP224" i="2"/>
  <c r="AS224" i="2" s="1"/>
  <c r="AR247" i="2"/>
  <c r="AP247" i="2"/>
  <c r="AS247" i="2" s="1"/>
  <c r="AP248" i="2"/>
  <c r="AS248" i="2" s="1"/>
  <c r="AR248" i="2"/>
  <c r="AR257" i="2"/>
  <c r="AP257" i="2"/>
  <c r="AS257" i="2" s="1"/>
  <c r="AP260" i="2"/>
  <c r="AS260" i="2" s="1"/>
  <c r="AR260" i="2"/>
  <c r="AP256" i="2"/>
  <c r="AS256" i="2" s="1"/>
  <c r="AR256" i="2"/>
  <c r="AP250" i="2"/>
  <c r="AS250" i="2" s="1"/>
  <c r="AR250" i="2"/>
  <c r="AR263" i="2"/>
  <c r="AP263" i="2"/>
  <c r="AS263" i="2" s="1"/>
  <c r="AP255" i="2"/>
  <c r="AS255" i="2" s="1"/>
  <c r="AR255" i="2"/>
  <c r="AR251" i="2"/>
  <c r="AP251" i="2"/>
  <c r="AS251" i="2" s="1"/>
  <c r="AP232" i="2"/>
  <c r="AS232" i="2" s="1"/>
  <c r="AR232" i="2"/>
  <c r="AR229" i="2"/>
  <c r="AP229" i="2"/>
  <c r="AS229" i="2" s="1"/>
  <c r="AR249" i="2"/>
  <c r="AP249" i="2"/>
  <c r="AS249" i="2" s="1"/>
  <c r="AR266" i="2"/>
  <c r="AP266" i="2"/>
  <c r="AS266" i="2" s="1"/>
  <c r="AR254" i="2"/>
  <c r="AP254" i="2"/>
  <c r="AS254" i="2" s="1"/>
  <c r="AR253" i="2"/>
  <c r="AP253" i="2"/>
  <c r="AS253" i="2" s="1"/>
  <c r="AR252" i="2"/>
  <c r="AP252" i="2"/>
  <c r="AS252" i="2" s="1"/>
  <c r="AP244" i="2"/>
  <c r="AS244" i="2" s="1"/>
  <c r="AR244" i="2"/>
  <c r="AR241" i="2"/>
  <c r="AP241" i="2"/>
  <c r="AS241" i="2" s="1"/>
  <c r="AP238" i="2"/>
  <c r="AS238" i="2" s="1"/>
  <c r="AR238" i="2"/>
  <c r="AP235" i="2"/>
  <c r="AS235" i="2" s="1"/>
  <c r="AR235" i="2"/>
  <c r="AO272" i="2"/>
  <c r="AP272" i="2" s="1"/>
  <c r="AS272" i="2" s="1"/>
  <c r="AO271" i="2"/>
  <c r="AP271" i="2" s="1"/>
  <c r="AS271" i="2" s="1"/>
  <c r="AO270" i="2"/>
  <c r="AR270" i="2" s="1"/>
  <c r="AO274" i="2"/>
  <c r="AR274" i="2" s="1"/>
  <c r="AO276" i="2"/>
  <c r="AR276" i="2" s="1"/>
  <c r="AO277" i="2"/>
  <c r="AR277" i="2" s="1"/>
  <c r="AP269" i="2"/>
  <c r="AS269" i="2" s="1"/>
  <c r="AO275" i="2"/>
  <c r="AR275" i="2" s="1"/>
  <c r="AO273" i="2"/>
  <c r="AR273" i="2" s="1"/>
  <c r="AP270" i="2" l="1"/>
  <c r="AS270" i="2" s="1"/>
  <c r="AP276" i="2"/>
  <c r="AS276" i="2" s="1"/>
  <c r="AP274" i="2"/>
  <c r="AS274" i="2" s="1"/>
  <c r="AR271" i="2"/>
  <c r="AR272" i="2"/>
  <c r="AP277" i="2"/>
  <c r="AS277" i="2" s="1"/>
  <c r="AP275" i="2"/>
  <c r="AS275" i="2" s="1"/>
  <c r="AP273" i="2"/>
  <c r="AS273" i="2" s="1"/>
</calcChain>
</file>

<file path=xl/comments1.xml><?xml version="1.0" encoding="utf-8"?>
<comments xmlns="http://schemas.openxmlformats.org/spreadsheetml/2006/main">
  <authors>
    <author>Amara</author>
  </authors>
  <commentList>
    <comment ref="L1" authorId="0" shapeId="0">
      <text>
        <r>
          <rPr>
            <b/>
            <sz val="9"/>
            <color indexed="81"/>
            <rFont val="Tahoma"/>
            <family val="2"/>
          </rPr>
          <t>Amara:</t>
        </r>
        <r>
          <rPr>
            <sz val="9"/>
            <color indexed="81"/>
            <rFont val="Tahoma"/>
            <family val="2"/>
          </rPr>
          <t xml:space="preserve">
Note that forest species are only relevant when samples are taken from root-tips. If samples are from soil, we only want to make sure that it was an ECM forest</t>
        </r>
      </text>
    </comment>
  </commentList>
</comments>
</file>

<file path=xl/comments2.xml><?xml version="1.0" encoding="utf-8"?>
<comments xmlns="http://schemas.openxmlformats.org/spreadsheetml/2006/main">
  <authors>
    <author>Amara</author>
  </authors>
  <commentList>
    <comment ref="L1" authorId="0" shapeId="0">
      <text>
        <r>
          <rPr>
            <b/>
            <sz val="9"/>
            <color indexed="81"/>
            <rFont val="Tahoma"/>
            <family val="2"/>
          </rPr>
          <t>Amara:</t>
        </r>
        <r>
          <rPr>
            <sz val="9"/>
            <color indexed="81"/>
            <rFont val="Tahoma"/>
            <family val="2"/>
          </rPr>
          <t xml:space="preserve">
Note that forest species are only relevant when samples are taken from root-tips. If samples are from soil, we only want to make sure that it was an ECM forest</t>
        </r>
      </text>
    </comment>
  </commentList>
</comments>
</file>

<file path=xl/sharedStrings.xml><?xml version="1.0" encoding="utf-8"?>
<sst xmlns="http://schemas.openxmlformats.org/spreadsheetml/2006/main" count="14990" uniqueCount="3583">
  <si>
    <t>AUTHORS</t>
  </si>
  <si>
    <t>TITLE</t>
  </si>
  <si>
    <t>JOURNAL</t>
  </si>
  <si>
    <t>VOLUME</t>
  </si>
  <si>
    <t>INITIAL_PAGE</t>
  </si>
  <si>
    <t>END_PAGE</t>
  </si>
  <si>
    <t>DOI</t>
  </si>
  <si>
    <t>PUBLICATION_YEAR</t>
  </si>
  <si>
    <t>ABSTRACT</t>
  </si>
  <si>
    <t>INCLUSION</t>
  </si>
  <si>
    <t>INCLUSION2</t>
  </si>
  <si>
    <t>Pdf_available</t>
  </si>
  <si>
    <t>Type</t>
  </si>
  <si>
    <t>Twieg, Brendan D.; Durall, Daniel M.; Simard, Suzanne W.; Jones, Melanie D.</t>
  </si>
  <si>
    <t>Influence of soil nutrients on ectomycorrhizal communities in a chronosequence of mixed temperate forests</t>
  </si>
  <si>
    <t>MYCORRHIZA</t>
  </si>
  <si>
    <t>305</t>
  </si>
  <si>
    <t>316</t>
  </si>
  <si>
    <t>10.1007/s00572-009-0232-7</t>
  </si>
  <si>
    <t>Many factors associated with forests are collectively responsible for controlling ectomycorrhizal (ECM) fungal community structure, including plant species composition, forest structure, stand age, and soil nutrients. The objective of this study was to examine relationships among ECM fungal community measures, local soil nutrients, and stand age along a chronosequence of mixed forest stands that were similar in vegetation composition and site quality. Six combinations of age class (5-, 26-, 65-, and 100-year-old) and stand initiation type (wildfire and clearcut) were replicated on four sites, each representing critical seral stages of stand development in Interior Cedar-Hemlock (ICH) forests of southern British Columbia. We found significant relationships between ECM fungal diversity and both available and organic P; available P was also positively correlated with the abundance of two ECM taxa (Rhizopogon vinicolor group and Cenoccocum geophilum). By contrast, ECM fungal diversity varied unpredictably with total and mineralizable N or C to N ratio. We also found that soil C, N, available P, and forest floor depth did not exhibit strong patterns across stand ages. Overall, ECM fungal community structure was more strongly influenced by stand age than specific soil nutrients, but better correlations with soil nutrients may occur at broader spatial scales covering a wider range of site qualities.</t>
  </si>
  <si>
    <t>NO</t>
  </si>
  <si>
    <t>Does not approach fire effects on ECM</t>
  </si>
  <si>
    <t>YES</t>
  </si>
  <si>
    <t>Article</t>
  </si>
  <si>
    <t>Livne-Luzon, Stav; Avidar, Mor; Herol, Lior; Rog, Ido; Klein, Tamir; Shemesh, Hagai</t>
  </si>
  <si>
    <t>Inter-generational consistency of the ectomycorrhizal fungal community in a mixed pine-cedar post-fire stand</t>
  </si>
  <si>
    <t>TREE PHYSIOLOGY</t>
  </si>
  <si>
    <t/>
  </si>
  <si>
    <t>10.1093/treephys/tpae094</t>
  </si>
  <si>
    <t>The mutualistic interaction between trees and ectomycorrhizal fungi (EMF) can have a major effect on forest dynamics and specifically on seedling establishment. Here, we compared the EMF community composition associated with the roots of young saplings and mature trees of two co-habiting Pinaceae: Pinus halepensis and Cedrus deodara growing together in a post-fire forest plot, using fungal ITS metabarcoding. We found that the differences in the EMF community between the two sapling groups were mostly attributed to changes in the relative abundance of specific fungal species, with little species turnover. Specifically, Tomentella showed high abundance on pine roots, while Tuber, Russula and Sebacina were more common on the roots of cedars. The physical proximity to a specific host species was correlated with the EMF community composition of young saplings. Specifically, regardless of the sapling's own identity, the roots of saplings growing next to mature cedars had higher abundance of Tuber species, while Tomentella coerulea (H &amp; ouml;hn. &amp; Litsch), Russula densifolia (Secr. ex Gillet) and Tuber nitidum (Vittadini) dominated saplings next to mature pines. Cedar saplings' shoot structure was correlated with a specific EMF species. Overall, these results suggest that when germinating next to mature trees, the EMF community of saplings could be determined by extrinsic factors such as the small-scale distribution of mature trees in the forest.</t>
  </si>
  <si>
    <t>Sheibani, Masoud; Jamali, Samad</t>
  </si>
  <si>
    <t>&lt;i&gt;Geopora cooperi&lt;/i&gt;, a new hypogeous ascomycete record for Iran mycobiota</t>
  </si>
  <si>
    <t>Rostaniha</t>
  </si>
  <si>
    <t>292</t>
  </si>
  <si>
    <t>295</t>
  </si>
  <si>
    <t>10.22092/BOTANY.2020.343286.1206</t>
  </si>
  <si>
    <t>NA</t>
  </si>
  <si>
    <t>Ibanez, Theresa S.; Wardle, David A.; Gundale, Michael J.; Nilsson, Marie-Charlotte</t>
  </si>
  <si>
    <t>Effects of Soil Abiotic and Biotic Factors on Tree Seedling Regeneration Following a Boreal Forest Wildfire</t>
  </si>
  <si>
    <t>ECOSYSTEMS</t>
  </si>
  <si>
    <t>471</t>
  </si>
  <si>
    <t>487</t>
  </si>
  <si>
    <t>10.1007/s10021-021-00666-0</t>
  </si>
  <si>
    <t>Wildfire disturbance is important for tree regeneration in boreal ecosystems. A considerable amount of literature has been published on how wildfires affect boreal forest regeneration. However, we lack understanding about how soil-mediated effects of fire disturbance on seedlings occur via soil abiotic properties versus soil biota. We collected soil from stands with three different severities of burning (high, low and unburned) and conducted two greenhouse experiments to explore how seedlings of tree species (Betula pendula, Pinus sylvestris and Picea abies) performed in live soils and in sterilized soil inoculated by live soil from each of the three burning severities. Seedlings grown in live soil grew best in unburned soil. When sterilized soils were reinoculated with live soil, seedlings of P. abies and P. sylvestris grew better in soil from low burn severity stands than soil from either high severity or unburned stands, demonstrating that fire disturbance may favor post-fire regeneration of conifers in part due to the presence of soil biota that persists when fire severity is low or recovers quickly post-fire. Betula pendula did not respond to soil biota and was instead driven by changes in abiotic soil properties following fire. Our study provides strong evidence that high fire severity creates soil conditions that are adverse for seedling regeneration, but that low burn severity promotes soil biota that stimulates growth and potential regeneration of conifers. It also shows that species-specific responses to abiotic and biotic soil characteristics are altered by variation in fire severity. This has important implications for tree regeneration because it points to the role of plant-soil-microbial feedbacks in promoting successful establishment, and potentially successional trajectories and species dominance in boreal forests in the future as fire regimes become increasingly severe through climate change.</t>
  </si>
  <si>
    <t>Bent, Elizabeth; Kiekel, Preston; Brenton, Rebecca; Taylor, D. Lee</t>
  </si>
  <si>
    <t>Root-Associated Ectomycorrhizal Fungi Shared by Various Boreal Forest Seedlings Naturally Regenerating after a Fire in Interior Alaska and Correlation of Different Fungi with Host Growth Responses</t>
  </si>
  <si>
    <t>APPLIED AND ENVIRONMENTAL MICROBIOLOGY</t>
  </si>
  <si>
    <t>3351</t>
  </si>
  <si>
    <t>3359</t>
  </si>
  <si>
    <t>10.1128/AEM.02575-10</t>
  </si>
  <si>
    <t>The role of common mycorrhizal networks (CMNs) in postfire boreal forest successional trajectories is unknown. We investigated this issue by sampling a 50-m by 40-m area of naturally regenerating black spruce (Picea mariana), trembling aspen (Populus tremuloides), and paper birch (Betula papyrifera) seedlings at various distances from alder (Alnus viridis subsp. crispa), a nitrogen-fixing shrub, 5 years after wildfire in an Alaskan interior boreal forest. Shoot biomasses and stem diameters of 4-year-old seedlings were recorded, and the fungal community associated with ectomycorrhizal (ECM) root tips from each seedling was profiled using molecular techniques. We found distinct assemblages of fungi associated with alder compared with those associated with the other tree species, making the formation of CMNs between them unlikely. However, among the spruce, aspen, and birch seedlings, there were many shared fungi (including members of the Pezoloma ericae [Hymenoscyphus ericae] species aggregate, Thelephora terrestris, and Russula spp.), raising the possibility that these regenerating seedlings may form interspecies CMNs. Distance between samples did not influence how similar ECM root tip-associated fungal communities were, and of the fungal groups identified, only one of them was more likely to be shared between seedlings that were closer together, suggesting that the majority of fungi surveyed did not have a clumped distribution across the small scale of this study. The presence of some fungal ribotypes was associated with larger or smaller seedlings, suggesting that these fungi may play a role in the promotion or inhibition of seedling growth. The fungal ribotypes associated with larger seedlings were different between spruce, aspen, and birch, suggesting differential impacts of some host-fungus combinations. One may speculate that wildfire-induced shifts in a given soil fungal community could result in variation in the growth response of different plant species after fire and a shift in regenerating vegetation.</t>
  </si>
  <si>
    <t>DeVan, M. Rae; Johnstone, Jill F.; Mack, Michelle C.; Hollingsworth, Teresa N.; Taylor, D. Lee</t>
  </si>
  <si>
    <t>Host identity affects the response of mycorrhizal fungal communities to high severity fires in Alaskan boreal forests</t>
  </si>
  <si>
    <t>FUNGAL ECOLOGY</t>
  </si>
  <si>
    <t>10.1016/j.funeco.2022.101222</t>
  </si>
  <si>
    <t>Ongoing climate change in the boreal forests of western North America is associated with wildfires which are increasing in extent and severity, thus impacting mycorrhizal fungal communities through fungal mortality and shifts in host species and age. We planted three native tree species, Picea mariana, Picea glauca, and Populous tremuloides, and non-native Pinus contorta var. latifolia at 22 post-fire sites, encompassing wide variation in fire severity and environmental gradients, across Interior Alaska. We characterized fungal community composition using Illumina MiSeq. Fire severity had a greater impact on fungal composition than the environmental variables we considered. There were large shifts in fungal Phyla and guilds with high severity, but these shifts were dependent on host tree species. We also found pine-specific fungi on Pinus contorta var. latifolia. These data suggest that shifts in mycorrhizal fungal communities from increases in fire severity may be exacerbated by associated changes in plant successional trajectories and host composition.</t>
  </si>
  <si>
    <t>Harvey, AE; Graham, RT; McDonald, GI</t>
  </si>
  <si>
    <t>Tree species composition change - Soil organism interaction: Potential effects on nutrient cycling and conservation in interior forests</t>
  </si>
  <si>
    <t>PROCEEDINGS: PACIFIC NORTHWEST FOREST AND RANGELAND SOIL ORGANISM SYMPOSIUM</t>
  </si>
  <si>
    <t>137</t>
  </si>
  <si>
    <t>145</t>
  </si>
  <si>
    <t>Current conditions in western Interior forests show large-scale changes in species compositions and accompanying above- and below-ground structures and nutrient distribution. Typical forests occupy constantly changing, often resource limited environments. Biological decomposition does not keep pace with production and natural wildfire is critical to recycling. Appropriate protection and recycling of nutrients is key to both short- and long-term productivity and sustainability. Comparisons of physical, physiological and genetic natures of the species dominating historic (pines/larch), current and likely future forests (firs/cedar/hemlock) indicate microbe/fire codependant processes mediating adaptation of forest vegetation, nutrient use rates, soil nutrient storage and recycling processes will all be significantly altered. This is likely to produce forests that are drought, pest, competition and change intolerant with high mortality rates, and high fuel accumulation/loss potentials, when compared to historic norms. Prudent future management would emphasize reintroduction of appropriate pine stocks and western larch at every opportunity! Control of density in dry forests can also make an important contribution.</t>
  </si>
  <si>
    <t>Twieg, Brendan D.; Durall, Daniel M.; Simard, Suzanne W.</t>
  </si>
  <si>
    <t>Ectomycorrhizal fungal succession in mixed temperate forests</t>
  </si>
  <si>
    <t>NEW PHYTOLOGIST</t>
  </si>
  <si>
    <t>437</t>
  </si>
  <si>
    <t>447</t>
  </si>
  <si>
    <t>10.1111/j.1469-8137.2007.02173.x</t>
  </si>
  <si>
    <t>Ectomycorrhizal (ECM) fungal communities of Douglas-fir (Pseudotsuga menziesii) and paper birch (Betula papyrifera) were studied along a chronosequence of forest development after stand-replacing disturbance. Previous studies of ECM succession did not use molecular techniques for fungal identification or lacked replication, and none examined different host species.Four age classes of mixed forests were sampled: 5-, 26-, 65-, and 100-yr-old, including wildfire-origin stands from all four classes and stands of clearcut origin from the youngest two classes. Morphotyping and DNA sequences were used to identify fungi on ECM root tips.ECM fungal diversities were lower in 5-yr-old than in older stands on Douglas-fir, but were similar among age classes on paper birch. Host-specific fungi dominated in 5-yr-old stands, but host generalists were dominant in the oldest two age classes. ECM fungal community compositions were similar in 65- and 100-yr-old stands but differed among all other pairs of age classes.Within the age range studied, site-level ECM fungal diversity reached a plateau by the 26-yr-old age class, while community composition stabilized by the 65-yr-old class. Simple categories such as 'early stage', 'multi stage', and 'late stage' were insufficient to describe fungal species' successional patterns. Rather, ECM fungal succession may be best described in the context of stand development.</t>
  </si>
  <si>
    <t>Diez-Hermano, Sergio; Poveda, Jorge; Nino-Sanchez, Jonatan; Bocos-Asenjo, Irene Teresa; Peix, Alvaro; Martin-Pinto, Pablo; Diez, Julio Javier</t>
  </si>
  <si>
    <t>Rhizosphere mycobiome diversity in four declining Mediterranean tree species</t>
  </si>
  <si>
    <t>FRONTIERS IN FORESTS AND GLOBAL CHANGE</t>
  </si>
  <si>
    <t>10.3389/ffgc.2023.1215701</t>
  </si>
  <si>
    <t>Introduction: Forests in the Mediterranean basin are currently in decline. Their resilience has been eroded as a result of climate change and anthropogenic impacts, making them vulnerable to increasingly frequent episodes of drought, fire and the spread of pests and diseases. The impact of these natural and anthropogenic events on soil biodiversity is of particular concern, as the soil fungal community plays a key role in ecosystem homeostasis.Objectives and methods: In order to analyse the relationship between soil health status and fungal diversity, soil samples were collected from declining Mediterranean forests of Castanea sativa (chestnut), Quercus ilex (holm oak), Quercus suber (cork oak) and Quercus pyrenaica (Pyrenean oak). A metabarcoding study was carried out by sequencing the ITS genomic region.Results: A total of 674 fungal genera were found. It has not been possible to explain the differences in health status from the fungal genera found exclusively on declining forest soils, as none of them have been described as pathogenic. Healthy chestnut soils were characterized by a high alpha diversity and a higher abundance of the genus Metarhizium. No differentially abundant genera were found in any of the other forest species tested. Declining chestnut soils harbored more abundance of ectomycorrhizae and soil saprotrophs than healthy samples. Ectomycorrhizae were the dominant lifestyle in all oak species regardless of health status, whereas arbuscular mycorrhizae were preferentially found in declining cork oak soils.Discussion: This work highlights the resilience of fungal communities of soil against decline and highlights the need to further investigate its relationship with the forest's ability to cope with the challenges of climate change.</t>
  </si>
  <si>
    <t>ECM community changes under CC not fire specifically</t>
  </si>
  <si>
    <t>Day, Nicola J.; Cumming, Steven G.; Dunfield, Kari E.; Johnstone, Jill F.; Mack, Michelle C.; Reid, Kirsten A.; Turetsky, Merritt R.; Walker, Xanthe J.; Baltzer, Jennifer L.</t>
  </si>
  <si>
    <t>Identifying Functional Impacts of Heat-Resistant Fungi on Boreal Forest Recovery After Wildfire</t>
  </si>
  <si>
    <t>10.3389/ffgc.2020.00068</t>
  </si>
  <si>
    <t>Fungi play key roles in carbon (C) dynamics of ecosystems: saprotrophs decompose organic material and return C in the nutrient cycle, and mycorrhizal species support plants that accumulate C through photosynthesis. The identities and functions of extremophile fungi present after fire can influence C dynamics, particularly because plant-fungal relationships are often species-specific. However, little is known about the function and distribution of fungi that survive fires. We aim to assess the distribution of heat-resistant soil fungi across burned stands of boreal forest in the Northwest Territories, Canada, and understand their functions in relation to decomposition and tree seedling growth. We cultured and identified fungi from heat-treated soils and linked sequences from known taxa with high throughput sequencing fungal data (Illumina MiSeq, ITS1) from soils collected in 47 plots. We assessed functions under controlled conditions by inoculating litter and seedlings with heat-resistant fungi to assess decomposition and effects on seedling growth, respectively, for black spruce (Picea mariana), birch (Betula papyrifera), and jack pine (Pinus banksiana). We also measured litter decomposition rates and seedling densities in the field without inoculation. We isolated seven taxa of heat-resistant fungi and found their relative abundances were not associated with environmental or fire characteristics. Under controlled conditions,Fayodia gracilipesandPenicillium arenicoladecomposed birch, but no taxa decomposed black spruce litter significantly more than the control treatment. Seedlings showed reduced biomass and/or mortality when inoculated with at least one of the fungal taxa.Penicillium turbatumreduced growth and/or caused mortality of all three species of seedlings. In the field, birch litter decomposed faster in stands with greater pre-fire proportion of black spruce, while black spruce litter decomposed faster in stands experiencing longer fire-free intervals. Densities of seedlings that had germinated since fire were positively associated with ectomycorrhizal richness while there were fewer conifer seedlings with greater heat-resistant fungal abundance. Overall, our study suggests that extremophile fungi present after fires have multiple functions and may have unexpected negative effects on forest functioning and regeneration. In particular, heat-resistant fungi after fires may promote shifts away from conifer dominance that are observed in these boreal forests.</t>
  </si>
  <si>
    <t>Buscardo, Erika; Rodriguez-Echeverria, Susana; Martin, Maria P.; De Angelis, Paolo; Pereira, Joao Santos; Freitas, Helena</t>
  </si>
  <si>
    <t>Impact of wildfire return interval on the ectomycorrhizal resistant propagules communities of a Mediterranean open forest</t>
  </si>
  <si>
    <t>FUNGAL BIOLOGY</t>
  </si>
  <si>
    <t>628</t>
  </si>
  <si>
    <t>636</t>
  </si>
  <si>
    <t>10.1016/j.funbio.2010.05.004</t>
  </si>
  <si>
    <t>Ectomycorrhizal (ECM) fungi, in particular their spores and other resistant propagules, play an important role in secondary succession processes that facilitate regeneration after disturbance events. In this study, the effects of high and low wildfire frequencies (respectively short and long fire return intervals) on the resistant propagules communities (RPCs) of a Mediterranean open pine forest were compared. Soil samples were collected in four mountain sites with different fire return intervals and used to test ectomycorrhiza development in two hosts, Pinus pinaster and Quercus suber. RPCs were characterized by direct sequencing of fungal internal transcribed spacer (ITS) regions from individual ECM root tips. Eighteen ECM species were detected in the bioassay. The most frequently found fungi were Cenococcum geophilum, Inocybe jacobi, Thelephora terrestris, Tomentella ellisii on both hosts and Rhizopogon luteolus and R. roseolus on maritime pine. A short fire return interval reduced the species richness of the ECM community found on Q. suber, promoted species like R. roseolus and reduced the abundance of other species (e.g. R. luteolus). The abundance of I. Jacobi was positively affected by long fire return interval, but decreased significantly with recurrent fires. These results indicate that changes in fire frequency can alter the structure, composition and diversity of ECM communities, which could compromise the resilience of the ecosystem in highly disturbed areas. (C) 2010 The British Mycological Society. Published by Elsevier Ltd. All rights reserved.</t>
  </si>
  <si>
    <t>Mohatt, Katherine R.; Cripps, Cathy L.; Lavin, Matt</t>
  </si>
  <si>
    <t>Ectomycorrhizal fungi of whitebark pine (a tree in peril) revealed by sporocarps and molecular analysis of mycorrhizae from treeline forests in the Greater Yellowstone Ecosystem</t>
  </si>
  <si>
    <t>BOTANY</t>
  </si>
  <si>
    <t>14</t>
  </si>
  <si>
    <t>25</t>
  </si>
  <si>
    <t>10.1139/B07-107</t>
  </si>
  <si>
    <t>Whitebark pine (Pinus albicaulis Engelm.) is unique as the only stone pine in North America. This species has declined 40%-90% throughout its range owing to blister rust infection, mountain pine beetle, fire suppression, and global climate change. However, intact mature and old growth forests still exist in the Greater Yellowstone Ecosystem (GYE) at high timberline elevations. This study addresses the urgent need to discover the ectomycorrhizal (ECM) fungi critical to this tree species before forests are further reduced. A study of mature whitebark pine forests across five mountain ranges in the Northern GYE confirmed 32 ECM species of fungi with the pine by sporocarp occurrence in pure stands or by identification of mycorrhizae with ITS-matching. Boletales and Cortinariales (Cortinarius) comprise 50% of the species diversity discovered. In Boletales, Suillus subalpinus M.M. Moser (with stone pines), Suillus sibericus Singer (stone pines), Rhizopogon evadens A.H. Sm. (five-needle pines), Rhizopogon spp. (pines) and a semi-secotioid Chroogomphus sp. (pines) are restricted to the hosts listed and are not likely to occur with other high elevation conifers in the GYE. The ascomycete generalist, Cenococcum geophilum Fr., was the most frequent (64%) and abundant (51%) ECM fungus on seedling roots, as previously reported for high elevation spruce-fir and lower elevation lodgepole pine forests in the GYE. The relative importance of the basidiomycete specialists and the ascomycete generalist to whitebark pine (and for seedling establishment) is not known, however this study is the first step in delineating the ECM fungi associated with this pine in peril.</t>
  </si>
  <si>
    <t>Filip, Gregory M.; Schmitt, Craig L.; Scott, Donald W.; Fitzgerald, Stephen A.</t>
  </si>
  <si>
    <t>Understanding and defining mortality in western conifer forests</t>
  </si>
  <si>
    <t>WESTERN JOURNAL OF APPLIED FORESTRY</t>
  </si>
  <si>
    <t>105</t>
  </si>
  <si>
    <t>115</t>
  </si>
  <si>
    <t>10.1093/wjaf/22.2.105</t>
  </si>
  <si>
    <t>Tree mortality in western conifer forests is a complex process involving several related factors. Conifer mortality tends to be more common in high-elevation forests where stress from weather, insects, and disease result in higher rates of mortality and in the drier interior forests where mortality from fire, insects, and disease are common. Immediate mortality from fire damage may be obvious, but currently there is considerable controversy about labeling fire-injured green trees as dead that have a high probability of experiencing delayed mortality. Trees die when carbohydrates used in respiration exceed those produced in photosynthesis or water movement is impaired, the tree desiccates, and photosynthesis ceases. Immediate or delayed tree mortality may be directly due to biotic or abiotic causes and may be affected by previous damage, current condition (vigor), and attack by secondary agents such as bark beetles. A particular pathogen or insect usually attacks, damages, or kills only one portion of a tree. Trees that are damaged or attacked by pests and expected to have a dead or nonfunctional root system or a nonfunctional stem within 5 years may be considered either dead or death is imminent. Numerous studies have produced logistic regression equations or other statistical models to help determine probability of tree survival. We define and propose that a "dead tree" designation is justified for most species when at least three of the four quadrants from around the base of the root collar has cambium, inner bark, or phloem that are discolored and dead. For large ponderosa pines, a dead tree has all four quadrants with dead cambium.</t>
  </si>
  <si>
    <t>Douglas, RB; Parker, VT; Cullings, KW</t>
  </si>
  <si>
    <t>Belowground ectomycorrhizal community structure of mature lodgepole pine and mixed conifer stands in Yellowstone National Park</t>
  </si>
  <si>
    <t>FOREST ECOLOGY AND MANAGEMENT</t>
  </si>
  <si>
    <t>303</t>
  </si>
  <si>
    <t>317</t>
  </si>
  <si>
    <t>10.1016/j.foreco.2004.12.011</t>
  </si>
  <si>
    <t>Forest development patterns following wildfire are known to influence the physical and chemical attributes of soils at different points in time, and are further thought to influence ectomycorrhizal (ECM) community structure. We used molecular methods to compare belowground ECM species richness, composition, and abundance between adjacent stands of homogenous lodgepole pine (established after a fire around 1867) and old growth mixed conifer (around 300 years old) in Yellowstone National Park (YNP). In each stand type, we collected soil cores to both identify mycorrhizae and assess soil chemistry. Although no statistical difference was observed in the mean number of ECM root tips per core between stand types, the total number of species identified (81 versus 35) and the mean number of species per core (8.7 +/- 0.5 versus 2.5 +/- 0.3) were significantly higher in lodgepole pine. Species compositions were widely disparate between stands where only four of 112 species were shared. Soil analysis revealed that mixed conifer was significantly lower in mean pH, but higher in mean organic matter, potassium, phosphorus, and ammonium when compared to lodgepole pine. Although analysis of covariance did not statistically demonstrate that soil chemistry is driving ECM community structure with certainty, our data are, nonetheless, consistent with this hypothesis. Our data further suggest that fungal richness declines and composition shifts some time after Engelmann spruce and subalpine fir colonize mature lodgepole pine stands, and that time since last wildfire influences soil chemistry in this system. Moreover, because of data limitations, future field experiments will be necessary to determine if soil chemistry, as well as other biotic and abiotic factors not examined in this study, is a primary influence on ECM community structure at our study site in YNP. (c) 2005 Elsevier B.V. All rights reserved.</t>
  </si>
  <si>
    <t>Trofymow, John. A.; Shay, Philip-Edouard; Tomm, Bradley; Berube, Jean A.; Ramsfield, Tod</t>
  </si>
  <si>
    <t>Differences in Soil Fungal Communities between Forested Reclamation and Forestry Sites in the Alberta Oil Sands Region</t>
  </si>
  <si>
    <t>JOURNAL OF FUNGI</t>
  </si>
  <si>
    <t>10.3390/jof9111110</t>
  </si>
  <si>
    <t>Fungi play key roles in forest soils and provide benefits to trees via mycorrhizal symbioses. After severe disturbance, forest regrowth can be impeded because of changes in fungal communities. In 2013-2014, soil fungi in forest floor and mineral soil were examined by Roche 454 pyrosequencing in undisturbed, harvested, and burned jack pine stands in a forested area near Fort Chipewyan, Alberta. These fungal communities were compared with jack pine, white spruce, and larch stands in Gateway Hill, a nearby certified reclaimed area. In 2014, a more detailed sampling of forestry and reclamation jack pine sites examined fungi in soil fractions using two high-throughput sequencing platforms and a sporocarp survey. The significances of compositional and functional differences in fungal communities between the forested and reclamation sites were assessed using permutation tests of partially constrained ordinations, accounting for confounding factors by variance partitioning. Taxa associated with the forestry area were primarily ectomycorrhizal. Fungal richness and diversity were greater in soils from the reclamation sites and included significantly more pathogenic taxa and taxa with unknown functional properties. Fungal community dissimilarities may have been artefacts of historical legacies or, alternatively, may have resulted from contrasting niche differentiation between forestry and reclamation sites.</t>
  </si>
  <si>
    <t>Brown, Shawn P.; Clark, Stacy L.; Ford, Emerald; Mirza, Nahreen; Odeh, Amerah; Schlarbaum, Scott E.; Jumpponen, Ari; Baird, Richard</t>
  </si>
  <si>
    <t>Convergent shifts in soil fungal communities associated with Fagaceae reforestation in the Southern Appalachian Mountains</t>
  </si>
  <si>
    <t>10.1016/j.foreco.2023.120805</t>
  </si>
  <si>
    <t>Forests of the Southern Appalachian Mountains were historically dominated by hardwood species within the family Fagaceae, e.g., American chestnut (Castanea dentata) and white oak (Quercus alba) among others. Due to numerous biotic and abiotic stressors, including pathogen pressure, populations of many Fagaceae have been greatly reduced, or functionally eliminated as is the case with American chestnut. This has led to reforestation efforts designed to increase American chestnut and white oak populations in this region, but success has been minimal. Since soil fungal communities are crucial to plant health, understanding how reforestation efforts alter soil fungal communities will inform reforestation efforts. Here, using nursery-reared bareroot seedlings of American chestnut, Chinese chestnut, 3rd generation backcross chestnut hybrids (BC3F3), and white oaks outplanted at a locally xeric site in the Southern Appalachian Mountains, we investigated if and how these species and backcross families within species differentially impact soil fungal communities. We demonstrate that after three years of growth, plant-associated soil fungal communities change similarly among different Fagaceae and are distinct from pre-planting soil communities. Interestingly, we observed differential shifts in fungal functional guilds among the Fagaceae species, although these were rather minimal. Taken together, the largely convergent shifts in soil communities across Fagaceae species suggest that these tree species may have similar impacts on soils and/or share similar communities that become enriched in closely related fungal species. The similarity in shared mutualist fungal communities suggests that companion planting or reforestation of genetically disease resistant American chestnut adjacent to establishing white oak trees might enhance survival and growth of both species at xeric sites.</t>
  </si>
  <si>
    <t>Mizota, C.</t>
  </si>
  <si>
    <t>Use of delta15N values (15N/14N) for studies of nitrogen cycle in forest ecosystems from Darhad Basin, northern Mongolia.</t>
  </si>
  <si>
    <t>Multidisciplinary research on Mongolian ecosystems: Conference Proceedings from Second International Symposium by Japan and Mongolia, Ulaanbaatar, Mongolia, March 2013</t>
  </si>
  <si>
    <t>35</t>
  </si>
  <si>
    <t>39</t>
  </si>
  <si>
    <t>Nitrogen is an essential element for common life. Under natural bio-climatic conditions, nitrogen is a limiting factor for full performance of woody plants. Conifers often harbor symbiotic ectomycorrhizal fungi in their root systems where positive nitrogen acquisition occurs. In the present study, a reconnaissance forest survey was conducted throughout Darhad Basin, northern Mongolia where forest tends to develop on northern slopes. Data indicate that dominant pure spruce (Picea obovata) - cowberry (Vaccinio-Piceetea) stands and spruce larch (Larix sibirica) mixed stands form pristine forests. Forest climax declines by continuous disturbances such as grazing, forest fires and tourism, all processes accelerate nitrogen cycle between soils and fauna. Nitrogen isotope ratios (15N/14N as commonly designated by delta15N notation, per mill variation relative to atmospheric dinitrogen) have increasingly been used to trace nitrogen dynamics in ecosystems. An apparent nitrogen isotope fractionation between host and symbiont is marked in the pristine forest where spruce dominates, whereas the occurrence is less in larch-dominant forest. Foliar nitrogen isotope ratios provide an estimate for integration of the nitrogen cycle in forest ecosystems from Darhad Basin.</t>
  </si>
  <si>
    <t>SUCCESSIONAL DYNAMICS IN PEATLAND FORESTS: IS TAMARACK A KEY MEDIATOR OF POST-DISTURBANCE FOREST REGENERATION?</t>
  </si>
  <si>
    <t>Peatland forests represent a globally important carbon sink as well as important sources of timber and wildlife habitat. A lack of successful conifer regeneration has often been noted following timber harvest, which may be driven by competitive interactions between tree seedlings and understory plants. The proposed research will assess the role of tamarack (Larix laricina) in mediating the successional trajectory of peatland forests. Specifically, we hypothesize that the presence of tamarack favors the recruitment of black spruce (Picea mariana) through shared interactions with ectomycorrhizal (ECM) fungi and suppression of ericaceous shrub growth. We will use a combination of manipulative field- and greenhouse-based experiments to quantify the effects of tamarack on spruce recruitment. ECM fungal communities associated with both tree species in pre- and post-fire settings will also be quantified using DNA-based techniques. The research will involve collaboration between UM faculty in the departments of Plant Biology and Forest Resources, interactions with Minnesota DNR staff, and training of a junior scientist and three undergraduate students. Collectively, the results of the proposed work will have significant value for land managers interested in both tree production as well as diversity conservation.</t>
  </si>
  <si>
    <t>Thiet, Rachel K.; Boerner, R. E. J.</t>
  </si>
  <si>
    <t>Spatial patterns of ectomycorrhizal fungal inoculum in arbuscular mycorrhizal barrens communities:: implications for controlling invasion by &lt;i&gt;Pinus virginiana&lt;/i&gt;</t>
  </si>
  <si>
    <t>507</t>
  </si>
  <si>
    <t>517</t>
  </si>
  <si>
    <t>10.1007/s00572-007-0123-8</t>
  </si>
  <si>
    <t>Invasion of globally threatened ecosystems dominated by arbuscular mycorrhizal plants, such as the alkaline prairies and serpentine barrens of eastern North America, by species of ectomycorrhizal (ECM) pine (Pinus) seriously threatens the persistence, conservation, and ongoing restoration of these rare plant communities. Using Maryland serpentine barrens and an Ohio alkaline prairie complex as model systems, we tested the hypothesis that the invasiveness of Virginia pine (Pinus virginiana L.) into such communities is regulated by the spatial pattern of ECM fungal inoculum in the soil. ECM colonization of pine seedlings can occur by (1) hyphae growing from the roots of mature ECM pines colonizing nearby seedlings (contagion model), (2) pine seedlings being infected after germinating in open areas where spores are concentrated in feces of animals that have consumed sporocarps (centers of infection model), and (3) colonization from spores that are wind-dispersed across the landscape (background model). To test these models of dispersal of ECM fungal inoculum into these barrens, we used autocorrelation and spatially explicit mapping techniques (semivariance analysis and kriging) to characterize the distribution and abundance of ECM inoculum in soil. Our results strongly suggest that ECM fungi most often disperse into open barrens by contagion, thereby facilitating rapid pine colonization in an advancing front from mature pine forests bordering the barrens. Spatial patterns consistent with the centers of infection model were present but less common. Thus, current management techniques that rely on cutting and fire to reverse pine invasion may be ineffective because they do not kill or disrupt hyphal mats attached to mature roots of neighboring pines. Management alternatives are discussed.</t>
  </si>
  <si>
    <t>Berch, S. M.; Baumbrough, B.; Battigelli, J.; Kroeger, P.; Strub, N.; Montigny, L. de</t>
  </si>
  <si>
    <t>Preliminary assessment of selected communities of soil organisms under different conifer species.</t>
  </si>
  <si>
    <t>Research Report - Ministry of Forests, British Columbia</t>
  </si>
  <si>
    <t>vi + 27 pp.</t>
  </si>
  <si>
    <t>A study was conducted on second-growth, 30-year-old plantations of Douglas fir (Pseudotsuga menziesii), western hemlock (Tsuga heterophylla), Sitka spruce (Picea sitchensis) and western redcedar (Thuja plicata) at a site established in 1965-66 on southern Vancouver Island, British Columbia, Canada, to see the effects of single-species conifer stands on collembolan, oribatid mite and macrofungal species diversity and abundance or frequency. For all three groups of soil organisms, overall frequency or abundance and diversity were noticeably less under T. plicata compared with the other species. Using Renkonen Similarity Indices, it was found out that the macrofungus communities (species and abundance) differed between species. The community of forest floor oribatid mites under Pseudotsuga menziesii was distinct and had no clear pattern was observed between the other species. No correlation existed between the collembolan community and conifer species.</t>
  </si>
  <si>
    <t>de Román, M; de Miguel, AM</t>
  </si>
  <si>
    <t>Post-fire, seasonal and annual dynamics of the ectomycorrhizal community in a &lt;i&gt;Quercus ilex&lt;/i&gt; L. forest over a 3-year period</t>
  </si>
  <si>
    <t>482</t>
  </si>
  <si>
    <t>10.1007/s00572-005-0353-6</t>
  </si>
  <si>
    <t>Two study plots, burned and control, were established in autumn 1998 in a Quercus ilex forest located in northern Spain, part of which had been affected by a low intensity fire in 1994. Soil samples for ectomycorrhizae (ECM) were taken over a 3-year period in each study plot in spring, summer, autumn and winter. ECM morphotypes were identified and the relative abundance of each morphotype in each soil sample calculated, along with species richness, Shannon diversity index and percentage of mycorrhization in each soil sample. The relative abundance of certain ECM morphotypes differed between burned and control plots, and the percentage of mycorrhizal tips was significantly lower in the burned than in the control plot. Nevertheless, there were no significant differences in the diversity, species richness or species composition of the ECM community in the burned and control plots. The dominant ECM morphotypes in both stands were Cenococcum geophilum and several thelephoroid fungi. Sphaerosporella brunnea and Pisolithus tinctorius thrived especially in the burned plot, whereas three ectomycorrhizal morphotypes assigned to the genus Hebeloma were especially abundant in the control plot. There was no significant variation in the relative abundance of the ECM morphotypes between seasons, but ECM community species richness was highest in autumn and lowest in summer. The percentage of mycorrhizal tips reached a maximum in winter, with its minimum in autumn. Collection of samples over the 3-year period also enabled us to detect a significant increase in percentage of ECM colonisation in the burned stand over time.</t>
  </si>
  <si>
    <t>Garcia-Montero, L. G.; Di Massimo, G.; Garcia-Abril, A.; Grande, M. A.</t>
  </si>
  <si>
    <t>Suitability of lime trees for &lt;i&gt;Tuber&lt;/i&gt; &lt;i&gt;melanosporum&lt;/i&gt; culture:: mycorrhizae, soil studies, and truffle harvest associated with &lt;i&gt;Tilia platyphyllos&lt;/i&gt; and &lt;i&gt;T-x vulgaris&lt;/i&gt;</t>
  </si>
  <si>
    <t>SYDOWIA</t>
  </si>
  <si>
    <t>46</t>
  </si>
  <si>
    <t>56</t>
  </si>
  <si>
    <t>Truffles are highly profitable cash crops which grow in forests of many Mediterranean regions. The most important studies on the ecology of Tuber melanosporum have been carried out in forests of Quercus, Corylus, and Ostrya. Although it has been reported that this truffle can form mycorrhizae also with Tilia, there are no studies on Tuber melanosporum fruiting body production associated with lime trees. For this reason, we have carried out a study on mycorrhizae, soils, and fruiting body production in river woods with T. platyphyllos and T. x vulgaris located in Central Spain. In the study area, we found 13 Tuber melanosporum burns associated with Tilia platyphyllos and other host plants. Burns associated also with Tilia showed less significant production than others with Quercus faginea, Q. ilex, and Corylus avellana. Nevertheless, our studies revealed that the soil properties of these river woods with Tilia are very favourable for Tuber melanosporum. However, we confirmed that in this region not a single burn had ever been found with T. melanosporum production associated exclusively with Tilia, without Quercus or Corylus presence. We conclude that at present Tilia platyphyllos and T. x vulgaris are of little interest to Tuber melanosporum truffle culture, as they hinder fruiting body production.</t>
  </si>
  <si>
    <t>Zotti, M.; Pavarino, M.; Piazza, S. di; Mariotti, M. G.</t>
  </si>
  <si>
    <t>Investigation on the effectiveness of silvicultural management practices by means of ectomycorrhized and non-mycorrhized holm-oaks planted in burned areas: a preliminary study.</t>
  </si>
  <si>
    <t>Micologia Italiana</t>
  </si>
  <si>
    <t>81</t>
  </si>
  <si>
    <t>88</t>
  </si>
  <si>
    <t>This study was carried out in an area of 55 hectares in Eastern Liguria (Italy), characterized by Mediterranean thermophile vegetation with Quercus ilex in the shrub layer and scattered individuals of Pinus pinaster. The whole region was affected by severe fires and subjected to soil bioengineering management practices aimed at preventing hydro-geological hazards. The reforestation was carried out using 1- or 2- year-old broadleaved trees, some of them previously infected with the ectomycorrhizal fungi Laccaria bicolor and Hebeloma crustuliniforme. The goal of the investigation is to assess the effectiveness of reforestation and the survival and vitality of the planted trees. The preliminary results obtained shows that the trees infected with L. bicolor do not exhibit the expected higher level of vitality and growth.</t>
  </si>
  <si>
    <t>Sousa, Nadine R.; Franco, Albina R.; Oliveira, Rui S.; Castro, Paula M. L.</t>
  </si>
  <si>
    <t>Reclamation of an abandoned burned forest using ectomycorrhizal inoculated &lt;i&gt;Quercus&lt;/i&gt; &lt;i&gt;rubra&lt;/i&gt;</t>
  </si>
  <si>
    <t>50</t>
  </si>
  <si>
    <t>55</t>
  </si>
  <si>
    <t>10.1016/j.foreco.2014.02.033</t>
  </si>
  <si>
    <t>It is recognized that inoculation with ectomycorrhizal (ECM) fungi can have a positive effect on the establishment of nursery grown seedlings and influence their survival during the first years. However, an increased effort is needed to understand their role and behavior in abandoned burned areas. We investigated tree performance of pre-inoculated Quercus rubra seedlings on a site with fire history and monitored fungal persistence and succession dynamics of the ectomycorrhizal community established. Nursery grown Q. rubra seedlings inoculated with a mixture of 6 ECM fungi (Cenococcum geophilum, Hebeloma crustuliniforme, H. mesophaeum, H. velutipes, Paxillus involutus and Scleroderma citrinum) were transplanted to Serra da Cabreira, Northern Portugal. Non-inoculated control oak seedlings were also transplanted. Two years after planting, biometric and mycorrhizal parameters were determined. The presence of the inoculated ECM fungi and the dominant ECM fungal community established was assessed by DGGE-cloning. Results showed that the bioinoculants improved the growth performance of outplanted oak seedlings, promoting a c.a. 1.6-fold increase in height and a 2.9-fold increase in the number of ECM root tips. After two years, H. mesophaeum, H. velutipes, P. involutus and S. citrinum persisted in the root system of inoculated plants. Ordination analysis demonstrated that ECM fungal communities of inoculated and non-inoculated samples were significantly different. The present work reinforces the benefits of using nursery inoculated plants in forest reclamation processes. (C) 2014 Elsevier B.V. All rights reserved.</t>
  </si>
  <si>
    <t>Dias, J. M.; Oliveira, R. S.; Franco, A. R.; Ritz, K.; Nunan, N.; Castro, P. M. L.</t>
  </si>
  <si>
    <t>Assessment of mycorrhizal colonisation and soil nutrients in unmanaged fire-impacted soils from two target restoration sites</t>
  </si>
  <si>
    <t>SPANISH JOURNAL OF AGRICULTURAL RESEARCH</t>
  </si>
  <si>
    <t>S86</t>
  </si>
  <si>
    <t>S95</t>
  </si>
  <si>
    <t>The mycorrhizal colonisation of plants grown in unmanaged soils from two restoration sites with a fire history in Northern Portugal was evaluated from the perspective of supporting restoration programmes. To promote restoration of original tree stands, Quercus ilex L. and Pinus pinaster Ait. were used as target species on two sites, denoted Site 1 and 2 respectively. The aim of the study was to assess whether mycorrhizal propagules that survived fire episodes could serve as in situ inoculum sources, and to analyse the spatial distribution of soil nutrients and mycorrhizal parameters. In a laboratory bioassay, P. pinaster and Q. ilex seedlings were grown on soils from the target sites and root colonisation by ectomycorrhizal (ECM) and arbuscular mycorrhizal (AM) fungi was determined. The ECM root colonisation levels found indicated that soil from Site 2 contained sufficient ECM propagules to serve as a primary source of inoculum for P pinaster. The low levels of ECM and AM colonisation obtained on the roots of plants grown in soil from Site 1 indicated that the existing mycorrhizal propagules might be insufficient for effective root colonisation of Q. ilex. Different ECM morphotypes were found in plants grown in soil from the two sites. At Site 2 mycorrhizal parameters were found to be spatially structured, with significant differences in ECM colonisation and soil P concentrations between regions of either side of an existing watercourse. The spatial distribution of mycorrhizal propagules was related to edaphic parameters (total C and extractable P), and correlations between soil nutrients and mycorrhizal parameters were found.</t>
  </si>
  <si>
    <t>Brooks, Denise D.; Twieg, Brendan D.; Grayston, Sue J.; Jones, Melanie D.</t>
  </si>
  <si>
    <t>Physical extent, frequency, and intensity of phosphatase activity varies on soil profiles across a Douglas-fir chronosequence</t>
  </si>
  <si>
    <t>SOIL BIOLOGY &amp; BIOCHEMISTRY</t>
  </si>
  <si>
    <t>1</t>
  </si>
  <si>
    <t>8</t>
  </si>
  <si>
    <t>10.1016/j.soilbio.2013.04.006</t>
  </si>
  <si>
    <t>In forest soils, the availability of phosphate is largely dependent on phosphatase activity. We used soil imprinting to compare in situ activity and fine-scale distribution of phosphatase on soil profiles located across forest chronosequences of four age classes young (5-6 yrs), canopy closure (24-30 yrs), stem exclusion (61-71 yrs), and older (90-103 yrs) of mixed Douglas-fir/paper birch stands regenerated after fire or clearcutting in southern interior British Columbia, Canada. Chromatography paper treated with a mixture of substrate and colorimetric reagent was applied directly to vertical soil surfaces, accessed through root windows. Stands older than 61 years had both the highest level of in situ phosphatase activity and larger, more intense regions of activity. Bray-extractable phosphorus was negatively related to imprintable phosphatase activity. We compared the changes in phosphatase activity with differences in the ectomycorrhizal fungal (EMF) community that had been documented previously in the same stands. Of 84 ectomycorrhizal fungi found on roots in at least two of the stand-age classes, eight taxa were positively correlated and one taxon (Rhizopogon vinicolor/vesiculosus) negatively correlated with high phosphatase activity. The frequency of three taxa appeared to be positively correlated with larger areas of activity on the soil profiles. By using an imprinting approach, this study was able to demonstrate, for the first time, that in situ phosphatase activity and physical attributes of that activity (i.e., number, size, and relative rates of each area of activity) were related to concentrations of soil nutrients and with the frequency of individual ectomycorrhizal fungi. (C) 2013 Elsevier Ltd. All rights reserved.</t>
  </si>
  <si>
    <t>HARVEY, AF; LARSEN, MJ; JURGENSEN, MF</t>
  </si>
  <si>
    <t>PARTIAL CUT HARVESTING AND ECTOMYCORRHIZAE - EARLY EFFECTS IN DOUGLAS-FIR-LARCH FORESTS OF WESTERN MONTANA</t>
  </si>
  <si>
    <t>CANADIAN JOURNAL OF FOREST RESEARCH</t>
  </si>
  <si>
    <t>436</t>
  </si>
  <si>
    <t>440</t>
  </si>
  <si>
    <t>10.1139/x80-071</t>
  </si>
  <si>
    <t>Numbers of ectomycorrhizae were assessed 3 yr after harvesting approximately 50% of the overstory in 2 Douglas-fir-larch stands in western Montana, one was subjected to intensive residue removal, the other broadcast burned 1 yr after harvest. Numbers of active ectomycorrhizal root tips were significantly reduced in the broadcast burned stand compared to either the intensively utilized stand or to an adjacent, undisturbed stand. Apparently on difficult-to-regenerate sites, particularly where soil organic matter is low, it may be advantageous to dispose of slash created in partial cuts by means other than burning.</t>
  </si>
  <si>
    <t>Nagati, Melissande; Roy, Melanie; DesRochers, Annie; Bergeron, Yves; Gardes, Monique</t>
  </si>
  <si>
    <t>Importance of Soil, Stand, and Mycorrhizal Fungi in&lt;i&gt;Abies&lt;/i&gt;&lt;i&gt;balsamea&lt;/i&gt;Establishment in the Boreal Forest</t>
  </si>
  <si>
    <t>FORESTS</t>
  </si>
  <si>
    <t>10.3390/f11080815</t>
  </si>
  <si>
    <t>Research highlights: To understand differences in the establishment of balsam fir regeneration observed in the boreal forest, we examined how soil layer and microorganisms explained differences in growth and mycorrhization in three different stand types. Our experiment revealed positive and negative effects on growth of seedlings, and highlights the importance of biotic interactions in balsam fir establishment.Background and Objectives: In a context of climate change, understanding tree migration can be examined through changes in tree regeneration. At the ecotone between mixed and conifer boreal forest, regeneration of balsam fir northward is of particular interest because it thrives better under aspen-dominated stands as compared to adjacent spruce-dominated stands. As the understorey differs between these stands, with more Ericaceae under spruce and different ectomycorrhizal fungal communities in organic and mineral horizons, we hypothesized that biotic factors could explain differences in balsam fir establishment.Materials and Methods: Using a growth chamber experiment, we tested if differences in soil layers and modification of soil fungal communities would affect germination, mycorrhization, and growth of balsam fir seedlings in three different stand vegetation. We compared 12 treatments and followed 120 seedlings over three growth seasons.Results: We found similar survival in soils from aspen- and spruce-dominated stands, and a greater biomass on organic layers. In addition to this, a greater mycorrhization rate was found in aspen soils but improved germination in spruce soils. The presence of Ericaceae in spruce soils was associated with lower mycorrhization but did not affect other traits. Sterilization and therefore microorganisms affected mainly the number of ectomycorrhizae and the investment in root biomass. Finally, mycorrhization and biomass were correlated, but independent from N nutrition measured in needles.Conclusions: Our results highlighted the positive effects of organic soil layers and of mycorrhization on biomass, and showed that mycorrhization was increased under aspen as compared to other stand types. Our experiment also revealed positive effects of spruce soil on fir germination and showed that fir was able to grow and survive in all conditions. Our study suggests that fir establishment is affected by belowground multi-species interactions, and therefore highlights that biotic interactions shall be taken into account to understand and predict future tree migrations in the boreal forest.</t>
  </si>
  <si>
    <t>Jonsson, L; Dahlberg, A; Nilsson, MC; Zackrisson, O; Kåren, O</t>
  </si>
  <si>
    <t>Ectomycorrhizal fungal communities in late-successional Swedish boreal forests, and their composition following wildfire</t>
  </si>
  <si>
    <t>MOLECULAR ECOLOGY</t>
  </si>
  <si>
    <t>205</t>
  </si>
  <si>
    <t>215</t>
  </si>
  <si>
    <t>10.1046/j.1365-294x.1999.00553.x</t>
  </si>
  <si>
    <t>This study was conducted to evaluate the effects of wildfires on ectomycorrhizal (EM) fungal communities in Scots pine (Pinus sylvestris) stands. Below- and above-ground communities were analysed in terms of species richness and evenness by examining mycorrhizas and sporocarps in a chronosequence of burned stands in comparison with adjacent unburned late-successional stands. The internal transcribed spacer (ITS)-region (rDNA) of mycobionts from single mycorrhizas was digested with three restriction enzymes and compared with an ITS-restriction fragment length polymorphism (RFLP) reference database of EM sporocarps. Spatial variation seemed to be more prominent than the effects of fire on the EM fungal species composition. Most of the common species tended to be found in all sites, suggesting that EM fungal communities show a high degree of continuity following low-intensity wildfires. Species richness was not affected by fire, whereas the evenness of species distributions of mycorrhizas was lower in the burned stands. The diversity of EM fungi was relatively high considering that there were only three EM tree species present in the stands. In total, 135 EM taxa were identified on the basis of their RFLP patterns; 66 species were recorded as sporocarps, but only 11 of these were also recorded as mycorrhizas. The species composition of the below-ground community of EM fungi did not reflect that of the sporocarps produced. EM fungal species present in our ITS-RFLP reference database accounted for 54-99% of the total sporocarp production in the stands, but only 0-32% of the mycorrhizal abundance.</t>
  </si>
  <si>
    <t>Purchase</t>
  </si>
  <si>
    <t>Smith, JE; McKay, D; Brenner, G; McIver, J; Spatafora, JW</t>
  </si>
  <si>
    <t>Early impacts of forest restoration treatments on the ectomycorrhizal fungal community and fine root biomass in a mixed conifer forest</t>
  </si>
  <si>
    <t>JOURNAL OF APPLIED ECOLOGY</t>
  </si>
  <si>
    <t>526</t>
  </si>
  <si>
    <t>535</t>
  </si>
  <si>
    <t>10.1111/j.1365-2664.2005.01047.x</t>
  </si>
  <si>
    <t>1. The obligate symbiosis formed between ectomycorrhizal fungi (EMF) and roots of tree species in the Pinaceae influences nutrient uptake and surrounding soil structure. Understanding how EMF respond to prescribed fire and thinning will assist forest managers in selecting fuel-reducing restoration treatments that maintain critical soil processes and site productivity.2. The response of EMF species richness, live fine root biomass and duff levels to various forms and combinations of thinning and burning was investigated in mixed ponderosa pine and Douglas fir stands in the Blue Mountains of Oregon. The below-ground community composition and structure of EMF at the site was characterized using molecular methods.3. The EMF community consisted of a large number of infrequently detected species. The distribution of a few abundant species (Cenococcum sp., Piloderma sp., Rhizopogon salebrosus and Wilcoxina rehmii) in a majority of the treatments both before and after treatment application demonstrates that some EMF species survive or rapidly re-establish after disturbance.4. EMF species richness, live root biomass and duff levels were reduced significantly by prescribed fire treatments compared to the non-burned treatments.5. Synthesis and applications. These results indicate that prescribed fire results in a short-term reduction in EMF species richness and live root biomass and may influence whether managers can achieve the desired future condition of stands with large-tree retention and low fuel loads. EMF mortality and complete duff reduction after fire have been implicated with poor tree survival and slow stand recovery in forest ecosystems world-wide. The results of this study, along with the recovery potential of a site, and the impending risk of stand-replacing wildfire in stands differing in structure from historic conditions, bear consideration when reintroducing fire.</t>
  </si>
  <si>
    <t>Buscardo, Erika; Rodriguez-Echeverria, Susana; Barrico, Lurdes; Garcia, Miguel A.; Freitas, Helena; Martin, Maria P.; De Angelis, Paolo; Muller, Ludo A. H.</t>
  </si>
  <si>
    <t>Is the potential for the formation of common mycorrhizal networks influenced by fire frequency?</t>
  </si>
  <si>
    <t>136</t>
  </si>
  <si>
    <t>144</t>
  </si>
  <si>
    <t>10.1016/j.soilbio.2011.12.007</t>
  </si>
  <si>
    <t>We investigated the influence of fire return interval length on the ectomycorrhizal (ECM) community of a Pinus pinaster dominated forest and on the potential for common ECM networks (CMNs) between understorey shrubs and P. pinaster. ECM root tips were sampled from five shrub species belonging to the genera Arbutus, Cistus and Halimium and from maritime pine in four areas of central Portugal characterized by differing fire return interval length. Fungal symbionts were identified using molecular techniques with direct sequencing of the nrDNA ITS region.Twenty nine ECM species and sixteen non-ECM root inhabitants were identified. Six years after wildfire disturbance ECM species richness did not differ significantly between unburnt and burnt areas. Nine ECM fungal species were common to pine and shrubs and both their frequency of occurrence and proportion were significantly higher in the unburnt area when compared with both areas subjected to fire.Our study revealed that while the potential for CMNs between understorey shrub species and pine seemed to be maintained in the long fire return interval area, recurrent fires significantly reduced the frequency of occurrence and the proportion of common symbiont species. High fire frequencies could therefore delay the process of re-colonization by pine seedlings limiting their dispersal in new settings. (C) 2011 Elsevier Ltd. All rights reserved.</t>
  </si>
  <si>
    <t>Salo, K.</t>
  </si>
  <si>
    <t>The structure of macrofungal assemblages in boreal forests, with particular reference to the effect of fire on Basidiomycota and Ascomycota.</t>
  </si>
  <si>
    <t>Dissertationes Forestales</t>
  </si>
  <si>
    <t>33 pp.</t>
  </si>
  <si>
    <t>The majority of forests in Finland have been subject to intensive clear-cutting and thinning, and peatlands have been extensively ditched and fertilized. Such changes have modified forest environments but the effects of these changes on macrofungi are still unclear. This thesis examines macrofungal communities in boreal forests and peatlands, with particular focus on the effects of wildfire, prescribed burning and tree retention (timber harvest intensity) on ectomycorrhizal (ECM) and saprotrophic (SM) macrofungi (Basidiomycota and Ascomycota). The thesis is based on empirical field data, which includes over 550 species and a monitoring period of up to 12 years. Fertile forests had more diverse ECM and SM assemblages than the dry and semi-dry forests. Non-ditched pine bogs had less macrofungi than drained spruce mires, pine mires and pine bogs. Rare and Red-listed agarics and aphyllophoroid wood-associated macrofungal species were rare in managed forests. In general, wildfire increased the richness and sporocarp production of several SM species and also modified assemblage composition. ECM diversity was greatest in the mild and intermediate fire sites where it was three-fold higher than the high-severity fire sites. The succession of fire-associated pyrophilous species in burned humus was rapid. Prescribed burning and harvest intensity had a major influence on macrofungal populations. However, these effects were strongly dependent on the functional group. Clear-cut areas had an overall adverse effect on macrofungi; ECM species in particular disappeared after clear-cutting. Several SM species occurred exclusively on burned areas, and retention areas had a slight positive effect on macrofungi, including ECM species. My results show that macrofungal assemblages are diverse and vary systematically in forest and peatland site types. Intensive forest management has mostly negative effects on macrofungi, including edible mushroom species. Prescribed fire in the forest landscape and a reduction in harvest intensity can be used to maintain fungal assemblage diversity in managed forests.</t>
  </si>
  <si>
    <t>Vasutova, Martina; Edwards-Jonasova, Magda; Vesela, Petra; Effenberkova, Lenka; Fleischer, Peter; Cudlin, Pavel</t>
  </si>
  <si>
    <t>Management regime is the most important factor influencing ectomycorrhizal species community in Norway spruce forests after windthrow</t>
  </si>
  <si>
    <t>221</t>
  </si>
  <si>
    <t>233</t>
  </si>
  <si>
    <t>10.1007/s00572-018-0820-5</t>
  </si>
  <si>
    <t>Ectomycorrhizal (ECM) fungi, as symbionts of many tree species in temperate forests, are thought to play an important role in forest regeneration processes after large disturbances. Their reaction to different disturbance and management regimes was studied in spruce forests (Lariceto-Piceetum) 10 years after a severe windthrow in the Tatra National Park (Slovak Republic). ECM community structure was compared between different "management typesaEuro(3)-cleared area (EXT), area affected by wildfire (FIRE), uncleared area left for natural development (NEX), and mature forest as a control (REF). Based on Illumina sequencing of soil samples, we determined that the percentage of sequences assigned to ECM fungi decreased with increasing disturbance and management intensity (REF -&gt; NEX -&gt; EXT -&gt; FIRE). Similarly, the total number of ECM species per each of ten sampling points per plot (100 ha) differed between managed (EXT-11 species, FIRE-9) and unmanaged (NEX-16, REF-14) treatments. On the other hand, the percentage of sequences belonging to ericoid mycorrhizal fungi increased. Management type significantly influenced the composition of the ECM community, while vegetation and soil characteristics explained less data variation. The ECM species assemblage of the unmanaged site (NEX) was the most similar to the mature forest, while that of the burnt site was the most different. Thelephora terrestris dominated in all treatments affected by windthrow, accompanied by Tylospora fibrillosa (NEX) and Tylospora asterophora (EXT and FIRE). Management regime was also the most important factor affecting ECM species composition on the roots of spruce seedlings assessed by Sanger sequencing.</t>
  </si>
  <si>
    <t>Smith, Gabriel Reuben; Peay, Kabir G.</t>
  </si>
  <si>
    <t>Woodland wildfire enables fungal colonization of encroaching Douglas-fir</t>
  </si>
  <si>
    <t>FUNCTIONAL ECOLOGY</t>
  </si>
  <si>
    <t>2181</t>
  </si>
  <si>
    <t>2193</t>
  </si>
  <si>
    <t>10.1111/1365-2435.14382</t>
  </si>
  <si>
    <t>Self-reinforcing differences in fire frequency help closed-canopy forests, which resist fire, and open woodlands, which naturally burn often, to co-occur stably at landscape scales. Forest tree seedlings, which could otherwise encroach and overgrow woodlands, are killed by regular fire, yet fire has other effects that may also influence these feedbacks. In particular, many forest trees require symbiotic ectomycorrhizal fungi in order to establish. By restructuring soil fungal communities, fire might affect the availability of symbionts or the potential for symbiont sharing between encroaching trees and woodland vegetation.To investigate this possibility, we performed a soil bioassay experiment using inoculum from burned and unburned oak woodlands and Douglas-fir forests. We examined how fire, ecosystem type, and neighboring heterospecific seedlings affect fungal root community assembly of Douglas-firs and oaks. We asked whether heterospecific seedlings facilitated fungal colonization of seedling roots in non-native soil, and if so, whether fire influenced this interaction.External fungal colonization of oak roots was more influenced by fire and ecosystem type than by the presence of a Douglas-fir, and oaks increased the likelihood that Douglas-fir roots would be colonized by fungi in oak woodland soil. Yet, fire increased colonization of Douglas-fir in oak soil, diminishing the otherwise crucial role played by oak facilitation. Fire also strengthened the positive effect of Douglas-firs on oak root-associated fungal diversity in Douglas-fir forest soil.Prior work shows that fire supports woodland ecosystems by stemming recruitment of encroaching seedlings. Here, we find evidence that it may contrastingly reduce fungal limitation of invasive seedling growth and establishment, otherwise relieved only by facilitation. Future work can investigate how these opposing effects might contribute to the net impact of changes in fire regime on landcover stability.</t>
  </si>
  <si>
    <t>Lazaruk, LW; Kernaghan, G; Macdonald, SE; Khasa, D</t>
  </si>
  <si>
    <t>Effects of partial cutting on the ectomycorrhizae of &lt;i&gt;Picea glauca&lt;/i&gt; forests in northwestern Alberta</t>
  </si>
  <si>
    <t>1442</t>
  </si>
  <si>
    <t>1454</t>
  </si>
  <si>
    <t>10.1139/X05-062</t>
  </si>
  <si>
    <t>This study assessed the impact of various harvesting practices (including those designed to emulate natural disturbances) on ectomycorrhizae (ECM) associated with white spruce (Picea glauca (Moench) Voss) in northwestern Alberta, Canada. Treatments included clearcuts, partial cuts (dispersed green-tree retention with 20%, 50%, and 75% residual live trees, and aggregated green-tree retention), unharvested control sites, and a burned stand. The percentage of active white spruce root tips and ECM richness and diversity, as observed in soil cores collected throughout the study site, all decreased with increasing disturbance intensity. Effects were particularly pronounced in clearcuts, machine corridors used for access by harvesting equipment in the dispersed green-tree retention stands, and in burned areas. Reductions in ECM biodiversity could be attributed to the sensitivity of late-stage ectomycorrhizae (e.g., Cortinarius spp., Lactarius spp., and Russula spp.) to soil disturbances and changes in microclimate associated with harvesting or burning. Areas of dispersed and aggregated green-tree retention were not dramatically different than unharvested forest in terms of root tip density and ECM richness, diversity, and composition. Harvesting practices that retain a percentage of residual live trees, either dispersed throughout the cutting unit or in aggregated patches, could be an effective means of maintaining ectomycorrhizal biodiversity at the stand level.</t>
  </si>
  <si>
    <t>BUCHHOLZ, K; GALLAGHER, M</t>
  </si>
  <si>
    <t>INITIAL ECTOMYCORRHIZAL DENSITY RESPONSE TO WILDFIRE IN THE NEW-JERSEY PINE BARREN PLAINS</t>
  </si>
  <si>
    <t>BULLETIN OF THE TORREY BOTANICAL CLUB</t>
  </si>
  <si>
    <t>396</t>
  </si>
  <si>
    <t>400</t>
  </si>
  <si>
    <t>10.2307/2995986</t>
  </si>
  <si>
    <t>The New Jersey Pine Barren Plains are 3 distinct, dwarfed, upland pine-oak forests characterized by very high tree population and sprouts/genet densities and canopy height typically &lt; 3 m. Recent investigations suggest that nutrients may be more limiting for growth in the Plains than in non-dwarfed upland Pine Barrens pine-oak forests. A long-term investigation of ectomycorrhizal density responses to fire in recently-burned Plains areas was to determine fire effects on ectomycorrhizal communities and therefore on nutrient dynamics. Following a short lag period, ectomycorrhizal hyphal densities decrease following fire in the Plains in contrast to the expected increase.</t>
  </si>
  <si>
    <t>Martinez de Aragon, Juan; Fischer, Christine; Antonio Bonet, Jose; Olivera, Antoni; Oliach, Daniel; Colinas, Carlos</t>
  </si>
  <si>
    <t>Economically profitable post fire restoration with black truffle (&lt;i&gt;Tuber melanosporum&lt;/i&gt;) producing plantations</t>
  </si>
  <si>
    <t>NEW FORESTS</t>
  </si>
  <si>
    <t>615</t>
  </si>
  <si>
    <t>630</t>
  </si>
  <si>
    <t>10.1007/s11056-012-9316-x</t>
  </si>
  <si>
    <t>Cultivating black truffle (Tuber melanosporum Vittad.) is highly profitable in sites suitable for its development. Land use history is an important factor when choosing suitable habitat, and lands with non-ectomycorrhizal host species are recommended when introducing T. melanosporum-inoculated seedlings in order to reduce competition from native, soil-borne ectomycorrhizal (ECM) inoculum. Nearly every year Mediterranean wildfires cause the loss of forested lands where soil and climatic characteristics are suitable for truffle cultivation. Introducing T. melanosporum-inoculated seedlings in these sites could promote reforestation with a native ECM fungus and, in addition, may provide economic incentives. We tested the viability of burnt forest lands for truffle cultivation by introducing T. melanosporum-inoculated Quercus ilex seedlings in burnt forest sites with and without resprouting forest species which act as repositories for native ECM fungi. We also evaluated the role of the ECM host plants, which resprout after a forest fire, in the maintenance and dynamic processes of the ECM fungal community. The study followed a factorial design with two levels: (1) T. melanosporum-inoculated and non-inoculated Q. ilex seedlings and (2) presence and absence of ECM host plants resprouting after the fire. We established 10 experimental plots with 360 holm oaks. After four and a half years, the truffle-inoculated holm oaks maintained 36 % of their root tips colonized with T. melanosporum, and 10 years after plantations, 26.2 % of the surviving inoculated holm oaks displayed a "truffle burn" area. A greater ECM morphotype richness was associated with seedlings planted in plots with the presence of ECM host plants, whereas the T. melanosporum mycorrhizal ratio was constant. These results suggest that reforestation with T. melanosporum-inoculated seedlings can be successful following forest fires and highlights the competitiveness of this fungus within the ECM community in these soils.</t>
  </si>
  <si>
    <t>Salo, Kauko; Kouki, Jari</t>
  </si>
  <si>
    <t>Severity of forest wildfire had a major influence on early successional ectomycorrhizal macrofungi assemblages, including edible mushrooms</t>
  </si>
  <si>
    <t>70</t>
  </si>
  <si>
    <t>84</t>
  </si>
  <si>
    <t>10.1016/j.foreco.2017.12.044</t>
  </si>
  <si>
    <t>Wildfires are likely to have a major influence on below-ground patterns and processes in forests but these effects and their consequences to forest succession are generally poorly known. Ectomycorrhizal macrofungi (ECM) is a key below-ground ecological group, mainly because of their functional relationships to trees. During severe fire disturbances, below-ground mycelia of ECM may be negatively affected. This study analyses long-term effects of a wildfire on ECM assemblages.Using data from 12-years post-fire succession of ECM, we investigated the long-term fire effects on ECM, focusing on the effects of spatial variability in fire severity. The wildfire occurred in 1992 in eastern Finland, and covered 143 ha. We established sampling plots to four types of sites within the burned area, based on the observed fire severity, and also on unburned control sites. ECM assemblages were surveyed every autumn during the following 12 years period. A total of 133 ECM species and 14 469 ECM sporocarps were sampled.Fire severity was closely associated with the post-fire ECM richness and assemblage patterns. The highest overall ECM species richness was in the low severity surface fire area, 87 species in total, followed by the intermediate ground fire area, 72 species; they both included post-disturbance ECM pioneer species but also species that are usually associated with old-growth forests. The high-severity crown fire area comprised only 15 ECM species and the high-severity treeless ground fire area 23 species. Assemblage composition (based on NMDS) was different in the two most severely burned areas, in comparison to less severely burned areas and controls.We conclude that fire affects ECM assemblages and that the severity of a wildfire is connected to post-fire patterns of ECM richness and composition. The results suggest a functional link between wildfire and post-fire tree growth, mediated through the effects of fire on ECM. These connections may be important in maintaining small-scale, within-stand spatial heterogeneity in the natural post-disturbance forests.</t>
  </si>
  <si>
    <t>Buscardo, Erika; Freitas, Helena; Pereira, Joao Santos; De Angelis, Paolo</t>
  </si>
  <si>
    <t>Common environmental factors explain both ectomycorrhizal species diversity and pine regeneration variability in a post-fire Mediterranean forest</t>
  </si>
  <si>
    <t>549</t>
  </si>
  <si>
    <t>558</t>
  </si>
  <si>
    <t>10.1007/s00572-011-0363-5</t>
  </si>
  <si>
    <t>Natural seedling regeneration and establishment after stand replacing wildfires is influenced by a series of environmental and biological constraints. In this study, we characterized the diversity and structure of the ectomycorrhizal (ECM) fungal community associated with post-fire naturally regenerated maritime pine saplings, and individuate the environmental factors responsible for fungal species distribution. We also identify the main environmental factors responsible for maritime pine regeneration variability and assessed the relation between saplings performance and ECM fungal diversity indices. Fungal species were identified by direct sequencing of internal transcribed spacer regions. Five years after the disturbance event, a total of 30 taxa colonized the pine saplings. The ECM fungal community was dominated by ruderal species of the genus Rhizopogon (present in almost half of the samples). Almost one third of the identified ECM fungal species belonged to the family Thelephoraceae. Typical k-selected species like Amanita pantherina, Boletus aestivalis, Lactarius chrysorrheus, and Russula densifolia were found on pine saplings collected in proximity of unburnt pine trees, in correspondence with low erosion extents. Pine regeneration varied throughout the study areas and was enhanced at higher elevations, in correspondence with moderate slopes, shallower soils, and a reduced cover of ericaceous shrubs and bare ground. These conditions were found in close proximity to patches of pine trees that survived the disturbance event and were previously characterized by a higher pre-fire pine biomass. Even though no correlations were found between saplings performance and ECM fungal diversity indices, common environmental factors (i.e., ericaceous shrub cover, extent of erosion, slope, and soil depth) were responsible for shaping the ECM fungal distribution and for describing most of the explained regeneration variability.</t>
  </si>
  <si>
    <t>AMARANTHUS, MP; PERRY, DA</t>
  </si>
  <si>
    <t>EFFECT OF SOIL TRANSFER ON ECTOMYCORRHIZA FORMATION AND THE SURVIVAL AND GROWTH OF CONIFER SEEDLINGS ON OLD, NONREFORESTED CLEAR-CUTS</t>
  </si>
  <si>
    <t>CANADIAN JOURNAL OF FOREST RESEARCH-REVUE CANADIENNE DE RECHERCHE FORESTIERE</t>
  </si>
  <si>
    <t>944</t>
  </si>
  <si>
    <t>950</t>
  </si>
  <si>
    <t>10.1139/x87-147</t>
  </si>
  <si>
    <t>Beals, Kendall K.; Scearce, Alex E.; Swystun, Alex T.; Schweitzer, Jennifer A.</t>
  </si>
  <si>
    <t>Belowground mechanisms for oak regeneration: Interactions among fire, soil microbes, and plant community alter oak seedling growth</t>
  </si>
  <si>
    <t>10.1016/j.foreco.2021.119774</t>
  </si>
  <si>
    <t>It has been firmly established that oak regeneration benefits from prescribed burning and reduced competition with fire-intolerant tree species. Despite recommendations for research on the role of the microsite environment for oak regeneration, very little is known about the interacting effects of fire, soil, and surrounding plant community on oak establishment. We collected undisturbed and burned soil in the aftermath of a wildfire in Great Smoky Mountains National Park and used amplicon sequencing to identify differences in composition of bacterial and fungal communities between unburned and burned soils. To assess the effects of plant community, fire-induced shifts in soil microbial communities, and their interaction we conducted a glasshouse experiment and grew Quercus velutina seedlings in factorial treatments of plant neighbor (oak vs. pine seedling) and soil burn status (unburned vs. burned soil). Fire reduced the diversity of plant pathogenic and saprotrophic fungi and reduced the relative abundance of plant pathogenic fungi. Fire did not affect soil bacterial communities. Shifts in soil fungal community composition enhanced oak seedling root growth, but the effect of the soil microbiome was mediated by plant neighbor interactions. Seedling root growth was negatively correlated with diversity of pathogenic fungi. Root growth was enhanced in burned soil relative to unburned soil, but only when growing with a pine seedling neighbor as opposed to an oak seedling neighbor. Results from this study show that interactions between soil microbes and nearby plants can in part mediate oak seedling growth. As such, nuanced decisions that consider the ecological interactions of the microsite environment are needed to achieve desired outcomes for oak regeneration.</t>
  </si>
  <si>
    <t>Policelli, Nahuel; Horton, Thomas R.; Hudon, Aimee T.; Patterson, Taylor R.; Bhatnagar, Jennifer M.</t>
  </si>
  <si>
    <t>Back to Roots: The Role of Ectomycorrhizal Fungi in Boreal and Temperate Forest Restoration</t>
  </si>
  <si>
    <t>10.3389/ffgc.2020.00097</t>
  </si>
  <si>
    <t>Temperate and boreal forests are increasingly suffering from anthropic degradation. Ectomycorrhizal fungi (EMF) are symbionts with most temperate and boreal forest trees, providing their hosts with soil nutrients and water in exchange for plant carbon. This group of fungi is involved in woody plants' survival and growth and helps plants tolerate harsh environmental conditions. Here, we describe the current understanding of how EMF can benefit temperate and boreal forest restoration projects. We review current evidence on promising restoration plans that actively use EMF in sites contaminated with heavy metals, affected by soil erosion, and degraded due to clearcut logging and wildfire. We discuss the potential role of this group of fungi for restoring sites invaded by non-native plant species. Additionally, we explore limitations, knowledge gaps, and possible undesired outcomes of the use of EMF in forest restoration, and we suggest how to further incorporate this fungal group into forest management. We conclude that considering EMF-host interactions could improve the chances of success of future restoration programs in boreal and temperate forests.</t>
  </si>
  <si>
    <t>MAYBE</t>
  </si>
  <si>
    <t>Review</t>
  </si>
  <si>
    <t>Packard, Erica E.; Durall, Daniel M.; Jones, Melanie D.</t>
  </si>
  <si>
    <t>Successional changes in fungal communities occur a few weeks following wildfire in a mixed Douglas-fir-ponderosa pine forest</t>
  </si>
  <si>
    <t>10.1016/j.funeco.2023.101246</t>
  </si>
  <si>
    <t>With wildfires reaching unprecedented levels of severity, size and frequency, their impact on soil microbial communities is an important concern. Commencing just weeks following a wildfire in a Douglas-fir-Ponderosa pine forest, we collected surface and mineral soil samples four times over 10 months from four severity levels to better understand the effect of wildfire severity on fungi and their guilds. At medium severity and above, there was a decrease in fungal diversity and a shift in community composition in both layers, while the fungal community from soils burnt by low severity fires remained similar to unburnt soils. Although the richness of putative saprotrophic and pathotrophic fungi in burnt microplots returned to levels comparable to that in the unburnt microplots within weeks of burning, the richness of symbiotrophic, including ectomycorrhizal fungi in burnt plots, did not. The DNA of many putative pyrophilous fungi peaked in estimated abundance within weeks after the fire, even though fruiting was not observed until the following spring. Index descriptors: pyrophilous fungi; wildfire severity; ITS; metabarcoding; Pseudotsuga menziesii var. glauca; fungal community; disturbance; succession.</t>
  </si>
  <si>
    <t>Cowan, Ariel D.; Smith, Jane E.; Fitzgerald, Stephen A.</t>
  </si>
  <si>
    <t>Recovering lost ground: Effects of soil burn intensity on nutrients and ectomycorrhiza communities of ponderosa pine seedlings</t>
  </si>
  <si>
    <t>160</t>
  </si>
  <si>
    <t>172</t>
  </si>
  <si>
    <t>10.1016/j.foreco.2016.07.030</t>
  </si>
  <si>
    <t>Fuel accumulation and climate shifts are predicted to increase the frequency of high-severity fires in ponderosa pine (Pinus ponderosa) forests of central Oregon. The combustion of fuels containing large downed wood can result in intense soil heating, alteration of soil properties, and mortality of microbes. Previous studies show ectomycorrhizal fungi (EMF) improve ponderosa seedling establishment after fire but did not compare EMF communities at different levels of soil burn intensity in a field setting. For this study, soil burn intensity effects on nutrients and EMF communities were compared at Pringle Falls Experimental Forest, La Pine, Oregon. Twelve replicate sites were used, each with three treatments: high intensity soil burn from large downed wood combustion (HB), low intensity soil burn (LB), and unburned control (UB). Temperatures lethal to fungi were detected at 0-cm, 5-cm, and 10-cm depths in HB soils and 0-cm depth in LB soils. Ponderosa pine seedlings planted post-burn were harvested after four months for EMF root tip analysis. We found: (a) greater differences in soil properties and nutrients in HB soils compared to LB and UB soils; (b) no differences in EMF richness and diversity among treatments; (c) weak differences in community composition based on relative abundance between UB and either burn treatments; and (d) EMF composition in HB and LB treatments correlated with soil carbon and organic matter contents. These results support the hypothesis that the combustion of large downed wood can alter the soil environment directly beneath it. However, an EMF community similar to LB soils recolonized HB soils within one growing season. Community results from both burn treatments suggest an increase in patchy spatial distribution of EMF. We hypothesize that quick initiation of EMF recolonization is possible depending on the size of high intensity burn patches, proximity of low and unburned soil, and survival of nearby hosts. The importance of incorporating mixed fire effects in fuel management practices will help to provide EMF refugia for ponderosa pine forest regeneration. (C) Published by Elsevier B.V.</t>
  </si>
  <si>
    <t>LeDuc, Stephen D.; Lilleskov, Erik A.; Horton, Thomas R.; Rothstein, David E.</t>
  </si>
  <si>
    <t>Ectomycorrhizal fungal succession coincides with shifts in organic nitrogen availability and canopy closure in post-wildfire jack pine forests</t>
  </si>
  <si>
    <t>OECOLOGIA</t>
  </si>
  <si>
    <t>257</t>
  </si>
  <si>
    <t>269</t>
  </si>
  <si>
    <t>10.1007/s00442-012-2471-0</t>
  </si>
  <si>
    <t>Successional changes in belowground ectomycorrhizal fungal (EMF) communities have been observed with increasing forest stand age; however, mechanisms behind this change remain unclear. It has been hypothesized that declines of inorganic nitrogen (N) and increases of organic N influence changes in EMF taxa over forest development. In a post-wildfire chronosequence of six jack pine (Pinus banksiana) stands ranging in age from 5 to 56 years, we investigated EMF community composition and compared shifts in taxa with detailed soluble inorganic and organic N data. Taxa were identified by internal transcribed spacer rDNA sequencing, and changes in community composition evaluated with non-metric multi-dimensional scaling (NMDS). Dissimilarities in the community data were tested for correlations with N variables. We observed a successional shift along NMDS axis 1 from such taxa as Suillus brevipes and Thelephora terrestris in sites age 5 and 11 to species of Cortinarius and Russula, among others, in the four older sites. This change was positively correlated with soluble organic N (SON) (r (2) = 0.902, P = 0.033) and free amino-acid N (r (2) = 0.945, P = 0.021), but not inorganic N. Overall, our results show a successional shift of EMF communities occurring between stand initiation and canopy closure without a change in species of the dominant plant-host, and associated with SON and free amino-acid N in soil. It is uncertain whether EMF taxa are responding to these organic N forms directly, affecting their availability, or are ultimately responding to changes in other site variables, such as belowground productivity.</t>
  </si>
  <si>
    <t>Rodriguez-Ramos, Jean C.; Cale, Jonathan A.; Cahill, James F., Jr.; Erbilgin, Nadir; Karst, Justine</t>
  </si>
  <si>
    <t>Soil transfers from intact to disturbed boreal forests neither alter ectomycorrhizal fungal communities nor improve pine seedling performance</t>
  </si>
  <si>
    <t>2430</t>
  </si>
  <si>
    <t>2439</t>
  </si>
  <si>
    <t>10.1111/1365-2664.14245</t>
  </si>
  <si>
    <t>Forest disturbances can alter mycorrhizal fungal communities with consequences for subsequent plant establishment and growth. One possible mitigation strategy to promote forest recovery following disturbances is inoculation with soil from late-successional forests. However, whether these soil transfers change the composition of resident fungal communities and how seedling growth responds to such transfers is unknown. To test whether soil transfers can mitigate disturbance-mediated impacts on ectomycorrhizal fungal (EMF) communities, we transferred soils containing fungal inoculum collected from conspecific late-successional forests into stands disturbed by wildfire, mountain pine beetle outbreak, clear-cut logging or salvage logging. Afterward, lodgepole pine seeds were sown to measure germination, establishment and growth of seedlings, and to characterize root-associated and soil EMF communities by sequencing the ITS1 rDNA region. Despite evidence that soil inocula contained viable EMF communities, transfers did not impact the root-associated or soil EMF community composition, or seed germination, seedling establishment and growth. Resident EMF community composition remained unchanged upon transfers of fungi from late-stage successional forests, and disturbance type singularly explained the EMF community composition associated with roots and soils. Ectomycorrhizal fungal taxa typically associated with mature pine forests were particularly abundant on roots of seedlings growing in plots impacted by beetle outbreak, while 'early-stage' EMF taxa were associated with seedlings growing in wildfire and logging disturbances. Synthesis and applications. Following disturbances, soil and root-associated EMF exhibit high functional redundancy, as seedling performance did not vary with differences in EMF community composition across disturbance types. Our findings suggest that soil transfers are unlikely to be an effective strategy in these stands and may be better targeted to highly degraded forests. The presence and abundance of EMF in disturbed forests should be assessed before committing to soil transfers as part of restoration.</t>
  </si>
  <si>
    <t>Hudon, Aimee T.; Horton, Thomas R.</t>
  </si>
  <si>
    <t>A Survey of Fungi and Fungus- like Organisms at the Albany Pine Bush Preserve, a Globally Rare Inland Pine Barren System</t>
  </si>
  <si>
    <t>NORTHEASTERN NATURALIST</t>
  </si>
  <si>
    <t>72</t>
  </si>
  <si>
    <t>91</t>
  </si>
  <si>
    <t>10.1656/045.031.0107</t>
  </si>
  <si>
    <t>The Albany Pine Bush Preserve (APBP) in east-central New York is a fire-managed, globally rare inland pine barrens ecosystem supporting numerous rare or declining species. The open landscape of the APBP is comprised of Pinus rigida (Pitch Pine) with an understory dominated by Quercus ilicifolia (Scrub Oak). Urban development and fire suppression have negatively impacted fire-adapted species. Prescribed fires were introduced in 1990 to restore the native plant community. Here we present the first thorough fungal survey at the APBP. We identified samples by morphology and DNA barcoding. We collected 117 species representing genera from 52 non-lichenized fungi, 10 lichens, and 2 Myxogastria ( formerly Myxomycetes).</t>
  </si>
  <si>
    <t>Adamczyk, Jolanta J.; Kruk, Andrzej; Penczak, Tadeusz; Minter, David</t>
  </si>
  <si>
    <t>Factors shaping communities of pyrophilous macrofungi in microhabitats destroyed by illegal campfires</t>
  </si>
  <si>
    <t>995</t>
  </si>
  <si>
    <t>1002</t>
  </si>
  <si>
    <t>10.1016/j.funbio.2012.07.003</t>
  </si>
  <si>
    <t>Pyrophilous macrofungi (PM) are a narrowly specialised group appearing exclusively in plant communities recently destroyed by fire. Their significance has hitherto been studied only for vegetation destroyed over large areas, while in small areas of fire, i.e., microhabitats they are viewed as independent components of the community linked only to the substratum. In the present work, the following hypotheses were tested: (1) species structures of PM in microhabitats depend on the type of plant community, (2) PM form communities on a small scale which are similar in structure and function to analogous large scale communities. We studied 20 surfaces destroyed by illegal campfires in four natural plant communities: oak-hornbeam forest Tilio-Carpinetum (TC), lowland acidophilus beech forest Luzulo pilosae-Fagetum (LF), suboceanic pine forest Leucobryo-Pinetum (LP), and an initial-phase xerothermic grassland community on a transitional habitat (MH). TC and LF habitats were conspicuously more favourable for PM than LP and MH. In TC and LF fire leads to significant loss of mycorrhizae in the upper layer of leaf litter. This provides a development opportunity for ectomycorrhizal PM species which, having little competition, substitute for the destroyed fragments of mycorrhizal networks. In LP and MH fire over a small surface does not destroy more deeply located mycorrhizal associations. Another important factor for PM influencing the quality of environment is the fertility of soil: highest in TC, intermediate in LF and lowest in LP and MH. The results casts doubt on the concept that PM are only synusia linked to the substratum (burnt wood). PM growing in microhabitats constitute an important group of organisms which facilitate rapid regeneration of plant community fragments destroyed by fire. (c) 2012 The British Mycological Society. Published by Elsevier Ltd. All rights reserved.</t>
  </si>
  <si>
    <t>Rudawska, Maria; Wilgan, Robin; Janowski, Daniel; Iwanski, Michal; Leski, Tomasz</t>
  </si>
  <si>
    <t>Shifts in taxonomical and functional structure of ectomycorrhizal fungal community of Scots pine (&lt;i&gt;Pinus sylvestris&lt;/i&gt; L.) underpinned by partner tree ageing</t>
  </si>
  <si>
    <t>PEDOBIOLOGIA</t>
  </si>
  <si>
    <t>20</t>
  </si>
  <si>
    <t>30</t>
  </si>
  <si>
    <t>10.1016/j.pedobi.2018.08.003</t>
  </si>
  <si>
    <t>Ectomycorrhizal (ECM) fungi are crucial in the functioning of most forest ecosystems. Increased understanding of ECM symbiosis has led to numerous advancements in environment protection and forestry. The ECM fungi are a diverse group, both phylogenetically and functionally. Research covering their community structure on distinct sites shows that the presence of certain taxa depends on particular stand traits, such as tree species and age structure. Disturbances to the local habitat, ranging from forest fires to planned management, have also been shown to impact which fungal species are present. This study focuses on the dynamics of changes within the taxonomic and functional structure of the ECM fungal community as a response to host tree (Scots pines (Pinus sylvestris L.)) aging and how this dynamic is affected by forest management. While no explicit difference in ECM fungal species diversity between stands of different age was observed, the present taxa contributing to this diversity varied. Along the pine age gradient, some ECM fungal taxa were gradually being replaced with others. Additionally, a shift in functionality (i.e. exploration type community structure) was observed. In older forests, ECM fungal species of shorter distance exploration types became more prevalent. While forest management via thinning affected this process, the effect was not persistent.</t>
  </si>
  <si>
    <t>Hopkins, Taylor; Larson, Andrew J.; Belote, R. Travis</t>
  </si>
  <si>
    <t>Contrasting Effects of Wildfire and Ecological Restoration in Old-Growth Western Larch Forests</t>
  </si>
  <si>
    <t>FOREST SCIENCE</t>
  </si>
  <si>
    <t>1005</t>
  </si>
  <si>
    <t>1013</t>
  </si>
  <si>
    <t>10.5849/forsci.13-088</t>
  </si>
  <si>
    <t>The scientific basis for restoration of fire-excluded western larch/mixed-conifer forests is not as well developed as that for dry fire-frequent forests. We compared the effects of wildfire and restoration (combined thinning and prescribed fire) in fire-excluded western larch forests. In 2012, the wildfire site had more, taller, and more diverse tree regeneration; greater volume of coarse woody debris (CWD); and greater spatial heterogeneity (including more area in large openings) than the restoration site. Management recommendations based on our results include the following: use more intense prescribed fire than was applied to the restoration site we studied; retain abundant CWD on-site after restoration treatment; and create occasional large openings to regenerate larch and emulate the spatial heterogeneity induced by natural wildfire. Our most important finding is the greater dynamism of the wildfire-affected site than of the restored site. At the wildfire site, tree populations are turning over faster, regenerating trees are growing faster, and more CWD is available for decomposition. These contrasting outcomes suggest that a conceptualization of forest restoration that emphasizes static, or at least equilibrium, conditions is not appropriate for western larch/mixed-conifer forests.</t>
  </si>
  <si>
    <t>Walker, Gregg R.; Mallik, Azim U.</t>
  </si>
  <si>
    <t>Black spruce reforestation in &lt;i&gt;Kalmia&lt;/i&gt; heath: seedling response to forest floor mixing and mycorrhizal inoculation with &lt;i&gt;Paxillus involutus&lt;/i&gt;</t>
  </si>
  <si>
    <t>2007</t>
  </si>
  <si>
    <t>2020</t>
  </si>
  <si>
    <t>10.1139/X09-115</t>
  </si>
  <si>
    <t>In the boreal forests of eastern Canada, black spruce (Picea mariana (Mill.) Britton, Sterns, Poggenb.) regeneration often fails in nutrient-poor sites dominated by Kalmia angustifolia L. occurring after nonsevere forest fire, clearcut harvesting, and insect defoliation. Traditional silvicultural treatments have limited success in regenerating these sites. We tested whether forest floor mixing and planting black spruce seedlings preinoculated with an ectomycorrhizal (ECM) fungus, Paxillus involutus (Batsch) Fr., has potential to improve black spruce growth in Kalmia-dominated sites. We measured growth and foliar nutrient concentrations of ECM-inoculated and control black spruce seedlings planted in burned and insect-defoliated sites after forest floor mixing in Terra Nova National Park, Newfoundland. We also measured soil moisture, temperature, pH, total phenol and nutrient concentrations, litter decomposition, and soil respiration in those sites. Seedlings in soil-mixed plots had significantly higher growth and foliar nutrient concentrations than nonmixed plots, likely because soil mixing improved the substrate conditions by increased soil moisture, pH, and litter decomposition. Seedlings in insect-defoliated sites had significantly higher increases in height and foliar nutrient concentrations than those in the burned sites. Inoculated seedlings had significantly higher initial ECM formation than the control seedlings, but they failed to achieve higher growth.</t>
  </si>
  <si>
    <t>St Martin, Philippe; Mallik, Azim U.</t>
  </si>
  <si>
    <t>Growth release of stunted black spruce (&lt;i&gt;Picea mariana&lt;/i&gt;) in &lt;i&gt;Kalmia&lt;/i&gt; heath: the role of ectomycorrhizal fungi and near-ground microclimate</t>
  </si>
  <si>
    <t>666</t>
  </si>
  <si>
    <t>673</t>
  </si>
  <si>
    <t>10.1139/cjfr-2015-0267</t>
  </si>
  <si>
    <t>Naturally regenerating and planted black spruce (Picea mariana (Mill.) B.S.P.) in post-fire landscapes in eastern Canada often exhibit stunted growth in the presence of ericaceous shrubs such as Kalmia angustifolia L. After a period of stunted growth, some seedlings experience a growth release, exhibiting growth rates closer to normally growing seedlings. We hypothesized that an increase in colonization of root tips by ectomycorrhizal (ECM) fungi is responsible for this release and that the percentage of root tips colonized by ECM fungi would be higher on seedlings that had a released or normally growing neighbour within close proximity. We quantified ECM fungi diversity and abundance from 255 soil cores from stunted, released, and normally growing black spruce seedlings sampled in two Kalmia-dominated sites in Newfoundland. Growth and microsite characteristics around each seedling were also measured. We found that normal and released seedlings had significantly higher proportions of ECM fungi root tips than stunted seedlings, supporting our final hypothesis; however, there was no significant difference in distance between neighbours. Soil chemical properties are thought to inhibit the vegetative spread of ECM fungi species in this particular system and are identified as an important topic for further research.</t>
  </si>
  <si>
    <t>Vralstad, T; Holst-Jensen, A; Schumacher, T</t>
  </si>
  <si>
    <t>The postfire discomycete Geopyxis carbonaria (Ascomycota) is a biotrophic root associate with Norway spruce (Picea abies) in nature</t>
  </si>
  <si>
    <t>609</t>
  </si>
  <si>
    <t>616</t>
  </si>
  <si>
    <t>10.1046/j.1365-294x.1998.00365.x</t>
  </si>
  <si>
    <t>The hypothesis that the postfire discomycete Geopyxis carbonaria (Ascomycota, Pezizales, Pyronemataceae) has a biotrophic association with roots of Norway spruce (Picea abies) in nature was tested by isolation of fungal strains from fresh, brown, smooth mycorrhiza-like root tips of Norway spruce collected from below the depth of detrimental heat penetration in a postfire site. The morphology of seven culture isolates originating from the smooth mycorrhiza-like root tips of two different spruce trees was congruent with the morphology of axenic culture isolates obtained from ascospores of G. carbonaria. DNA sequences of the nuclear ribosomal internal transcribed spacers ITS1 and ITS2 from these root-derived cultures and the ascosporic G. carbonaria culture isolates were found to be identical, further supporting the conclusion that the isolates were conspecific. The extensive ascocarp and ascospore formation of G. carbonaria which succeeds a forest fire may be explained in terms of a fungal escape from a moribund tree associate. Possible ecological adaptations of G. carbonaria to the pre-and postfire community are discussed.</t>
  </si>
  <si>
    <t>[Anonymous]</t>
  </si>
  <si>
    <t>Plant pathology. 5. Mycorrhizas.</t>
  </si>
  <si>
    <t>Biennial Report of the Waite Agricultural Research Institute 1972-1973.</t>
  </si>
  <si>
    <t>82</t>
  </si>
  <si>
    <t>Two research reports on: Endogone mycorrhizas (P. Tandy and J.H. Warcup) [in South Australia and Victoria, including vesicular-arbuscular types and two ectomycorrhizae on Pinus radiata and Eucalyptus spp.]; and Mycorrhizas of Australian plants (J.H. Warcup) [concluding that changes in mycorrhizal associations after a forest fire contribute to increased seedling vigour in Eucalyptus spp.].</t>
  </si>
  <si>
    <t>Clark, Amy L.; St Clair, Samuel B.</t>
  </si>
  <si>
    <t>Mycorrhizas and secondary succession in aspen-conifer forests: Light limitation differentially affects a dominant early and late successional species</t>
  </si>
  <si>
    <t>203</t>
  </si>
  <si>
    <t>207</t>
  </si>
  <si>
    <t>10.1016/j.foreco.2011.03.024</t>
  </si>
  <si>
    <t>Plant succession and mycorrhizal fungi both play crucial roles in shaping the development of forest ecosystems. However, despite the strong potential for interactions between them, few studies have examined how patterns of forest succession affect mycorrhizal associations that a majority of plant species depend on to alleviate soil resource constraints. Fire suppression in subalpine forests over the last century has changed successional patterns in ways that may have important implications for mycorrhizal associations of forest tree species. To better understand these relationships we conducted a field and greenhouse study in which we examined mycorrhizal infection along gradients of light intensity and soil nutrient availability that develop as aspen becomes seral to conifers under longer fire return intervals. We examined whether ectomycorrhizal associations of quaking aspen (Populus tremuloides), a shade intolerant, early succession species, were more sensitive to light and soil resource limitations than subalpine fir (Abies lasiocarpa), a shade tolerant, late succession species. In the field study, ectomycorrhizal infection of aspen roots was reduced by 50% in conifer dominated stands relative to aspen stands. In contrast, subalpine fir maintained its EM associations regardless of the successional status of the stand. The greenhouse results were consistent with field results and indicated that light limitation was the driving force behind reductions in EM infection of aspen roots in later stages of succession. These results suggest that nutrient limitations constraining early successional species may be exacerbated by losses in EM associations via light limitations created by late successional species. This is one potential mechanism by which climax forest species create a competitive advantage over early successional species and these results suggest that it is likely exacerbated by longer fire return intervals. (C) 2011 Elsevier B.V. All rights reserved.</t>
  </si>
  <si>
    <t>Fernandez-Guisuraga, Jose Manuel; Marcos, Elena; Calvo, Leonor</t>
  </si>
  <si>
    <t>The footprint of large wildfires on the multifunctionality of fire-prone pine ecosystems is driven by the interaction of fire regime attributes</t>
  </si>
  <si>
    <t>FIRE ECOLOGY</t>
  </si>
  <si>
    <t>10.1186/s42408-023-00193-4</t>
  </si>
  <si>
    <t>BackgroundMediterranean ecosystems dominated by Pinus pinaster Ait. (maritime pine) are subject to a shift from fuel-limited to drought-driven fire regimes, characterized by an increasing wildfire extent, recurrence, and severity. Previous studies have not addressed the interacting effects of fire recurrence and severity on the ecosystem multifunctionality (EMF) of maritime pine forests, although complex relationships between such fire regime attributes are expected. Here, we evaluated the medium-term effects of fire recurrence and severity on the EMF response of unmanaged, native pine ecosystems dominated by Pinus pinaster in the western Mediterranean Basin. We considered four key ecosystem functions computed from functional indicators (carbon regulation, decomposition, soil fertility, and plant production), which were pooled into an EMF construct. The fire regime effects on the trade-offs and synergies between the considered ecosystem functions were also analyzed.ResultsMultiple ecosystem functions responded differentially to fire recurrence and severity. Fire recurrence had a strong effect on soil fertility, decomposition, and plant production functions. No significant effects of fire severity on any of the individual functions were detected. However, both fire regime attributes interacted to determine soil fertility and decomposition functions, suggesting that their performance is only impaired by fire severity when fire recurrence is low. The differing responses to the fire regime attributes among ecosystem functions fostered a significant EMF response to fire severity and its interaction with fire recurrence, indicating that the effect of fire severity on EMF was stronger under low fire recurrence scenarios, even when relationships between individual functions and fire severity were weak. Fire recurrence caused significant trade-offs between functions to emerge. However, these trade-offs were not strong enough to differ significantly from the intrinsic trade-offs (i.e., regardless of the fire regime) of maritime pine ecosystems.ConclusionsOur results indicated the need to use an integrative approach to assess the response of ecosystem functioning to the fire regime in maritime pine ecosystems. Adaptive management responses are necessary towards the minimization of repeated burnings and the reduction of the fuel load in unmanaged maritime pine stands of the western Mediterranean Basin with similar characteristics to those analyzed in this study.</t>
  </si>
  <si>
    <t>Mah, K; Tackaberry, LE; Egger, KB; Massicotte, HB</t>
  </si>
  <si>
    <t>The impacts of broadcast burning after clear-cutting on the diversity of ectomycorrhizal fungi associated with hybrid spruce seedlings in central British Columbia</t>
  </si>
  <si>
    <t>224</t>
  </si>
  <si>
    <t>235</t>
  </si>
  <si>
    <t>10.1139/cjfr-31-2-224</t>
  </si>
  <si>
    <t>Morphological and molecular (polymerase chain reaction - restriction fragment length polymorphism) methods were used to assess ectomycorrhiza (ECM) diversity in naturally regenerating and planted Picea engelmannii Parry ex Engelm. x Picea glauca (Moench) Voss seedlings in two recently clear-cut sites, two clear-cut and broadcast burned sites, and two mature forests (&gt; 100 years) in central British Columbia. Based on 24 characterized ECM, burning did not affect overall diversity (Shannon, Simpson, Shannon evenness, and Margalef indices). However, the occurrence and relative abundance of some ECM morphotypes varied significantly. Hebeloma and a Russulaceae type 1 were more abundant and Cenococcum was less abundant in planted seedlings from cut-burned sites compared with those from clear-cut sites. E-strain, MRA, and Amphinema were more abundant in planted seedlings from both cut-burned and clear-cut sites compared with naturally regenerating seedlings from mature sites. ECM diversity of regenerating seedlings was significantly greater in mature forests compared with clear-cut sites and was greater in planted seedlings than naturally regenerating seedlings in clear-cut sites. Molecular analysis of the internal transcribed spacer region of the nuclear-encoded ribosomal RNA gene repeat showed no significant differences among treatments or seedling type. Twenty-two genotypes were identified from eight common morphotypes: Cenococcum (one), Thelephora (two), E-strain, Tuber, Hebeloma, and Russulaceae type 1 (three each), MRA (four), and Amphinema (six). Hebeloma genotypes matched three for Amphinema; genotypes from unidentified lightly colonized tips matched those for E-strain, MRA, and Amphinema-Hebeloma.</t>
  </si>
  <si>
    <t>Barker, Jason S.; Simard, Suzanne W.; Jones, Melanie D.; Durall, D. M.</t>
  </si>
  <si>
    <t>Ectomycorrhizal fungal community assembly on regenerating Douglas-fir after wildfire and clearcut harvesting</t>
  </si>
  <si>
    <t>1179</t>
  </si>
  <si>
    <t>1189</t>
  </si>
  <si>
    <t>10.1007/s00442-012-2562-y</t>
  </si>
  <si>
    <t>Wildfire severity in forests is projected to increase with warming and drying conditions associated with climate change. Our objective was to determine the impact of wildfire and clearcutting severity on the ectomycorrhizal fungal (EMF) community of Douglas-fir seedlings in the dry forests of interior British Columbia, Canada. We located our study within and surrounding the area of the McLure fire (August 2003). We hypothesized that disturbance would affect EMF community assembly due to reductions in fungal inoculum. Five treatments representing a range of disturbance severities were compared: high severity burn, low severity burn, screefed clearcut (manual removal of forest floor), clearcut, and undisturbed forest. EMF communities in the undisturbed forest were more complex than those in all disturbance treatments. However, aspects of community assembly varied with disturbance type, where the burn treatments had the simplest communities. After 4 months, regenerating seedlings in the burn treatments had the lowest colonization, but seedlings in all treatments were fully colonized within 1 year. EMF communities were similar among the four disturbance types, largely due to dominance of Wilcoxina throughout the study period. However, forest floor retention influenced community assembly as the EMF in the clearcut treatment, where forest floor was retained, had levels of diversity and richness comparable to the undisturbed forest. Overall, the results suggest that increasing forest floor disturbance can alter EMF community assembly in the first year of regeneration. A correlation between poorly colonized seedlings and seedling productivity also suggests a role for productivity in influencing community assembly.</t>
  </si>
  <si>
    <t>Kennedy, Nabla M.; Robertson, Susan J.; Green, D. Scott; Scholefield, Scott R.; Arocena, Joselito M.; Tackaberry, Linda E.; Massicotte, Hugues B.; Egger, Keith N.</t>
  </si>
  <si>
    <t>Site properties have a stronger influence than fire severity on ectomycorrhizal fungi and associated N-cycling bacteria in regenerating post-beetle-killed lodgepole pine forests</t>
  </si>
  <si>
    <t>FOLIA MICROBIOLOGICA</t>
  </si>
  <si>
    <t>399</t>
  </si>
  <si>
    <t>410</t>
  </si>
  <si>
    <t>10.1007/s12223-014-0374-7</t>
  </si>
  <si>
    <t>Following a pine beetle epidemic in British Columbia, Canada, we investigated the effect of fire severity on rhizosphere soil chemistry and ectomycorrhizal fungi (ECM) and associated denitrifying and nitrogen (N)-fixing bacteria in the root systems of regenerating lodgepole pine seedlings at two site types (wet and dry) and three fire severities (low, moderate, and high). The site type was found to have a much larger impact on all measurements than fire severity. Wet and dry sites differed significantly for almost all soil properties measured, with higher values identified from wet types, except for pH and percent sand that were greater on dry sites. Fire severity caused few changes in soil chemical status. Generally, bacterial communities differed little, whereas ECM morphotype analysis revealed ectomycorrhizal diversity was lower on dry sites, with a corresponding division in community structure between wet and dry sites. Molecular profiling of the fungal ITS region confirmed these results, with a clear difference in community structure seen between wet and dry sites. The ability of ECM fungi to colonize seedlings growing in both wet and dry soils may positively contribute to subsequent regeneration. We conclude that despite consecutive landscape disturbances (mountain pine beetle infestation followed by wildfire), the "signature" of moisture on chemistry and ECM community structure remained pronounced.</t>
  </si>
  <si>
    <t>Kipfer, Tabea; Egli, Simon; Ghazoul, Jaboury; Moser, Barbara; Wohlgemuth, Thomas</t>
  </si>
  <si>
    <t>Susceptibility of ectomycorrhizal fungi to soil heating</t>
  </si>
  <si>
    <t>467</t>
  </si>
  <si>
    <t>472</t>
  </si>
  <si>
    <t>10.1016/j.funbio.2010.03.008</t>
  </si>
  <si>
    <t>Ectomycorrhizal (EcM) fungi are an important biotic factor for successful tree recruitment because they enhance plant growth and alleviate drought stress of their hosts. Thus, EcM propagules are expected to be a key factor for forest regeneration after major disturbance events such as stand-replacing forest fires. Yet the susceptibility of soil-borne EcM fungi to heat is unclear. In this study, we investigated the heat tolerance of EcM fungi of Scots pine (Pinus sylvestris L., Pinaceae). Soil samples of three soil depths were heated to the temperature of 45, 60 and 70 degrees C, respectively, and surviving EcM fungi were assessed by a bioassay using Scots pine as an experimental host plant. EcM species were identified by a combination of morphotyping and sequencing of the ITS region. We found that mean number of species per sample was reduced by the 60 and 70 degrees C treatment, but not by the 45 degrees C treatment. Species composition changed due to heat. While some EcM fungi species did not survive heating, the majority of species was also found in the heated samples. The most frequent species in the heat treatment were Rhizopogon roseolus, Cenococcum geophilum and several unidentified species. (C) 2010 The British Mycological Society. Published by Elsevier Ltd. All rights reserved.</t>
  </si>
  <si>
    <t>Beddiar, A.; Adouane, M.; Boudiaf, I.; Fraga, A.</t>
  </si>
  <si>
    <t>Mycorrhizal status of main spontaneous or introduced forest trees in El Tarf province (Algerian North-east).</t>
  </si>
  <si>
    <t>The Online Journal of Science and Technology (TOJSAT)</t>
  </si>
  <si>
    <t>40</t>
  </si>
  <si>
    <t>45</t>
  </si>
  <si>
    <t>In Algeria, often, serious imbalances of the forest ecosystems caused by the badly led exploitations, the repeated fires, the overgrazing involve the disappearance of the timbered state on vast territories. Within the framework of the plantation and restoration programs of these degraded forests, we plan to contribute to it by tests of controlled mycorrhization of forest tees in nursery. But to realize these tests, it is necessary to know beforehand the natural symbiotic status of the studied species. We present there, the first stage of our work which consisted in establishing the mycorrhizal status of main spontaneous or introduced forest species into Algerian North-east. The study was carried out in El Tarf province and related to all the species of pine, oaks and other leafy trees existing in this area. The results show that all the species observed have either ectomycorrhizas (ECM) or arbuscular endomycorrhizas (AM) or both at the same time. In addition, the introduced species of the Acacia or Casuarina genus carry AM and also nitrogen fixing nodules. It should be noted the remarkable diversity of ectomycorrhizal morphotypes associated to the pines and to the oaks and also that of the endomycorhizals fungi spores occur in the rhizosphere of other species. Lastly, it is significant to note the omnipresence of Cenococcum geophilum mycorrhiza in all the stations and the majority of the ectomycorrhizal trees.</t>
  </si>
  <si>
    <t>Singh, Surendra P.; Pandey, Anvita; Singh, Vishal</t>
  </si>
  <si>
    <t>Nature and Extent of Forest Degradation in Central Himalayas</t>
  </si>
  <si>
    <t>Tropical Ecosystems: Structure, Functions and Challenges in the Face of Global Change</t>
  </si>
  <si>
    <t>27</t>
  </si>
  <si>
    <t>43</t>
  </si>
  <si>
    <t>10.1007/978-981-13-8249-9_3</t>
  </si>
  <si>
    <t>Forest degradation is widespread in developing countries, as poor people depend on forest biomass collection on a "day-to-day" basis, giving little respite to forest ecosystems to recover. In the Himalayas, collection of firewood, tree leaf fodder, and leaf litter from forest floor is one of the main causes of forest degradation, particularly in oak (Quercus leucotrichophora) and pine (Pinus roxburghii) elevation belt (1000-2200 m elevation) of the Western and Central Himalayas. In this area, whole tree cutting is uncommon, but most trees are lopped until they become severely denuded, with little crown left. Compared to healthy forests, generally such degraded forests have 40-50% less biomass but about 80% less net primary productivity and 86.4% less leaf area. As degradation progresses, the biomass extracted from the forest declines, but in proportional terms it increases, resulting in a rapid disintegration of ecosystem structure and functions. Some of the observed effects are (1) reduction of soil carbon and nitrogen by 40-50%; (2) desiccation of oak acorns lying on forest floor well before the arrival of monsoon; (3) about 40% reduction in leaf litter decomposition; (4) 35% reduction in ectomycorrhizal association with roots, as indicated by fungal sporocarp density; and (5) 25% reduction in soil water holding capacity and 25% increase in soil bulk density (these values are in comparison to a relatively undisturbed forest). Recovery of a degraded forest (chronic disturbance) has not yet been investigated but is likely to be slower than that of a clear-cut (acute disturbance) forest. However, some interventions can result in a faster recovery.</t>
  </si>
  <si>
    <t>Perez-Izquierdo, Leticia; Zabal-Aguirre, Mario; Verdu, Miguel; Buee, Marc; Rincon, Ana</t>
  </si>
  <si>
    <t>Ectomycorrhizal fungal diversity decreases in Mediterranean pine forests adapted to recurrent fires</t>
  </si>
  <si>
    <t>2463</t>
  </si>
  <si>
    <t>2476</t>
  </si>
  <si>
    <t>10.1111/mec.15493</t>
  </si>
  <si>
    <t>Fire is a major disturbance linked to the evolutionary history and climate of Mediterranean ecosystems, where the vegetation has evolved fire-adaptive traits (e.g., serotiny in pines). In Mediterranean forests, mutualistic feedbacks between trees and ectomycorrhizal (ECM) fungi, essential for ecosystem dynamics, might be shaped by recurrent fires. We tested how the structure and function of ECM fungal communities ofPinus pinasterandPinus halepensisvary among populations subjected to high and low fire recurrence in Mediterranean ecosystems, and analysed the relative contribution of environmental (climate, soil properties) and tree-mediated (serotiny) factors. For both pines, local and regional ECM fungal diversity were lower in areas of high than low fire recurrence, although certain fungal species were favoured in the former. A general decline of ECM root-tip enzymatic activity forP. pinasterwas associated with high fire recurrence, but not forP. halepensis. Fire recurrence and fire-related factors such as climate, soil properties or tree phenotype explained these results. In addition to the main influence of climate, the tree fire-adaptive trait serotiny recovered a great portion of the variation in structure and function of ECM fungal communities associated with fire recurrence. Edaphic conditions (especially pH, tightly linked to bedrock type) were an important driver shaping ECM fungal communities, but mainly at the local scale and probably independently of the fire recurrence. Our results show that ECM fungal community shifts are associated with fire recurrence in fire-prone dry Mediterranean forests, and reveal complex feedbacks among trees, mutualistic fungi and the surrounding environment in these ecosystems.</t>
  </si>
  <si>
    <t>Lumley, TC; Gignac, LD; Currah, RS</t>
  </si>
  <si>
    <t>Microfungus communities of white spruce and trembling aspen logs at different stages of decay in disturbed and undisturbed sites in the boreal mixedwood region of Alberta</t>
  </si>
  <si>
    <t>CANADIAN JOURNAL OF BOTANY-REVUE CANADIENNE DE BOTANIQUE</t>
  </si>
  <si>
    <t>76</t>
  </si>
  <si>
    <t>92</t>
  </si>
  <si>
    <t>10.1139/b00-135</t>
  </si>
  <si>
    <t>Fallen logs of trembling aspen (Populus tremuloides Michx.) and white spruce (Picea glauca (Moench) Voss) at various stages of decomposition were sampled from undisturbed and 1-, 14-, and 28-year-old post-fire and post-harvest sites in northern Alberta and studied for differences in the associated microfungus communities. Wood samples were plated directly onto each of six different media and, from these, fungal species were identified and enumerated over a 24-month period. Approximately 10 000 isolates were obtained, representing 292 species of filamentous microfungi, including 41 ascomycetes, 29 zygomycetes, and 222 mitosporic fungi. The most commonly isolated species were Trichoderma viride (Gray) Pers., Rhinocladiella atrovirens Nannf., Penicillium pinophilum Hedgcock, and Mortierella ramanniana (Moller) Linnem. Cluster analysis and ordination of microfungus communities in logs showed that the tree species of the log had the greatest influence on the species composition of communities. Fungus community composition was also correlated with the stage of decomposition. Species richness was highest in logs from undisturbed sites and lowest in logs from the most recently disturbed sites. Species diversity (Shannon-Weaver) was only slightly higher at undisturbed sites than at disturbed sites. The most significant environmental factor was log moisture, which increased proportionately with stage of decomposition and was significantly correlated with climatic factors.</t>
  </si>
  <si>
    <t>Kipfer, Tabea; Moser, Barbara; Egli, Simon; Wohlgemuth, Thomas; Ghazoul, Jaboury</t>
  </si>
  <si>
    <t>Ectomycorrhiza succession patterns in Pinus sylvestris forests after stand-replacing fire in the Central Alps</t>
  </si>
  <si>
    <t>219</t>
  </si>
  <si>
    <t>228</t>
  </si>
  <si>
    <t>10.1007/s00442-011-1981-5</t>
  </si>
  <si>
    <t>Fires shape fundamental properties of many forest ecosystems and climate change will increase their relevance in regions where fires occur infrequently today. In ecosystems that are not adapted to fire, post-fire tree recruitment is often sparse, a fact that might be attributed to a transient lack of mycorrhizae. Ectomycorrhizal (EcM) fungi play an important role for recruitment by enhancing nutrient and water uptake of their hosts. The questions arise whether and for how long the EcM community is transformed by fire. We investigated the resistance and resilience of EcM fungal communities on a chronosequence of 12 Pinus sylvestris stands in Valais (Switzerland) and Val d'Aosta (Italy) affected by fire between 1990 and 2006. Soil samples from burnt and non-burnt forests were analyzed with respect to EcM fungi by means of a bioassay. The number of EcM species was significantly lower in samples from recently (2-5 years) burnt sites than non-burnt forest, and increased with time since fire reaching levels of adjacent forests after 15-18 years. Community composition changed after fire but did not converge to that of non-burnt sites over the 18 year period. Only Rhizopogon roseolus and Cenococcum geophilum were abundant in both burnt sites and adjacent forest. Our data indicate fire resistance of some EcM fungal species as well as rapid resilience in terms of species number, but not in species composition. As long as the function of different EcM species for seedling establishment is unknown, the consequences of long-term shifts in EcM community composition for tree recruitment remain unclear.</t>
  </si>
  <si>
    <t>Dahlberg, A</t>
  </si>
  <si>
    <t>Effects of fire on ectomycorrhizal fungi in fennoscandian boreal forests</t>
  </si>
  <si>
    <t>SILVA FENNICA</t>
  </si>
  <si>
    <t>69</t>
  </si>
  <si>
    <t>80</t>
  </si>
  <si>
    <t>10.14214/sf.551</t>
  </si>
  <si>
    <t>Fire, the primary natural disturbance factor in Fennoscandian boreal forests, is considered to have exerted major selection pressure on most boreal forest organisms. However, recent studies show that few ectomycorrhizal (EM) fungi appear to have evolved post-fire adaptations, no succession of EM fungi following fire is apparent after low intensity fires, and only two EM fungal taxa exclusively fruit at post-fire conditions. In this paper I review the present knowledge of effects of forest fire on EM fungal communities in Fennscandian boreal forests, put into perspective by a comparison from other parts of the world. Characteristically, these boreal forests consist of less than a handful of tree species, e.g. Scots pine and Norway spruce, while the below ground communities of EM fungi is impressively species rich with presently more than 700 known taxa. Commonly, forest fires in Fennoscandia have been of low intensity, with a considerable portion of the trees surviving and the organic humus layer partly escaping combustion. Hence, EM fungi appear to largely have evolved under conditions characterised by a more or less continuous presence of their hosts. In fact, the composition of EM fungi within a forest appear be more variable due to spatial variation than due to wildfire. However, in areas with high intensity bums and high tree mortality, most EM fungi may locally be killed. Thus, the legacy of EM fungi following wildfire depends on the survival of trees, which determine the potential for mycorrhizal growth, and the combustion and heating of the organic soil, which directly correlate to mortality of mycorrhizas. The questions if and to what degree fires may be of significance for yet unidentified spatiotemporal dynamics of EM fungal populations and communities are discussed. Recent experiments indicate a few EM fungi are favoured by high intensity burn conditions whereas others disappear. The consequences of wildfires in temperate conifer forests differ considerably from those in boreal forests. Wildfires in temperate conifer forests are typically high intensity stand-replacing fires that cause a total combustion of organic layers. Subsequently, pre-fire EM fungal communities are largely eradicated and a succession of post-fire EM fungi is initiated.</t>
  </si>
  <si>
    <t>Yamasaki, SH; Fyles, JW; Egger, KN; Titus, BD</t>
  </si>
  <si>
    <t>The effect of Kalmia angustifolia on the growth, nutrition, and ectomycorrhizal symbiont community of black spruce</t>
  </si>
  <si>
    <t>197</t>
  </si>
  <si>
    <t>10.1016/S0378-1127(97)00285-5</t>
  </si>
  <si>
    <t>Kalmia angustifolia L. is an ericaceous shrub that frequently invades black spruce (Picea mariana Mill.) clear-cuts in central Newfoundland. Field observations suggest that on many sites where K. angustifolia grows, black spruce seedlings become chlorotic and stunted. Previous laboratory research has suggested that allelochemicals of K. angustifolia affect the growth and development of black spruce as well as the growth of certain ectomycorrhizal (ECM) fungi associated with black spruce. Black spruce seedlings close to (&lt; 1 m) and far from (&gt; 1 m) K. angustifolia were sampled from a clear-cut in central Newfoundland. The ECM community structure, degree of mycorrhizal infection, height, mass, root:shoot ratio, and the foliar concentrations of N, P, K, Ca, and Mg of spruce seedlings growing close to and far from K. angustifolia were examined. Seedlings close to K. angustifolia had significantly lower foliar concentrations of N and P, had a lower rate of mycorrhizal infection, and were more frequently associated with Phialocephala dimorphospora, Kendrick, a potential root pathogen of black spruce, than seedlings growing far from K. angustifolia. There were positive linear relationships between black spruce foliar N concentration and total seedling height and biomass for seedlings growing away from K. angustifolia, but not far seedlings in close proximity to K. angustifolia. Hypotheses suggesting possible roles for nutrient competition, allelopathy, and K. angustifolia's ability to increase the occurrence of the pseudomycorrhizal P. dimorphospora on black spruce are proposed. (C) 1998 Elsevier Science B.V.</t>
  </si>
  <si>
    <t>Helbert; Turjaman, Maman; Nara, Kazuhide</t>
  </si>
  <si>
    <t>Ectomycorrhizal fungal communities of secondary tropical forests dominated by &lt;i&gt;Tristaniopsis&lt;/i&gt; in Bangka Island, Indonesia</t>
  </si>
  <si>
    <t>PLOS ONE</t>
  </si>
  <si>
    <t>10.1371/journal.pone.0221998</t>
  </si>
  <si>
    <t>In Southeast Asia, primary tropical rainforests are usually dominated by ectomycorrhizal (ECM) trees belonging to Dipterocarpaceae, although arbuscular mycorrhizal trees often outcompete them after disturbances such as forest fires and clear-cutting, thus preventing dipterocarp regeneration. In some secondary tropical forests, however, potentially ECM trees belonging to Tristaniopsis (Myrtaceae) become dominant and may help ECM dipterocarp forests to recover. However, we have no information about their mycorrhizal status in these settings. In this study, we analyzed ECM fungal communities in tropical secondary forests dominated by Tristaniopsis and investigated which ECM fungal species are shared with other tropical or temperate areas. In total, 100 samples were collected from four secondary forests dominated by Tristaniopsis on Bangka Island. ECM tips in the soil samples were subjected to molecular analyses to identify both ECM and host species. Based on a &gt; 97% ITS sequence similarity threshold, we identified 56 ECM fungal species dominated by Thelephoraceae, Russulaceae, and Clavulinaceae. Some of the ECM fungal species were shared between dominant Tristaniopsis and coexisting Eucalyptus or Quercus trees, including 5 common to ECM fungi recorded in a primary mixed dipterocarp forest at Lambir Hill, Malaysia. In contrast, no ECM fungal species were shared with other geographical regions, even with Tristaniopsis in New Caledonia. These results imply that secondary tropical forests dominated by Tristaniopsis harbor diverse ECM fungi, including those that inhabit primary dipterocarp forests in the same geographical region. They may function as refugia for ECM fungi, given that dipterocarp forests are disappearing quickly due to human activity.</t>
  </si>
  <si>
    <t>HARVEY, AE; JURGENSEN, MF; LARSEN, MJ</t>
  </si>
  <si>
    <t>SEASONAL DISTRIBUTION OF ECTOMYCORRHIZAE IN A MATURE DOUGLAS-FIR LARCH FOREST SOIL IN WESTERN MONTANA</t>
  </si>
  <si>
    <t>208</t>
  </si>
  <si>
    <t>Counts of individual ectomycorrhizal root tips from random soil core samples showed that the greatest number occurred during May and June in the organic soil fractions. Soil humus provided the major substrate for ectomycorrhizae throughout the year except during July and August. During this drier period, more active ectomycorrhizal tips occurred in the decayed soil wood. Moisture levels were higher in the decayed wood than the humus at that time. Decayed wood may serve a critical role in supporting ectomycorrhizae in the soils of mature Douglas-fir/larch forests, particularly during periods of limited moisture availability.</t>
  </si>
  <si>
    <t>Olchowik, Jacek; Hilszczanska, Dorota; Studnicki, Marcin; Malewski, Tadeusz; Kariman, Khalil; Borowski, Zbigniew</t>
  </si>
  <si>
    <t>Post-fire dynamics of ectomycorrhizal fungal communities in a Scots pine (Pinus sylvestris L.) forest of Poland</t>
  </si>
  <si>
    <t>PEERJ</t>
  </si>
  <si>
    <t>10.7717/peerj.12076</t>
  </si>
  <si>
    <t>Background. Global warming and drying have markedly enhanced in most forests the risk of fires across the world, which can affect the taxonomic and functional composition of key tree-associated organisms such as ectomycorrhizal (ECM) fungi. The present study was conducted to characterise the alterations in the extent of root ECM colonisation, the ECM fungal communities, and their exploration types (i.e., indicator of ECM soil foraging strategies) in regenerated pines within a burned site as compared with an unburned site (five years after the fire event) in the Forest District Myszyniec, Poland. Methods. To assess the ECM fungal communities of burned and control sites, soil soil-root monoliths were collected from the study sites in September 2019. A total of 96 soil subsamples were collected for soil analysis and mycorrhizal assessment (6 trees x 2 sites x 4 study plots x 2 microsites (north and south) = 96 subsamples). Results. The percentage of root ECM colonisation was significantly lower in the burned site in comparison with the unburned (control) site. However, the ECM species richness did not differ between the control and burned sites. The identified ECM species in both sites were Imleria badia, Thelephora terrestris, Russula paludosa, R. badia, R. turci, R. vesca, Lactarius plumbeus, Phialocephala fortinii, and Hyaloscypha variabilis. The most frequent species in the burned and control sites were I. badia and T. terrestris, respectively. The relative abundances of contact, medium-distance smooth and long-distance exploration types in the burned site were significantly different from the control site, dominated by the medium-distance exploration type in both sites. The abundance of the long-distance exploration type in the burned site was markedly greater (27%) than that of the control site (14%), suggesting that the fire event had favoured this ECM foraging strategy. The results demonstrated that the fire led to reduced ECM colonisation of Scots pine trees in the burned site whereas the species richness was not affected, which can be attributed to degrees of fire-resistance in the ECM species, survival of ECM propagules in deeper soil layers, and/or continuous entry of spores/propagules of the ECM fungi from the adjacent forests via wind, water run-off or animals.</t>
  </si>
  <si>
    <t>Kraigher, H.</t>
  </si>
  <si>
    <t>Mycobioindication of pollution of two forest sites.</t>
  </si>
  <si>
    <t>Zbornik Gozdarstva in Lesarstva, Ljubljana</t>
  </si>
  <si>
    <t>279</t>
  </si>
  <si>
    <t>322</t>
  </si>
  <si>
    <t>Types of ectomycorrhizas were studied in soil cores collected in 1993 from 2 Norway spruce (Picea abies) sites differentially affected by pollution from the coal-fired power station in Sostanj, Slovenia. Twenty morphotypes of ectomycorrhizas are briefly described, and more detailed descriptions are given of Lactarius lignyotus and Hydnum rufescens associations with P. abies, based on anatomical and molecular studies. The occurrence of fruit bodies did not correspond to the occurrence of ectomycorrhizal types. It is suggested that H. rufescens can be used as an indicator of unpolluted sites and Paxillus involutus as an indicator of polluted sites in Slovenia.</t>
  </si>
  <si>
    <t>Southam, Hanno; Stafl, Natalie; Guichon, Shannon H. A.; Simard, Suzanne W.</t>
  </si>
  <si>
    <t>Characterizing the Ectomycorrhizal Fungal Community of Whitebark Pine in Interior British Columbia: Mature Trees, Natural Regeneration and Planted Seedlings</t>
  </si>
  <si>
    <t>10.3389/ffgc.2021.750701</t>
  </si>
  <si>
    <t>Whitebark pine (Pinus albicaulis Engelm.; WBP) is an endangered subalpine tree species and requires associations with ectomycorrhizal fungi (ECMF) for survival and growth. Despite this obligate dependence, there are gaps in the identification of ECMF that associate with WBP. In addition, ECMF rarely feature in assessments of recovery actions and little is known about the relationship between ECMF and the insects and pathogens affecting WBP. We used next-generation sequencing to characterize ECMF occurring in soil and mycorrhizal root tip samples from naturally occurring mature WBP trees and seedlings as well as planted WBP seedlings in the Columbia Mountains of Interior British Columbia, Canada. ECMF data was paired with data on tree age, tree health and soil conditions. Thirty-three species and twenty-one genera of ECMF were identified with medium or high confidence from mycorrhizal root tip samples. Major groups were: generalist ascomycetes [Cenococcum, Meliniomyces (=Hyaloscypha)], Atheliales (Piloderma, Amphinema, Tylospora), non-ascomycetous generalists (e.g., Amphinema), associates of high-elevation conifers (species of Cortinarius, Russula) and Suilloids (Suillus, Rhizopogon). Differences in WBP ECMF with other, drier and southerly regions that have been studied previously, were consistent with a distinct forest type and an endemism hypothesis. Soil at the planting site and planted seedlings hosted a reduced ECMF community or were non-ectomycorrhizal, which can be explained by site factors and is expected to affect seedling survival. ECMF composition on mature trees was correlated with tree health, which may have implications for WBPs resistance to pathogens and signals that ECMF are affected by the decline of their host. Understanding the ecology of WBP ECMF and their relationship with tree performance is essential for WBP recovery efforts.</t>
  </si>
  <si>
    <t>Rasmussen, Ann L.</t>
  </si>
  <si>
    <t>Community ecology of soil microbes in southeast USA oak-pine woodlands</t>
  </si>
  <si>
    <t>Thesis</t>
  </si>
  <si>
    <t>Malmstrom, Anna; Persson, Tryggve; Ahlstrom, Kerstin; Gongalsky, Konstantin B.; Bengtsson, Janne</t>
  </si>
  <si>
    <t>Dynamics of soil meso- and macrofauna during a 5-year period after clear-cut burning in a boreal forest</t>
  </si>
  <si>
    <t>APPLIED SOIL ECOLOGY</t>
  </si>
  <si>
    <t>61</t>
  </si>
  <si>
    <t>74</t>
  </si>
  <si>
    <t>10.1016/j.apsoil.2009.06.002</t>
  </si>
  <si>
    <t>The aim of this study was to determine effects of clear-cutting and prescribed clear-cut burning on the abundance and diversity of soil meso- and macrofauna during the early (0-5 years) recovery/recolonisation phase. A 115-year-old stand of mixed Pinus sylvestris and Picea abies in central Sweden was clear-cut in March 1999. Injune 1999, two plots on the clear-cut were burnt and two plots were left unburnt according to an experimental design with two blocks. Two plots of adjacent uncut forest were used as controls. The burning combusted the ground vegetation and the upper half of the 6-cm thick organic layer. In comparison with the unburnt clear-cut, burning decreased the abundances of Collembola, Protura, Mesostigmata, Araneae and Diptera larvae throughout the 5-year period, whereas Enchytraeidae, Lumbricidae, Oribatida, Prostigmata, Astigmata and Tardigrada decreased immediately after the fire but showed tendencies of recovery. Burning also decreased species richness. The majority of the species still absent after 5 years was surface-living species. Even animals with good ability to disperse (Diptera, Coleoptera and Araneae) had not recovered, which indicates a change of habitat or lack of food. Clear-cut burning was particularly detrimental to fungivores and predators, whereas microbidetritivores and herbivores were less affected. Prescribed burning, which is considered to increase aboveground biodiversity, dramatically reduced the soil fauna species richness for at least 5 years and did not add any species to those already present in the forest or clear-cut. (C) 2009 Elsevier B.V. All rights reserved.</t>
  </si>
  <si>
    <t>Kranabetter, JM</t>
  </si>
  <si>
    <t>The effect of refuge trees on a paper birch ectomycorrhiza community</t>
  </si>
  <si>
    <t>1523</t>
  </si>
  <si>
    <t>1528</t>
  </si>
  <si>
    <t>10.1139/b99-132</t>
  </si>
  <si>
    <t>Live trees within forest disturbances could support refugia populations of ectomycorrhizae fungi from which to reestablish ectomycorrhiza communities during forest succession. The effectiveness of refuge paper birch trees (Betula papyrifera Marsh.) in maintaining a forest ectomycorrhiza community on birch seedlings, both in clearcuts and forests, in northwest British Columbia was examined. Seedlings next to refuge birch trees in clearcuts had equal levels of average morphotype richness and eveness as seedlings next to mature birch trees in forests. Seedlings outside of the rooting zone of refuge trees had significantly less average morphotype richness in both clearcuts and forests, decreasing by 38 and 15%, respectively. The ectomycorrhiza communities were also more unique (lower community similarity) next to refuge trees than for seedlings away from refuge trees, especially in clearcuts. These treatment effects could be explained by differences in the ability to disperse and establish between early-stage, multi-stage, and late-stage ectomycorrhiza fungi. The results suggest refuge trees would be effective in forest management as sources of inocula for multi-stage and late-stage fungi.</t>
  </si>
  <si>
    <t>Glassman, Sydney I.; Levine, Carrie R.; DiRocco, Angela M.; Battles, John J.; Bruns, Thomas D.</t>
  </si>
  <si>
    <t>Ectomycorrhizal fungal spore bank recovery after a severe forest fire: some like it hot</t>
  </si>
  <si>
    <t>ISME JOURNAL</t>
  </si>
  <si>
    <t>1228</t>
  </si>
  <si>
    <t>1239</t>
  </si>
  <si>
    <t>10.1038/ismej.2015.182</t>
  </si>
  <si>
    <t>After severe wildfires, pine recovery depends on ectomycorrhizal (ECM) fungal spores surviving and serving as partners for regenerating forest trees. We took advantage of a large, severe natural forest fire that burned our long-term study plots to test the response of ECM fungi to fire. We sampled the ECM spore bank using pine seedling bioassays and high-throughput sequencing before and after the California Rim Fire. We found that ECM spore bank fungi survived the fire and dominated the colonization of in situ and bioassay seedlings, but there were specific fire adapted fungi such as Rhizopogon olivaceotinctus that increased in abundance after the fire. The frequency of ECM fungal species colonizing pre-fire bioassay seedlings, post-fire bioassay seedlings and in situ seedlings were strongly positively correlated. However, fire reduced the ECM spore bank richness by eliminating some of the rare species, and the density of the spore bank was reduced as evidenced by a larger number of soil samples that yielded uncolonized seedlings. Our results show that although there is a reduction in ECM inoculum, the ECM spore bank community largely remains intact, even after a high-intensity fire. We used advanced techniques for data quality control with Illumina and found consistent results among varying methods. Furthermore, simple greenhouse bioassays can be used to determine which fungi will colonize after fires. Similar to plant seed banks, a specific suite of ruderal, spore bank fungi take advantage of open niche space after fires.</t>
  </si>
  <si>
    <t>Luo, Jing; Walsh, Emily; Groben, Glen; Justiniano, Brandon; Zhang, Ning</t>
  </si>
  <si>
    <t>Larger presence of ectomycorrhizae detected from pygmy pine ecotype in the fire-frequent pine barrens ecosystem</t>
  </si>
  <si>
    <t>MYCOLOGIA</t>
  </si>
  <si>
    <t>602</t>
  </si>
  <si>
    <t>613</t>
  </si>
  <si>
    <t>10.1080/00275514.2023.2234269</t>
  </si>
  <si>
    <t>Pine barrens ecosystem has acidic, sandy, and nutrient-poor soil and is prone to drought and fire. In the New Jersey Pine Barrens, the predominant pitch pine (Pinus rigida) consists of two ecotypes: the regular pitch pines with heights of 4.6-12 m, and the pygmy pines of low stature (1.2-1.8 m) in the New Jersey Pine Plains. Previous ecological studies suggested that the dwarf pines in the Pine Plains that are embedded within the Pine Barrens were an evolutionary adaptation to frequent fire. Pines are obligate ectomycorrhizal (EcM) mutualists, and their root mycobiota may contribute to stress protection and plant health. However, information on the mycobiota associated with plants in the pine barrens ecosystem is lacking. To have a holistic understanding of the evolution and adaptation in this stressed environment, we used both culture-independent metabarcoding and culture-based method to characterize the mycobiota from soil and root of the two ecotypes and to identify core mycobiota. We found that Agaricomycetes, Leotiomycetes, and Mucoromycotina are predominant fungi in the New Jersey Pine Barrens ecosystem, which is rich in root mutualistic fungi. We observed that the pygmy pine roots had significantly higher density of EcM tips than the regular pine roots. This was corroborated by our metabarcoding analysis, which showed that the pygmy pine trees had higher ratio of ectomycorrhiza-forming fungi than the regular-statured pines. We hypothesize that symbiotrophic EcM fungi associated with pygmy pines are capable of mitigating high fire stress in the Pine Plains.</t>
  </si>
  <si>
    <t>Bruns, T. D.; Kretzer, A. M.; Horton, T. R.; Stendell, E. A. D.; Bidartondo, M. I.; Szaro, T. M.</t>
  </si>
  <si>
    <t>Current investigations of fungal ectomycorrhizal communities in the Sierra National Forest.</t>
  </si>
  <si>
    <t>General Technical Report - Pacific Southwest Research Station, USDA Forest Service</t>
  </si>
  <si>
    <t>83</t>
  </si>
  <si>
    <t>89</t>
  </si>
  <si>
    <t>Progress on two main studies on fungal ectomycorrhizal communities in the Sierra National Forest is discussed. One study examined the short-term effects of ground fire on the ectomycorrhizal community and the other examined the ectomycorrhizal associates of snow plant (Sarcodes sanguinea). In the ground-fire study we found that a large initial reduction in ectomycorrhizal biomass is caused primarily by combustion of the upper organic layers; prefire dominants in the Russulaceae and Thelephoraceae are dramatically reduced; and species at greater depths appear to survive the fire. We speculate that fire causes a short-term increase in species evenness. In the field portion of the Sarcodes study, we found that Sarcodes is specialized on a single mycorrhizal associate, Rhizopogon ellenae; the presence of Sarcodes is associated with dense islands of R. ellenae; R. ellenae appears to be a minor below-ground component of the red fir (Abies magnifica) community in locations near but not immediately adjacent to Sarcodes plants; and the Abies magnifica ectomycorrhizal community is dominated by members of the Russulaceae and Thelephoraceae. From studies of Sarcodes-R. ellenae interactions under laboratory conditions, we report that seed germination is stimulated by isolates of R. ellenae, isolates of R. ellenae derived from Sarcodes and Abies roots are capable of forming mycorrhizae on pine (Pinus) roots, and we have achieved initial success in establishing a tripartite Sarcodes-Rhizopogon-Pinus association under laboratory conditions.</t>
  </si>
  <si>
    <t>Bidartondo, MI; Baar, J; Bruns, TD</t>
  </si>
  <si>
    <t>Low ectomycorrhizal inoculum potential and diversity from soils in and near ancient forests of bristlecone pine (&lt;i&gt;Pinus longaeva&lt;/i&gt;)</t>
  </si>
  <si>
    <t>293</t>
  </si>
  <si>
    <t>299</t>
  </si>
  <si>
    <t>10.1139/b01-006</t>
  </si>
  <si>
    <t>Intersite variation in ectomycorrhizal (ECM) inoculum potential in soils from 16 sites located in arid subalpine areas of the White Mountains of California was quantified. The study sites included valleys dominated by big sagebrush (Artemisia tridentata Nutt.) and mountainsides dominated by ancient Great Basin bristlecone pine (Pinus longaeva Bailey). ECM inoculum potential was not detected at three of four valley sites nor in 42% of forest soil samples. Only 10 mycorrhizal species were detected in bioassays, and four of those accounted for 94.5% of all colonized seedlings, in order of decreasing abundance these were Pyronemataceae sp., Rhizopogon sp., Wilcoxina rehmii Yang &amp; Korf, and Cenococcum sp. These species were identified also from in situ mycorrhizal roots. The abundance of the dominant Pyronemataceae sp. was significantly positively correlated with pH, which at all forest sites was high compared with typical conifer forest soils. Our results show that the ECM inoculum potential of soils is low, homogeneous, and spatially restricted in these ancient high-elevation forests.</t>
  </si>
  <si>
    <t>Lehmkuhl, JE; Gould, LE; Cázares, E; Hosford, DR</t>
  </si>
  <si>
    <t>Truffle abundance and mycophagy by northern flying squirrels in eastern Washington forests</t>
  </si>
  <si>
    <t>49</t>
  </si>
  <si>
    <t>65</t>
  </si>
  <si>
    <t>10.1016/j.foreco.2004.06.006</t>
  </si>
  <si>
    <t>Although much is known about truffle abundance and rodent mycophagy in mesic Douglas-fir forests in the Pacific Northwest, few data are available for dry interior montane forests dominated by ponderosa pine Pinus ponderosa), Douglas-fir (Pseudotsuga menziesii), and grand fir (Abies grandis). Our objective was to quantify the relationship between the abundance and diversity of ectomycorrhizal fungal sporocarps in the soil and in the diets of northern flying squirrels (Glaucomys sabrinus) in low-elevation forests of the eastern Washington Cascades. We randomly sampled four stands each of three cover types: dry open ponderosa pine, mesic young mixed-conifer forest, and mesic mature mixed-conifer forest. We sampled the soil for hypogeous sporocarps during the spring of 1999 and 2000. We collected fecal pellets from 318 flying squirrels live-trapped during the fall of 1997-2000. We sampled 2400 m(2) of soil surface and found truffles in 40% of 600 plots. Total biomass collected was 609 a. Spring truffle biomass on a kg/ha basis averaged 1.72 in open pine, 3.56 in young, and 4.11 in mature forest. Twenty-two species were collected across all cover types, with all but three species belonging to the Basidiomycotina. Eleven dominant species accounted for 91-94% of truffle biomass in each cover type. Four dominant species accounted for 60-70% of spring truffle biomass: Gautieria monticola, Hysterangium coriaceum, Rhizopogon parksii, and R. vinicolor. Truffle assemblages, richness and total biomass differed among cover types: richness and biomass were highest in young and mature mixed-conifer forest, and lowest in open ponderosa pine forest. Fall squirrel diets were composed of 23 genera or groups of fungi, plus about 22% plant material. Rhizopogon was the most abundant genus in the diet, followed by plant material, then Gautieria, Lencogaster. Alpova, and Hysterangium. Diets in different cover types were similar in the composition, richness, evenness, and the ratio of fungus to plant material. Diet richness varied over the study period. Nineteen truffle genera were detected in fall fecal samples versus 12 in spring soil samples. Management of low-elevation dry forest to maintain or restore stable fire regimes might reduce truffle diversity at stand scales by simplifying stand composition and structure; but, such management might increase long-term beta and landscape truffle diversity and persistence by reducing the occurrence of high-intensity fires and stabilizing inherent fire disturbance regimes. (C) 2004 Elsevier B.V. All rights reserved.</t>
  </si>
  <si>
    <t>Malysheva, E. F.; Malysheva, V. F.; Shchepin, O. N.; Novozhilov, Yu K.</t>
  </si>
  <si>
    <t>Wildfire Influence on Structure and Species Composition of Ectomycorrhizal Fungal Communities in Pine Forests in Northwest Russia: The Results of Metagenomic Analysis</t>
  </si>
  <si>
    <t>Mikologiya i Fitopatologiya</t>
  </si>
  <si>
    <t>328</t>
  </si>
  <si>
    <t>348</t>
  </si>
  <si>
    <t>10.1134/S0026364818050057</t>
  </si>
  <si>
    <t>A study was conducted to determine if composition of ectomycorrhizal fungi (ECM) in Scots pine (Pinus sylvestris) stands shifts following a chronosequence of regeneration stages after wildfire disturbance. The studied coniferous communities were located in Nizhne-Svirsky Nature Reserve. We established four study sites (A, B, C and D) including mature forest that has never been subjected to pyrogenic event in historic times. Fungal species were identified by direct sequencing of internal transcribed spacer region from root tips of P. sylvestris using NGS technology (Illumina MiSeq). A total of 151 fungal OTUs of generic and species levels were found, most of which (106) belonged to ECM fungi. The community of the earliest stage of regeneration demonstrated the highest species diversity of ECM fungi. In all sites the ECM fungal community was dominated by Cortinarius, Tricholoma, Russula, Phellodon, Suillus and Piloderma species. Atrophic strategy of several taxa (Entoloma rhodocylix, Galerina spp., Botryobasidium conspersum, Gymnopilus penetrans, Hyphodontia hastata, Lichenomphalia velutina, Mycena spp., Pholiota mixta, Rigidoporus sanguinolentus, Tricholomopsis rutilans), previously considered as saprotrophic, needs to be revised because they were repeatedly identified from mycorrhizal tips of P. sylvestris. It was shown that Oidiodendron species isolated from Pinus sylvestris mycorrhizal tips and well-known as symbionts of ericoid mycorrhizas can form a common mycelial network in plant community to bring together both trees and shrubs. Quantitative and qualitative analyses of the fungal OTUs assemblage in relation to the stage of forest regeneration after fire demonstrate that ECM fungal communities in studied area can survive the fire exposure without significant changes in their species composition.</t>
  </si>
  <si>
    <t>Wurzburger, Nina; Elliott, Katherine J.; Miniat, Chelcy Ford</t>
  </si>
  <si>
    <t>Forest mycorrhizal dominance depends on historical land use and nitrogen-fixing trees</t>
  </si>
  <si>
    <t>10.1111/1365-2664.14443</t>
  </si>
  <si>
    <t>1. Most forests are recovering from human land use, making it critical to understand the effect of disturbance on forest recovery. Forests of the eastern United States have a long history of land use, but it is unknown whether historical disturbances have contributed to their transition from ectomycorrhizal (ECM) to arbuscular mycorrhizal (AM) tree dominance. Disturbance may promote nitrogen (N)-fixing trees in early succession, which can elevate soil N availability even after they die. Higher soil N availability may facilitate the competitive success of AM trees over ECM trees, but such 'N fixer founder effects' have not been empirically tested.2. Here, we analysed data from three land-use disturbances in a temperate forest historically dominated by ECM trees: selective-cutting (ranging from 0 to 52 m(2)ha(-1)), clear-cutting and agricultural abandonment. These disturbances occurred at different times, but long-term data capture 3-7 decades of forest recovery.3. We found that the AM tree fraction in contemporary forests was 2, 4, and 6-fold higher following selective-cutting, clear-cutting and agricultural abandonment, respectively, compared to forest composition in 1934. Across these disturbances we also observed an increasing abundance of the N fixer black locust immediately following disturbance. Using a simulation model parameterized by data from black locust, we estimated historical rates of symbiotic N fixation to understand the relationship between N fixation and AM dominance in individual plots. We found that N fixation was positively associated with the growth of ECM trees generally, and oak and hickory specifically, only following light selective-cutting (&lt;12 or &lt;18 m(2)ha(-1) basal area extraction, respectively). Following higher levels of selective-cutting and clear-cutting, N fixation was positively associated with the growth of AM trees, particularly red maple and tulip poplar. Agricultural abandonment led to AM dominance regardless of N fixation rates.4. Synthesis and applications. Our findings suggest that common land use practices and black locust, a native N fixer, can reduce the dominance of ECM trees. If N fixers are likely to proliferate following disturbance, we might maintain ECM dominance by cutting trees at low densities and by applying prescribed fire to remove N.</t>
  </si>
  <si>
    <t>Rhoades, Charles C.; Fegel, Timothy S.; Zaman, Tahir; Fornwalt, Paula J.; Miller, Susan P.</t>
  </si>
  <si>
    <t>Are soil changes responsible for persistent slash pile burn scars in lodgepole pine forests?</t>
  </si>
  <si>
    <t>10.1016/j.foreco.2021.119090</t>
  </si>
  <si>
    <t>Pile burning is the most common method of logging residue disposal in Rocky Mountain forests. Though the high temperatures reached during burning affect numerous soil properties in the short term, the longer-term effects of the practice are less clear. We previously identified a 50-year time series of burn scars created after clear cut harvesting in lodgepole pine stands where we reported sparse tree colonization across the entire chronosequence. Here we analyzed soil nutrients and chemistry and conducted in situ and greenhouse seedling bioassays to determine whether edaphic factors or poor seedling performance explain the pattern. Pile burning had a lasting effect on soil pH, but nutrient availability was 2?3 times higher in burn scars compared to unburned forest soils for many constituents and planted pine seedlings had good survival and growth. However, seedling growth was slightly less in burn scars compared to unburned soils indicating suboptimal soil pH or other belowground factors may contribute to sparse tree colonization of the openings. For example, seedling survival and ectomycorrhizal fungi colonization were both lowest in the most recently created scars where soils were alkaline and improved with time as pH declined, suggesting gradual amelioration of post-fire growing conditions. Survival in burn scars was comparable for unprotected trees and those in protective mesh tubes, indicating that herbivory was not a significant impediment to seedling establishment. However, a preliminary study suggests that seed predation may have contributed to the low tree colonization into the openings. Though large burn pile scars may require soil rehabilitation, and soil changes may have a lasting effect on understory plant composition, we found that they were not a significant barrier to tree establishment in these moderate-size burn scars.</t>
  </si>
  <si>
    <t>PARKE, JL; LINDERMAN, RG; TRAPPE, JM</t>
  </si>
  <si>
    <t>INOCULUM POTENTIAL OF ECTOMYCORRHIZAL FUNGI IN FOREST SOILS OF SOUTHWEST OREGON AND NORTHERN CALIFORNIA</t>
  </si>
  <si>
    <t>300</t>
  </si>
  <si>
    <t>304</t>
  </si>
  <si>
    <t>Carmona-Yanez, Maria Dolores; Francos, Marcos; Miralles, Isabel; Soria, Rocio; Ahangarkolaee, Saeed Shahabi; Vafaie, Elahe; Zema, Demetrio Antonio; Lucas-Borja, Manuel Esteban</t>
  </si>
  <si>
    <t>Short-term impacts of wildfire and post-fire mulching on ecosystem multifunctionality in a semi-arid pine forest</t>
  </si>
  <si>
    <t>10.1016/j.foreco.2023.121000</t>
  </si>
  <si>
    <t>Straw and wood chips have been widely used as mulch materials to control post-fire erosion in burned forests. However, their effects on ecosystem multifunctionality (EMF) have been little explored. This information is essential to give forest managers insight about the effectiveness of these strategies for restoration of severely-burned forests. To fill this gap, this study has evaluated the short-term (one year after wildfire) changes in ecosystem properties (associated to soil characteristics), structure (linked to plant diversity), individual ecosystem functions, and EMF in a Mediterranean forest. This delicate ecosystem was burned by a wildfire and then mulched with straw or wood chips, and EMF in these conditions was compared to burned and untreated, and unburned sites. The results have shown that: (i) neither wildfire nor mulching significantly changed soil properties with the exception of pH; (ii) in contrast, ecosystem structure significantly declined in mulched plots due to wildfire, and mulching did not limit the alteration in species richness; (iii) among the analysed ecosystem functions, waste decomposition and nutrient cycling, which were significantly higher in unburned soils compared to burned sites, showed intermediate and similar values in mulched plots, while water cycle and wood production (the latter with the exception of unburned plots) were similar among all soil conditions, and climate regulation was significantly higher only in soils mulched with wood chips compared to burned sites; (iv) EMF increased from burned and untreated soils to unburned sites; (v) mulching was effective at limiting the reduction in EMF due to wildfire, but only partially dampened the impact of the fire. Moreover, the combined analysis of ecosystem properties, structure and functions, and EMF revealed that: (i) all functions, except water cycle, were associated to one or more soil or vegetation parameters; (ii) species community composition noticeably influ-enced several ecosystem functions, and, therefore, EMF; (iii) species richness is a key driver of wood production; (iv) pH, which was found as the most influential soil property on ecosystem functions and EMF, may be considered as an important ecological predictor of forest functions in basic soils of Mediterranean forests. This study may be of practical importance for policymakers and land managers about the most effective actions to preserve the ecosystem EMF in fragile ecosystems, such as the Mediterranean wildfire-affected forest.</t>
  </si>
  <si>
    <t>Buscardo, E.; Rodriguez-Echeverria, S.; Angelis, P. de; Freitas, H.</t>
  </si>
  <si>
    <t>Ectomycorrhizal communities in fire prone environments: essential partners for pinetrees re-establishment.</t>
  </si>
  <si>
    <t>Ecosistemas</t>
  </si>
  <si>
    <t>63</t>
  </si>
  <si>
    <t>Ectomycorrhizal (ECM) mutualistic associations between plants and fungi are obligatory component of most plant communities and play an important role in nutrient cycling and ecosystem functioning. ECM fungi, and in particular spore bank and other resistant propagules, are also involved in succession processes facilitating regeneration following disturbance events. Obligate ECM species in Mediterranean fire prone environments, in particular pine forests, are highly dependent on the presence of fungal inoculum for a successful succession establishment after fire events. ECM fungal communities can be affected by fires in different ways depending on fire characteristics and on predisturbance ecosystem conditions. Generally, the ECM community composition has a strong resemblance to the composition of the pre-fire spore bank community. This appears to be caused by survival of the soil spore bank of typical early-stage fungi, but other factors, which will be consider here, can shape the ECM community and thus the performance of pine seedlings.</t>
  </si>
  <si>
    <t>nota informativa?</t>
  </si>
  <si>
    <t>HARVEY, AE; LARSEN, MJ; JURGENSEN, MF</t>
  </si>
  <si>
    <t>DISTRIBUTION OF ECTOMYCORRHIZAE IN A MATURE DOUGLAS-FIR LARCH FOREST SOIL IN WESTERN MONTANA</t>
  </si>
  <si>
    <t>393</t>
  </si>
  <si>
    <t>398</t>
  </si>
  <si>
    <t>Rowlingson, Aidan; June, Selwyn R.; Lusk, Christopher H.</t>
  </si>
  <si>
    <t>Dynamics of southern beech (Nothofagaceae) stands in the lowland North Island of New Zealand</t>
  </si>
  <si>
    <t>NEW ZEALAND JOURNAL OF BOTANY</t>
  </si>
  <si>
    <t>227</t>
  </si>
  <si>
    <t>254</t>
  </si>
  <si>
    <t>10.1080/0028825X.2021.1998143</t>
  </si>
  <si>
    <t>In south-central Chile, the dynamics of southern beech (Nothofagaceae) stands vary predictably along climatic gradients. Beeches form persistent stands at high elevations, but their establishment on lowland sites depends mainly on catastrophic disturbances. In New Zealand, nearly all studies of beech forest dynamics to date have reported all-sized, persistent populations. However, previous work has focused largely on the South Island or on North Island mountains, where beeches are widespread and often dominant. Little is known about beech dynamics in the warm North Island lowlands, where beeches are less common. We aimed to clarify the circumstances that enable beeches to establish on lowland sites in the North Island. We measured population structures of beeches and associated species on 11 plots distributed across a range of climate, lithology and topography. On sites where the most shade-tolerant broadleaved trees were absent or uncommon, all-sized populations showed that beech regeneration did not depend on major disturbances. These stands were located mostly on steep faces or ridges with soil carbon:nitrogen ratios &gt; 18, usually with ericaceous understoreys. On sites with higher N availability, where shade-tolerant broadleaved trees were abundant, beech populations were generally sparser, with restricted age ranges. One of these +/- even-aged beech stands appeared to have established after windthrow, the other four after fires. Recent dieback of Weinmannia racemosa associated with insect attack had resulted in another wave of beech regeneration in one of the post-fire stands. Establishment on landslides appears to only rarely enable beeches to capture new sites in the lowland North Island. We conclude that beeches form stable self-replacing stands on lowland North Island sites with low nitrogen availability, but that exogenous disturbances occasionally enable beeches to establish as pioneers on sites with higher nitrogen availability. The early successionalrole commonly seen in lowland south-central Chile thus appears less widespread in New Zealand.</t>
  </si>
  <si>
    <t>Veselkin, D. V.; Sannikov, S. N.; Sannikova, N. S.</t>
  </si>
  <si>
    <t>Specific features of root system morphology and mycorrhiza formation in scots pine seedlings from burned-out areas</t>
  </si>
  <si>
    <t>RUSSIAN JOURNAL OF ECOLOGY</t>
  </si>
  <si>
    <t>139</t>
  </si>
  <si>
    <t>146</t>
  </si>
  <si>
    <t>10.1134/S1067413610020050</t>
  </si>
  <si>
    <t>Morphological parameters of the root system (the length of conducting roots and the number of absorbing roots) and the rate of its mycorrhization have been studied in one-year Scots pine seedlings from burned-out areas of cowberry-herb-green moss pine forest in the northern forest-steppe subzone of Western Siberia. The results show that the length of conducting roots in such seedlings increases, whereas the rate and density of mycorrhiza formation in absorbing roots decrease, compared to those in plants from unburned areas. The structure of underground organs in pine seedlings depends not only on fire intensity but also on the type of substrate in the burned-out area.</t>
  </si>
  <si>
    <t>Reverchon, Frederique; del Pilar Ortega-Larrocea, Maria; Perez-Moreno, Jesus</t>
  </si>
  <si>
    <t>Structure and diversity of ectomycorrhizal resistant propagules in &lt;i&gt;Pinus montezumae&lt;/i&gt; neotropical forests and implications for seedling establishment</t>
  </si>
  <si>
    <t>MYCOSCIENCE</t>
  </si>
  <si>
    <t>214</t>
  </si>
  <si>
    <t>223</t>
  </si>
  <si>
    <t>10.1016/j.myc.2014.06.005</t>
  </si>
  <si>
    <t>Ectomycorrhizal (ECM) fungal communities have been relatively poorly documented in neotropical forests. We analyzed the structure and diversity of the ECM resistant propagules present in the soil of Mexican neotropical forests dominated by Pinus montezumae. Soil samples were collected under mature P. montezumae, and microcosms were set up with bioassayed seedlings. The ECM propagules were formed by relatively few taxa that were evenly distributed across the sampled area. Some taxa, such as Rhizopogon spp. and Atheliaceae sp., formed an extensive mycelial system, which is likely to confer them with an advantage for seedling colonization. We also compared the species composition of the ECM propagules with the ECM communities previously assessed on the roots of seedlings and adult trees. They were represented by different taxa, although similarity analyses did not detect differences in species occurrence. Only two taxa, belonging to the Atheliaceae family, were shared between field and bioassayed seedlings, whereas 12 taxa were common to field seedlings and adult trees. The lower similarity between bioassayed and field seedlings suggests that fungal taxa found as resistant propagules are not active in mycelial networks in field conditions and that mycorrhizal network-mediated colonization may be prevalent in this neotropical forest. (C) 2014 The Mycological Society of Japan. Published by Elsevier B.V. All rights reserved.</t>
  </si>
  <si>
    <t>Pace, Marine; Fenton, Nicole J.; Pare, David; Stefani, Franck O. P.; Massicotte, Hugues B.; Tackaberry, Linda E.; Bergeron, Yves</t>
  </si>
  <si>
    <t>Lichens Contribute to Open Woodland Stability in the Boreal Forest Through Detrimental Effects on Pine Growth and Root Ectomycorrhizal Development</t>
  </si>
  <si>
    <t>189</t>
  </si>
  <si>
    <t>201</t>
  </si>
  <si>
    <t>10.1007/s10021-018-0262-0</t>
  </si>
  <si>
    <t>In the boreal forest, open lichen woodlands have been described as an alternative stable state to closed-crown feather moss forest. In this study, we addressed the role of terricolous lichens in stabilizing open woodlands by hindering tree regeneration and/or growth. Based on field and greenhouse experiments, we compared germination and growth of jack pine (Pinus banksiana) on feather mosses (primarily Pleurozium schreberi) and lichens (primarily Cladonia stellaris), using bare mineral soil as a control. Drivers were investigated by (1) manipulating nutrient supply, (2) simulating shade of a closed canopy on the ground layer with the assumption this would mitigate lichen influence on pine growth, and (3) examining pine root ectomycorrhizal colonization and diversity as indicators of pine ability to take up nutrients. Total growth of 6-month-old greenhouse and 2-3-year-old field seedlings, as well as belowground growth of 2-year-old greenhouse seedlings, was significantly greater in moss than in lichen. Seed germination was not affected by ground cover type. Although field phosphorus and base cation availability was greater in mosses than in lichens, fertilization did not entirely compensate for the negative effects of lichens on pine growth in the greenhouse. Ground layer shading had no impact on pine growth. Lichens were associated with reduced abundance and modified composition of the root ectomycorrhizal community. By suggesting that terricolous lichens constitute a less favorable growth substrate than mosses for pine, our results support the hypothesis that lichens contribute to open woodland stability in the potentially closed-crown feather moss forest.</t>
  </si>
  <si>
    <t>Dickie, I. A.; Dentinger, B. T. M.; Avis, P. G.; McLaughlin, D. J.; Reich, P. B.</t>
  </si>
  <si>
    <t>Ectomycorrhizal fungal communities of oak savanna are distinct from forest communities</t>
  </si>
  <si>
    <t>473</t>
  </si>
  <si>
    <t>483</t>
  </si>
  <si>
    <t>10.3852/08-178</t>
  </si>
  <si>
    <t>Oak savanna is one of the most endangered ecosystems of North America, with less than 0.02% of its original area remaining. Here we test whether oak savanna supports a unique community of ectomycorrhizal fungi, a higher diversity of ectomy-corrhizal fungi or a greater proportional abundance of ascomycete fungi compared with adjacent areas where the absence of fire has resulted in oak savanna conversion to oak forest. The overall fungal community was highly diverse and dominated by Cenococcum geophilum and other ascomycetes, Cortinarius, Russula, Lactarius and Thelephoraceae. Oak savanna mycorrhizal communities were distinct from oak forest communities both aboveground (sporocarp surveys) and belowground (RFLP identification of ectomycorrhizal root tips); however total diversity was not higher in oak savanna than oak forests and there was no evidence of a greater abundance of ascomycetes. Despite not having a higher local diversity than oak forests, the presence of a unique fungal community indicates that oak savanna plays an important role in maintaining regional ectomycorrhizal diversity.</t>
  </si>
  <si>
    <t>Stottlemyer, Aaron D.</t>
  </si>
  <si>
    <t>Ecosystem responses to fuel reduction treatments in stands killed by southern pine beetle</t>
  </si>
  <si>
    <t>Malysheva, Ekaterina F.; Malysheva, Vera F.; Kovalenko, Alexander E.; Pimenova, Elena A.; Gromyko, Michael N.; Bondarchuk, Svetlana N.; Voronina, Elena Yu.</t>
  </si>
  <si>
    <t>Below-ground ectomycorrhizal community structure in the postfire successional &lt;i&gt;Pinus koraiensis&lt;/i&gt; forests in the central Sikhote-Alin (the Russian Far East)</t>
  </si>
  <si>
    <t>Botanica Pacifica</t>
  </si>
  <si>
    <t>19</t>
  </si>
  <si>
    <t>31</t>
  </si>
  <si>
    <t>10.17581/bp.2016.05102</t>
  </si>
  <si>
    <t>This study focuses at the effect of forest fire on the extent of ectomycorrhizal (EcM) colonization of Pinus koraiensis. The EcM fungal diversity was estimated directly from mycorrhizas using molecular techniques. The revealed EcM fungal community was highly diverse, with 110 operational taxonomic units detected. The members of Russulaceae and Thelephoraceae were among the most dominant species in both the fire and control sites. The most diverse basidiomycete EcM genera at the burned sites were Tomentella, Russula, Piloderma, Inocybe, Suillus, Sebacina and Lactarius. Mycorrhizal colonization was found to be high for seedlings grown at the burned and the unburned sites. However, there was a rather significant shift between sites in terms of the taxonomic composition of EcM symbionts as well as the dominant fungal species. A vertical stratification of EcM fungal diversity at the control site and the sites of later succession stages was found to be more leveled. The results of the study indicate that EcM fungi apparently play an important role in the processes of regeneration of natural forest stands after fire at the studied area.</t>
  </si>
  <si>
    <t>Makoto, K.; Tamai, Y.; Kim, Y. S.; Koike, T.</t>
  </si>
  <si>
    <t>Buried charcoal layer and ectomycorrhizae cooperatively promote the growth of Larix gmelinii seedlings</t>
  </si>
  <si>
    <t>PLANT AND SOIL</t>
  </si>
  <si>
    <t>143</t>
  </si>
  <si>
    <t>152</t>
  </si>
  <si>
    <t>10.1007/s11104-009-0040-z</t>
  </si>
  <si>
    <t>Charcoal produced by fire on the soil surface mixes into the soil over time and is heterogeneously distributed within the soil profile in post-fire forests. To determine how different patterns of vertical distribution of charcoal and ectomycorrhizal formation affect the growth of Larix gmelinii (Gmelin larch) in post-fire forests, we conducted a model experiment in the pots. In this study, pots with a layer of charcoal in the middle of the soil profile promoted growth of the root system of the seedlings significantly more than did pots with no charcoal or with charcoal scattered throughout the soil. Along with the development of the root system, above-ground biomass and total biomass were also increased. Furthermore, in addition to the positive effects of charcoal in the soil, there were also strong positive effects on the growth of seedlings from ectomycorrhizal root formation. As a result, the largest above-ground biomass and total biomass were found for seedlings grown in layered charcoal with ectomycorrhizae. Furthermore, the highest phosphorus concentration in needles was also found for seedlings grown in layered charcoal with ectomycorrhizae. This is attributable to the frequent contact of roots with charcoal in the middle layer of the soil and the utilisation of phosphate by ectomycorrhizae. This suggests that buried and layered charcoal occurring in patches in post-fire stands may provide a suitable habitat for the growth of Gmelin larch seedlings.</t>
  </si>
  <si>
    <t>Longo, M. Silvana; Urcelay, Carlos; Nouhra, Eduardo</t>
  </si>
  <si>
    <t>Long term effects of fire on ectomycorrhizas and soil properties in &lt;i&gt;Nothofagus pumilio&lt;/i&gt; forests in Argentina</t>
  </si>
  <si>
    <t>354</t>
  </si>
  <si>
    <t>10.1016/j.foreco.2011.03.041</t>
  </si>
  <si>
    <t>The forests of Nothofagus pumilio have historically been affected by forest fires. The effects of fire on certain above and belowground, biotic and abiotic components of these ecosystems have been previously documented, albeit belowground components have received much less attention. It has been suggested that the effects observed in the short-term after a fire usually differ from the longer-term effects. The long-term effects of fire (i.e. &gt;5 years after burning) on belowground components in Nothofagus forests are currently unknown. In the present study we evaluated the long-term effect of fire on ectomycorrhiza (ECM) colonization and morphotype composition in N. pumilio roots, as well as soil chemical properties in temperate forests in Patagonia. Sampling was conducted in three mature monospecific forests. In each, nearby burned and unburned sites were selected. The time since the occurrence of fires differed between areas (i.e. 6-10 years). Within each site, 3 transects of 40 m were established randomly along which 5 samples of roots and soil were collected in spring and autumn. The main results were: (1) in comparison with the unburned site, ECM colonization was lower in the burned site in the area with the shorter time length since fire occurrence and no effects in the other two areas were observed; (2) richness and diversity were not significantly affected by fire but there was a significant effect of season for both parameters, being higher in spring; (3) ECM dominance was significantly higher in the unburned than in the burned site in Tronador, while in Challhuaco the opposite was observed, mainly in autumn; (4) in general carbon, nitrogen and phosphorous decreased while pH increased in the burned sites; (5) ECM colonization positively correlated with NH4+ and phosphorus and negatively with pH but was not significantly correlated with organic matter or any other soil variable. Altogether the results suggest that effects of fire on ectomycorrhiza and soil properties in N. pumilio forests are probably related to the time elapsed since fire occurrence combined with site characteristics. In addition, the direct and indirect effects of fire in these forest systems may persist for more than 10 years. (C) 2011 Elsevier B.V. All rights reserved.</t>
  </si>
  <si>
    <t>Miller, SL; McClean, TM; Stanton, NL; Williams, SE</t>
  </si>
  <si>
    <t>Mycorrhization, physiognomy, and first-year survivability of conifer seedlings following natural fire in Grand Teton National Park</t>
  </si>
  <si>
    <t>122</t>
  </si>
  <si>
    <t>10.1139/cjfr-28-1-115</t>
  </si>
  <si>
    <t>Ectomycorrhiza formation, survivability, and physiognomic characteristics were assessed for conifer seedlings encountered 1 and 2 years postfire in the Huck burn site near Grand Teton National Park. Pinus contorta Dougl. ex Loud. germinated and was abundant throughout the first growing season. Abies lasiocarpa (Hook.) Nutt. germinated during May and June but was rarely encountered by September. First-year survivorship of P. contorta seedlings was about 50% for east-facing burn and edge and west-facing burn treatments. Mortality was higher in the west-facing edge treatment at about 64%. Pinus contorta seedlings collected in July and August had allocated approximately 75% more biomass to epicotyl production than to hypocotyl production, whereas by September seedlings had allocated 30-50% of their biomass to hypocotyls, regardless of site or treatment. Few or no ectomycorrhizae were formed until September. By September 100% of surviving seedlings were ectomycorrhizal. The number of ectomycorrhizae was positively correlated with the number of primary needles and the root/shoot ratio. These results highlight the importance of mycorrhizae to conifer seedling survival during the initial growing season and point to alteration of carbon allocation as a primary mechanism affecting seedling survival.</t>
  </si>
  <si>
    <t>Thiet, Rachel Kay</t>
  </si>
  <si>
    <t>Soil microbial community pattern and process: Impacts on vascular plant communities in three ecosystems of high conservation value</t>
  </si>
  <si>
    <t xml:space="preserve">NO </t>
  </si>
  <si>
    <t>Dickie, Ian A.; Bolstridge, Nicola; Cooper, Jerry A.; Peltzer, Duane A.</t>
  </si>
  <si>
    <t>Co-invasion by &lt;i&gt;Pinus&lt;/i&gt; and its mycorrhizal fungi</t>
  </si>
  <si>
    <t>475</t>
  </si>
  <si>
    <t>484</t>
  </si>
  <si>
    <t>10.1111/j.1469-8137.2010.03277.x</t>
  </si>
  <si>
    <t>P&gt;The absence of co-evolved mutualists of plants invading a novel habitat is the logical corollary of the more widely recognized 'enemy escape'. To avoid or overcome the loss of mutualists, plants may co-invade with nonnative mutualists, form novel associations with native mutualists or form associations with native cosmopolitan mutualists, which are native but not novel to the invading plant.We tested these hypotheses by contrasting the ectomycorrhizal fungal communities associated with invasive Pinus contorta in New Zealand with co-occurring endemic Nothofagus solandri var. cliffortioides.Fungal communities on Pinus were species poor (14 ectomycorrhizal species) and dominated by nonnative (93%) and cosmopolitan fungi (7%). Nothofagus had a species-rich (98 species) fungal community dominated by native Cortinarius and two cosmopolitan fungi.These results support co-invasion by mutualists rather than novel associations as an important mechanism by which plants avoid or overcome the loss of mutualists, consistent with invasional meltdown.</t>
  </si>
  <si>
    <t>Fujimura, KF; Smith, JE; Horton, TR; Weber, NS; Spatafora, JW</t>
  </si>
  <si>
    <t>Pezizalean mycorrhizas and sporocarps in ponderosa pine (&lt;i&gt;Pinus ponderosa&lt;/i&gt;) after prescribed fires in eastern Oregon, USA</t>
  </si>
  <si>
    <t>79</t>
  </si>
  <si>
    <t>86</t>
  </si>
  <si>
    <t>10.1007/s00572-004-0303-8</t>
  </si>
  <si>
    <t>Post-fire Pezizales fruit commonly in many forest types after fire. The objectives of this study were to determine which Pezizales appeared as sporocarps after a prescribed fire in the Blue Mountains of eastern Oregon, and whether species of Pezizales formed mycorrhizas on ponderosa pine, whether or not they were detected from sporocarps. Forty-two sporocarp collections in five genera (Anthracobia, Morchella, Peziza, Scutellinia, Tricharina) of post-fire Pezizales produced ten restriction fragment length polymorphism (RFLP) types. We found no root tips colonized by species of post-fire Pezizales fruiting at our site. However, 15% (6/39) of the RFLP types obtained from mycorrhizal roots within 32 soil cores were ascomycetes. Phylogenetic analyses of the 18S nuclear ribosomal DNA gene indicated that four of the six RFLP types clustered with two genera of the Pezizales, Wilcoxina and Geopora. Subsequent analyses indicated that two of these mycobionts were probably Wilcoxina rehmii, one Geopora cooperi, and one Geopora sp. The identities of two types were not successfully determined with PCR-based methods. Results contribute knowledge about the above- and below-ground ascomycete community in a ponderosa pine forest after a low intensity fire.</t>
  </si>
  <si>
    <t>Ksentini, Hana; Arifa, Beddiar; Amel, Meddad-Hamza</t>
  </si>
  <si>
    <t>Degradation of mycorrhizal fungal communities associated with cork oak and understory vegetation by the anthropogenic factors.</t>
  </si>
  <si>
    <t>Folia Forestalia Polonica. Series A, Forestry</t>
  </si>
  <si>
    <t>184</t>
  </si>
  <si>
    <t>194</t>
  </si>
  <si>
    <t>10.2478-ffp-2022-0018</t>
  </si>
  <si>
    <t>The cork oak (Quercus suber L.) forests are ecosystems of high environmental and socioeconomic value in the Mediterranean basin. However, in Algeria, the cork oak forests are highly threatened by repeated fires, overgrazing and the anthropogenic pressure that weaken the ecosystem of cork oak and affect its natural regeneration. This degradation results in an alteration of many ecological components of the cork oak, such as fungal communities in the soil. Thus, the aim of this work is to study the effects of cork oak stand degradation on the diversity of mycorrhizal communities associated with Quercus suber and some of its understory shrubs (Cistus monspeliensis, Lavandula stoechas and Thymus vulgaris) in the forest of Brabtia (northeastern Algeria). For this purpose, two sites were chosen: one degraded by the anthropogenic factors and the other non-degraded one. Moreover, it is suggested that some plants of the understory shrub vegetation of cork oak, such as the cistus, lavender and thyme, prove to be favourable to the juvenile growth of this tree. The results obtained showed that the ectomycorrhizal (EcM) root colonization of cistus was higher compared to that of cork oak in both stations. The estimation of arbuscular mycorrhizal (AM) colonization showed significantly higher levels in the roots of cork oak, cistus, lavender and thyme in the degraded station compared with the nondegraded stations. In contrast, the rhizosphere soils of cork oak and cistus had low number of AM propagules and fungal spores, while under the roots of lavender and thyme, these two parameters were greatly improved with the abundance of the genera Glomus and Gigaspora. These results underline the need to take into account the plant-fungus interactions in the development of restoration strategies of the degraded soils and forest ecosystems.</t>
  </si>
  <si>
    <t>Fowler, Julie A.; Nelson, Amelia R.; Bechtold, Emily K.; Paul, Raegan; Wettengel, Alexandra M.; McNorvell, Michael A.; Stevens-Rumann, Camille S.; Fegel, Timothy S.; Anderson, Erik; Rhoades, Charles C.; Wilkins, Michael J.</t>
  </si>
  <si>
    <t>Pile burns as a proxy for high severity wildfire impacts on soil microbiomes</t>
  </si>
  <si>
    <t>GEODERMA</t>
  </si>
  <si>
    <t>10.1016/j.geoderma.2024.116982</t>
  </si>
  <si>
    <t>Wildfires in the western US are increasing in frequency, size, and severity. These disturbances alter soil microbiome structure and function, with greater fire severity leading to more pronounced impacts to bacterial, archaeal, and fungal communities. These changes have implications for the provisioning of microbially-mediated ecosystem services (e.g., carbon sequestration, clean water supplies) typically associated with forested watersheds. Challenges in sampling wildfire-impacted areas immediately post-burn have limited our assessment of short-term (i.e., days to weeks) changes in the soil microbiome and understanding of how microbial populations may influence post-fire biogeochemistry and ecosystem recovery. The identification of potential high severity wildfire proxies may help address some of these knowledge gaps. One potential proxy is pile burns scars, which are produced from a set of common techniques for fuel disposal and site preparation in conifer forests throughout the western US and beyond. We sampled depth-resolved layers from fire-impacted soil and combusted litter and woody materials in a series of recent pile burn scars near West Yellowstone, Montana and nearby unburned mineral soil controls to assess whether the pile burn scars exhibited microbial signatures characteristic of forest soils impacted by recent high severity wildfire. Changes in soil carbon and nitrogen chemistry and patterns of microbial alpha and beta diversity broadly aligned with those observed following wildfire, particularly the enrichment of so-called 'pyrophilous' taxa. Furthermore, many of the taxa enriched in burned soils likely encoded putative traits that benefit microorganisms colonizing these environments, such as the potential for fast growth or utilization of pyrogenic carbon substrates. We suggest that pile burn scars may represent a useful proxy along the experimental gradient from muffle furnace or pyrocosm studies to largescale prescribed burns in the field to advance understanding of the soil (and related layers, like ash) microbiome following high severity wildfires, particularly when coupled with experimental manipulation. Finally, we discuss existing research gaps that experimentally manipulated pile burns could be utilized to address.</t>
  </si>
  <si>
    <t>Al-Sayegh Petkovsek, S.</t>
  </si>
  <si>
    <t>Mycorrhizal potential of two differently polluted forest sites in the emission region of the Sostanj thermal power plant.</t>
  </si>
  <si>
    <t>323</t>
  </si>
  <si>
    <t>350</t>
  </si>
  <si>
    <t>The potential of ectomycorrhizal fungi to form mycorrhizas with Picea abies was tested using soil collected in 1993-94 from sites polluted or relatively unpolluted by the Sostanj coal-fired power station in Slovenia. Results showed that the mycorrhizal potential was higher in the less-polluted region, and the root system was more developed on seedlings grown in soil from this region. There were no differences in the number of ectomycorrhiza types between seedlings grown on soil from the polluted or less-polluted soil.</t>
  </si>
  <si>
    <t>CLEAR-CUT HARVESTING AND ECTOMYCORRHIZAE - SURVIVAL OF ACTIVITY ON RESIDUAL ROOTS AND INFLUENCE ON A BORDERING FOREST STAND IN WESTERN MONTANA</t>
  </si>
  <si>
    <t>10.1139/x80-051</t>
  </si>
  <si>
    <t>Low numbers of active ectomycorrhizal roots persisted until July in forest stands [Douglas fir and larch] that had been clearcut the preceding Oct. Two years after clearcutting, active ectomycorrhizal roots supported by an adjacent, uncut stand were found only 1.5 m into a clearcut, broadcast burned area. Effects of the clearcut burn reduced ectomycorrhizal activity for at least 7.6 m into the adjacent uncut stand. Taking advantage of the residual ectomycorrhizal mycelium in fall clearcuts requires that outplanting must be accomplished before July of the following season. Active fungal mycelium from roots of an adjacent stand will be of limited help to the rapid establishment of ectomycorrhizae on tree regeneration in broadcast burned clearcuts.</t>
  </si>
  <si>
    <t>Krajnakova, Jana; Haggman, Hely</t>
  </si>
  <si>
    <t>Somatic Embryogenesis of &lt;i&gt;Abies cephalonica&lt;/i&gt; Loud.</t>
  </si>
  <si>
    <t>In Vitro Embryogenesis  in Higher Plants</t>
  </si>
  <si>
    <t>417</t>
  </si>
  <si>
    <t>430</t>
  </si>
  <si>
    <t>10.1007/978-1-4939-3061-6_22</t>
  </si>
  <si>
    <t>Greek fir (Abies cephalonica Loudon) belongs to the Mediterranean fir species and is widely distributed in the mountains of Central and Southern Greece. Considering a climatic scenario, infestation by pathogens or insects and fire episodes, it has been proposed that Mediterranean firs could be in danger in some parts of their present range but, on the other hand, could also replace other species in more northern zones with temperate humid climates (e.g., silver fir, Abies alba Mill.). As fir species are generally highly productive and therefore important for commercial forestry, they have traditionally been involved in conventional tree improvement programs. A lot of effort has been put into the development of vegetative propagation methods for firs, in order to rapidly gain the benefits of traditional breeding to be utilized in reforestation. The present paper provides up to date information on protocols for somatic embryogenesis (i.e., the most promising in vitro method for vegetative propagation) of Greek fir. Moreover, the protocols for cryopreservation and long-term storage of embryogenic material are described as well.</t>
  </si>
  <si>
    <t>Helm, DJ; Allen, EB; Trappe, JM</t>
  </si>
  <si>
    <t>Plant growth and ectomycorrhiza formation by transplants on deglaciated land near Exit Glacier, Alaska</t>
  </si>
  <si>
    <t>297</t>
  </si>
  <si>
    <t>10.1007/s005720050250</t>
  </si>
  <si>
    <t>Ectomycorrhiza (EM) formation on plant roots in successional communities may vary with plant species, plant age, and age of vegetation after disturbance. To evaluate differences in mycorrhizal fungus communities on roots of same-aged seedlings across a deglaciated chronosequence, indoor-grown bioassay plants of four dominant species Epilobium latifolium L. (dwarf fireweed), Populus balsamifera ssp. trichocarpn (Torr.&amp;Gray) Hult. (black cottonwood), Alnus sinuata (Regel) Rydb. (Sitka alder), and Picea sitchensis (Bong,) Carr. (Sitka spruce) were transplanted into five successional stages (Barren, Isolated Plant, Patchy, Alder, and Cottonwood) following deglaciation near Exit Glacier, Alaska. The species were selected for their successional status and mycorrhiza formation potential [EM or arbuscular mycorrhiza (AM) or both]. Seedlings were transplanted in June 1992, and half were harvested at the ends of the two subsequent growing seasons. The EM communities on P. balsamifera differed across the chronosequence while those of the other species did not. Morphotype B dominated the EM on P. balsamifera after the Barren stage, and the greatest EM colonization was in the Isolated Plant and Patchy stages. No AM were found. The EM observed on even-aged seedlings in this study were a subset of the EM found on naturally occurring plants (seedlings to mature trees) in a prior study, and some were common to multiple plane species. Most plant growth responses were not significant across stages or were inconsistent among plant species.</t>
  </si>
  <si>
    <t>Orumaa, Argo; Agan, Ahto; Anslan, Sten; Drenkhan, Tiia; Drenkhan, Rein; Kauer, Karin; Koster, Kajar; Tedersoo, Leho; Metslaid, Marek</t>
  </si>
  <si>
    <t>Long-term effects of forest fires on fungal community and soil properties along a hemiboreal Scots pine forest fire chronosequence</t>
  </si>
  <si>
    <t>SCIENCE OF THE TOTAL ENVIRONMENT</t>
  </si>
  <si>
    <t>10.1016/j.scitotenv.2022.158173</t>
  </si>
  <si>
    <t>We studied long-term effects of forest fires on the dynamics of soil fungal community along a post-fire chronosequence in hemiboreal Scots pine stands in north-western Estonia. Effects of fire on soil and fungi were studied on six sites that differed in time since fire (10, 21, 36, 67, 78 and 181 years ago), without further management interventions. Soil fungal communi-ties along the chronosequence were dominated by soil saprotrophs and ectomycorrhizal (EcM) fungi. Across the chronosequence, the most dominant phylum was Ascomycota. The most abundant OTUs were identified as Umbelopsis sp., Hyaloscyphaceae sp. and Pezoloma ericae with relative abundances of 9.5, 8.9 and 6.8 %, respectively. Fungal species richness was similar among sample areas except in the area where fire occurred 36 years ago, where it was significantly lower. There were considerable differences in EcM fungal species composition along the chronosequence. The most re-cently burned site had Piloderma sphaerosporum, Pseudotomentella sp. and Clavulinaceae sp. as most abundant EcM OTUs while in three oldest burned areas Clavulinaceae sp. and Cortinarius sp. were abundant. Soil C and N stocks were lower in the most recently burned area but differences with other areas were not statistically significant. Soil pH had a significant effect on fungal species composition. Older areas had substantially lower pH compared to more recently burned areas.</t>
  </si>
  <si>
    <t>Southworth, Darlene; Donohue, Jessica; Frank, Jonathan L.; Gibson, Jennifer</t>
  </si>
  <si>
    <t>Mechanical mastication and prescribed fire in conifer-hardwood chaparral: differing responses of ectomycorrhizae and truffles</t>
  </si>
  <si>
    <t>INTERNATIONAL JOURNAL OF WILDLAND FIRE</t>
  </si>
  <si>
    <t>888</t>
  </si>
  <si>
    <t>896</t>
  </si>
  <si>
    <t>10.1071/WF10033</t>
  </si>
  <si>
    <t>Fire-prone hardwood-conifer chaparral comprises a significant component of vegetation in seasonally dry areas where prescribed burns of standing vegetation are limited by air-quality restrictions and narrow climatic opportunities for burning. Mechanical mastication is used by land managers to reduce aerial fuels. When burned, the dry masticated slash layer may result in prolonged soil heating, particularly of the upper soil layers, which contain ectomycorrhizal roots and seasonal truffles (hypogeous fungal sporocarps). The purpose of this study was to examine the effects of mechanical mastication followed by prescribed fire on ectomycorrhizae and truffles. We treated blocks with mechanical mastication only, mechanical mastication followed by prescribed fire, prescribed fire only, and no treatment. Five years after the prescribed burn, soils with ectomycorrhizal roots were sampled at the canopy dripline of Pinus attenuata and Quercus kelloggii and surveyed for truffles. Ectomycorrhizae and truffles were described by morphology and by DNA sequences of the internal transcribed spacer region. Ectomycorrhizal communities did not differ among treatments. However, burning reduced the abundance and species richness of truffles in both controls and masticated vegetation. We conclude that prescribed burning of mechanically masticated slash does not harm ectomycorrhizal communities, but does inhibit fruiting of truffles.</t>
  </si>
  <si>
    <t>Bonito, Gregory; Smith, Matthew E.; Brenneman, Timothy; Vilgalys, Rytas</t>
  </si>
  <si>
    <t>Assessing ectomycorrhizal fungal spore banks of truffle producing soils with pecan seedling trap-plants</t>
  </si>
  <si>
    <t>357</t>
  </si>
  <si>
    <t>366</t>
  </si>
  <si>
    <t>10.1007/s11104-012-1127-5</t>
  </si>
  <si>
    <t>Recently, the truffle species Tuber lyonii Butters was found to be dominant in ectomycorrhizal (EcM) fungal communities of cultivated pecan (Carya illinoinensis (Wangenh.) K. Koch). Many truffle fungi exhibit the trait of effectively colonizing plant roots via spores. We hypothesized that T. lyonii would be well represented in the spore bank of pecan orchard soils where it is found.We used axenically-grown pecan seedlings as trap-plants to bait for EcM associates in soils collected beneath truffle-producing pecan trees. EcM fungi on seedlings were characterized through rDNA sequencing and were compared to EcM communities of adult trees in these orchards.Tuber lyonii mycorrhizas were well formed on seedlings inoculated with truffle spores, but were limited to just a few of the trap-plants grown in field soils. We compared EcM communities of adult pecan orchard trees to those on trap-plants and found distinct communities on each, with a high degree of similarity at the ordinal but not species level.Although species of Pezizales are abundant in pecan EcM communities and as propagules in their soil spore banks, only a low level of T. lyonii was detected in soil spore banks beneath orchard trees naturally colonized by T. lyonii. Other factors including land-use history or orchard management may better explain this truffle species presence and abundance in pecan EcM communities.</t>
  </si>
  <si>
    <t>Horton, Thomas Roscoe</t>
  </si>
  <si>
    <t>The below ground view of ectomycorrhizal fungi in three conifer communities</t>
  </si>
  <si>
    <t>Franco-Manchon, Ivan; Salo, Kauko; Andres Oria-de-Rueda, Juan; Antonio Bonet, Jose; Martin-Pinto, Pablo</t>
  </si>
  <si>
    <t>Are Wildfires a Threat to Fungi in European Pinus Forests? A Case Study of Boreal and Mediterranean Forests</t>
  </si>
  <si>
    <t>10.3390/f10040309</t>
  </si>
  <si>
    <t>Natural forests and plantations of Pinus are ecologically and economically important worldwide, producing an array of goods and services, including the provision of non-wood forest products. Pinus species play an important role in Mediterranean and boreal forests. Although Pinus species seem to show an ecological adaptation to recurrent wildfires, a new era of mega fires is predicted, owing to climate changes associated with global warming. As a consequence, fungal communities, which are key players in forest ecosystems, could be strongly affected by these wildfires. The aim of this study was to observe the fungal community dynamics, and particularly the edible fungi, in maritime (Pinus pinaster Ait.), austrian pine (Pinus nigra J.F. Arnold), and scots pine (Pinus sylvestris L.) forests growing under wet Mediterranean, dry Mediterranean, and boreal climatic conditions, respectively, by comparing the mushrooms produced in severely burned Pinus forests in each area. Sporocarps were collected during the main sampling campaigns in non-burned plots, and in burned plots one year and five years after fire. A total of 182 taxa, belonging to 81 genera, were collected from the sampled plots, indicating a high level of fungal diversity in these pine forests, independent of the climatic conditions. The composition of the fungal communities was strongly affected by wildfire. Mycorrhizal taxa were impacted more severely by wildfire than the saprotrophic taxa, particularly in boreal forestsno mycorrhizal taxa were observed in the year following fire in boreal forests. Based on our observations, it seems that fungal communities of boreal P. sylvestris forests are not as adapted to high-intensity fires as the Mediterranean fungal communities of P. nigra and P. pinaster forests. This will have an impact on reducing fungal diversity and potential incomes in rural economically depressed areas that depend on income from foraged edible fungi, one of the most important non-wood forest products.</t>
  </si>
  <si>
    <t>Menkis, Audrius; Lygis, Vaidotas; Burokiene, Daiva; Vasaitis, Rimvydas</t>
  </si>
  <si>
    <t>Establishment of Ectomycorrhiza-inoculated &lt;i&gt;Pinus sylvestris&lt;/i&gt; Seedlings on Coastal Dunes following a Forest Fire</t>
  </si>
  <si>
    <t>BALTIC FORESTRY</t>
  </si>
  <si>
    <t>33</t>
  </si>
  <si>
    <t>Replanting of coastal dunes following forest fires often result in low seedling survival, as the site is characterized by loose sand, low water and nutrient availability, lack of ectomycorrhizal (ECM) inoculum and increased susceptibility to insects and diseases. The aim of the present work was to check whether certain treatments of root systems have any impact on Pinus sylvestris seedling establishment as compared with standard planting procedures. Treatments included: i) inoculation with vegetative mycelium of Cenococcum geophilum (CGV); ii) inoculation with vegetative mycelium of Suillus luteus (SLV); moreover, in each of those two treatments damp sphagnum peat / sand mixture was added to roots upon planting; iii) inoculation with basidiospores of S. luteus applied during preceding growing season in the nursery (SLB), and iv) standard planting, no treatment (control). A two hectare experimental plantation of P. sylvestris was established in the spring of 2007 on coastal dunes of the Curonian Spit in western Lithuania on a site of approx.100 year-old Pinus mugo plantation that one year previously was devastated by a forest fire and clear cut. The three treatments and control, comprising 2,500 seedlings each, were planted in rows as 16 replicates (5000 seedlings /ha). Results showed that after the first growing season seedling survival was poor in all treatments (5.1 - 30.0%), but seedlings in CGV, SLV and SLB showed respectively 591%, 533% and 196% better survival than no-treatment controls. Thus, inoculations with vegetative mycelia and addition of peat/sand mixture were by far the best, although the most labour-consuming. After two growing seasons, the proportion of ECM-colonised roots in treatments was 27.3 - 39.8%, while 22.5% in the controls, and observed ECM types resembled those from forest nurseries. In conclusion, investigated treatments had a considerable positive impact on seedling establishment under high-risk site conditions.</t>
  </si>
  <si>
    <t>Zhang, Jiao; Xu, Ming; Wen, Chun-yu; Nie, Kun; Yang, Yun-li; Zhang, Jian</t>
  </si>
  <si>
    <t>Effects of fire on the community of ectomycorrhizal fungi ofPinus massonianain central Guizhou, Southwest China.</t>
  </si>
  <si>
    <t>Mycosystema</t>
  </si>
  <si>
    <t>1430</t>
  </si>
  <si>
    <t>1440</t>
  </si>
  <si>
    <t>10.13346/j.mycosystema.220006</t>
  </si>
  <si>
    <t>Forest fires can make a notable impact on forest vegetation and associated microbial communities. In this study, the ectomycorrhizal fungi(EMF) community between post-fire forest ofPinus massonianaand non-fireP. massonianaforest with relatively consistent surrounding conditions was compared, and the influence of fire on EMF community was analyzed by combining morphological identification and molecular biology technology. A total of 69 OTUs of EMF was identified, belonging to 2 phyla, 7 classes, 15 orders, 18 families, and 23 genera. The abundance of Basidiomycota was significantly higher than that of Ascomycota. Fire significantly changed the composition and structure of the EMF community ofP. massoniana. The dominant genera of EMF community in the post-fireP. massonianaforest wereLaccaria,RussulaandTomentolla, while those in the non-fireP. massonianaforest wereLactarius,TomentollaandCenococcum. The EMF community ofP. massonianain post-fire plots has obvious differences in composition and structure as compared with that in the control plot, showing that the specific OTUs is higher than the common OTUs. Compared with non-fireP. massonianaforest, post-fireP. massonianaforest showed a downward trend(P&gt;0.05) in diversity index and abundance index of EMF community. RDA analysis shows that pH and TP are important environmental factors affecting EMF community ofP. massoniana. To sum up, fire disturbance is one of the important ecological factors affecting the EMF community ofP. massonianain central Guizhou.</t>
  </si>
  <si>
    <t>Cripps, Cathy L.; Grimme, Eva</t>
  </si>
  <si>
    <t>Inoculation and Successful Colonization of Whitebark Pine Seedlings With Native Mycorrhizal Fungi Under Greenhouse Conditions</t>
  </si>
  <si>
    <t>FUTURE OF HIGH-ELEVATION, FIVE-NEEDLE WHITE PINES IN WESTERN NORTH AMERICA: PROCEEDINGS OF THE HIGH FIVE SYMPOSIUM, 2010</t>
  </si>
  <si>
    <t>312</t>
  </si>
  <si>
    <t>Efforts to maintain and restore whitebark pine (Pinus albicaulis) forests in western North America have increased dramatically over the last two decades and now include the planting of nursery-grown rust resistant seedlings in openings and burned areas. Over 200,000 nursery seedlings have been planted in the western U.S. but survival rates are low and in many areas approach zero. One possibility for enhancing seedling survival is application of mycorrhizal fungi in the greenhouse before out-planting. All pines require ectomycorrhizal fungi (ECM) to survive in nature, including whitebark pine. Non-mycorrhizal seedlings are at risk of dying when planted in soil lacking appropriate mycorrhizal fungi; this might include ghost forests, severe burns, dry habitats and areas not previously in pine. This study screened 25 isolates of native ECM fungi (primarily suilloids) from whitebark pine forests in the Greater Yellowstone Area as a preliminary step in development of an effective inoculum for whitebark pine seedlings grown in forest nurseries. Most are 'suilloid' fungi specific for 5-needle pines. A majority grew well in vitro and selected strains were then used to develop various types of mycorrhizal inoculum. Four basic inoculation methods were tested under greenhouse conditions using spore slurries and soil inocula. Spore slurries added to soil produced the highest rate of mycorrhizal colonization (100 per cent frequency) in the shortest time (3-5 months), but colonization also occurred with soil inoculum (mycelium). Fertilization was found to suppress mycorrhizal colonization at least at the high levels tested. Soil substrate was found to be an important factor in ECM colonization and some soil mixes suppressed or prevented colonization. Commercial inoculum is not recommended since it risks introduction of alien fungi, it may not favor 5-needle pines, and therefore has the potential to disturb sensitive whitebark pine systems. Here we report results from preliminary trials and discuss on-going research to provide up-to-date information.</t>
  </si>
  <si>
    <t>Stenlid, Jan; Penttila, Reijo; Dahlberg, Anders</t>
  </si>
  <si>
    <t>Wood- Decay Basidiomycetes in Boreal Forests: Distribution and Community Development</t>
  </si>
  <si>
    <t>Ecology of Saprotrophic Basidiomycetes</t>
  </si>
  <si>
    <t>239</t>
  </si>
  <si>
    <t>262</t>
  </si>
  <si>
    <t>Dead wood and wood-inhabiting fungi are of key importance for biodiversity in boreal forests, and also for global CO2 dynamics. Of more than 10,000 non-lichenised fungal species in Fennoscandia, over 2,500 are wood-inhabiting. Anthropogenic influences such as forest harvesting and fire suppression have reduced the availability of dead wood in forests, resulting in many wood-decay fungi being considered threatened. Classic inventory approaches have been complemented by pure culture studies of mycelia and recently by molecular detection methods. Nutrient cycling and interspecific interactions play important parts in the development of fungal communities. Boreal fungal communities are, in general, less diverse and more similar on a global scale compared to communities from the temperate regions.</t>
  </si>
  <si>
    <t>Hu Tong-Xin; Li Bei; Li Guang-Xin; Ren Yue-Xiao; Ding Hai-Lei; Sun Long</t>
  </si>
  <si>
    <t>Effects of fire originated black carbon on species composition of ectomycorrhizal fungi in a &lt;i&gt;Larix gmelinii&lt;/i&gt; forest in growing season</t>
  </si>
  <si>
    <t>Chinese Journal of Plant Ecology</t>
  </si>
  <si>
    <t>792</t>
  </si>
  <si>
    <t>803</t>
  </si>
  <si>
    <t>10.17521/cjpe.2022.0333</t>
  </si>
  <si>
    <t>Aims Fire is an important disturbance factor in the northern forest ecosystem, and black carbon, a product of fire, widely exists in most forest soils. Many studies have shown the positive impact of black carbon on plant yield, but little is known about the synergy between black carbon and microorganisms (such as mycorrhizal fungi) which can promote plant growth. Ectomycorrhiza (ECM) fungi is like a bridge between coniferous trees and soil in the northern forest ecosystem. Exploring the changes of ECM fungal community after fire can provide a theoretical basis for the carbon pool restoration and help with scientific management of the northern forest ecosystem after fire.Methods In this study, Larix gmelinii forest in the Da Hinggan Mountains was taken as the research object. Samples were taken at the beginning of the growing season (June) and at the end of the growing season (September) after fire disturbance. ECM fungi were identified by high-throughput sequencing method to explore the changes and key influencing factors of ECM fungal community under the treatment of fire and black carbon addition.Important findings The results showed that: (1) During the growing season, compared with CK, the alpha-diversity of ECM fungal community treated by fire decreased significantly by 31.52%, while it increased significantly by 49.02% under black carbon addition treatment. There were significant differences in the beta-diversity of of ECM fungal community under fire and black carbon addition treatments during the growing season. (2) During the growing season, the abundance of ECM fungi treated by fire decreased significantly by 46.35%, but the fire treatment significantly increased Basidiomycetes species abundance, while black carbon addition treatment increased Ascomycetes and Basidiomycetes species abundance. (3) During the growing season, the composition of ECM fungal community in Larix gmelini forest was significantly affected by soil pH, water content and total nitrogen content under the fire and black carbon addition treatments, but it was positively correlated with soil pH and total nitrogen content and negatively correlated with soil water content in the black carbon addition treatment. The results of this study showed that fire reduced the diversity of ECM fungi in Larix gmelinii forest during the growing season, and significantly reduced the abundance of ECM fungi. However, the addition of black carbon after fire may change this negative effect. By affecting the changes of soil pH and soil nitrogen content, black carbon promoted the recovery of ECM fungi and increased its diversity. Therefore, the long-term impact of black carbon on ECM fungal community should be continuously monitored in the future.</t>
  </si>
  <si>
    <t>Glassman, Sydney I.; Peay, Kabir G.; Talbot, Jennifer M.; Smith, Dylan P.; Chung, Judy A.; Taylor, John W.; Vilgalys, Rytas; Bruns, Thomas D.</t>
  </si>
  <si>
    <t>A continental view of pine-associated ectomycorrhizal fungal spore banks: a quiescent functional guild with a strong biogeographic pattern</t>
  </si>
  <si>
    <t>1619</t>
  </si>
  <si>
    <t>1631</t>
  </si>
  <si>
    <t>10.1111/nph.13240</t>
  </si>
  <si>
    <t>Ecologists have long acknowledged the importance of seed banks; yet, despite the fact that many plants rely on mycorrhizal fungi for survival and growth, the structure of ectomycorrhizal (ECM) fungal spore banks remains poorly understood. The primary goal of this study was to assess the geographic structure in pine-associated ECM fungal spore banks across the North American continent. Soils were collected from 19 plots in forests across North America. Fresh soils were pyrosequenced for fungal internal transcribed spacer (ITS) amplicons. Adjacent soil cores were dried and bioassayed with pine seedlings, and colonized roots were pyrosequenced to detect resistant propagules of ECM fungi. The results showed that ECM spore banks correlated strongly with biogeographic location, but not with the identity of congeneric plant hosts. Minimal community overlap was found between resident ECM fungi vs those in spore banks, and spore bank assemblages were relatively simple and dominated by Rhizopogon, Wilcoxina, Cenococcum, Thelephora, Tuber, Laccaria and Suillus. Similar to plant seed banks, ECM fungal spore banks are, in general, depauperate, and represent a small and rare subset of the mature forest soil fungal community. Yet, they may be extremely important in fungal colonization after large-scale disturbances such as clear cuts and forest fires.</t>
  </si>
  <si>
    <t>Wen, Zhugui; Shi, Liang; Tang, Yangze; Hong, Lizhou; Xue, Jiawang; Xing, Jincheng; Chen, Yahua; Nara, Kazuhide</t>
  </si>
  <si>
    <t>Soil spore bank communities of ectomycorrhizal fungi in endangered Chinese Douglas-fir forests</t>
  </si>
  <si>
    <t>58</t>
  </si>
  <si>
    <t>10.1007/s00572-017-0800-1</t>
  </si>
  <si>
    <t>Chinese Douglas-fir (Pseudotsuga sinensis) is an endangered Pinaceae species found in several isolated regions of China. Although soil spore banks of ectomycorrhizal (ECM) fungi can play an important role in seedling establishment after disturbance, such as in the well-known North American relative (Pseudotsuga menziesii), we have no information about soil spore bank communities in relict forests of Chinese Douglas-fir. We conducted bioassays of 73 soil samples collected from three Chinese Douglas-fir forests, using North American Douglas-fir as bait seedlings, and identified 19 species of ECM fungi. The observed spore bank communities were significantly different from those found in ECM fungi on the roots of resident trees at the same sites (p = 0.02). The levels of potassium (K), nitrogen (N), organic matter, and the pH of soil were the dominant factors shaping spore bank community structure. A new Rhizopogon species was the most dominant species in the spore banks. Specifically, at a site on Sanqing Mountain, 22 of the 57 surviving bioassay seedlings (representing 21 of the 23 soil samples) were colonized by this species. ECM fungal richness significantly affected the growth of bioassay seedlings (R (2) = 0.20, p = 0.007). Growth was significantly improved in seedlings colonized by Rhizopogon or Meliniomyces species compared with uncolonized seedlings. Considering its specificity to Chinese Douglas-fir, predominance in the soil spore banks, and positive effect on host growth, this new Rhizopogon species could play critical roles in seedling establishment and forest regeneration of endangered Chinese Douglas-fir.</t>
  </si>
  <si>
    <t>PALMER, JG; MILLER, OK; GRUHN, C</t>
  </si>
  <si>
    <t>FRUITING OF ECTOMYCORRHIZAL BASIDIOMYCETES ON UNBURNED AND PRESCRIBED BURNED HARD-PINE HARDWOOD PLOTS AFTER DROUGHT-BREAKING RAINFALLS ON THE ALLEGHENY MOUNTAINS OF SOUTHWESTERN VIRGINIA</t>
  </si>
  <si>
    <t>93</t>
  </si>
  <si>
    <t>104</t>
  </si>
  <si>
    <t>10.1007/BF00203768</t>
  </si>
  <si>
    <t>A headfire upward along the crest to the peak of a foothill during February 1988 had been prescribed to lower the possibility of a wildfire during the dry season on the Jefferson National Forest. Some surface litter plus annual and perennial stems on one-half of a stand of Pinus pungens/P. rigida had been destroyed. Subsequent development of ectomycorrhizal sporophores of basidiomycetes was recorded regularly within equal areas of burned and unburned portions and within a nearby unburned stand of P. virginiana. Each plot had a few ectomycorrhizal hardwoods, mainly Quercus spp. First fruiting was noted under burned P. pungens 3 weeks after a general rain in mid-July and after 4 weeks under both. By the end of November, when fruiting ceased, 138 separable taxa had been collected of which 95 had been identified. A list of the fungi and data on current and previously reported host associations, occurrence on each of the substrates, times and frequencies of fruiting, periodicity of genera, and variations in weather conditions are presented.</t>
  </si>
  <si>
    <t>EFFECTS OF FOREST LITTER ON MYCORRHIZA DEVELOPMENT AND GROWTH OF DOUGLAS-FIR AND WESTERN RED CEDAR SEEDLINGS</t>
  </si>
  <si>
    <t>671</t>
  </si>
  <si>
    <t>10.1139/x83-095</t>
  </si>
  <si>
    <t>Preparation of forest regeneration sites prior to conifer planting often includes slash burning or physical removal of soil organic matter. Experiments were conducted to determine if organic matter contributes to the mycorrhizal fungus inoculum potential in forest soils and to compare the growth of Douglas-fir and western red cedar seedlings with and without litter. Litter and humus included inoculum of both vesicular-arbuscular (VA) and ectomycorrhizal fungi. Litter amendment usually enhanced growth of host seedlings, but growth enhancement could not be fully attributed to addition of mycorrhizal inoculum or nutrients provided by litter. These findings suggested that other biological factors stimulated the growth of conifer seedlings and (or) activity of mycorrhizal fungi.</t>
  </si>
  <si>
    <t>Motiejunaite, Jurga; Adamonyte, Grazina; Irsenaite, Reda; Juzenas, Sigitas; Kasparavicius, Jonas; Kutorga, Ernestas; Markovskaja, Svetlana</t>
  </si>
  <si>
    <t>Early fungal community succession following crown fire in &lt;i&gt;Pinus mugo&lt;/i&gt; stands and surface fire in &lt;i&gt;Pinus sylvestris&lt;/i&gt; stands</t>
  </si>
  <si>
    <t>EUROPEAN JOURNAL OF FOREST RESEARCH</t>
  </si>
  <si>
    <t>745</t>
  </si>
  <si>
    <t>756</t>
  </si>
  <si>
    <t>10.1007/s10342-013-0738-6</t>
  </si>
  <si>
    <t>The early post-fire development of mycobiota following a crown fire in mountain pine plantations and a surface fire in Scots pine plantations, and in the corresponding unburnt stands in the coastal sand dunes of the Curonian Spit in western Lithuania was investigated. Species numbers in unburnt Pinus mugo and Pinus sylvestris stands showed annual fluctuation, but in the burnt sites, the numbers of fungi increased yearly, especially in the crown fire plots. Both burnt stand types-P. mugo and P. sylvestris-showed strongly significant (two-way ANOSIM; R = 1, p &lt; 0.05) differences in species composition; the differences between unburnt sites were clearly expressed but less significant (R = 0.86, p &lt; 0.05). Fungal species composition of burnt P. mugo and P. sylvestris sites was qualitatively different from that of corresponding unburnt sites (two-way ANOSIM; R a parts per thousand yen 0.75, p &lt; 0.05). The chronosequence of mycobiota in surface fire burns was less clearly defined than in crown fire sites, reflecting the greater patchiness of impacts of the surface fire. Although both fire types were detrimental or at least damaging to all functional groups of fungi (saprobic on soil and forest litter, wood-inhabiting, biotrophic, and mycorrhizal and lichenized fungi), their recovery and appearance (fructification) patterns varied between the groups and among the burn types. The end of the early post-fire fungal succession (cessation of sporocarp production of pyrophilous fungi) was recorded 3 years after the fire for both crown and surface fire types, which is earlier than reported by other authors. Rare or threatened fungal species that are dependent on fire regime were not recorded during the study.</t>
  </si>
  <si>
    <t>Meers, Trevor L.; Kasel, Sabine; Bell, Tina L.; Enright, Neal J.</t>
  </si>
  <si>
    <t>Conversion of native forest to exotic &lt;i&gt;Pinus radiata&lt;/i&gt; plantation: Response of understorey plant composition using a plant functional trait approach</t>
  </si>
  <si>
    <t>409</t>
  </si>
  <si>
    <t>10.1016/j.foreco.2009.10.035</t>
  </si>
  <si>
    <t>This study aimed to determine the response of native plant species to changed growing conditions, especially increased shade, following establishment of exotic Pinus radiata plantation on cleared native eucalypt forest. in the Northern Hemisphere, species tolerant to shading are typically herbaceous perennials, with large seeds, no obvious mechanism of seed dispersal, and spread by clonal means. We investigated whether life form, mode of seed dispersal, leaf area, specific leaf area (SLA), nutrient uptake strategy, seed mass, fire response, plant height, and clonal spread differed between understorey species of pine plantation and native forest. Further, we asked whether plant functional traits that confer tolerance to stress through shading differ from those in other floras. The study was conducted on the Delatite Peninsula in north-eastern Victoria, Australia. Vegetation of adjacent native forest and pine plantation were surveyed using eight 7 m x 7 m plots per site, randomly located within five paired sites. Differences in plant traits between land-use types were tested by Non-metric Multi-dimensional Scaling (NMDS), analysis of similarity (ANOSIM)and paired t-tests. Cluster analysis of the nine plant traits was used to define emergent groups, with differences between land-use types examined by ANOSIM and indicator species analysis. There was a significant change in the composition of understorey vegetation following conversion to pine plantation that included a decline in the richness of native species. NMDS of plant attributes showed a clear separation of native forest from pine plantation with land use strongly correlated in ordination space (r(2) = 0.611). Cluster analysis produced seven emergent groups of plant functional traits for 78 identified plant species. Phanerophytes split into two groups (myrmecochorous trees and shrubs; myrmecochorous shrubs), perennial herbs into four groups (upright herbs, myrmecochorous herbs, barochorous herbs, flat rosette herbs) with one group representing therophytes and anemochorous perennials. Perennial herbs with intermediate SLA and clonal spread were tolerant of the shaded conditions in pine plantation while the two groups of phanerophytes and the myrmecochorous herbs were largely excluded. Shared traits of excluded emergent groups included those that provided an over-riding adaptation to mineral nutrient stress. including myrmecochory, low SLA, ectomycorrhizal and ericoid mycorrhizal associations and N-2-fixation. These plant traits could not provide tolerance to stress through shading, which is better explained by the open canopied nature of the native forest. (C) 2009 Elsevier B.V. All rights reserved.</t>
  </si>
  <si>
    <t>Taylor, D. Lee; Herriott, Ian C.; Stone, Kelsie E.; McFarland, Jack W.; Booth, Michael G.; Leigh, Mary Beth</t>
  </si>
  <si>
    <t>Structure and resilience of fungal communities in Alaskan boreal forest soils</t>
  </si>
  <si>
    <t>1288</t>
  </si>
  <si>
    <t>1301</t>
  </si>
  <si>
    <t>10.1139/X10-081</t>
  </si>
  <si>
    <t>This paper outlines molecular analyses of soil fungi within the Bonanza Creek Long Term Ecological Research program. We examined community structure in three studies in mixed upland, black spruce (Picea mariana (Mill.) BSP), and white spruce (Picea glauca (Moench) Voss) forests and examined taxa involved in cellulose degradation at one upland site. We found that soil horizon was the factor by which fungal communities were most strongly structured and that predictable turnover in upland fungal species occurred through succession. Communities from consecutive summers were not significantly different, indicating that interannual variation was small in relation to differences between forest types and soil horizons, yet the community at a seasonal study site underwent significant changes within a year. In each study, mycorrhizal fungi dominated the community. Fungi rather than bacteria appeared to dominate [(13)C] cellulose degradation, with strongest growth in taxa that were not dominant members of the untreated community, including members of the genus Sebacina. Overall, our results point to considerable interannual resilience juxtaposed with narrow niche partitioning and the capacity of individual taxa in these hyperdiverse communities to respond strongly to resource inputs and changes in other abiotic environmental parameters such as temperature. Our data double the cumulative total of fungal sequences in GenBank and together achieve a better picture of fungal communities here than for any other ecosystem on earth at this time.</t>
  </si>
  <si>
    <t>Yu, TEJC; Egger, KN; Peterson, RL</t>
  </si>
  <si>
    <t>Ectendomycorrhizal associations - characteristics and functions</t>
  </si>
  <si>
    <t>167</t>
  </si>
  <si>
    <t>177</t>
  </si>
  <si>
    <t>10.1007/s005720100110</t>
  </si>
  <si>
    <t>Mycorrhizal symbioses are widespread mutualistic associations of many plant hosts found in many habitats. One type of putative mycorrhizal association, ectendomycorrhiza, is confined to Pinus and Larix spp. and is common in conifer nurseries and in disturbed habitats. This association is characterized by the unique combination of a fungal mantle, Hartig net, and intracellular hyphae, the latter forming soon after Hartig net development. Many reports of the occurrence of ectendomycorrhizas from field-collected specimens are likely erroneous and instead may represent senescent ectomycorrhizas. The fungus species involved in the formation of ectendomycorrhizas were initially called E-strain fungi and their identification was based on characteristics of hyphae and chlamydospores. With the discovery of teleomorphs for some of these fungi, they were found to be ascomycetes. More recently, molecular methods have been used to clarify their systematics and phylogeny and it is apparent that most of the isolates belong to two species, Wilcoxina mikolae and Wilcoxina rehmii. Two species of dematiaceous fungi and a member of the Pezizales, Sphaerosporella brunnea, also have been reported to form ectendomycorrhizas. These fungi can form ectendomycorrhizas with their hosts over a broad pH range and may utilize many substrates as a carbon source. Ectendomycorrhizas may be important in the revegetation of disturbed sites and in the establishment of conifer seedlings in post-fire situations.</t>
  </si>
  <si>
    <t>Kowalski, T.; Rogaczewski, T.</t>
  </si>
  <si>
    <t>The mycotrophy of the European birch (Betula pendula Roth.) on chosen recultivated areas after a total fire in Rudy Raciborskie.</t>
  </si>
  <si>
    <t>Acta Agraria et Silvestria. Series Silvestris</t>
  </si>
  <si>
    <t>17</t>
  </si>
  <si>
    <t>A study was conducted to determine the mycotrophy of self-sown European birch (Betula pendula) seedlings after a total fire and on seedlings bedded out on a recultivated area in the Solarnia forest (Rudy Raciborskie district), in Poland, on four study areas which different in respect to the intensity of a fire and a method of cultivation. For the anatomical and morphological analysis, 80 pieces of roots (5 cm long) with mycorrhizas from self-sown European birch seedlings were taken from the 10lc compartment in autumn 1993. After the soil preparation (strip ploughing), the remaining three compartments (118k, 119a and 132c) were cultivated using, among others, 1-year-old self-sown birch seedlings of local origin. The study showed that the mean percentage of autotrophic roots of 2-year-old seedlings was relatively low whereas of 1-year-old self sown was relatively high over 29%. The mean percentage of living mycorrhizas of each 2-year-old seedlings reached over 85% and 1-year-old self sown seedlings reached over 58%. They were mainly simple mycorrhizas. The mycorrhizal spectrum was relatively narrow and almost limited to well-formed mycorrhizas of the Bb kind. A few mycorrhizas of Cb, Cf and Ga kinds were found. The results showed that the mycotrophy of European birch on recultivated areas was generally good and it showed a distinct developed tendency. On most of study areas, the fructification of mycorrhizal fungi Laccaria laccata and Thelephora terrestris was abundant in autumn 1994, as well as Leccinum scabrum which was abundant in 1995 on the area with self-sown birch. Results also showed that self-sown birch seedlings were very useful for recultivation of areas damaged by fire due to their well-supplied mycorrhizal root systems.</t>
  </si>
  <si>
    <t>Plamboeck, Agneta H.; North, Malcolm; Dawson, Todd E.</t>
  </si>
  <si>
    <t>CONIFER SEEDLING SURVIVAL UNDER CLOSED-CANOPY AND MANZANTTA PATCHES IN THE SIERRA NEVADA</t>
  </si>
  <si>
    <t>Madrono</t>
  </si>
  <si>
    <t>191</t>
  </si>
  <si>
    <t>10.3120/0024-9637-55.3.191</t>
  </si>
  <si>
    <t>After a century or fire suppression, prescribed Fire and mechanical thinning are widely used to restore mixed-conifer forests in California's Sierra Nevada, yet after these treatments, trees sometimes fail to regenerate oil many sites, for several possible reasons. Notably, competition between Shrubs and tree seedlings for scarce water during prolonged summer dry seasons is suspected to influence seedling survival, yet this hypothesis has been tested ill few Manipulated Field experiments. We investigated the effects of vegetation patch types, root competition, putative mycorrhizal connections, soil moisture, and microclimate on the establishment of sugar pine (Pinus lambertiana) and white fir (Abies concolor) seedlings in all old-growth, mixed-conifer forest in the southern Sierra Nevada. Seedling Survival rates were significantly higher under closed tree canopies than in patches dominated by manzanita (Arctostaphylos patula) shrubs. Treatments that allowed seedlings to connect with existing ectomycorrhizal networks did not enhance their survival. Isotope signatures suggest that mature conifer trees rely on water from deep soil layers (&gt; 50 cm), while shrubs and tree saplings (1 3 m in height) rely oil water from shallower layers (0 50 cm) at the beginning of the season, but as soils become drier the shrub's and the sapling's primary zone or uptake shifts downward in the soil profile. These findings imply that shrubs may inhibit the Survival of establishing tree seedlings until the seedlings have a deep enough root system to extract soil Moisture from soil below 50 cm. Our study Suggests that tree seedling survival may depend on a seedling's ability to compete with shrubs for scarce soil moisture in the near-surface soil layers.</t>
  </si>
  <si>
    <t>Gates, Genevieve M.; Mohammed, Caroline; Ratkowsky, David A.; Wardlaw, Tim; Davidson, Neil J.</t>
  </si>
  <si>
    <t>Diversity and ecology of epigeous ectomycorrhizal macrofungal assemblages in a native wet eucalypt forest in Tasmania, Australia</t>
  </si>
  <si>
    <t>290</t>
  </si>
  <si>
    <t>298</t>
  </si>
  <si>
    <t>10.1016/j.funeco.2011.02.002</t>
  </si>
  <si>
    <t>This paper investigates the diversity and ecology of the epigeous ectomycorrhizal (EcM) fungal assemblages of four plots in native Eucalyptus obliqua forest in Tasmania at different ages of regeneration since the natural disturbance of wildfire. From fortnightly visits to 1 ha of forest over a period of 14 months, 331 EcM species were documented. The family Cortinariaceae (particularly the genus Cortinarius) dominated the EcM communities, with the youngest plot (72 yr since the last wildfire) having the greatest number of EcM species. Each plot was divided up into 25 10 x 10 m subplots, and both unconstrained and constrained ordination procedures showed a significant association between the woody perennial plant community of the subplots and their EcM assemblages, reflecting the covariation of plant and fungal communities. The study provides benchmark knowledge of EcM communities in a specific forest type in Tasmania, serving as a good basis for further studies in those forests and in similar forest types elsewhere. (C) 2011 Elsevier Ltd and The British Mycological Society. All rights reserved.</t>
  </si>
  <si>
    <t>Brown, Shawn P.; Shahrtash, Maryam; Tucker, Avery E.; Knoepp, Jennifer; Stokes, C. Elizabeth; Baird, Richard</t>
  </si>
  <si>
    <t>Seasonal disconnects between saprobic and mycorrhizal sporocarp communities in the Southern Appalachian Mountains</t>
  </si>
  <si>
    <t>10.1016/j.funeco.2021.101125</t>
  </si>
  <si>
    <t>The southern Appalachian Mountains in the United States are heavily forested with diverse forest types and vegetation structures and is generally considered a biodiversity hotspot. Fungal sporocarp investigations in this region are not new, but multi-year interseasonal investigations into sporocarp community patterns are rare. Using a 4-year (2014-2017) repeated monthly macrofungal sampling dataset (May-October) across an elevational gradient (associated with vegetation structure), we queried community, seasonal, and guild community ecological patterns. In doing so, we (1) demonstrate a temporal disconnect between saprobic and ectomycorrhizal taxa, (2) describe increased community variability across the growing season, and (3) explore individual taxa occurrences across seasons and examine co-occurrence patterns between taxa and guilds. Further, we explore congruence between sporocarp and metabarcoding fungal datasets and advocate the utility of both sampling schemes.</t>
  </si>
  <si>
    <t>Simard, Suzanne W.</t>
  </si>
  <si>
    <t>Response Diversity of Ectomycorrhizas in Forest Succession Following Disturbance</t>
  </si>
  <si>
    <t>Mycorrhizas - Functional Processes and Ecological Impact</t>
  </si>
  <si>
    <t>187</t>
  </si>
  <si>
    <t>10.1007/978-3-540-87978-7_13</t>
  </si>
  <si>
    <t>A diversity of responses to disturbance among ectomycorrhizal fungal (EMF) species contributing to similar ecosystem functions is important to forest Successional recovery. Response diversity is particularly important in ecosystems subject to frequent or catastrophic disturbance, providing insurance that Succession proceeds within a historical stability domain. This chapter examines patterns of EMF species diversity and composition in relation to Succession following wildfire and clearcutting in Douglas-fir dominated ecosystems. Both disturbance types alter EMF communities, but succession proceeds predictably and similarly. However, severe disturbances, Such as clearcutting followed by site preparation that removes living trees, root systems, or forest floor, call reduce EMF diversity oil regenerating seedlings, often corresponding with reduced survival, growth rates, and foliar nutrients. Concurrent increases in invasive plants augment these changes. These results suggest a reduction in ecological function with reduced EMF diversity, or reduced response diversity. By contrast, retaining forest floor and key functional groups of plants, such as broadleaf trees, help maintain diverse EMF that persist through succession. Many of these fungi are host-generalists, linking broadleaves with conifers, and facilitating seedling survival and improving their physiological condition. This dynarnic interplay arnong broadleaves, soils, and EMF may allow Understory conifers to eventually dominate, in congruence with historic forest Succession patterns.</t>
  </si>
  <si>
    <t>Book chapter</t>
  </si>
  <si>
    <t>Valdés, M; Asbjornsen, H; Gómez-Cárdenas, M; Juárez, M; Vogt, KA</t>
  </si>
  <si>
    <t>Drought effects on fine-root and ectomycorrhizal-root biomass in managed &lt;i&gt;Pinus oaxacana&lt;/i&gt; Mirov stands in Oaxaca, Mexico</t>
  </si>
  <si>
    <t>117</t>
  </si>
  <si>
    <t>124</t>
  </si>
  <si>
    <t>10.1007/s00572-005-0022-9</t>
  </si>
  <si>
    <t>The effects of a severe drought on fine-root and ectomycorrhizal biomass were investigated in a forest ecosystem dominated by Pinus oaxacana located in Oaxaca, Mexico. Root cores were collected during both the wet and dry seasons of 1998 and 1999 from three sites subjected to different forest management treatments in 1990 and assessed for total fine-root biomass and ectomycorrhizal-root biomass. Additionally, a bioassay experiment with P. oaxacana seedlings was conducted to assess the ectomycorrhizal inoculum potential of the soil for each of the three stands. Results indicated that biomasses of both fine roots and ectomycorrhizal roots were reduced by almost 60% in the drought year compared to the nondrought year. There were no significant differences in ectomycorrhizal and fine-root biomass between the wet and dry seasons. Further, the proportion of total root biomass consisting of ectomycorrhizal roots did not vary between years or seasons. These results suggest that both total fine-root biomass and ectomycorrhizal-root biomass are strongly affected by severe drought in these high-elevation tropical pine forests, and that these responses outweigh seasonal effects. Forest management practices in these tropical pine forests should consider the effects of drought on the capacity of P. oaxacana to maintain sufficient levels of ectomycorrhizae especially when there is a potential for synergistic interactions between multiple disturbances that may lead to more severe stress in the host plant and subsequent reductions in ectomycorrhizal colonization.</t>
  </si>
  <si>
    <t>Miyamoto, Yumiko; Maximov, Trofim C.; Sugimoto, Atsuko; Nara, Kazuhide</t>
  </si>
  <si>
    <t>Discovery of &lt;i&gt;Rhizopogon&lt;/i&gt; associated with &lt;i&gt;Larix&lt;/i&gt; from northeastern Siberia: Insights into host shift of ectomycorrhizal fungi</t>
  </si>
  <si>
    <t>274</t>
  </si>
  <si>
    <t>280</t>
  </si>
  <si>
    <t>10.1016/j.myc.2019.03.003</t>
  </si>
  <si>
    <t>Rhizopogon (Boletales) is an ectomycorrhizal fungal genus that exhibits a strong specificity to Pinaceae. This strict association occurs almost exclusively with Pinus and Pseudotsuga, while associations with other genera in Pinaceae are inconclusive. Here, we describe Rhizopogon laricinus sp. nov. associated with Larix cajanderi distributed in northeastern Siberia, where forest fires are frequent. We confirmed the host identity by comparing rDNA internal transcribed spacer (ITS) sequences obtained from basidiomata and ectomycorrhizal root tips collected at the same sites. Morphological characteristics and molecular identification revealed that R. laricinus is a new species associated with Larix unequivocally. The molecular phylogeny based on ITS sequences placed this species sister to the subgenus Roseoli, which is specific to Pinus, and not to the Pseudotsuga-specific subgenus Villosuli. Thus, R. laricinus evolution does not correspond to host phylogeny as Larix and Pseudotsuga form a monophyletic Glade. Instead, ecological traits of Rhizopogon for adapting to disturbed habitats may have driven the host shift to Larix under high-frequency fire ecosystems. (C) 2019 The Mycological Society of Japan. Published by Elsevier B.V. All rights reserved.</t>
  </si>
  <si>
    <t>Gabel, A. C.; Gabel, M. L.</t>
  </si>
  <si>
    <t>Comparison of diversity of macrofungi and vascular plants at seven sites in the Black Hills of South Dakota</t>
  </si>
  <si>
    <t>AMERICAN MIDLAND NATURALIST</t>
  </si>
  <si>
    <t>258</t>
  </si>
  <si>
    <t>296</t>
  </si>
  <si>
    <t>10.1674/0003-0031(2007)157[258:CODOMA]2.0.CO;2</t>
  </si>
  <si>
    <t>Two hundred and thirty-seven species of macrofungi and 465 species of vascular plants were identified from seven selected permanent sites. Areas of permanent sites ranged from 0.5 to 10.8 ha. No fungal species were collected from all sites and 126 (53%) were collected from only one site. Fourteen fungal species (6%) were collected each year of the study and 116 (49%) were collected only 1 y. Numbers of newly collected fungal species from the seven sites did not decrease each year of the study. Classifying fungal genera by nutritional group showed 36% of the genera collected were terricolous, 53% lignicolous, 16% ectomycorrhizal and 5% parasites. Nine plant species were collected from all sites, while 232 (50%) were collected at only one site. Fifteen plant species on the sites are on the state list of rare, threatened and endangered species. Botany Bay, a narrow moist canyon with dense vegetation dominated by Picea glauca, Ostiya virginiana, Betula papyrifera and Pinus ponderosa, had the highest fungal and plant species diversity/ha of 188 and 238, respectively. Alabaugh Canyon, a dry open woodland dominated by Pinus ponderosa and juniperus virginiana, had the lowest fungal and plant species diversity/ha of 3.1 and 14.7, respectively. Species diversity of all plants and all fungi at the sites had a very significant correlation (r = 0.9). Regression and ANOVA showed a very significant relationship between species diversity of fungi and plants/ ha (P = 0.003). In cluster and principal component analyses assemblages of plants and fungi showed different patterns of similarity.</t>
  </si>
  <si>
    <t>Tuininga, AR; Dighton, J</t>
  </si>
  <si>
    <t>Changes in ectomycorrhizal communities and nutrient availability following prescribed burns in two upland pine-oak forests in the New Jersey pine barrens</t>
  </si>
  <si>
    <t>1755</t>
  </si>
  <si>
    <t>1765</t>
  </si>
  <si>
    <t>10.1139/X04-037</t>
  </si>
  <si>
    <t>Forests in the New Jersey pine barrens are frequently prescribed burned to reduce fuel loads and risk of wildfire. To acquire baseline data for effects of prescribed burns on ectomycorrhizal diversity and nutrient uptake, field studies were undertaken in two upland pine-oak forests in the New Jersey pine barrens subjected to different burn regimes. Ectomycorrhizal diversity was assessed by extraction of roots from soil cores and separation according to morphological characters. Nutrient availability to plant roots was measured using root bioassays. Relative to unburned plots, plots exposed to a fire at Greenwood, where burning was more frequent, had decreased total abundance of ectomycorrhizal tips, richness of ectomycorrhizal types, and Simpson's diversity in the L and F horizons, but increased Simpson's diversity in the deeper A horizon. At Lebanon, under a less frequent burn regime, richness was lower in whole cores and in the A horizon of burned versus unburned plots. Nitrogen, phosphorus, and potassium uptake by root bioassays indicated higher field availability of nutrients to roots in burned plots than roots in unburned plots, indicating a fertilization effect of the fire. Prescribed burning primarily impacted ectomycorrhizal community structure in the L and F horizons at these sites. Changes in function of ectomycorrhizae (nutrient uptake) in response to the burns was associated with decreased ectomycorrhizal diversity.</t>
  </si>
  <si>
    <t>Cha, Joo Young; Chun, Kun Woo; Lee, Sang Yong; Lee, Si Young; Ohga, Shoji</t>
  </si>
  <si>
    <t>Detection of &lt;i&gt;Tricholoma Matsutake&lt;/i&gt; in Soil After FOREST Fire in a &lt;i&gt;Pinus Densiflora&lt;/i&gt; Forest in Korea</t>
  </si>
  <si>
    <t>JOURNAL OF THE FACULTY OF AGRICULTURE KYUSHU UNIVERSITY</t>
  </si>
  <si>
    <t>261</t>
  </si>
  <si>
    <t>265</t>
  </si>
  <si>
    <t>We examined T matsutake survived in soil after forest fires in T matsutake-produced forest in the pre-fire period and the situation of damages from forest fire in stands. We established a square plot of (50 mx50 m) in a burned site and divided it into 100 square quadrats of (5 mx5 m). Tree density of P densiflora, the dominant tree species, in plot was 2,104/ha, with a basal area accounting for 99%. The percentage of dead pine trees was 52.1%, which is less than in other species as 88.6% and 100% of Quercus spp. and Prunus sargentii, respectively. In PCR amplification using the T matsutake-specific primer pair, the 400-bp fragment was found in 29 of 100 soil sample s from each quadrat and in control Cultures. The relationship to the percentage of crown damage differed significantly (p=0.0026), with means between Tin and nTm of 59% and 70.5%, respectively. Moreover, the difference between BLT and nBLT on crown damage was highly significant in the U-test (p=0.0008). Therefore, P densiflora in inner quadrats with low crown damage had T matsutake on their roots. T matsutake favor P densiflora and mineral soils with low litter rather than under BLT with a thick humus layer. The area of T matsutake from a forest fire in crown damage to R densiflora will eventually decrease in relation to the increase in BLT. Hence, the species distribution in understory vegetation such as shrub and BLT is an important factor for overstory tree survival from forest fires. In conclusion, the management of T matsutake forest by controlling tree density and taking out understory vegetation is considered a good method for decreasing damage from forest fires.</t>
  </si>
  <si>
    <t>Magarzo, Alba; Sanz-Benito, Ignacio; Mediavilla, Olaya; Hernandez-Rodriguez, Maria; Andres Oria-de-Rueda, Juan; Dejene, Tatek; Martin-Pinto, Pablo</t>
  </si>
  <si>
    <t>Mosaic forest management at landscape scale to enhance fungal diversity and production, in a context of forest fire-prevention in Mediterranean ecosystems</t>
  </si>
  <si>
    <t>ECOLOGICAL INDICATORS</t>
  </si>
  <si>
    <t>10.1016/j.ecolind.2023.110272</t>
  </si>
  <si>
    <t>Landscapes of oak (Quercus) forests alternated with extensive fields dominated by rockroses (Cistus) are wide-spread throughout the Mediterranean Basin. Due to the recurrency of fires and the mycological potential of Quercus forests and Cistus fields, adequate management of this landscape is a key forest management objective. Although both Quercus and Cistus species are considered super-productive in terms of fungal production diversity, fungal diversity and productivity vary depending on the stand age and structure. The aim of this study was to assess the complementary mycological potential of these ecosystems by studying sporocarp production, diversity, and community composition to elucidate management practices that would enhance fungal diversity and productivity within a fire management framework. We collected sporocarps over a period of four consecutive years (2012-2015) in young Cistus plots (1-m tall Cistus), old Cistus plots (2-m tall Cistus), and Quercus Forest plots. Our analyses showed that age as well as dominant vegetation influences sporocarp production, diversity, and richness, with young Cistus stands most suited to high levels of sporocarp productivity and diversity. addition, a progressive restructuring of the fungal community was observed from a large, diverse community Cistus early-stage stands to a smaller, less diverse but well-defined community in Quercus stands, transiting through an intermediate composition in old Cistus fields. Based on our findings, we suggest that a management process that not only favors stand rejuvenation would achieve greater sporocarp production and richness, including edible commercial species, while reducing the amount of fuel. In addition, the differentiated diversity of the Quercus stands plays an important role in terms of landscape diversity, being necessary the recommen-dation of a rejuvenation management in order to protect this stands associated diversity. We propose that these goals could be best achieved with a mosaic landscape model to connect the different stages of succession, enabling greater interconnectivity and, hence, allowing the presence of different "fungal stages" at the landscape level.</t>
  </si>
  <si>
    <t>Rodriguez-Echeverrria, S.; Pena, E. de la</t>
  </si>
  <si>
    <t>Plant-soil interactions.</t>
  </si>
  <si>
    <t>3</t>
  </si>
  <si>
    <t>102</t>
  </si>
  <si>
    <t>This issue contains 8 papers on the following aspects of plant-soil interactions: (1) nutrient cycling and soil processes in terrestial ecosystems, with emphasis on the specific nature of Mediterranean ecosystem and its implications for the soil-plant relationship; (2) the role of earthworms on the decomposition of organic matter and nutrient cycling; (3) soil organisms and the invisible dimension in the invasion by exotic plant species; (4) interactions between arbuscular mycorrhizal fungi and plants communities, with some examples from arid ecosystems; (5) ectomycorrhizal communities in fire prone environments, with emphasis on their role in pine trees re-establishment; (6) effect of soil biota on aboveground plant-insect interactions; (7) restoration and revegetation of road slopes in semiarid Mediterranean environments; and (8) linking biogeochemical variability and microbial community structure in forest soils - with a case on Abies pinsapo-fir forests.</t>
  </si>
  <si>
    <t>Miyamoto, Yumiko; Danilov, Aleksandr V.; Bryanin, Semyon V.</t>
  </si>
  <si>
    <t>The dominance of &lt;i&gt;Suillus&lt;/i&gt; species in ectomycorrhizal fungal communities on &lt;i&gt;Larix gmelinii&lt;/i&gt; in a post-fire forest in the Russian Far East</t>
  </si>
  <si>
    <t>66</t>
  </si>
  <si>
    <t>10.1007/s00572-020-00995-3</t>
  </si>
  <si>
    <t>Wildfires can negatively affect ectomycorrhizal (EM) fungal communities. However, potential shifts in community structures due to wildfires have rarely been evaluated in the forests of eastern Eurasia, where surface fires are frequent. We investigated EM fungal communities in a Larix gmelinii-dominated forest that burned in 2003 in Zeya, in the Russian Far East. A total of 120 soil samples were collected from burned and adjacent unburned forest sites. The EM fungal root tips were morphotyped and internal transcribed spacer (ITS) sequences were obtained for fungal identification. We detected 147 EM fungal operational taxonomic units, and EM fungal richness was 25% lower at the burned site than at the unburned site. EM fungal composition was characterized by the occurrence of disturbance-adapted fungi (Amphinema and Wilcoxina) at the burned site and late-successional fungi (Lactarius, Russula and Cortinarius) at the unburned site. These findings suggest that the EM fungal communities did not recover to pre-fire levels 16 years after the fire. Suillus species were the dominant EM fungi on L. gmelinii, with greater richness and frequency at the burned site. Both Larix and Suillus exhibit adaptive traits to quickly colonize fire-disturbed habitats. Frequent surface fires common to eastern Eurasia are likely to play important roles in maintaining Larix forests, concomitantly with their closely associated EM fungi.</t>
  </si>
  <si>
    <t>Mediavilla, Olaya; Andres Oria-de-Rueda, Juan; Martin-Pinto, Pablo</t>
  </si>
  <si>
    <t>Changes in sporocarp production and vegetation following wildfire in a Mediterranean Forest Ecosystem dominated by &lt;i&gt;Pinus nigra&lt;/i&gt; in Northern Spain</t>
  </si>
  <si>
    <t>85</t>
  </si>
  <si>
    <t>10.1016/j.foreco.2014.07.033</t>
  </si>
  <si>
    <t>In Mediterranean forests, wildfires are a common feature which profoundly alters vegetation and its associated fungal communities. While a great deal of research has been advocated to the study of plant communities affected by forest fires, our knowledge on the interactions between fire occurrence and development of fungal communities is still scarce.The aim of this work was to study the changes triggered by wildfires in the mycoflora of a Pinus nigra artificial stand in Northern Spain.Sporocarps were collected and identified from a set of three 100 m(2) transects at each one and five year old burned areas and an unburned adjacent area. Then, fungal species richness, biomass production and species composition was analyzed as dependent on time after fire, and also considering aspects as edibility and fungal life form.Sporocarp production and mycorrhizal and edible species richness were strongly affected just after fire, but few differences respect to unburned areas were observed only five years after the disturbance. Also, specific fungal communities composition was correlated with successive stages after fire. This was likely because of the different vegetation composition found at different stages, with species typically connected to Pinus, Quercus and Cistus in the areas where each one of them predominated.Promoting a mixture of host species just following fire by leaving the pioneer species during the implantation of new forest stands, could result in a prompt recovery of the associated fungal community, adding extra ecological value to these forests. (C) 2014 Elsevier B.V. All rights reserved.</t>
  </si>
  <si>
    <t>Kowalski, S; Kwiatkowski, G</t>
  </si>
  <si>
    <t>Effect of soil preparation on mycorrhizas and health condition of European larch seedlings in the recultivated area previously damaged by a forest fire in Rudy Raciborskie</t>
  </si>
  <si>
    <t>NEW DIRECTIONS IN PLANT PATHOLOGY</t>
  </si>
  <si>
    <t>87</t>
  </si>
  <si>
    <t>One year after planting in recultivated area the health condition of european larch seedlings was estimated. Mycorrhizas of seedlings were studied in October. In the area where soil preparation caused rich growth of reedgrass there were almost four times more seedlings infected by Botrytis cinerea than in the area where growth of reedgrass was poor. It was remarkable that the medium frequency of ectendomycorrhizas was higher then the frequency of ectomycorrhizas. That simple type of mycorrhiza was probably one of factors influenced the reduction of larch seedlings vitality. This with simultaneous higher humidity of air in the area with reedgrass could predispose larch seedlings to B.cinerea infection.</t>
  </si>
  <si>
    <t>LeDuc, Stephen D.; Rothstein, David E.; Yermakov, Zhanna; Spaulding, Susan E.</t>
  </si>
  <si>
    <t>Jack pine foliar δ&lt;SUP&gt;15&lt;/SUP&gt;N indicates shifts in plant nitrogen acquisition after severe wildfire and through forest stand development</t>
  </si>
  <si>
    <t>955</t>
  </si>
  <si>
    <t>965</t>
  </si>
  <si>
    <t>10.1007/s11104-013-1856-0</t>
  </si>
  <si>
    <t>Natural abundance of the stable nitrogen (N) isotope N-15 can elucidate shifts in plant N acquisition and ecosystem N cycling following disturbance events. This study examined the potential relationship between foliar delta N-15 and depth of plant N acquisition (surface organic vs. mineral soil) and nitrification as conifer stands develop following stand-replacing wildfire.We measured foliar delta N-15 along an 18-site chronosequence of jack pine (Pinus banksiana) stands, 1 to 72 years in age post-wildfire. Foliar delta N-15 was compared to total delta N-15 of the organic (Oe + Oa) and mineral (0-15 cm) soil horizons, and organic horizon N mineralization and nitrification as functions of total mineralization.Foliar delta N-15 declined with stand age, yet wildfire effects were heterogeneous. Jack pine seedlings on burned, mineral soil patches in the youngest stand were significantly more enriched than those on unburned, organic patches (P = 0.007). High foliar values in the youngest stands relative to mineral-horizon delta N-15 indicate that nitrification also likely contributed to seedling enrichment.Our results suggest jack pine seedlings on burned patches obtain N from the mineral soil with potentially high nitrification rates, whereas seedlings on unburned patches and increasingly N-limited, mature jack pine acquire relatively more N from organic horizons.</t>
  </si>
  <si>
    <t>Duran-Manual, Francisco; Espinosa, Juncal; Perez-Pereda, Edelmys; Mediavilla, Olaya; Geada-Lopez, Gretel; Dejene, Tatek; Sanz-Benito, Ignacio; Martin-Pinto, Pablo; Martinez-Becerra, Luis W.</t>
  </si>
  <si>
    <t>Prescribed burning in&lt;i&gt; Pinus&lt;/i&gt; cubensis-dominated tropical natural forests: a myco-friendly fire-prevention tool</t>
  </si>
  <si>
    <t>FOREST SYSTEMS</t>
  </si>
  <si>
    <t>10.5424/fs/2022312-19318</t>
  </si>
  <si>
    <t>Aim of study: To evaluate the effects of two different prescribed burning strategies on ectomycorrhizal (ECM) fungal species in Pinus cubensis-dominated natural forest. Area of study: Yateras Silvicultural Base Business Unit, Guantanamo, Cuba. Materials and methods: In June 2015, six plots (20 x 50 m) were subjected to forward or back burning. Nine interval samplings (per-formed 1 week before and up to 120 days after prescribed burning) were undertaken to determine the total number of sporocarps and to evaluate the effect of fire on the soil. Main results: Eight ECM species were collected from the study plots. Suillus sp. and Amanita muscaria started fruiting 15 and 60 days after the fire, respectively. Boletus sp., Suillus brevipes, Suillus decipiens, Suillus sp., Amanita muscaria, Lactarius semisanguifluus, Scle-roderma stellatum and Pisolithus arhizus were found before and after prescribed burning. Sporocarp numbers showed an increasing trend after fire and significantly recovered 75 days after forward or back burning and were significantly higher 120 days after forward burning compared to unburned plots. The ECM fungal community in the heading fire and the backfire plots did not differ significantly. However, non-metric multidimensional scaling confirmed that ECM composition differed over time. According to a Mantel test, the sampling time after prescribed burning accounted for 64% of the variation in ECM composition, followed by edaphic factors (26%) such as organic matter and Na. Research highlights: This preliminary study suggests that low-intensity prescribed burning does not have a negative effect on ECM fungal dynamics in humid tropical forests.</t>
  </si>
  <si>
    <t>LeDuc, Stephen Daniel</t>
  </si>
  <si>
    <t>Soil nitrogen cycling and ectomycorrhizal community composition following disturbance in Michigan jack pine forests</t>
  </si>
  <si>
    <t>Murata, Masao; Nagata, Yuki; Nara, Kazuhide</t>
  </si>
  <si>
    <t>Soil spore banks of ectomycorrhizal fungi in endangered Japanese Douglas-fir forests</t>
  </si>
  <si>
    <t>ECOLOGICAL RESEARCH</t>
  </si>
  <si>
    <t>469</t>
  </si>
  <si>
    <t>479</t>
  </si>
  <si>
    <t>10.1007/s11284-017-1456-1</t>
  </si>
  <si>
    <t>Interactions between trees and ectomycorrhizal fungi are critical to the growth and survival of both partners. However, ectomycorrhizal symbiosis has barely been explored in endangered trees, and no information is available regarding soil spore banks of ectomycorrhizal fungi from forests of threatened trees. Here, we evaluated soil spore banks of ectomycorrhizal fungi from endangered Japanese Douglas-fir (Pseudotsuga japonica) forests using bioassay approaches with congeneric P. menziesii and Pinus densiflora seedlings in combination with molecular identification techniques. Rhizopogon togasawariana was predominant in soil propagule banks and was found in all remaining P. japonica forests when assayed with P. menziesii, while no colonization of this fungus was observed on Pinus seedlings. Given the observed specificity of R. togasawariana for P. menziesii and its phylogenetic position within the Pseudotsuga-specific Rhizopogon lineage, its geographical distribution is likely restricted to the remaining Japanese Douglas-fir forests, indicating a high extinction risk for this fungus as well as its endangered host. Spore banks of R. togasawariana remained highly infective after preservation for 1 year or heat treatment at 70 A degrees C, suggesting an ecological strategy of establishing ectomycorrhizal associations on regenerating Japanese Douglas-fir seedlings after disturbance, as observed in other Rhizopogon-Pinaceae combinations. Therefore, the regeneration of Japanese Douglas-fir seedlings may depend largely on the soil spore banks dominated by R. togasawariana, which has co-evolved with the Japanese Douglas-fir for over 30 million years. More attention must be paid to underground ectomycorrhizal fungi for the conservation of endangered tree species, especially in the era of human-induced mass extinction.</t>
  </si>
  <si>
    <t>Valdes, Maria; Valenzuela, Ricardo; Medina-Jaritz, Nora; Ramirez, Paola; Pereda, Veronica; Arzate, Mario A.; Pineda, Rosa M.; Badillo, Sofia</t>
  </si>
  <si>
    <t>Above and below-ground ectomycorrhiza in a disturbed pine-oak forest.</t>
  </si>
  <si>
    <t>Ecological Society of America Annual Meeting Abstracts</t>
  </si>
  <si>
    <t>516</t>
  </si>
  <si>
    <t>Rewald, Boris; Ammer, Christian; Hartmann, Henrik; Malyshev, Andrey V.; Meier, Ina C.</t>
  </si>
  <si>
    <t>Editorial: Woody Plants and Forest Ecosystems in a Complex World-Ecological Interactions and Physiological Functioning Above and Below Ground</t>
  </si>
  <si>
    <t>FRONTIERS IN PLANT SCIENCE</t>
  </si>
  <si>
    <t>10.3389/fpls.2020.00173</t>
  </si>
  <si>
    <t>Mallik, Azim; Kravchenko, Dmitri</t>
  </si>
  <si>
    <t>Recruitment and ontogenic patterns of stunting and growth release of black spruce (&lt;i&gt;Picea&lt;/i&gt; &lt;i&gt;mariana&lt;/i&gt;) in post-fire &lt;i&gt;Kalmia&lt;/i&gt; heaths</t>
  </si>
  <si>
    <t>135</t>
  </si>
  <si>
    <t>10.1016/j.foreco.2017.09.068</t>
  </si>
  <si>
    <t>Recruitment of seed regenerating plants after disturbance depends on adequate seed supply and favourable microsites that allow germination and seedling establishment (safe sites). Forest disturbance in nutrient stressed conifer-ericaceous communities in boreal and temperate forests become quickly dominated by ericaceous shrubs and restrict tree recruitment. Habitat filter due to limitation of safe sites has been attributed to inadequate seedling regeneration. Furthermore, large proportions of the regenerating seedlings exhibit stunted growth but some over time exhibit growth release. Despite wide occurrence of poor natural regeneration of conifers in ericaceous shrubs, the ontogenic patterns of stunting and growth release of conifer seedlings received little attention. We used post-fire black spruce- Kalmia ecosystems to study this. We hypothesized that (i) post-fire residual OM thickness controls seedling recruitment by limiting safe sites even in presence of sufficient seed supply, (ii) black spruce density of a site depends on its OM depth, which controls safe sites, and (iii) partially safe sites, which permit germination and seedling establishment with stunted growth, can become safe sites overtime allowing growth release. We experimentally tested black spruce seed regeneration on seedbeds with variable OM thickness and studied the ontogenic patterns of seedling/sapling growth in eight post-fire Kalmia heaths along an 8-34 year chronosequence. We found that despite ample seed supply OM depth controls seedling recruitment. In the chronosequence study we found only 17.8% of burnt area accounts for occupied safe sites, recruiting only 317 seedlings/ha and only 13% of them exhibit normal growth, others remain stunted for 5-20 yrs. With time, successive cohorts of stunted seedlings overcome growth check. Black spruce density was negatively associated with OM depth and Kalmia cover. The probability of growth release was associated negatively with OM depth and positively with soil respiration. We conclude that poor black spruce regeneration in Kalmia heath is largely due to safe site limitation controlled by OM depth, which also controls seedling stunting and growth release. The novelty of this work is the discovery of ontogenic patterns of conifer seedlings in nutrient stressed habitats. Our findings have implications for tree regeneration in other environmentally and nutritionally stressed ecosystems such as treelines.</t>
  </si>
  <si>
    <t>O'Donnell, Lisa; Pickles, Brian J.; Campbell, Cristina M.; Moulton, Laurel L.; Hauwert, Nico M.; Gorzelak, Monika A.</t>
  </si>
  <si>
    <t>Native tree and shrub canopy facilitates oak seedling regeneration in semiarid woodland</t>
  </si>
  <si>
    <t>ECOSPHERE</t>
  </si>
  <si>
    <t>10.1002/ecs2.3017</t>
  </si>
  <si>
    <t>Oaks (Quercus spp.) are currently declining worldwide due to a multitude of threats. Woodland management is often heavily focused on thinning and burning nontarget species to reduce competition and promote oak dominance in the overstory. These techniques have typically been developed in temperate regions, such as eastern U.S. forests, but whether they are the most effective strategy for promoting oak regeneration in semiarid woodlands has not been sufficiently examined. We conducted our study on the eastern Edwards Plateau in central Texas, where several oak species are codominant with Ashe juniper (Juniperus ashei) over karst limestone terrane. These juniper-oak woodlands provide habitat for many endemic species and play an essential role in the maintenance of key aquifers. A history of canopy clearing and a severe drought in 2011 generated patches of living and dead juniper-oak canopy interspersed with canopy gaps in our study area. In November 2013, we planted 200 shin oak (Quercus sinuata var. breviloba) acorns in each of three habitat treatments, replicated six times: (1) live canopy, (2) dead canopy, and (3) open invasive grassland. We monitored emergence and survival each year, harvesting five seedlings from each replicate in October 2017 to assess shoot height, rooting depth, biomass, ectomycorrhizal colonization, and foliar nutrients. Canopy trees, living or dead, significantly enhanced seedling emergence and survival. Survival was positively associated with increasing Ashe juniper and oak basal area, shrub cover, and soil organic matter, and negatively associated with increasing canopy gap size (complete mortality in gaps &gt;220 m(2)). Seedling biomass increased significantly in dead and open treatments along with foliar nutrients N, P, and S (dead treatments) or S and Fe (open treatments), whereas ectomycorrhizal colonization and foliar nutrients Ca, Mg, and Mn increased under living canopy. Our findings suggest that oak regeneration in these juniper-oak woodlands closely resembles that of Mediterranean regions, where canopy facilitates seedling survival. Both living and dead trees and shrubs enhanced oak regeneration, with seedling survival depending on proximity to larger trees, living roots, shrubs, and juniper-oak canopy. Planting acorns under canopy is an inexpensive, sustainable, and effective restoration practice in drought-prone ecosystems.</t>
  </si>
  <si>
    <t>Khetmalas, MB; Egger, KN; Massicotte, HB; Tackaberry, LE; Clapperton, MJ</t>
  </si>
  <si>
    <t>Bacterial diversity associated with subalpine fir (&lt;i&gt;Abies lasiocarpa&lt;/i&gt;) ectomycorrhizae following wildfire and salvage-logging in central British Columbia</t>
  </si>
  <si>
    <t>CANADIAN JOURNAL OF MICROBIOLOGY</t>
  </si>
  <si>
    <t>611</t>
  </si>
  <si>
    <t>625</t>
  </si>
  <si>
    <t>10.1139/W02-056</t>
  </si>
  <si>
    <t>To assess the effect of fire and salvage logging on the diversity of mycorrhizal-bacterial communities, bacteria associated with Cenococcum, Thelephora, Tomentella, Russulaceae, and E-strain ectomycorrhizae (ECM) of Abies lasiocarpa seedlings were characterized using two approaches. First, bacteria were isolated and characterized by Biolog(R), gas chromatography fatty acid methyl ester (GC-FAME), and amplified 16S rDNA restriction analysis (ARDRA), The bacterial communities retrieved from ECM from both sites were dominated by Proteobacteria (groups gamma and beta). Pseudomonas was the most common genus isolated, followed by Variovorax, Burkholderia, and Xanthomonas, Gram-positive isolates (mostly high-G+C Gram-positive bacteria) were more frequently retrieved on the burned-salvaged site, many commonly associated with the two ascomycete ECM, Cenococcum and E-strain. Pseudomonas species were retrieved more frequently from Thelephora. Although actinomycetes were isolated from all sites, almost no actinomycetes or other Gram-positive bacteria were isolated from either Thelephora or Tomentella. Second, amplified 16S rRNA gene sequences were amplified directly from root tips and then cloned into the plasmid vector pAMP1, followed by restriction analysis. This technique distinguished more genotypes than isolates retrieved by culturing methods, but generally, results were similar in that the largest proportion of the bacteria were putatively Gram-negative; putative Gram-positive bacteria were fewer and most were from the burned-salvaged site. Direct cloning resulted in many patterns that did not match any identified isolates, suggesting that a large proportion of clones were unique or not culturable by the methods used. Analysis for both protocols showed no significant difference in bacterial diversity between the burned-salvaged and unburned sites.</t>
  </si>
  <si>
    <t>Valentine, LL; Fiedler, TL; Hart, AN; Petersen, CA; Berninghausen, HK; Southworth, D</t>
  </si>
  <si>
    <t>Diversity of ectomycorrhizas associated with &lt;i&gt;Quercus garryana&lt;/i&gt; in southern Oregon</t>
  </si>
  <si>
    <t>123</t>
  </si>
  <si>
    <t>10.1139/B03-117</t>
  </si>
  <si>
    <t>We investigated diversity of ectomycorrhizas associated with Quercus garryana Dougl. ex Hook. (Oregon white oak, or Garry oak) at Whetstone Savanna Preserve in southern Oregon. Based on morphotyping and DNA restriction fragments, we described 39 ectomycorrhizas. The most common five morphotypes were found in 5% or more of 160 soil cores. Cenococcum geophilum, the most abundant morphotype, occurred in 75% of soil cores. Another common morphotype yielded a restriction fragment length polymorphism (RFLP) pattern similar to that of Tuber species. Uncommon morphotypes were responsible for the majority of ectomycorrhizal diversity on Q. garryana. Morphotype diversity of seedlings was more similar to that of their parent tree than to seedlings under other trees. Internal transcribed spacer (ITS) - RFLP patterns of ectomycorrhizas found beneath sporocarps did not match those of the sporocarps fruiting above ground. An understanding of the diversity of the ectomycorrhizal community on Q. garryana will enable us to compare ectomycorrhizas on other oak species and habitats; determine seasonality of ectomycorrhizal growth; evaluate treatments such as fire, grazing, invasion by exotic plants, and other anthropogenic disturbances; and aid restoration protocols.</t>
  </si>
  <si>
    <t>Mallik, A.; Bloom, R.</t>
  </si>
  <si>
    <t>Seedbed allelopathy and species regeneration strategy: destabilizing black spruce-Kalmia community in eastern Canada.</t>
  </si>
  <si>
    <t>Proceedings of the 4th World Congress on Allelopathy, "Establishing the Scientific Base", Wagga Wagga, New South Wales, Australia, 21-26 August 2005</t>
  </si>
  <si>
    <t>237</t>
  </si>
  <si>
    <t>242</t>
  </si>
  <si>
    <t>Fire adapted black spruce-Kalmia forests of eastern Canada have been subjected to anthropogenic disturbance by fire suppression and clearcut logging. In nutrient poor sites of this forest type canopy removal causes rapid growth of the ericaceous understorey plants transforming the forest community into ericaceous heath. Under the natural fire regime high severity fires are important to create the necessary mineral soil exposed seedbed for black spruce regeneration by removing phenolic rich Kalmia humus. Under the active fire suppression regime forest fires are generally small and they are non-severe compared to wild fires. Non-severe fires create very limited favourable seedbed for conifers but they stimulate vegetative growth of ericaceous plants specially Kalmia which has allelopathic effects on root growth and ectomycorrhiza formation in black spruce. One year after fire only 10% of the burned surface have mineral soil exposed seedbed that is suitable for black spruce germination and seedling establishment and the amount of suitable seedbed progressively declines with time since fire. The majority of the seedbed (90%) consists of charred surface that is unsuitable for seed germination. However, ericaceous plants can regenerate vegetatively through the charred surface. Post-disturbance black spruce regenerating sites are thus pre-empted by Kalmia, through its humus allelopathy and aggressive vegetative growth. The biological and chemical feedbacks operating under Kalmia resist tree invasion and help perpetuate the heath condition by ecological engineering effect of the dominant plant.</t>
  </si>
  <si>
    <t>Horton, Bryony M.; Glen, Morag; Davidson, Neil J.; Ratkowsky, David; Close, Dugald C.; Wardlaw, Tim J.; Mohammed, Caroline</t>
  </si>
  <si>
    <t>Temperate eucalypt forest decline is linked to altered ectomycorrhizal communities mediated by soil chemistry</t>
  </si>
  <si>
    <t>329</t>
  </si>
  <si>
    <t>337</t>
  </si>
  <si>
    <t>10.1016/j.foreco.2013.04.006</t>
  </si>
  <si>
    <t>Eucalypt forest decline has a complex aetiology often linked to altered soil chemistry caused by environmental disturbances. Forest decline has also been linked to alterations in ectomycorrhizal (ECM) fungal communities, which are imperative for nutrient transfer and affect ecosystem productivity and health. Our aim was to determine the influence of soil chemistry on ECM fungal communities and tree health in declining temperate eucalypt forests. We hypothesise that forests with changed soil chemistry, in particular altered nitrogen cycling associated with forest decline, supports unique ECM fungal communities. ECM communities from twelve Eucalyptus delegatensis forest plots were characterised by DNA sequencing of root tip and sporocarp samples. Tree health and nutrient concentrations from soil and foliage samples were quantified for each plot. Multivariate and regression analyses and t-tests were used to determine ECM fungal community differences between forest health classes, and identify which soil variables were important for defining these communities. Elevated available soil nitrogen and soil acidity were associated with severely declining forest. Soil pH, nitrate and organic carbon significantly explained the majority of variation in ECM fungal community composition and structure, which differed between moderately and severely declining forest. Russulaceae species richness was greatest in acidic soils (severely declining forest) while Cortinariaceae species richness was greatest in soils with lower concentrations of soil nitrate (moderately declining forest). Total ECM fungal richness was inversely related to available soil phosphorus and soil nitrate. Thus, altered soil chemistry associated with eucalypt forest decline mediates changes in the ECM fungal community. Forest management must consider the role of disturbance in maintaining suitable soil conditions for symbiotic fungi which are important for maintaining healthy eucalypt forest and restoring declining forest ecosystems. (C) 2013 Elsevier B.V. All rights reserved.</t>
  </si>
  <si>
    <t>Holden, Sandra R.; Gutierrez, Abraham; Treseder, Kathleen K.</t>
  </si>
  <si>
    <t>Changes in Soil Fungal Communities, Extracellular Enzyme Activities, and Litter Decomposition Across a Fire Chronosequence in Alaskan Boreal Forests</t>
  </si>
  <si>
    <t>34</t>
  </si>
  <si>
    <t>10.1007/s10021-012-9594-3</t>
  </si>
  <si>
    <t>Wildfires are a pervasive disturbance in boreal forests, and the frequency and intensity of boreal wildfires is expected to increase with climate warming. Boreal forests store a large fraction of global soil organic carbon (C), but relatively few studies have documented how wildfires affect soil microbial communities and soil C dynamics. We used a fire chronosequence in upland boreal forests of interior Alaska with sites that were 1, 7, 12, 24, 55, 90, and 100 years post-fire to examine the short- and long-term responses of fungal community composition, fungal abundance, extracellular enzyme activity, and litter decomposition to wildfires. We hypothesized that post-fire changes in fungal abundance and community composition would constrain decomposition following fires. We found that wildfires altered the composition of soil fungal communities. The relative abundance of ascomycetes significantly increased following fire whereas basidiomycetes decreased. Post-fire decreases in basidiomycete fungi were likely attributable to declines in ectomycorrhizal fungi. Fungal hyphal lengths in the organic horizon significantly declined in response to wildfire, and they required at least 24 years to return to pre-fire levels. Post-fire reductions in fungal hyphal length were associated with decreased activities of hydrolytic extracellular enzymes. In support of our hypothesis, the decomposition rate of aspen and black spruce litter significantly increased as forests recovered from fire. Our results indicate that post-fire reductions in soil fungal abundance and activity likely inhibit litter decomposition following boreal wildfires. Slower rates of litter decay may lead to decreased heterotrophic respiration from soil following fires and contribute to a negative feedback to climate warming.</t>
  </si>
  <si>
    <t>Ksentini, Hana; Meddad-Hamza, Amel; Beddiar, Arifa</t>
  </si>
  <si>
    <t>Effects of inoculation with arbuscular mycorrhizae and ectomycorrhizae on growth and mycorrhizal colonization of cork oak (Quercus suber L.).</t>
  </si>
  <si>
    <t>Jordan Journal of Biological Sciences (JJBS)</t>
  </si>
  <si>
    <t>621</t>
  </si>
  <si>
    <t>626</t>
  </si>
  <si>
    <t>The cork oak (Quercus suber L.) is a tree which forms important forests that play a vital socioeconomic and environmental value in the Mediterranean basin. The multiple factors of overgrazing, biological invasion by introducing acacia trees, and repeated fires weaken the cork oak ecosystem and affect its natural regeneration. The purpose of this study is to increase the production of cork oak. With this aim, a test of controlled mycorrhization was carried out on the nursery where two commercial inocula - the arbuscular mycorrhizal (Symbivit) (S) and ectomycorrhizal (Ectovit) (E) - were brought separately and combined on cork oak seedlings cultivated on sterilized or non-sterilized soil. Statistical models revealed that the controlled inoculation improved the growth of the plants inoculated by IE, which had significantly increased mycorrhizal root colonization levels and cork oak growth compared to the treatments of the Symbivit (IS) and the non-inoculated plants (NI); these rates were lower in both substrates: sterile and non-sterile. It is known that the best mycorrhizal partners of cork oak are ectomycorrhizae, however, in the presence of arbuscular mycorrhizae, the mycorrhizal root colonization levels and the growth parameters were considerably enhanced compared to previous treatments IE, IS and NI. The dual colonization had shown positive effects on the improvement of the mycorrhizal potential of the soil. Indeed, EM % colonization was the most strongly correlated with growth parameters compared to other mycorrhizal parameters. This research underlines that the use of controlled inoculation based on commercial inoculum can be an effective alternative in the case where the local inoculum is not available, and thus time saving.</t>
  </si>
  <si>
    <t>Curlevski, Nathalie J. A.; Artz, Rebekka R. E.; Anderson, Ian C.; Cairney, John W. G.</t>
  </si>
  <si>
    <t>Response of soil microbial communities to management strategies for enhancing Scots pine (Pinus sylvestris) establishment on heather (Calluna vulgaris) moorland</t>
  </si>
  <si>
    <t>413</t>
  </si>
  <si>
    <t>424</t>
  </si>
  <si>
    <t>10.1007/s11104-010-0593-x</t>
  </si>
  <si>
    <t>Active management to encourage the expansion of native pine woodland onto neighbouring moorland has been suggested as a tool to promote increases in forest area to combat climate change. Low intensity burning has previously been shown to increase pine seedling establishment, however the effect of this on below-ground diversity and functioning in these important terrestrial carbon stores is equivocal. Here, we assessed the effect of a single burn and grazing exclosures after a 6 year period on soil microbial respiratory activity and fungal community structure using terminal restriction fragment polymorphism (T-RFLP) analysis. The combined data suggest that the strategy of a single prescribed burn to facilitate Scots pine establishment had no lasting effect on either fungal taxonomic richness, fungal community composition or microbial activity. Thus, our findings support the proposed use of single, low intensity, prescribed burns in regenerating Scots pine forests as a low impact management tool.</t>
  </si>
  <si>
    <t>Smith, JE; McKay, D; Niwa, CG; Thies, WG; Brenner, G; Spatafora, JW</t>
  </si>
  <si>
    <t>Short-term effects of seasonal prescribed burning on the ectomycorrhizal fungal community and fine root biomass in ponderosa pine stands in the Blue Mountains of Oregon</t>
  </si>
  <si>
    <t>2477</t>
  </si>
  <si>
    <t>2491</t>
  </si>
  <si>
    <t>10.1139/X04-124</t>
  </si>
  <si>
    <t>The effects of seasonal prescribed fire on the belowground ectomycorrhizal community and live fine root biomass were investigated before, 1 year after, and 2 years after prescribed underburning. Ectomycorrhizas were sampled from four replications of three treatments (fall underburning, spring underburning, and a nonburned control) in a randomized complete block design. Samples were separated in two subsamples representing the upper 5 cm and lower 5 cm of a soil core. Molecular tools were used to distinguish 140 restriction fragment length polymorphism (RFLP) species of fungi directly from the ectomycorrhizas. Prior to underburning, the number of RFLP species and amount of live root biomass were similar among treatment units and between upper and lower core samples. Fall underburning largely removed live root biomass to a depth of 10 cm and significantly reduced ectomycorrhizal species richness compared with spring underburning and the nonburned control for at least 2 years. RFLP species richness and live root biomass following spring underburning were generally similar to the nonburned treatment. The successful reintroduction of fire to the ecosystem to retain high species diversity of ectomycorrhizal fungi and achieve the desired future condition of large-tree ponderosa pine retention with low fuel loads may require more than underburning in a single season.</t>
  </si>
  <si>
    <t>Sousa, Nadine R.; Franco, Albina R.; Ramos, Miguel A.; Oliveira, Rui S.; Castro, Paula M. L.</t>
  </si>
  <si>
    <t>Reforestation of burned stands: The effect of ectomycorrhizal fungi on &lt;i&gt;Pinus pinaster&lt;/i&gt; establishment</t>
  </si>
  <si>
    <t>2115</t>
  </si>
  <si>
    <t>2120</t>
  </si>
  <si>
    <t>10.1016/j.soilbio.2011.06.013</t>
  </si>
  <si>
    <t>The area occupied by Pinus pinaster in Portugal is rapidly diminishing because of forest fires. Ectomycorrhizal fungi form obligate, mutually beneficial associations with P. pinaster which improve plant growth and resistance to adverse conditions. The aim of this work was to assess whether native ectomycorrhizal fungi could be a useful tool in the reforestation of burned areas. The work was conducted in a forest nursery greenhouse, where P. pinaster seedlings were inoculated with compatible ectomycorrhizal fungal isolates: Suillus bovinus, Pisolithus tinctorius, Rhizopogon roseolus, and a mixture of the three fungi, using burned and unburned forest soil as substrate. Inoculation significantly enhanced the growth of P. pinaster, with R. roseolus proving to be the most effective in burned soil, with an 8-fold increase in plant fresh weight. Overall, inoculation stimulated growth most in burned than in unburned soil. This study suggests that inoculation with selected ectomycorrhizal fungi in containerised nurseries can be an advantageous approach for the successful establishment of P. pinaster in burned soil. The obtained results point out to the interest of extending these studies into fire-impacted areas, using ectomycorrhizal fungi as a biological tool. (C) 2011 Elsevier Ltd. All rights reserved.</t>
  </si>
  <si>
    <t>Purdy, BG; Macdonald, SE; Dale, MRT</t>
  </si>
  <si>
    <t>The regeneration niche of white spruce following fire in the mixedwood boreal forest</t>
  </si>
  <si>
    <t>289</t>
  </si>
  <si>
    <t>306</t>
  </si>
  <si>
    <t>10.14214/sf.564</t>
  </si>
  <si>
    <t>Early establishment of white spruce (Picea glauca) in mixedwood boreal forest stands following fire was examined at several times-since-fire (1-, 2-, 4-, 6-, 14-years). Abiotic and biotic conditions in the stands were assessed at two scales, tree plot (5 in x 5 in) and microsite (1 m x 1 m), along with presence, density and height of white spruce seedlings. Germination and survival of seed sown 1- and 4-years post fire were quantified. Survival and growth of nursery-grown seedlings, and mycorrhizal colonization, survival and growth of sterile seedlings, planted 1-year post-fire were assessed. At the tree plot scale, presence of white spruce seedlings 1-year post-fire could be reliably predicted by organic layer depth and distance to and strength of seed source. In contrast, none of the biotic or abiotic factors measured was strongly correlated with occurrence or density of white spruce seedlings 6- and 14- years post-fire. At the microsite scale, seedling recruitment immediately post-fire was limited to a distinct subset of available microsites (greater % cover of downed wood and moss, lower % cover of litter and herbaceous vegetation). Likewise, seedling occurrence in older bums was associated with distinct microsite conditions; although this was more likely an effect of white spruce presence, rather than the cause. Less than 3% of seed sown 1 yr post-fire survived to become 1 yr old germinants, survival was 41% over the next three years. Availability of suitable regeneration microsites declines rapidly with time-since-fire; less than 0.3% of seed sown 4 yrs post-fire survived one year. High rates of mycorrhizal colonization were found on white spruce seedlings planted 1-year post-fire, including early and late stage fungal species. Micrositc characteristics were only weakly correlated with mycorrhizal fungal communities. We propose that immediate post-fire recruitment of white spruce is a key process in mixedwood boreal succession.</t>
  </si>
  <si>
    <t>Martin-Pinto, Pablo; Sanz-Benito, Ignacio; Santos, Maria; Andres Oria-de-Rueda, Juan; Geml, Jozsef</t>
  </si>
  <si>
    <t>Anthropological impacts determine the soil fungal distribution of Mediterranean oak stands</t>
  </si>
  <si>
    <t>10.1016/j.ecolind.2021.108343</t>
  </si>
  <si>
    <t>Quercus pyrenaica-dominated forests are very widely distributed in Mediterranean ecosystems. Traditional forest use, such as coppicing to obtain firewood or livestock grazing under silvopastoral systems, and the current social abandonment of the rural environment have given rise to forest structures of different ages and at different stages of development. Thus, on the one hand, there are large areas of Q. pyrenaica coppice systems that produce a large amount of biomass that have a very high risk of driving forest fires. On the other hand, dehesas, which have very low tree density and are composed of very old trees that are susceptible to different types of environmental stress and have serious regeneration problems and a weak phytosanitary status. In addition, previous studies have suggested that the production of economically valuable edible mushrooms is negatively impacted by silvicultural management. To determine the effects of land management on these ecosystems, we analyzed the soil fungal communities associated with coppice stands (i.e., high-density coppice), high forest stands (i.e., low-density coppice that received silvicultural management 15 years ago to reduce the risk of wildfire), and old stands (i. e., dehesas) to assess their potential ecological roles in their conservation and the diversity of edible mushrooms. We also analyzed the edaphic variables associated with these systems (carbon, pH and the carbon/nitrogen ratio) to understand the dynamics of these fungal communities. We observed two distinguishable communities: pathogen-, parasite-, and endophyte-dominated dehesas and saprotroph-and ectomycorrhizal (ECM)-dominated coppice stands, with a mixed composition in high forest stands. ECM fungi correlated with stand age and structure, showing higher richness levels in high forest stands, particularly ECM fungi with short hyphal exploration type. Finally, the influence of stand age and structure due to land management significantly affected the variety of some edible genera, such as Boletus, Tuber or Terfezia.</t>
  </si>
  <si>
    <t>Mrak, Tanja; Sibanc, Natasa; Brailey-Jones, Philip; Straus, Ines; Gricar, Jozica; Kraigher, Hojka</t>
  </si>
  <si>
    <t>Extramatrical Mycelium and Ectomycorrhizal Community Composition of &lt;i&gt;Quercus pubescens&lt;/i&gt; in a Sub-Mediterranean Stress-Prone Environment</t>
  </si>
  <si>
    <t>10.3389/ffgc.2021.599946</t>
  </si>
  <si>
    <t>Temporal studies that would offer insight into resilience of ectomycorrhizal (ECM) communities in stress prone climates are scarce despite their role in tree nutrition and water supply. Our study characterized the vitality, community composition, diversity, and function of Quercus pubescens Willd. ECM fungi in the Sub-Mediterranean stress-prone environment for 2 consecutive years (June 2016-May 2018) and related the investigated measures to environmental parameters. ECM community was assessed for species actively associating with root tips and exploring the soil volume through the assessment of mycelial ingrowth into sand-filled mesh bags. The investigated period was characterized by a drier than average summer combined with wildfire in 2016 followed by another dry summer in 2017. The vital to non-vital ECM root tip ratio decreased below one in August 2016 and remained low until January 2018. This was ascribed to a series of stress events that occurred at the site including sequential droughts and wildfire. The most abundant ECM lineages on root tips were Tomentella and other Thelephoraceae, Sebacina, and Cenococcum while in mesh bags the most abundant were Tomentella, Sebacina, Pseudotomentella, Pyronemataceae, Inocybe, Cortinarius, Agaricales, and Boletales lineages. High intra-site variability was observed, with ECM communities directly associated with root tips and exploring the soil volume varying significantly among the plots. Community composition was stable over time, while species richness varied with mean air and soil temperature, relative air humidity, and solar radiation. The most abundant exploration type observed at this site was short distance, which was associated with precipitation along with long distance exploration type. The medium distance exploration type was temporally variable and responded to soil temperature and relative air humidity reflecting seasonality at the site. The presented results indicate complex relationships between environmental parameters, abiotic stress, and ECM fungi.</t>
  </si>
  <si>
    <t>Cram, Michelle M.; Outcalt, Kenneth W.; Zarnoch, Stanley J.</t>
  </si>
  <si>
    <t>Growth of Longleaf and Loblolly Pine Planted on South Carolina Sandhill Sites</t>
  </si>
  <si>
    <t>SOUTHERN JOURNAL OF APPLIED FORESTRY</t>
  </si>
  <si>
    <t>10.1093/sjaf/34.2.79</t>
  </si>
  <si>
    <t>Performance of longleaf (Pinus palustris Mill.) and loblolly pine (P. taeda L.) were compared 15-19 years after outplanting on 10 different sites in the sandhills of South Carolina. The study was established from 1988 to 1992 with bareroot seedlings artificially inoculated with Pisolithus tinctorius (Pt) or naturally inoculated with mycorrhizae in the nursery. A containerized longleaf pine treatment with and without Pt inoculation was added to two sites in 1992. Effects of the Pt nursery treatment were mixed, with a decrease in survival of bareroot longleaf pine on two sites and an increase in survival on another site. The containerized longleaf pine treatment substantially increased survival, which led to greater volume compared with bareroot longleaf pine. Loblolly pine yielded more volume than longleaf pine on all sites but one, where survival was negatively affected by fire. Depth of sandy surface horizon affected mean annual height growth of both labially and longleaf pine. Height growth per year decreased with an increase in sand depth for both species. Multiple regression analysis of volume growth (ft(3)/ac per year) for both species indicated a strong relationship to depth of sandy soil and survival. After 15-19 years, loblolly pine has been more productive than longleaf pine, although longleaf pine productivity may be equal to or greater than that of labially pine on the soils with the deepest sandy surface layers over longer rotations.</t>
  </si>
  <si>
    <t>Wang, Ling-Ling; Zhou, Qing-Qiu; Su, Wen-Hua; Xu, Yun-Jian; Qian, Qin-Dong; Yang, Xiong; Chen, De-Yun; Chen, Zhe; Wu, Jian-Ping</t>
  </si>
  <si>
    <t>Responses of fungal community to forest fire are species-specific in Yunnan Plateau, southwest China</t>
  </si>
  <si>
    <t>JOURNAL OF PLANT ECOLOGY</t>
  </si>
  <si>
    <t>10.1093/jpe/rtac043</t>
  </si>
  <si>
    <t>Fire frequently causes strong disturbance in forests. Belowground fungi are sensitive to forest fire disturbance and can affect vegetation restoration. Our objective was to investigate the responses of belowground fungi under two tree species to forest fire in a mixed forest in Yunnan Plateau. Samples from three 'sample sites' (roots, rhizosphere soil and bulk soil) were collected from two plant species, Pinus yunnanensis and Eucalyptus citriodora, and were analyzed for fungal diversity and community composition. Fungi were identified using high-throughput sequencing. Shannon index and principal coordinate analysis were used for diversity and network analysis. LEfSe and FUNGuild were used to analyze the community composition, trophic mode and guild. Alpha diversity in bulk soil was higher than that in rhizosphere soil and roots, while the community composition was significantly different among the three sample sites. Fungal network complexity of E. citriodora was higher than that of P. yunnanensis. The relative abundance of Mucoromycota in the three sample sites was higher for P. yunnanensis than E. citriodora. Most of the top 10 dominant genera of the two plant species were saprotrophic fungi. In the comparison of biomarker, ectomycorrhizal fungi dominated in the roots and rhizosphere soil of P. yunnanensis, while both saprotrophic fungi and symbiotic fungi were in the roots and rhizosphere soil of E. citriodora. Our findings suggest that, following a forest fire, responses of fungal community are species-specific in Yunnan Plateau.</t>
  </si>
  <si>
    <t>Hagenbo, Andreas; Kyaschenko, Julia; Clemmensen, Karina E.; Lindahl, Bjorn D.; Fransson, Petra</t>
  </si>
  <si>
    <t>Fungal community shifts underpin declining mycelial production and turnover across a &lt;i&gt;Pinus sylvestris&lt;/i&gt; chronosequence</t>
  </si>
  <si>
    <t>JOURNAL OF ECOLOGY</t>
  </si>
  <si>
    <t>490</t>
  </si>
  <si>
    <t>501</t>
  </si>
  <si>
    <t>10.1111/1365-2745.12917</t>
  </si>
  <si>
    <t>1. Fungi play critical roles in ecosystem processes such as decomposition and nutrient cycling, but have also been highlighted as significant contributors to organic matter build-up in boreal forest soils. Ectomycorrhizal (ECM) mycelial biomass and necromass dynamics have recently been highlighted as essential for regulating build-up of soil organic matter. Understanding the extent to which shifts in mycelial community or growth trait composition cause changes in mycelial production and turnover over ecological gradients would aid a mechanistic understanding of these important processes at an ecosystem scale.2. Here, we test the hypotheses that shifting species and mycelial trait (exploration type) composition within the mycelial community underpin changes in biomass turnover with increasing forest age. We quantified mycelial turnover and assessed fungal community composition in a chronosequence of eight, 12- to 158-year-old, managed Pinus sylvestris forests. Turnover was estimated by determining mycelial biomass (ergosterol) in a sequence of ingrowth mesh bags and applying mathematical models. Fungal communities in the bags were identified using Pacific Biosciences sequencing of fungal ITS2 amplicons. To evaluate the accuracy of this method to represent all ECM fungi, community composition in bags was followed over time and compared with communities in soil.3. Mycelial communities changed with stand age, but we found no evidence that there were concurrent shifts in mycelial exploration types. Forest age and turnover were significantly correlated with ECM mycelial community composition and collectively explained 39.4% of total variation. The similarity between fungal communities in mesh bags and in soil was strongly forest age dependent, with communities in mesh bags diverging from soil communities in stands older than 60 years. However, in all stands, when bag incubation time exceeded 75 days, communities became more similar to soil communities.4. Synthesis. Our results support the idea that shifts in fungal community composition underpin the forest age-related decrease in mycelial turnover; however, since ingrowth mesh bags exclude some mycorrhizal species in older forests, it remains a possibility that turnover estimates were not reflecting the entire community. While we found no evidence that mycelial exploration types of fungi changed systematically with forest age, we suggest that other traits that relate to biomass turnover and necromass degradation require further study, as they may explain the extent to which ectomycorrhizal fungi regulate and contribute to soil organic matter accumulation.</t>
  </si>
  <si>
    <t>,</t>
  </si>
  <si>
    <t>Arctic</t>
  </si>
  <si>
    <t>411 pp.</t>
  </si>
  <si>
    <t>The following contributions with most relevence to soils are among twenty papers presented here which are from a workshop held at the Marine Biological Laboratory, Woods Hole, Massachusetts on 8-10 April 1978. Introduction to the workshop on ecological effects of hydrocarbon spills in Alaska. Atlas, R.M.; Brown, J. 155-157 Some effects of oil on the physical and chemical characteristics of wet tundra soils. Everett, K.R. 260-276 Effects of burning crude oil spilled onto six habitat types in Alaska. McKendrick, J.D.; Mitchell, W.W. 277-295 Fertilizing and seeding oil-damaged Arctic tundra to effect vegetation recovery Prudhoe Bay, Alaska. McKendrick, J.D.; Mitchell, W.W. 296-304 The physical, chemical and biological effects of crude oil spills on black spruce forest, interior Alaska. Jenkins, T.F.; Johnson, L.A.; Collins, C.M.; McFadden,T.T. 305-323 Response of microorganisms to hot crude oil spills on a subarctic taiga soil. Sparrow, E.B.; Davenport, C.V.; Gordon, R.C. 324-338 Fate of crude and refined oils in north slope soils. Sexstone, A.; Everett, K.; Jenkins, T.; Atlas, R.M. 339-347 Long term interactions of microorganisms and Prudhoe Bay crude oil in tundra soils at Barrow, Alaska. Sexstone, A.; Gustin, P.; Atlas, R.M. 348-354 Effect of surface applied crude oil on soil and vascular plant root respiration. Soil cellulase, and hydrocarbon hydroxylase at Barrow, Alaska. Linkins, A.E.; Atlas, R.M.; Gustin, P. 355-365 Ectomycorrhizal fungi of Salix rotundifolia Trautv. I. Impact of surface applied Prudhoe Bay crude oil on mycorrhizal structure and composition. Antibus, R.K.; Linkins, A.E. 366-380 Ectomycorrhizal fungi of Salix rotundifolia Trautv. II. Impact of surface applied Prudhoe Bay crude oil on mycorrhizal root respiration and cold acclimation. Linkins, A.E.; Antibus, R.K. 381-393 Fungal biomass responses in oil perturbated tundra at Barrow, Alaska. Miller, O.K., Jr.; Linkins, A.E.; Chmielewski, M.A. 394-407 Summary of the workshop on ecological effects of hydrocarbon spills in Alaska. Costerton, J.W.; Brunskill, G.J.; Hutchinson, T.; Widden, P. 408-411</t>
  </si>
  <si>
    <t>Campbell, D. Bruce; Bulmer, Chuck E.; Jones, Melanie D.; Philip, Leanne J.; Zwiazek, Janusz J.</t>
  </si>
  <si>
    <t>Incorporation of topsoil and burn-pile debris substantially increases early growth of lodgepole pine on landings</t>
  </si>
  <si>
    <t>267</t>
  </si>
  <si>
    <t>10.1139/X07-156</t>
  </si>
  <si>
    <t>Rehabilitation of skid trails, temporary roads, and log landings is required for many harvested sites in British Columbia; however, more information is needed regarding practical methods to return these access areas to productive forest. Lodgepole pine (Pinus contorta Dougl. ex Loud. var. latifolia Engelm.) seedlings (1 + 0) were planted into (i) fully rehabilitated landings (burn-pile debris and topsoil incorporated), (ii) tilled landings, and (iii) unprepared portions of the adjacent cutblock. After two seasons of growth in the field, seedlings planted on fully rehabilitated landings were 38% larger, more robust, and exhibited 44% greater absolute growth and 22% greater relative growth rates, than seedlings planted in the adjacent cutblock. Seedlings planted on tilled landings were 33% smaller, and exhibited absolute growth rates 38% less, and relative growth rates 18% less, than seedlings planted in the adjacent cutblock. Seedlings planted in the cutblock exhibited higher ectomycorrhizal colonization rates. Our results indicate that tillage alone was not sufficient to fully rehabilitate these landings, but that incorporation of recovered topsoil and burn-pile debris produced an excellent growth substrate. This method, using materials found on site, can prevent a significant loss of land regenerating to productive second-growth forest.</t>
  </si>
  <si>
    <t>Alfonso Dominguez-Nunez, Jose; Oliet, Juan A.</t>
  </si>
  <si>
    <t>Management of mushroom resources in Spanish forests: a review</t>
  </si>
  <si>
    <t>FORESTRY</t>
  </si>
  <si>
    <t>154</t>
  </si>
  <si>
    <t>10.1093/forestry/cpac031</t>
  </si>
  <si>
    <t>Mycological resources have attracted considerable interest from the public recently. In this context, forest mycological management of wild mushrooms has emerged a research field and is developing rapidly with the objective to sustainably use and conserve mushrooms in multifunctional forests. Although the term 'mycosilviculture' was coined relatively recently, forest management of mycological resources and fungal silviculture began already in the 1980s. This study reviews the literature on the forest management of wild mycological resources with emphasis on studies in Spanish Mediterranean forests. The review covers some of the most important aspects of management, such as the diagnosis of mycological resources through inventory and sampling protocols, predictive models of mushroom yield, stand variables and mycosilvicultural practices that affect mushroom yield and fungal diversity. Finally, the potential of mycorrhizal applications for mycosilviculture is briefly discussed. Most of these studies have been based on carpophore inventories, and few have analyzed soil and air fungal biomass. The Mediterranean climate determines mushroom yields; so far, mushroom yields models have been developed mainly for Boletus gr. edulis and Lactarius gr. deliciosus species and for pine forest ecosystems. In the future, it will be necessary to adjust these models to new climatic conditions, and to investigate the complex interactions between different yield and/or fungal diversity factors, adjust the scale of study and fungus-host specificity. So far, few studies have been carried out on mycosilviculture in Mediterranean forests, addressing the effect of thinning and clearcutting on fungal communities; moreover, experiences of mycological management of shrublands, prescribed burning, management of woody debris or selective planting of mycorrhizal seedlings in forests are scarce. The need to study other Mediterranean forest ecosystems is pointed out.</t>
  </si>
  <si>
    <t>PARKE, JENNIFER LEE</t>
  </si>
  <si>
    <t>FACTORS AFFECTING THE INOCULUM POTENTIAL OF VA AND ECTOMYCORRHIZAL FUNGI IN FOREST SOILS OF SOUTHWEST OREGON AND NORTHERN CALIFORNIA</t>
  </si>
  <si>
    <t>Peay, Kabir G.; Bruns, Thomas D.; Garbelotto, Matteo</t>
  </si>
  <si>
    <t>Testing the ecological stability of ectomycorrhizal symbiosis: effects of heat, ash and mycorrhizal colonization on Pinus muricata seedling performance</t>
  </si>
  <si>
    <t>291</t>
  </si>
  <si>
    <t>302</t>
  </si>
  <si>
    <t>10.1007/s11104-009-0200-1</t>
  </si>
  <si>
    <t>Understanding how abiotic conditions mediate the outcome of biotic interactions is a key question in community ecology. This is particularly interesting in the case of mutualisms because changing environmental conditions may be a source of evolutionary or ecological instability in the relationship between symbiotic partners. For the mycorrhizal symbiosis, elevated nutrient levels may make the carbon cost to plants of supporting mycorrhizal fungi outweigh the benefits of mycorrhizal nutrient acquisition. In this study, we simulated the effects of post-fire nutrient enrichment on the ectomycorrhizal symbiosis between Rhizopogon occidentalis and Pinus muricata by using factorial combinations of soil heating, ash addition and mycorrhizal colonization. In general, the presence of R. occidentalis and the heat and ash treatments increased growth of P. muricata seedlings. However, significant interactions between the treatments indicated that there were context-dependent effects on seedling growth. Soil heating increased soil mineral nitrogen content, but did not decrease the benefit of mycorrhizal colonization relative to unheated controls. This appeared to be driven by a decrease in the proportion of the root system occupied by R. occidentalis, indicating that host-plants can optimize colonization in a way that maximizes growth. Because seedlings in heat-treated soils were larger than unheated controls, reduced percent colonization did not cause any decrease in fungal biomass in heat-treated soils. Since there was no decrease in the performance of either partner, our results show that, in this system, ectomycorrhizal mutualisms are likely robust within the natural degree of environmental variability caused by moderate intensity wildfires.</t>
  </si>
  <si>
    <t>Smith, Jane E.</t>
  </si>
  <si>
    <t>Impacts of ponderosa pine forest restoration treatments on the ectomycorrhizal fungal community and fine root biomass in the Blue Mountains of Oregon</t>
  </si>
  <si>
    <t>Dickie, IA; Guza, RC; Krazewski, SE; Reich, PB</t>
  </si>
  <si>
    <t>Shared ectomycorrhizal fungi between a herbaceous perennial (&lt;i&gt;Helianthemum bicknellii&lt;/i&gt;) and oak (&lt;i&gt;Quercus&lt;/i&gt;) seedlings</t>
  </si>
  <si>
    <t>375</t>
  </si>
  <si>
    <t>382</t>
  </si>
  <si>
    <t>10.1111/j.1469-8137.2004.01177.x</t>
  </si>
  <si>
    <t>Ectomycorrhizal infection of Quercus seedlings can be low at a distance from established ectomycorrhizal vegetation. Here we investigate whether Helianthemum bicknellii, a herbaceous ectomycorrhizal perennial of prairies and oak savannas, creates patches of elevated ectomycorrhizal infection of Quercus seedlings.We performed two studies. First, ectomycorrhizas of H. bicknellii were compared with ectomycorrhizas of Quercus spp. Second, soil bioassays were conducted with Quercus macrocarpa seedlings grown in soils from near H. bicknellii; near established Quercus spp.; or distant from ectomycorrhizal vegetation.Eight species associated with H. bicknellii were identified: Cenococcum geophilum, Russula aff. amoenolens, an unknown Pezizalean fungus, Laccaria laccata, Tomentella sp., Lactarius mutabilis, Russula aff. pectinatoides, and Cortinarius sp. Internal transcribed spacer restriction fragment length polymorphism (ITS RFLP) patterns of all species except Cortinarius sp. matched to ectomycorrhiza from Quercus. In the bioassay, ectomycorrhizal infection was higher in near-Helianthemum soils than in distant soils, but lower than in near-Quercus soils.These results demonstrate that H. bicknellii, a common herbaceous plant of oak savannas, shares ectomycorrhizal partners with Quercus and provides patches of increased ectomycorrhizal infection of Quercus seedlings.</t>
  </si>
  <si>
    <t>Smith, Gabriel Reuben; Edy, Lucy C.; Peay, Kabir G.</t>
  </si>
  <si>
    <t>Contrasting fungal responses to wildfire across different ecosystem types</t>
  </si>
  <si>
    <t>844</t>
  </si>
  <si>
    <t>854</t>
  </si>
  <si>
    <t>10.1111/mec.15767</t>
  </si>
  <si>
    <t>Wildfire affects our planet's biogeochemistry both by burning biomass and by driving changes in ecological communities and landcover. Some plants and ecosystem types are threatened by increasing fire pressure while others respond positively to fire, growing in local and regional abundance when it occurs regularly. However, quantifying total ecosystem response to fire demands consideration of impacts not only on aboveground vegetation, but also on soil microbes like fungi, which influence decomposition and nutrient mineralization. If fire-resistant soil fungal communities co-occur with similarly adapted plants, these above- and belowground ecosystem components should shift and recover in relative synchrony after burning. If not, fire might decouple ecosystem processes governed by these different communities, affecting total functioning. Here, we use a natural experiment to test whether fire-dependent ecosystems host unique, fire-resistant fungal communities. We surveyed burned and unburned areas across two California ecosystem types with differing fire ecologies in the immediate aftermath of a wildfire, finding that the soil fungal communities of fire-dependent oak woodlands differ from those of neighbouring mixed evergreen forests. We discovered furthermore that the latter are more strongly altered compositionally by fire than the former, suggesting that differences in fungal community structure support divergent community responses to fire across ecosystems. Our results thus indicate that fire-dependent ecosystems may host fire-resistant fungal communities.</t>
  </si>
  <si>
    <t>Stefani, Franck; Isabel, Nathalie; Morency, Marie-Josee; Lamothe, Manuel; Nadeau, Simon; Lachance, Denis; Li, Edith H. Y.; Greer, Charles; Yergeau, Etienne; Pinno, Bradley D.; Seguin, Armand</t>
  </si>
  <si>
    <t>The impact of reconstructed soils following oil sands exploitation on aspen and its associated belowground microbiome</t>
  </si>
  <si>
    <t>SCIENTIFIC REPORTS</t>
  </si>
  <si>
    <t>10.1038/s41598-018-20783-6</t>
  </si>
  <si>
    <t>The objective of this study was to investigate the impact of different soil covers used to reclaim decommissioned oil sands mining sites on the genetic diversity of aspen and their associated belowground microbiota. Aspen genotyping showed that trees mostly originated from sexual reproduction on sites reclaimed with soil covers made of upland forest floor-mineral mix (FFMM) and lowland peat-mineral mix (PMM). In contrast, most individuals in mature and burned stands sampled as benchmarks for natural disturbances originated from vegetative reproduction. Nonetheless, aspen populations in the FFMM and PMM sites were not genetically different from those in mature and burned stands. DNA metabarcoding of bacteria and fungi in root and soil samples revealed that the diversity of the belowground microbiota associated with aspen and the relative abundance of putative symbiotic taxa in PMM were significantly lower than for FFMM and naturally disturbed sites. Despite similar aspen genetic diversity between FFMM and PMM sites, trees were not associated with the same belowground microbiota. Because the soil microbiome and more specifically the mycorrhizal communities are variable both in space and time, long-term monitoring is particularly important to better understand the ecological trajectory of these novel ecosystems.</t>
  </si>
  <si>
    <t>Visser, S; Parkinson, D</t>
  </si>
  <si>
    <t>Wildfire vs. clearcutting: Impacts on ectomycorrhizal and decomposer fungi</t>
  </si>
  <si>
    <t>114</t>
  </si>
  <si>
    <t>Intense wildfire is more destructive to the forest floor than timber harvesting with potentially more impact on fungal communities as loss of forest floor structure, microhabitat and resource diversity is more extreme after wildfire. After intense wildfire, decomposer and EM fungi associated with the forest floor are virtually eliminated since the organic matter may be almost completely combusted exposing the underlying mineral soil. Clearcutting and site scarification may compress and redistribute forest floor organic matter, but losses are low relative to those from intense wildfire. Studies in lodgepole and jack pine forests in Alberta indicate that wildfire destabilizes the EM community to a greater extent than clearcutting and recovery to pre-disturbance conditions is more rapid following clearcutting. Decomposer fungi in the forest floor are significantly reduced by intense wildfire while the fungal community in the underlying mineral soil remains relatively unaltered. Composition of the decomposer fungal community in the forest floor recovers rapidly after burning while community structure requires a longer timeframe to stabilize. However, changes in the decomposer fungal community following intense wildfire has negligible repercussions on litter decomposition. Clearcutting, either with or without site preparation appears to have minimal effects on the composition and structure of decomposer fungal communities. Management of harvested sites for the protection of EM and decomposer fungi should concentrate on minimizing soil disturbance during site preparation, eliminating prescribed burning, and ensuring rotation times are sufficiently long to allow slow-growing fungi to complete their lifecycles.</t>
  </si>
  <si>
    <t>Book chapter unaccesible</t>
  </si>
  <si>
    <t>Adamonyte, Grazina; Motiejunaite, Jurga; Irsenaite, Reda</t>
  </si>
  <si>
    <t>Crown fire and surface fire: effects on myxomycetes inhabiting pine plantations</t>
  </si>
  <si>
    <t>1431</t>
  </si>
  <si>
    <t>1439</t>
  </si>
  <si>
    <t>10.1016/j.scitotenv.2016.02.160</t>
  </si>
  <si>
    <t>Myxomycetes are heterotrophic eukaryote organisms that have three life stages, none of which are known to be resistant to fire. The response of myxobiota to different severity of fire is not well known either. We examined myxomycetes in Pinus mugo plantations following a crown fire and in Pinus sylvestris plantations following a surface fire during the first three years after the wildfire event in forested coastal sand dunes in western Lithuania. Additionally, we investigated myxomycetes in corresponding unburned stands. All studied sites (unburned and burned) bore rather different myxomycete assemblages but the disparities of the species compositions between both burn types were more pronounced showing that fire severity had stronger impact on myxomycete species composition than the pre-fire stand type. Analysis of myxomycete assemblages (including the results from field collections, bark and litter cultures) showed that surface fire sites bore the highest number of post-fire species compared to crown fire and unburned sites. Dynamic annual changes in species composition were observed in all studied sites but only crown fire plots showed a clear chronosequence of post-fire myxomycete assemblages. Fire impact promoted establishment and/or sporulation of myxomycete species that are rare in similar unburned stands, or are usually confined to other types of forests and substrata. In addition, individual myxomycete species tended to switch substratum usage during the course of vegetation succession, with a final return to their usual substrata. This possibly signaled the end of early stage of post-fire succession. (C) 2016 Elsevier B.V. All rights reserved.</t>
  </si>
  <si>
    <t>Hart, Benjamin T. N.; Smith, Jane E.; Luoma, Daniel L.; Hatten, Jeff A.</t>
  </si>
  <si>
    <t>Recovery of ectomycorrhizal fungus communities fifteen years after fuels reduction treatments in ponderosa pine forests of the Blue Mountains, Oregon</t>
  </si>
  <si>
    <t>11</t>
  </si>
  <si>
    <t>22</t>
  </si>
  <si>
    <t>10.1016/j.foreco.2018.03.050</t>
  </si>
  <si>
    <t>Managers use restorative fire and thinning for ecological benefits and to convert fuel-heavy forests to fuel-lean landscapes that lessen the threat of stand-replacing wildfire. In this study, we evaluated the long-term impact of thinning and prescribed fire on soil biochemistry and the mycorrhizal fungi associated with ponderosa pine (Pinus ponderosa). Study sites were located in the Blue Mountains of northeastern Oregon where prescribed fire treatments implemented in 1998 and thinning treatments in 2000 included prescribed fire, mechanical thinning of forested areas, a combination of thinning followed by fire, and an untreated control. Soil sampling for this study occurred in 2014 and included four replications of each treatment for a total of 16 experimental units. Differences among treatments in Bray-P, total C and N, and pH were likely driven by the thinning treatments and the resultant deposition of residual slash following harvesting or the consumption of slash by prescribed fire. Similar litter depths across treatments suggest that litter depth stabilizes over time in these forests. After more than a decade of recovery, mycorrhizal fungi in dry inland forests dominated by ponderosa pine that were subjected to fire returned to levels similar to the untreated controls. The results of this study demonstrate the resiliency of these forests to disturbances associated with restoration treatments, providing managers increased flexibility if maintaining abundant and persistent fungal communities for healthy soils is an objective.</t>
  </si>
  <si>
    <t>Karst, Justine; Randall, Morgan J.; Gehring, Catherine A.</t>
  </si>
  <si>
    <t>Consequences for ectomycorrhizal fungi of the selective loss or gain of pine across landscapes</t>
  </si>
  <si>
    <t>855</t>
  </si>
  <si>
    <t>865</t>
  </si>
  <si>
    <t>10.1139/cjb-2014-0063</t>
  </si>
  <si>
    <t>Altered disturbance regimes and novel introductions are causing rapid shifts in the distribution of pines (Pinus L.). The functionally obligate symbiosis between pines and ectomycorrhizal (EM) fungi dictates that shifts in the distribution of one partner will affect the distribution of the other. In this review, we examine evidence for three hypotheses. (1) The loss of photosynthates through stress or tree mortality decreases the abundance of EM fungi and selects for less carbon-demanding species. (2) Pine introductions initiate establishment of novel EM fungal communities. (3) The extent of shifts in EM fungal abundance and community composition is mediated by surrounding vegetation. We find support for these hypotheses though changes in EM fungal abundance are variable and context-dependent. We posit that the consequences of shifts in EM fungal abundance and community composition extend beyond the individual tree to the landscape; these changes may affect population dynamics of both symbionts, ecosystem processes, and the conservation and evolution of fungi. In addition to conducting baseline surveys to assess the distribution of EM fungi, increasing our understanding of their function, morphology, propagation, and controls on host-specificity, and shifts would also assist in predicting the trajectory of ecosystems following the loss or gain of pine.</t>
  </si>
  <si>
    <t>Karlsen-Ayala, Elena; Smith, Matthew E.; Askey, Bryce C.; Gazis, Romina</t>
  </si>
  <si>
    <t>Native ectomycorrhizal fungi from the endangered pine rocklands are superior symbionts to commercial inoculum for slash pine seedlings</t>
  </si>
  <si>
    <t>465</t>
  </si>
  <si>
    <t>480</t>
  </si>
  <si>
    <t>10.1007/s00572-022-01092-3</t>
  </si>
  <si>
    <t>The south Florida pine rocklands is a critically endangered, fire-dependent ecosystem dominated by the overstory tree Pinus densa (South Florida slash pine). Because pine recruitment in this ecosystem has proven problematic, restoration efforts need to include replanting slash pine trees. Even though ectomycorrhizal fungi are known to be critical symbionts of young pines and are necessary for the development of healthy pines, virtually nothing is known about these mutualists and their role in pine establishment and survival in the pine rocklands. One approach to improve pine establishment is to grow seedlings in a nursery before outplanting, facilitating early associations with ectomycorrhizae, and therefore improving seedling health. In this study, we compared health metrics (height, stem diameter, final needle length, root length, root colonization, needle greenness, root volume, and root:shoot ratio) of seedlings grown in soil amended with five commercially available mycorrhizal inocula versus field soil collected from three pine rockland fragments. Seedlings grown with native field soil from the pine rocklands generally performed better than those grown with commercial inoculum in all metrics except root length. According to their labels, each commercial inoculum contained between 4 and 10 ectomycorrhizal fungi species. However, no ectomycorrhizal fungi were recovered from two of the inoculum products and only three ectomycorrhizal fungi in total were recovered from the other three products. In contrast, seedlings grown with field soil are associated with ten ectomycorrhizal species. Our results highlight the importance of incorporating native ectomycorrhizal fungi into pine seedling replanting as part of restoration efforts in the pine rocklands.</t>
  </si>
  <si>
    <t>Lonergan, Erin R.; Cripps, Cathy L.; Smith, Cyndi M.</t>
  </si>
  <si>
    <t>Influence of Site Conditions, Shelter Objects, and Ectomycorrhizal Inoculation on the Early Survival of Whitebark Pine Seedlings Planted in Waterton Lakes National Park</t>
  </si>
  <si>
    <t>603</t>
  </si>
  <si>
    <t>612</t>
  </si>
  <si>
    <t>10.5849/forsci.13-511</t>
  </si>
  <si>
    <t>Whitebark pine (Pinus albicaulis) is an endangered five-needle pine limited to high elevations in western North America. Populations are being decimated by white pine blister rust, mountain pine beetles, and fire suppression. Over 200,000 rust-resistant seedlings have been planted for restoration in the western United States, but survival rates are low. Several treatment combinations (planting on burns, in beargrass, near shelter objects, and with mycorrhizal inoculation) intended to enhance the survival of planted nursery seedlings were evaluated. Each of 21 plots contained four site condition combinations (burned/not, beargrass/not). Half of 983 seedlings were inoculated with the native ectomycorrhizal fungus Suillus sibiricus in the nursery. Seedlings were planted with/without a shelter object (stumps, logs, rocks). After 2 years, some of the highest seedling survival rates (82%) were in burned areas (prescribed torching) where beargrass mats were absent. In unburned areas with beargrass, mycorrhizal treatment increased survival 17-24% and when combined with shelter objects was 68-84%. Shelter objects increased survival 10-12.5% on burns and 31% on unburned areas without beargrass, where survival was low (42%). Overall, early seedling survival was higher than for other whitebark pine restoration attempts at 95% and 69% for years one and two, likely due to particular treatment combinations possibly helped by favorable spring moisture conditions.</t>
  </si>
  <si>
    <t>Horton, TR; Cazares, E; Bruns, TD</t>
  </si>
  <si>
    <t>Ectomycorrhizal, vesicular-arbuscular and dark septate fungal colonization of bishop pine (Pinus muricata) seedlings in the first 5 months of growth after wildfire</t>
  </si>
  <si>
    <t>18</t>
  </si>
  <si>
    <t>10.1007/s005720050205</t>
  </si>
  <si>
    <t>We followed the colonization frequency of ectomycorrhizal (EM)I vesicular-arbuscular mycorrhizal (VAM), and dark septate (DS) fungi in 1- to 5-month-old bishop pine seedlings reestablishing after a wildfire. Seedlings were collected on a monthly basis at either a VAM-dominated chaparral scrub site or an EM-dominated forest site, both of which were burned. In both vegetation types, fully developed EM were observed from the third month after germination. EM fungi observed on the seedlings from the scrub site were limited to Rhizopogon subcaerulescens, R. ochraceorubens and Suillus pungens. Seedlings from the forest were colonized by a greater variety of EM fungi including Amanita spp., Russula brevipes and a member of the Cantharellaceae. VAM structures (vesicles, arbuscules or hyphal coils) were observed in the seedling root systems beginning 1 month after germination at the scrub site and 3 months after germination at the forest site. Seedlings from the scrub site consistently had more frequent VAM fungal colonization than those from the forest site through the fifth month after germination. DS fungi were observed in most seedlings from both the scrub and forest sites beginning in the first month post-germination. We propose that these fungi survived as a resident inoculum in the soils and did not disperse into the sites after the fire.</t>
  </si>
  <si>
    <t>Egger, K.; Arocena, J.; Green, S.; Kennedy, N.; Massicotte, H.; Tackaberry, L.; Scholefield, S.</t>
  </si>
  <si>
    <t>Assessment of post-beetle impacts on natural regeneration of lodgepole pine.</t>
  </si>
  <si>
    <t>Mountain Pine Beetle Working Paper - Pacific Forestry Centre, Canadian Forest Service</t>
  </si>
  <si>
    <t>vi + 22 pp.</t>
  </si>
  <si>
    <t>In 2004, a wildfire near the Kenney Dam in north-central British Columbia burned approximately 10,000 hectares of forests. This ecological disturbance presented a unique opportunity to study natural and artificial regeneration in burned mountain pine beetle (Dendroctonus ponderosae Hopkins) infested stands. Mountain pine beetle has been documented as a natural disturbance agent that may precede wildfire in lodgepole pine forests (Pinus contorta var. latifolia). In this study, we characterize lodgepole pine regeneration and the related micro-site conditions across a range of disturbance scenarios associated with mountain pine beetle (MPB) infestation and wildfire; identify limitations for the germination, survival, recruitment and growth of natural and artificial regeneration in relation to the effects of site moisture, fire severity, and competition by vegetation; and provide guidance on how to manage beetle-infested lodgepole pine stands subsequently burned by wildfires. Germination, survival and recruitment of lodgepole pine seedlings over two growing seasons were compared on 18 disturbance plots with three fire severity classes, two moisture regimes, two seed provenances, and two seedbed types. In the growing seasons following the fire (2005 and 2006), seeded plots experienced bursts of spring germination followed by continuous minor waves of new germination that ended by August 2006. Wet sites experienced a higher level of natural regeneration, and the density of seedlings increased with decreasing fire severity. On dry sites, new germinants were rare due to the impact of high and moderate fire severity, and the highest germination rates existed where fire severity was lowest. Seed provenance did not influence germination and survival rates. In contrast to the germination, survival, and recruitment results, growth rates were highest on the dry sites and increased with increasing fire severity. Thus, although recruitment on dry sites is unlikely to sufficiently restock lodgepole pine stands, the survivors show the highest growth rates. Conversely, recruitment on wet sites was sufficient to restock these stands, but seedling growth rates will likely be impeded by competing vegetation. We found no evidence that the survival or growth of recruits on dry sites was affected by the adverse impacts of the beetle and burning on soil properties, and lower diversity of ectomycorrhizal communities and nitrogen-cycling communities.</t>
  </si>
  <si>
    <t>Buscardo, Erika; Rodriguez-Echeverria, Susana; Freitas, Helena; De Angelis, Paolo; Pereira, Joao Santos; Muller, Ludo A. H.</t>
  </si>
  <si>
    <t>Contrasting soil fungal communities in Mediterranean pine forests subjected to different wildfire frequencies</t>
  </si>
  <si>
    <t>FUNGAL DIVERSITY</t>
  </si>
  <si>
    <t>99</t>
  </si>
  <si>
    <t>10.1007/s13225-014-0294-5</t>
  </si>
  <si>
    <t>Mediterranean forest ecosystems are characterized by various vascular plant groups with their associated mycorrhizae and free living soil fungi with various ecological functions. Fire plays a major role in Mediterranean ecosystem dynamics and impacts both above- and below-ground community structure and functioning. However, studies on the effects induced by altered disturbance regimes (associated with recent land use and climate extremes) on fire ecology and especially on its below-ground impacts are few. The objectives of this study were to evaluate the effects of different wildfire regimes on soil fungal community structure using two different molecular methods. We investigated the long-term effects of wildfire on soil fungal communities associated with Pinus pinaster forests in central Portugal, by comparing the results of denaturing gradient gel electrophoresis (DGGE)-based profiling with those obtained with 454 pyrosequencing. Four forest stands with differing fire history and fire return interval, and vegetation cover (mature forest, early successional stage of pine regeneration, and forest converted to scrubland) were sampled 6 years after the last fire event. The pyrosequencing-based approach indicated ca. eight-fold higher numbers of taxa than DGGE. However, fungal community fingerprinting data obtained for the different study stands with DGGE were congruent with those obtained with pyrosequencing. Both short (7.6 years) and long (24 years) fire return intervals (indicated by the presence of ericaceous shrubs in the understorey) induced a decrease in the abundance ratio between basidiomycetes and ascomycetes and appeared to reduce the frequency of ectomycorrhizal fungal species and saprophytes. Wildfire significantly reduced the frequency of late stage successional taxa (e.g. Atheliaceae and Cantharellales) and known or putative saprophytes belonging to the Clavulinaceae and the Archaeorhizomycetaceae. Conversely, early successional fungal species belonging to the Thelephoraceae were favoured by both fire return intervals, while the abundance of Cortinarius and Hebeloma, which include several Cistus-specific species, increased with short wildfire return intervals. This last finding highlights the relationship between post-fire vegetation composition and cover (vegetation successional stage), and fungal symbionts. We hypothesise that these changes could, in the long term, exhaust the resilience of Mediterranean pine forest vegetation and associated soil fungal communities by preventing pine regeneration.</t>
  </si>
  <si>
    <t>MCAFEE, BJ; FORTIN, JA</t>
  </si>
  <si>
    <t>COMPETITIVE INTERACTIONS OF ECTOMYCORRHIZAL MYCOBIONTS UNDER FIELD CONDITIONS</t>
  </si>
  <si>
    <t>848</t>
  </si>
  <si>
    <t>852</t>
  </si>
  <si>
    <t>10.1139/b86-110</t>
  </si>
  <si>
    <t>A rapid field method to evaluate the competitive performance of selected ectomycorrhizal isolates is presented. Ectomycorrhizal jack pine seedlings and noninoculated controls produced in growth pouches were outplanted in diverse stations 1 month after inoculation. Photogrphs taken prior to outplanting and at the time of excavation permitted comparative obervations of mycorrhizal development along each lateral root of individual seedlings. Nonmycorrhizal control seedlings showed 0, 20, 20 and 76% mycorrhizal development at the sterilized denuded, unsterilized denuded, burned, and undisturbed jack pine stand stations, respectively. To evaluate the postplanting performance of each isolate tested, an index of colonization and an index of competition were established. Laccaria bicolor was the best colonizer at all stations except the undisturbed jack pine stand, where Rhizopogon rubescens was the best colonizer and also the most competitive. Pisolithus tinctorius was not competitive with the indigenous mycota at the burned or the undisturbed jack pine stand stations.</t>
  </si>
  <si>
    <t>Walker, GreggR.</t>
  </si>
  <si>
    <t>Black spruce regeneration in &lt;i&gt;Kalmia&lt;/i&gt; dominated sites: Effects of mycorrhizal inoculation and forest floor mixing</t>
  </si>
  <si>
    <t>Bastias, Brigitte A.; Xu, Zhihong; Cairney, John W. G.</t>
  </si>
  <si>
    <t>Influence of long-term repeated prescribed burning on mycelial communities of ectomycorrhizal fungi</t>
  </si>
  <si>
    <t>149</t>
  </si>
  <si>
    <t>158</t>
  </si>
  <si>
    <t>10.1111/j.1469-8137.2006.01793.x</t>
  </si>
  <si>
    <t>To demonstrate the efficacy of direct DNA extraction from hyphal ingrowth bags for community profiling of ectomycorrhizal (ECM) mycelia in soil, we applied the method to investigate the influence of long-term repeated prescribed burning on an ECM fungal community.DNA was extracted from hyphal ingrowth bags buried in forest plots that received different prescribed burning treatments for 30 yr, and denaturing gradient gel electrophoresis (DGGE) profiles of partial fungal rDNA internal transcribed spacer (ITS) regions were compared. Restriction fragment length polymorphism (RFLP) and sequence analyses were also used to compare clone assemblages between the treatments.The majority of sequences derived from the ingrowth bags were apparently those of ECM fungi. DGGE profiles for biennially burned plots were significantly different from those of quadrennially burned and unburned control plots. Analysis of clone assemblages indicated that this reflected altered ECM fungal community composition.The results indicate that hyphal ingrowth bags represent a useful method for investigation of ECM mycelial communities, and that frequent long-term prescribed burning can influence below-ground ECM fungal communities.</t>
  </si>
  <si>
    <t>BORCHERS, SL; PERRY, DA</t>
  </si>
  <si>
    <t>GROWTH AND ECTOMYCORRHIZA FORMATION OF DOUGLAS-FIR SEEDLINGS GROWN IN SOILS COLLECTED AT DIFFERENT DISTANCES FROM PIONEERING HARDWOODS IN SOUTHWEST OREGON CLEAR-CUTS</t>
  </si>
  <si>
    <t>712</t>
  </si>
  <si>
    <t>721</t>
  </si>
  <si>
    <t>10.1139/x90-094</t>
  </si>
  <si>
    <t>A greenhouse bioassay was used to compare the growth, ectomycorrhiza formation, and foliar nutrient concentrations of Douglas-fir seedlings grown in soils collected at different distances from hardwood species. Soil nutrient concentrations and bulk densities were also determined. The soils were collected from two southwestern Oregon sites that had been clear-cut and broadcast burned 5 years previously. The sites, poorly stocked with conifer reproduction, were occupied primarily by grasses, forbs, and scattered individuals of tanoak (Lithocarpus densiflora (Hook. and Arn.) Rehd.), Pacific madrone (Arbutus menziesii Pursh), and canyon line oak (Quercus chrysolepis Liebm.). Five-month-old seedlings grown in media containing mineral soil collected beneath hardwood crowns had on average 60% greater height, 2.2 times greater weight (roots plus shoots), and almost 2 times more total and ectomycorrhizal short roots than seedlings grown in media containing soil collected more than 4 m from a hardwood. Rhizopogon sp. and Cenococcum geophilum dominated on seedlings grown in hardwood soils, and an unidentified brown ectomycorrhiza dominated on seedlings grown in open area soils. The effect of hardwoods did not vary among the three hardwood species or between the two sites. A study of soils collected at various distances from hardwoods indicated that the effect extended between 2 and 3 m. Average foliar nitrogen was higher for seedlings grown in hardwood area than in open area soils, but differences was not statistically significant. Differences in other foliar nutrients of seedlings grown on soils from beneath the three hardwood species were inconsistent. Differences in soil nutrient concentrations were also inconsistent; however, rates of mineralizable nitrogen (anaerobic) were from 2 to nearly 6 times higher in hardwood area than open area soils, and soil pH was higher. Results suggest that the pioneering hardwoods strongly influence soil biological activity in these clear-cuts and impose one or more soil patterns that favor establishment and growth of conifer seedlings.</t>
  </si>
  <si>
    <t>CRUNKILTON, DD; GARRETT, HE; PALLARDY, SG</t>
  </si>
  <si>
    <t>GROWTH AND ECTOMYCORRHIZAL DEVELOPMENT OF NORTHERN RED OAK SEEDLINGS TREATED WITH IBA</t>
  </si>
  <si>
    <t>HORTSCIENCE</t>
  </si>
  <si>
    <t>771</t>
  </si>
  <si>
    <t>773</t>
  </si>
  <si>
    <t>10.21273/HORTSCI.29.7.771</t>
  </si>
  <si>
    <t>Ectomycorrhizal and nonmycorrhizal, glasshouse-grown northern red oak seedlings (Quercus rubra L.) received root treatments of IBA in starch, fired-montmorillonite clay, or starch-encapsulated montmorillonite clay. Clay proved to be superior to starch as a carrier for IBA, inducing significant increases in diameter, root length, leaf area, and shoot dry weight. Positive growth interactions between mycorrhizae and IBA were found with the clay carrier. The typical bare-rooted red oak seedling (grown for 1 year in nurseries and outplanted) performs poorly because of insufficient root size. Container-grown seedlings produced using clay/IBA treatments may perform better under field conditions than stock grown conventionally. Chemical name used: indole-3-butyric acid (IBA).</t>
  </si>
  <si>
    <t>Beck, Jackson L.; Cale, Jonathan A.; Rodriguez-Ramos, Jean C.; Kanekar, Sanat S.; Karst, Justine; Cahill, James F.; Simard, Suzanne W.; Erbilgin, Nadir</t>
  </si>
  <si>
    <t>Changes in soil fungal communities following anthropogenic disturbance are linked to decreased lodgepole pine seedling performance</t>
  </si>
  <si>
    <t>1292</t>
  </si>
  <si>
    <t>1302</t>
  </si>
  <si>
    <t>10.1111/1365-2664.13628</t>
  </si>
  <si>
    <t>Disturbances are frequent events across the Canadian boreal forest and can affect both below- and above-ground ecosystem processes. How disturbances change below-ground soil fungal communities and in-turn affect pine establishment and performance is poorly understood. Such understanding has become increasingly important in light of observed changes in disturbance regimes in recent years due to climate change.We used a greenhouse experiment to determine how soil inoculum collected from lodgepole pine stands undisturbed (control) or disturbed by fire, mountain pine beetle outbreak, logging and salvage logging affect pine seedling performance in western Canada. We first characterized whether fungal communities of seedling roots change as a function of inoculum source, and then determined whether changes in fungal community composition impact pine seedling performance (biomass and height).Root fungal communities of pine seedlings from logged and salvage logged disturbances differed from their respective paired controls, while soils from natural disturbances (fire and beetle outbreak) did not. Among disturbances, the pine root fungal communities of fire and salvage logged disturbances differed.In parallel to the root fungal communities, seedling performance also decreased when comparing logging and salvage logging disturbances to paired controls. Among disturbance treatments, seedlings from the salvage logged disturbance did not grow as big as seedlings inoculated with soils from burned forests.Synthesis and application. Our findings indicate that anthropogenic disturbances (logging and salvage logging) can have cross-generational impacts on pine seedling performance, through functional shifts in seedling root fungal community structure. Furthermore, the impacts of soil fungi on pine seedlings appear to be pronounced following salvage logging, stressing the importance of compound disturbance events. These findings may be important to land managers considering clear-cut logging or salvage logging in pine forests, particularly where soil biotic communities are likely to be one of the predominate factors in pine establishment.</t>
  </si>
  <si>
    <t>Taudiere, Adrien; Richard, Franck; Carcaillet, Christopher</t>
  </si>
  <si>
    <t>Review on fire effects on ectomycorrhizal symbiosis, an unachieved work for a scalding topic</t>
  </si>
  <si>
    <t>446</t>
  </si>
  <si>
    <t>457</t>
  </si>
  <si>
    <t>10.1016/j.foreco.2017.02.043</t>
  </si>
  <si>
    <t>Millions of hectares of ectomycorrhizal (ECM) forests provide most of the wood resource in the northern hemisphere. Among these forests, those that are fire-prone concentrate an astonishing diversity of mutualistic soil fungi that are pivotal for seedling establishment, tree growth and forest functioning and dynamics. Here, we review the effects of fire on ECM symbiosis in these forests using a systematic screening of the literature. We reveal that a low number of field studies (73) directly address fire effect on ECM symbiosis, in a restricted geographic area that partially represents the geography of ECM biodiversity stakes and fire risk. The analyzed literature consensually reports long-term shifts in the composition of ECM fungal communities after fire. Contrastingly, the effects of fire on fungal diversity and richness at the local scale continue to be debated among researchers, and need to be documented further using adequate experimental device to limit the effects of some identified methodological biases. Furthermore, our analysis emphasizes the urgent need to carefully consider the belowground effects of prescribed burning. This is an important conclusion because this widely implemented and efficient management tool to prevent wildfires may impact ECM soil communities in the same way as uncontrolled events. Our analysis finally highlights the need of refining the concept of post-fire ECM fungi, by taking advantage of promising tools, such as next-generation sequencing and quantitative PCR applied to mycelia and spores, to integrate the vegetative traits of fungi in integrative definitions. (C) 2017 Elsevier B.V. All rights reserved.</t>
  </si>
  <si>
    <t>Robinson, Richard M.; Mellican, Amanda E.; Smith, Robert H.</t>
  </si>
  <si>
    <t>Epigeous macrofungal succession in the first five years following a wildfire in karri (&lt;i&gt;Eucalyptus diversicolor&lt;/i&gt;) regrowth forest in Western Australia</t>
  </si>
  <si>
    <t>AUSTRAL ECOLOGY</t>
  </si>
  <si>
    <t>807</t>
  </si>
  <si>
    <t>820</t>
  </si>
  <si>
    <t>10.1111/j.1442-9993.2008.01853.x</t>
  </si>
  <si>
    <t>Following a wildfire in 17-25-year-old regrowth karri (Eucalyptus diversicolor) forest in the southwest of Western Australia, plots were established in burnt and similarly aged unburnt forest to monitor the fruiting of macrofungi. Thirty-six plots on 10 sites (five burnt, five unburnt) were surveyed over a 5-year period. Plots were surveyed every 2 weeks in the macrofungal fruiting season (April to October) and monthly for the remainder of each year. A total of 332 species were recorded. Fire did not impact significantly on mean species richness. However, a distinct mycoflora was recorded on burnt sites, and species composition on burnt sites changed substantially for each year following the fire and after 5 years was still different from that on unburnt sites. Nineteen percent of species recorded were regarded as being present as a direct result of the fire. The study also demonstrated the variable nature of macrofungal sporophore production in the absence of disturbance and the importance of regular sampling. Five distinct succession groups of post-fire fungi were recognized. The adaptive traits of post-fire fungi in relation to fire and the management of fire for macrofungal diversity are discussed.</t>
  </si>
  <si>
    <t>Turner, Monica G.; Whitby, Timothy G.; Romme, William H.</t>
  </si>
  <si>
    <t>Feast not famine: Nitrogen pools recover rapidly in 25-yr-old postfire lodgepole pine</t>
  </si>
  <si>
    <t>ECOLOGY</t>
  </si>
  <si>
    <t>10.1002/ecy.2626</t>
  </si>
  <si>
    <t>The extent of young postfire conifer forests is growing throughout western North America as the frequency and size of high-severity fires increase, making it important to understand ecosystem structure and function in early seral forests. Understanding nitrogen (N) dynamics during postfire stand development is especially important because northern conifers are often N limited. We resampled lodgepole pine (Pinus contorta var. latifolia) stands that regenerated naturally after the 1988 fires in Yellowstone National Park (Wyoming, USA) to ask (1) How have N pools and fluxes changed over a decade (15 to 25 yr postfire) of very rapid forest growth? (2) At postfire year 25, how do N pools and fluxes vary with lodgepole pine density and productivity? Lodgepole pine foliage, litter (annual litterfall, forest-floor litter), and mineral soils were sampled in 14 plots (0.25 ha) that varied in postfire lodgepole pine density (1,500 to 344,000 stems/ha) and aboveground net primary production (ANPP; 1.4 to 16.1 Mg center dot ha(-1)center dot yr(-1)). Counter to expectation, foliar N concentrations in lodgepole pine current-year and composite needles (1.33 and 1.11% N, respectively) had not changed over time. Further, all measured ecosystem N pools increased substantially: foliar N increased to 89 kg N/ha (+93%), O-horizon N increased to 39 kg N/ha (+38%), and mineral soil percent total N (0-15 cm) increased to 0.08% (+33%). Inorganic N availability also increased to 0.69 mu g N center dot[g resin](-1)center dot d(-1) (+165%). Thus, soil N did not decline as live biomass N pools increased. Among stands, biomass N pools at postfire year 25 remained strongly influenced by early postfire tree density: foliar and litterfall N concentrations declined with lodgepole pine density and ANPP, but the foliar N pool increased. Lodgepole pine ANPP correlated negatively with annual resin-sorbed N, and we found no indication of widespread N limitation. The large increases in N pools cannot be explained by atmospheric N deposition or presence of known N fixers. These results suggest an unmeasured N source and are consistent with recent reports of N fixation in young lodgepole pine.</t>
  </si>
  <si>
    <t>Grogan, P; Baar, J; Bruns, TD</t>
  </si>
  <si>
    <t>Below-ground ectomycorrhizal community structure in a recently burned bishop pine forest</t>
  </si>
  <si>
    <t>1051</t>
  </si>
  <si>
    <t>1062</t>
  </si>
  <si>
    <t>10.1046/j.1365-2745.2000.00511.x</t>
  </si>
  <si>
    <t>1 The effects of wildfire ash on ectomycorrhizal (EM) associations were investigated by sampling bishop pine (Pinus muricata, D. Don) seedlings from control and ash-removed plots 1.5 years after a severe lire in a northern Californian P. muricata forest. The below-ground community composition of EM at the site was characterized using molecular techniques (PCR-RFLP and nucleotide sequencing).2 A total of 30 fungal taxa were observed, many of which differed in their distribution between treatment and control seedlings. However, most of the taxa that were distinctive to either treatment or control seedlings occurred only once across the site, precluding statistical detection of potential ash effects on EM community composition. There were no significant effects of ash removal on plot-level mycorrhizal community richness or diversity, and there were no distinct treatment-related clusters in a principal components analysis.3 Analysis of the combined data indicated that numbers of fungal taxa per seedling, numbers of successive root depth increments colonized by the same taxon, and distances to neighbouring seedlings colonized by the same taxon, were randomly distributed across the site for the majority of mycorrhizal fungi. These distributional patterns suggest that the post-fire mycorrhizal community structure on P. muricata arose primarily from successful colonization by randomly distributed point-source fungal inocula within the upper mineral soil layer of the forest floor.4 By comparison with pre-fire studies from similar P. muricata sites nearby, our data indicate that severe wildfire disturbance resulted in marked changes in mycorrhizal community composition, and a sharp increase in the relative biomass of ascomycetous fungi.</t>
  </si>
  <si>
    <t>DANIELSON, RM</t>
  </si>
  <si>
    <t>ECTOMYCORRHIZAL ASSOCIATIONS IN JACK PINE STANDS IN NORTHEASTERN ALBERTA</t>
  </si>
  <si>
    <t>932</t>
  </si>
  <si>
    <t>939</t>
  </si>
  <si>
    <t>10.1139/b84-132</t>
  </si>
  <si>
    <t>Ectomycorrhizae of jack pine occurring in mature stands, on bare roadsides, and in a recently burned area were compared. Fifty-six fungus associates were identified from sporocarp collections. Species of Elaphomyces, Suillus, Cortinarius, Cantharellus and hydnums were almost exclusively limited to mature stands. Laccaria proxima, Rhizopogon rubescens, Scleroderma macrorhizon and Astraeus hygrometricus were typically found on disturbed sites. Visual observations and direct isolations from ectomycorrhizae further indicated that the symbionts differed between the burn site and mature jack pine lichen woodlands. A majority of the ectomycorrhizae in all sites were nondescript and could not be identified by culturing. Unlike the vascular plants, ectomycorrhizal symbionts were very numerous without any single species or small group of species dominating jack pine root systems. Pure culture syntheses confirmed that Tricholoma flavovirens, T. pessundatum, T. zelleri, Suillus flavovirens, S. albidipes, Cenococcum geophilum, Laccaria proxima, S. macrorhizon, A. hygrometricus, Lactarius paradoxus, Coltricia perennis and Bankera fuligineo-alba were ectomycorrhizal associates of jack pine.</t>
  </si>
  <si>
    <t>Vasquez-Gassibe, Pablo; Oria-de-Rueda, Juan-Andres; Santos-del-Blanco, Luis; Martin-Pinto, Pablo</t>
  </si>
  <si>
    <t>The effects of fire severity on ectomycorrhizal colonization and morphometric features in &lt;i&gt;Pinus pinaster&lt;/i&gt; Ait. seedlings</t>
  </si>
  <si>
    <t>10.5424/fs/2016251-07955</t>
  </si>
  <si>
    <t>Aim of the study: Mycorrhizal fungi in Mediterranean forests play a key role in the complex process of recovery after wildfires. A broader understanding of an important pyrophytic species as Pinus pinaster and its fungal symbionts is thus necessary for forest restoration purposes. This study aims to assess the effects of ectomycorrhizal symbiosis on maritime pine seedlings and how fire severity affects fungal colonization ability.Area of study: Central Spain, in a Mediterranean region typically affected by wildfires dominated by Pinus pinaster, a species adapted to fire disturbance.Material and Methods: We studied P. pinaster root apexes from seedlings grown in soils collected one year after fire in undisturbed sites, sites moderately affected by fire and sites highly affected by fire. Natural ectomycorrhization was observed at the whole root system level as well as at two root vertical sections (0-10 cm and 10-20 cm). We also measured several morphometric traits ( tap root length, shoot length, dry biomass of shoots and root/shoot ratio), which were used to test the influence of fire severity and soil chemistry upon them.Main results: Ectomycorrhizal colonization in undisturbed soils for total and separated root vertical sections was higher than in soils that had been affected by fire to some degree. Inversely, seedling vegetative size increased according to fire severity.Research highlights: Fire severity affected soil properties and mycorrhizal colonization one year after occurrence, thus affecting plant development. These findings can contribute to a better knowledge of the factors mediating successful establishment of P. pinaster in Mediterranean forests after wildfires.</t>
  </si>
  <si>
    <t>Valdes, M.; Pereda, V.; Ramirez, P.; Valenzuela, R.; Pineda, R. M.</t>
  </si>
  <si>
    <t>THE ECTOMYCORRHIZAL COMMUNITY IN A &lt;i&gt;PINUS OAXACANA&lt;/i&gt; FOREST UNDER DIFFERENT SILVICULTURAL TREATMENTS</t>
  </si>
  <si>
    <t>JOURNAL OF TROPICAL FOREST SCIENCE</t>
  </si>
  <si>
    <t>97</t>
  </si>
  <si>
    <t>VALDES M, PEREDA V, RAMIREZ P, VALENZUELA R &amp; PINEDA RM. 2009. The ectomycorrhizal community in a Pinus oaxacana forest under different silvicultural treatments. This study was conducted in a tropical mountain ecosystem to examine the ectomycorrhizal (EM) fungal communities lit a secondary pine-oak forest Under different silvicultural practices. Species richness was analysed by examining ectomycorrhizal root tips and sporocarps in a control, seed tree harvest and seed free harvest phis prescribed burning stands. The fungal region ITSI-5.8S-ITS2 from single EM root tips was digested and compared with the ITS-RFLP of identified sporocarps, of the same stands. Diversity of EM fungi was higher in terms of ITS-RFLPs for root tips compared with sporocarps. Fungal abundance was slightly affected by silvicultural treatments, but species composition was different. Fruiting bodies of Laccaria laccata and Lactarius crysorrheus were most abundant in all stands. Sporocarps of Russula emitica, L. laccata, L. chrysorrheus and sclerotia of Cenococcum geophilum were in all three stands. However, L. laccata and L. chrysorrheus were found just in the roots of trees growing in the burned stand. Cenococcum geophilum was present in all stands. The seed tree treatment had the highest numbers of the root colonizing fungi as well as EM sporocarps, i.e. 24 RFLP-taxa and M sporocarp species, whereas the control stand had 19 RFLP-taxa as EM and 12 sporocarp species. Thirty five per cent of the identified sporocarp taxa were found in the roots. Thus, the seed tree treatment preserved the vital symbionts of the trees best.</t>
  </si>
  <si>
    <t>Baldwin, Quentin Farrell</t>
  </si>
  <si>
    <t>Effects of prescribed burning upon mycorrhizal fungal diversity inhabiting the roots of two and a half-year old black spruce (Picea mariana): Molecular characterization of ectomycorrhizal fungi via PCR/RFLP analysis</t>
  </si>
  <si>
    <t>Master thesis</t>
  </si>
  <si>
    <t>VERMA N K; SHUKLA R P</t>
  </si>
  <si>
    <t>ECTOMYCORRHIZAL STATUS AN GROWTH OF KHASI PINE PINUS-KESIYA ROYLE EX. GORD. IN THE SOILS OF DISTURBED LAND OF CHERRAPUNJEE INDIA</t>
  </si>
  <si>
    <t>Indian Forester</t>
  </si>
  <si>
    <t>341</t>
  </si>
  <si>
    <t>The ectomycorrhizal progagules in the disturbed land of Cherrapunjee were found to be very low, as reflected in the initial growth of Pinus kesiya seedlings. The growth performance of the seedling inoculated with ectomycorrhizal roots was significantly higher (P &lt; 0.05) than that of the non-inoculated (Control) ones. The use of selected ectomycorrhizal roots, as inoculum in pine seedlings prior to plantation may be attempted for afforestation in this area.</t>
  </si>
  <si>
    <t>Perkins, Judy L.</t>
  </si>
  <si>
    <t>Facilitation of &lt;i&gt;Pinus albicaulis&lt;/i&gt; seedling regeneration by &lt;i&gt;Vaccinium scoparium&lt;/i&gt;</t>
  </si>
  <si>
    <t>10.1016/j.foreco.2015.04.005</t>
  </si>
  <si>
    <t>Plants often facilitate each other in harsh environments, and facilitation appears to be important for conifer recruitment in subalpine forests and the formation of treelines. This study investigated the potential role of facilitation for the establishment of Pinus albicaulis (whitebark pine), a dominant Rocky Mountain tree species that is in decline due to an exotic blister rust disease (Cronartium ribicola), bark beetle outbreaks, and fire suppression. Surveys were conducted at five subalpine sites for spatial associations between naturally regenerating P. albicaulis seedlings and other plant species, and found that the cover of Vaccinium scoparium was higher in proximity to P. albicaulis seedlings. In transplant experiments, survival of P. albicaulis seedlings was higher when planted with V. scoparium and in shade cloth treatments, but neither survival nor growth rates were altered by clipping or rhizome severing of V. scoparium, suggesting a below-ground rather than above-ground facilitation mechanism. In contrast, Carex species reduced the survival and growth rates of P. albicaulis. In a fertilization experiment, no effect of nitrogen and/or phosphorous fertilization was found on Pinus albicaulis seedling growth, but seedlings growing with V. scoparium had higher growth rates and increased leaf phosphorus concentrations relative to seedlings growing in bare ground. In a microcosm experiment, P. albicaulis seedlings growing with V. scoparium had higher growth rates and leaf phosphorus concentrations than when grown alone, but only if P. albicaulis needles were added on the soil surface. My results suggest success of restoration plantings of greenhouse grown P. albicaulis seedlings may be improved by planting in areas where V. scoparium occurs, and avoiding areas dominated by Carex species. Removal of adjacent vegetation prior to planting seedlings may be ineffective in significantly altering either positive or negative effects of the neighboring plants. Selection of sites with adjacent shading elements, such as rocks, logs, stumps, or snags, may also improve seedling survival. (C) 2015 Elsevier B.V. All rights reserved.</t>
  </si>
  <si>
    <t>Sanz-Benito, Ignacio; Mediavilla, Olaya; Casas, Adriana; Oria-de-Rueda, Juan Andres; Martin-Pinto, Pablo</t>
  </si>
  <si>
    <t>Effects of fuel reduction treatments on the sporocarp production and richness of a&lt;i&gt; Quercus/Cistus&lt;/i&gt; mixed system</t>
  </si>
  <si>
    <t>10.1016/j.foreco.2021.119798</t>
  </si>
  <si>
    <t>Wildfire is a recurrent factor that shapes and influences Mediterranean ecosystems where mixed oak (Quercus) forests with a rockrose (Cistus) understory are broadly represented. These ecosystems are also associated with large and diverse fungal communities. These fungal communities play essential ecological roles for the survival of vascular plant, such as the mineral and water uptaking or resistance against pathogens carried out by mycorrhizal fungi, as the saprotrophic fungi are a key factor for the recycling of the dead matter. In addition, edible fungi, such as Boletus edulis, provide a source of income for the nearby rural population. Fuel reduction treatments are applied to reduce the risk of wildfire; however, their potential impact on fungal communities is unclear. Thus, the aim of this work was to investigate the effect of different fuel reduction treatments on fungi associated with Quercus and Cistus. This aim is accompanied by the management-driven objective to obtain data from fuel reduction treatments that will enable managers to find solutions with a balanced approach to maintaining productive areas of edible mushroom production while reducing fire risks across the landscape. Sporocarps were sampled over a five-year period in stands dominated by mature or coppiced Quercus pyrenaica and accompanied by Cistus ladanifer understory. These stands had been subjected to different fuel reduction treatment levels involving moderate-or high-intensity thinning, for Q. pyrenaica, or clearing, for C. ladanifer. The goal was to determine sporocarp production, species richness, and taxonomic composition. Sporocarp production and fungal richness were drastically affected by the fuel reduction treatments but only when C. ladanifer is included in the treatment. Taxa composition was strongly correlated with the treatments applied to the rockrose under story. This was probably due to the large range of associated ectomycorrhizal fungi of C. ladanifer and their high capacity to recolonize an area after disturbances. Based on our results, we conclude that the implementation of moderate-/high-intensity fuel reduction treatments is compatible with the conservation of the fungal community present in these systems. In addition, the creation of a multi-stage mosaic of stands through mechanical management could enable fire prevention to be managed in an effective way while maintaining fungal diversity and sporocarp production, favoring the use of non-wood resources in rural areas and conserving a healthier forest ecosystem.</t>
  </si>
  <si>
    <t>Population ecology of Suillus variegatus in old Swedish Scots pine forests</t>
  </si>
  <si>
    <t>MYCOLOGICAL RESEARCH</t>
  </si>
  <si>
    <t>47</t>
  </si>
  <si>
    <t>54</t>
  </si>
  <si>
    <t>10.1017/S0953756296002110</t>
  </si>
  <si>
    <t>Spatial characteristics of Suillus variegatus populations, including the size, distribution and number of genets, were measured in four naturally regenerated stands of Scots pine, Pinus sylvestris in Sweden that were more than 100 years old. In the oldest forest, a continuous tree-layer had been present at least since the last forest fire in 1647. Genets were identified based on somatic incompatibility reactions performed on mycelial cultures from sporocarps. In total, 38 genets were identified from 120 tested sporocarps. The maximal extension of a genet, as reflected by its outermost sporocarps, was 27 m in the oldest stand and ranged between 10 and 17 m in the other stands. On average, genet size was 20 m in the oldest stand and 10 m in the other stands. Other genets were not found within the domains of established genets. The closest detected distance between genets was 1.5 m, and the average distance was 4 m. The number of genets ranged between 56 and 74 ha(-1) at the studied sites. Possible reasons for the high degree of resemblance in characteristics in old forests between S. variegatus, the dominant bolete in mature forests, and S. bovinus when present, more a characteristic for younger forests and only scarcely occurring in older forests, are discussed.</t>
  </si>
  <si>
    <t>Owen, Suzanne M.; Patterson, Adair M.; Gehring, Catherine A.; Sieg, Carolyn H.; Baggett, L. Scott; Fule, Peter Z.</t>
  </si>
  <si>
    <t>Large, high-severity burn patches limit fungal recovery 13 years after wildfire in a ponderosa pine forest</t>
  </si>
  <si>
    <t>10.1016/j.soilbio.2019.107616</t>
  </si>
  <si>
    <t>Over the past three decades, wildfires in southwestern US ponderosa pine (Anus ponderosa Lawson &amp; C. Lawson) forests have increased in size and severity. These wildfires can remove large, contiguous patches of mature forests, alter dominant plant communities and increase woody debris, potentially altering fungal community composition. Additionally, post-fire conditions may shift dominant fungal functional groups from plant-symbiotic ectomycorrhizal (EM) fungi to more decomposer saprotrophic fungi. We investigated the long-term (13 years post-wildfire) effect of fire severity on 1) fungal sporocarp density, functional groups and community composition and 2) EM colonization and community composition from naturally regenerating ponderosa pine seedlings on the Pumpkin Fire that burned in 2000 in Arizona, USA. Plots were located in four burn severity classes: unburned, moderate-severity, and two high-severity (defined as 100% tree mortality) classes, either adjacent to residual live forest edges (edge plots), or &gt;200 m from any residual live trees (interior plots). We found that high-severity burn plots had a unique sporocarp community composition, and a shift in dominant sporocarp functional groups, with 5-13 times lower EM sporocarp densities, and 4-7 times lower EM sporocarp species richness compared to unburned and moderate-severity plots. In contrast, saprotrophic sporocarp densities and richness were similar among burn severity classes, even with the large amount of coarse wood in the high-severity burn patches. Regenerating ponderosa pine seedlings had similar EM colonization and richness among severity classes, yet high-severity interior plots had a different community composition and a lower relative abundance of EM species compared to moderate-severity burn plots. Taken together, our results suggest that large patches of high-severity fire have long-term consequences for both EM sporocarp and root tip communities. Because EM fungal species vary in function, the limited species pool available in interior high-severity burn patches may influence pine recovery.</t>
  </si>
  <si>
    <t>Almonacid-Munoz, Leonardo; Herrera, Hector; Fuentes-Ramirez, Andres; Vargas-Gaete, Rodrigo; Toy-Opazo, Octavio; Costa, Paulo Henrique de Oliveira; Valadares, Rafael Borges da Silva</t>
  </si>
  <si>
    <t>What fire didn't take away: plant growth-promoting microorganisms in burned soils of old-growth &lt;i&gt;Nothofagus&lt;/i&gt; forests in Los Andes Cordillera</t>
  </si>
  <si>
    <t>10.1007/s11104-024-06757-w</t>
  </si>
  <si>
    <t>Background and aims Wildfires can dramatically alter forests, their biodiversity and goods they provide to society. In the Andes Cordillera, Nothofagus pumilio is a native, fire-sensitive tree species that is completely excluded from severely burned areas. Therefore, it is of interest to evaluate whether there are differences in the microbial soil communities that could contribute to improve the recruitment of N. pumilio after a fire. We aimed at determining the diversity of soil bacteria and fungi associated with Nothofagus pumilio in old-growth forests affected by a moderate severity wildfire in the Andes Cordillera of south-central Chile in 2015. Methods Eight years after fire, soil samples were collected from selected N. pumilio rhizosphere and bulk soil in fire-affected areas, and were compared with those from unburned areas using a metabarcoding approach. Results We found that symbiotic microorganisms such as saprophytic, ectomycorrhizal fungi, ericoid mycorrhizal taxa and N-fixing bacteria were present with high abundances in the burned area. The most abundant bacterial genera were Mycobacterium, Rhodoplanes and Bryobacter. Meanwhile, Cortinarius and Penicillium were the most common fungal genera identified in burned and unburned sites. Conclusions Moderate severity wildfires in Nothofagus pumilio forests do not result in significantly different soil microbiomes eight years post-burn in either the rhizosphere or bulk soil, which could be key for N. pumilio establishment and survival after fire. Identifying the microbial diversity associated with native trees after fire is essential to know symbiotic microorganisms supporting the recovery of plant species.</t>
  </si>
  <si>
    <t>Collaborative Research: Dispersal Limitation as a Primary Factor in Determining Ectomycorrhizal Community Structure</t>
  </si>
  <si>
    <t>Ectomycorrhizal fungi are obligate mutualists with temperate forest trees such as pines, oaks, aspens, and birch.  These fungi provide mineral nutrients to the trees in exchange for sugars, and trees require them for growth and survival.  Following severe disturbance such as forest fires or logging, trees need to reestablish their relationships with mycorrhizal fungi in order to survive.  Prior work has shown that these fungi arrive in an ordered sequence, or "succession", after such disturbances.  A new model is proposed to explain this observed pattern through differences in spore dispersal and competitive interactions among mycorrhizal fungi. Four key predictions of this model concerning limitations to aerial spore dispersal and effect of tree root density on fungal competition will be tested through a combination of field sampling and manipulative growth-chamber experiments.  The broader impacts of this work are that it will help us understand an essential biotic process necessary for tree establishment, and will build a foundation of basic ecological knowledge for an important group of understudied organisms.  Training of graduate and undergraduate students will be an important component of this research. In addition this work takes advantage of its location within Point Reyes National Seashore by feeding back into management decisions within the park and through outreach efforts directed towards public education.</t>
  </si>
  <si>
    <t>Wang, Jiaxing; Gao, Jing; Zhang, Haoqiang; Tang, Ming; Chen, Hui</t>
  </si>
  <si>
    <t>How does tree mortality caused by bark beetle&lt;i&gt; (Trypophloeus&lt;/i&gt;&lt;i&gt; klimeschi)&lt;/i&gt; outbreaks affect changes in soil fungal communities?</t>
  </si>
  <si>
    <t>CATENA</t>
  </si>
  <si>
    <t>10.1016/j.catena.2022.106516</t>
  </si>
  <si>
    <t>Forest disturbances such as fires, windthrows, and insect outbreaks have a serious influence on how these ecosystems function. In recent years, an outbreak of an endemic bark beetle species (Trypophloeus klimeschi Eggers) has caused a major disturbance in the Populus alba var. pyramidalis northwest shelter forest in China. The rapid and widespread death of P. alba var. pyramidalis caused by this beetle has cascading effects on the soil properties and fungal communities' diversity that remain uncertain. We evaluated the mortality of P. alba var. pyramidalis forest attacked by T. klimeschi in this area and set four different levels of tree mortality: T1 level (0-10%), T2 level (11-40%), T3 level (41-70%) and T4 level (71-100%). We simultaneously measured rhizo-sphere soil properties and fungal community composition (using high-throughput sequencing) at different tree mortality levels. The increase in tree mortality resulted in a steep increase in the soil concentrations of ammo-nium nitrogen (NH4+), nitrate nitrogen (NO3-) and available phosphorus, as well as a reduction in soil pH. Meanwhile, the fungal communities showed profound changes, the relative abundance of ectomycorrhizal fungi decreased significantly by 71%, and the relative abundance of pathogenic fungi increased significantly by 73%. The combined effects of the changes in the soil fungal communities' composition and available nitrogen content resulted in a significant 26% reduction in the richness of soil fungi. Our findings suggest that the mortality of poplar species due to the rapid range expansion of T. klimeschi will have significant impacts on crucial soil fungal communities, which may have sustained and potentially important implications for the future restoration of forest ecology in this area. The composition and changes of soil fungal communities should be considered in the subsequent forest ecological restoration process in this area.</t>
  </si>
  <si>
    <t>Hart, SC; Classen, AT; Wright, RJ</t>
  </si>
  <si>
    <t>Long-term interval burning alters fine root and mycorrhizal dynamics in a ponderosa pine forest</t>
  </si>
  <si>
    <t>752</t>
  </si>
  <si>
    <t>761</t>
  </si>
  <si>
    <t>10.1111/j.1365-2664.2005.01055.x</t>
  </si>
  <si>
    <t>1. Plant roots and their mycorrhizal symbionts are critical components of forest ecosystems, being largely responsible for soil resource acquisition by plants and the maintenance of soil structure, as well as influencing soil nutrient cycling. Silvicultural treatments should be guided by knowledge of how these below-ground components respond to different forest management practices.2. We examined the cumulative effects of 20 years of prescribed burning at 2-year intervals. We measured fine root length density and fine root and mycorrhizal root biomass in the upper 15 cm of mineral soil in a south-western ponderosa pine forest over a complete burn cycle.3. Repeated burning reduced fine root length, fine root biomass and mycorrhizal root biomass, as well as the amount of nitrogen and phosphorus stored in these below-ground pools.4. Estimates of fine root production, fine root decomposition and nutrient dynamics were similar in burned and control plots.5. Synthesis and applications. Although repeated-prescribed fire may be an effective, low-cost approach for reducing fuel loads and lessening the chance of a catastrophic wildfire in ponderosa pine forests, our results suggest that this strategy may negatively affect below-ground biomass pools and nutrient cycling processes in the long term. We recommend that mechanical reductions in fuel loads be conducted in these and similar forests that have not experienced fire for decades, before fire is reintroduced as a management tool.</t>
  </si>
  <si>
    <t>Hesling, Emily</t>
  </si>
  <si>
    <t>Arctic-alpine ectomycorrhizal fungi in scotland: the ecology of unexplored fungal communities and threats to their survival</t>
  </si>
  <si>
    <t>Zhang, Jun; Zhao, Yuanxiang; He, Hongyang; Wang, Haoyun; Wu, Feng</t>
  </si>
  <si>
    <t>Extracellular Enzyme Activity and Nutrient Characteristics of &lt;i&gt;Pinus massoniana&lt;/i&gt; Lamb. Families with Different Growth Levels: Insights into the Ectomycorrhizal Fungal Community and Rhizosphere Soil</t>
  </si>
  <si>
    <t>10.3390/f14071447</t>
  </si>
  <si>
    <t>The symbiosis between ectomycorrhizal (ECM) fungal species and the root system of Pinus massoniana is important for its growth. However, the characteristics of ECM fungal communities and their relationships with extracellular enzyme activities and nutrients in the rhizosphere soil of different P. massoniana genotypes have not been well characterized. In this study, P. massoniana families (groups of offspring from different parents) with different levels of growth were selected for investigating ECM fungal communities, soil nutrients, extracellular enzyme activity, and leaf nutrient concentrations to explore the relationships between P. massoniana and the composition of the ECM fungal community. The high-growth (HG) family of P. massoniana had more different ECM fungal communities than the medium-growth (MG) and low-growth (LG) families; each family had a unique and dominant genera (HG: Amphinema and Pseudoclathrosphaerina; MG: Russula and Auricularia; and LG: Russula and Amanita). Amphinema was the main contributor to the differences among the three families (contribution: HG-MG 0.225 and HG-LG 0.17) and had rich extramatrical mycelium, which favored the growth of the HG family and positively affected the accumulation of soil organic carbon. Structural equation modelling showed that the dominant genera in the HG family had significant positive effects on the activity of three extracellular enzymes (BG, NAG, and AP) (weak to moderate positive effects of Amphinema on BG, NAG, and AP and moderate positive effects of Pseudoclathrosphaerina on BG, NAG, and AP), which might have contributed to the differences in extracellular enzyme activities among the families with different growth levels. Redundancy analysis indicated that P. massoniana growth traits (tree height, diameter at breast height, and timber volume), soil total nitrogen, and the N/P ratio significantly influenced ECM fungal communities. The study revealed the characteristics of ECM fungal communities, soil extracellular enzyme activity, and nutrient features of P. massoniana with different growth levels, which help improve our understanding of the relationship between P. massoniana genotype and ECM fungal communities.</t>
  </si>
  <si>
    <t>Hewitt, Rebecca E.; Bennett, Alec P.; Breen, Amy L.; Hollingsworth, Teresa N.; Taylor, D. Lee; Chapin, F. Stuart, III; Rupp, T. Scott</t>
  </si>
  <si>
    <t>Getting to the root of the matter: landscape implications of plant-fungal interactions for tree migration in Alaska</t>
  </si>
  <si>
    <t>LANDSCAPE ECOLOGY</t>
  </si>
  <si>
    <t>895</t>
  </si>
  <si>
    <t>911</t>
  </si>
  <si>
    <t>10.1007/s10980-015-0306-1</t>
  </si>
  <si>
    <t>Forecasting the expansion of forest into Alaska tundra is critical to predicting regional ecosystem services, including climate feedbacks such as carbon storage. Controls over seedling establishment govern forest development and migration potential. Ectomycorrhizal fungi (EMF), obligate symbionts of all Alaskan tree species, are particularly important to seedling establishment, yet their significance to landscape vegetation change is largely unknown.We used ALFRESCO, a landscape model of wildfire and vegetation dynamics, to explore whether EMF inoculum potential influences patterns of tundra afforestation and associated flammability.Using two downscaled CMIP3 general circulation models (ECHAM5 and CCCMA) and a mid-range emissions scenario (A1B) at a 1 km(2) resolution, we compared simulated tundra afforestation rates and flammability from four parameterizations of EMF effects on seedling establishment and growth from 2000 to 2100.Modeling predicted an 8.8-18.2 % increase in forest cover from 2000 to 2100. Simulations that explicitly represented landscape variability in EMF inoculum potential showed a reduced percent change afforestation of up to a 2.8 % due to low inoculum potential limiting seedling growth. This reduction limited fuel availability and thus, cumulative area burned. Regardless of inclusion of EMF effects in simulations, landscape flammability was lower for simulations driven by the wetter and cooler CCCMA model than the warmer and drier ECHAM5 model, while tundra afforestation was greater.Results suggest abiotic factors are the primary driver of tree migration. Simulations including EMF effects, a biotic factor, yielded more conservative estimates of land cover change across Alaska that better-matched empirical estimates from the previous century.</t>
  </si>
  <si>
    <t>Ellis, L. E.; Waldrop, T. A.; Tainter, F. H.</t>
  </si>
  <si>
    <t>Ectomycorrhizae of Table Mountain pine and the influence of prescribed burning on their survival.</t>
  </si>
  <si>
    <t>General Technical Report - Southern Research Station, USDA Forest Service</t>
  </si>
  <si>
    <t>128</t>
  </si>
  <si>
    <t>131</t>
  </si>
  <si>
    <t>High-intensity prescribed fires have been recommended to regenerate Table Mountain pine (Pinus pungens). However, tests of these burns produced few seedlings, possibly due to soil sterilization. This study examined the abundance of mycorrhizal root tips in the field (Georgia, USA) after a high-intensity fire and in the laboratory after exposing rooting media to various temperatures. The mycorrhizal fungi considered in the study include Suillus granulatus, Pisolithus tinctorius, Cenococcum geophilum and C. graniforme. One- and two-year old seedlings in the field had abundant mycorrhizal root tips formed by symbiotic relationships with at least three fungal species. Laboratory tests showed reduced mycorrhizal root tip formation only after prolonged exposure to very high temperatures. This study suggests that poor regeneration after high-intensity prescribed fires was not caused by a lack of mycorrhizal fungi.</t>
  </si>
  <si>
    <t>Technical report</t>
  </si>
  <si>
    <t>Kouki, Jari; Salo, Kauko</t>
  </si>
  <si>
    <t>Forest disturbances affect functional groups of macrofungi in young successional forests - harvests and fire lead to different fungal assemblages</t>
  </si>
  <si>
    <t>10.1016/j.foreco.2020.118039</t>
  </si>
  <si>
    <t>Fungal assemblages after a large-scale disturbance can be diverse and have functionally important roles in forests. However, fungi include several functional groups, and the responses of these groups to different forest disturbances is poorly understood. For example, ectomycorrhizal fungi may facilitate the establishment of a new tree cohort while saprotrophic fungi are able to decompose most of the dead organic material that result from the disturbance event. In this study, we examined how functionally different macrofungi respond to two major disturbances: fire (prescribed burning) and different intensities of timber harvest.We used large-scale field experiment where (1) fire and (2) harvest intensity were manipulated simultaneously in a factorial, replicated design. Three levels of harvests and an unharvested control were included, and sites were either burned or not. Fungi were surveyed before treatments in year 2000 and annually over three years (2001-2003) after the treatments. Fungi species were divided into ectomycorrhizal (ECM), saprophyte (SaM) and wood-associated fungi (WAM). The latter group mostly included Aphylloporoid wood-associated species (AWAM) and agarics. We observed also two biotrophic and one parasitic fungus but these were excluded from the assemblage-level analyses due to their rarity. Both number of sporocarps (fruiting bodies) and their biomass were measured.Fungal groups were affected by harvest and fire but the various fungal groups responded in different ways to the treatments. The ECM species were sensitive to timber harvests and disappeared from all the harvested sites. Fire in the unharvested sites did not negatively affect the ECM fungi. The SaM fungi responded quickly after disturbance, and their assemblage composition changed after fire and harvest. Species richness was reduced but fire promoted several pyrophilous SaM species, leading to major compositional changes in SaM species and the formation of distinct assemblages. The WAM species declined after harvests but fire tended to counteract the negative effects of timber harvesting.The results show that fungal groups respond in different ways to major disturbances in boreal forests. Early successional post-disturbance forests contribute to the maintenance of forest biodiversity, especially the specialist SaM species. However, the type of disturbance (fire or harvest) affect fungi in different ways. Understanding the assemblage dynamics of decomposer and other fungi is crucial when estimating how changes in forest disturbance regimes may affect nutrient and carbon cycling, as well as the maintenance of forest biodiversity.</t>
  </si>
  <si>
    <t>Mathiasen, Robert L.; Albion, Christopher S.</t>
  </si>
  <si>
    <t>Sporocarp production of ectomycorrhiza associated with ponderosa pine in four stand types in northern Arizona</t>
  </si>
  <si>
    <t>Harvard Papers in Botany</t>
  </si>
  <si>
    <t>147</t>
  </si>
  <si>
    <t>Sporocarp production of epigeous ectomycorrhizal fungi was inventoried in northern Arizona in ponderosa pine forests that represented four different stand types: untreated, thinned, thinned and prescribed burned, and stands affected by a severe wildfire. After one season in 1999, 27 different species of probable ectomycorrhizal fungi were inventoried. The thinned stands were found to have the greatest number of ectomycorrhiza species and number of sporocarps when compared to other stands. The thinned and prescribed burned stands had fewer ectomycorrhiza species and number of sporocarps than either the untreated or thinned stands. No sporocarps were found in the stands affected by a severe wildfire in 1996. The data suggest that prescribed burning should not be used exclusively to achieve more vigorous and diverse ponderosa pine ecosystems in northern Arizona.</t>
  </si>
  <si>
    <t>Clemmensen, Karina E.; Finlay, Roger D.; Dahlberg, Anders; Stenlid, Jan; Wardle, David A.; Lindahl, Bjorn D.</t>
  </si>
  <si>
    <t>Carbon sequestration is related to mycorrhizal fungal community shifts during long-term succession in boreal forests</t>
  </si>
  <si>
    <t>1525</t>
  </si>
  <si>
    <t>1536</t>
  </si>
  <si>
    <t>10.1111/nph.13208</t>
  </si>
  <si>
    <t>Boreal forest soils store a major proportion of the global terrestrial carbon (C) and below-ground inputs contribute as much as above-ground plant litter to the total C stored in the soil. A better understanding of the dynamics and drivers of root-associated fungal communities is essential to predict long-term soil C storage and climate feedbacks in northern ecosystems. We used 454-pyrosequencing to identify fungal communities across fine-scaled soil profiles in a 5000yr fire-driven boreal forest chronosequence, with the aim of pinpointing shifts in fungal community composition that may underlie variation in below-ground C sequestration. In early successional-stage forests, higher abundance of cord-forming ectomycorrhizal fungi (such as Cortinarius and Suillus species) was linked to rapid turnover of mycelial biomass and necromass, efficient nitrogen (N) mobilization and low C sequestration. In late successional-stage forests, cord formers declined, while ericoid mycorrhizal ascomycetes continued to dominate, potentially facilitating long-term humus build-up through production of melanized hyphae that resist decomposition. Our results suggest that cord-forming ectomycorrhizal fungi and ericoid mycorrhizal fungi play opposing roles in below-ground C storage. We postulate that, by affecting turnover and decomposition of fungal tissues, mycorrhizal fungal identity and growth form are critical determinants of C and N sequestration in boreal forests.See also the Commentary by Christopher W. Fernandez and Peter G. Kennedy</t>
  </si>
  <si>
    <t>Stottlemyer, A. D.; Wang, G. G.; Waldrop, T. A.; Wells, C. E.; Callaham, M. A.</t>
  </si>
  <si>
    <t>Short-term effects of fuel reduction treatments on soil mycorrhizal inoculum potential in beetle-killed stands.</t>
  </si>
  <si>
    <t>360</t>
  </si>
  <si>
    <t>Heavy fuel loads were created by southern pine beetle (Dendroctonus frontalis Ehrh.) outbreak throughout the southeastern Piedmont during the early 2000s. Prescribed burning and mechanical mulching (mastication) were used to reduce fuel loading, but many ecological impacts are unknown. Successful forest regeneration depends on ectomycorrhizal (ECM) or vesicular-arbuscular mycorrhizal (VAM) fungi which form important symbiotic relationships with most forest plants. Fuel reduction treatments may impact mycorrhizal propagule abundance and/or vigor through propagule consumption, changes in soil chemistry, and/or effects on host vegetation. The objective of this study was to compare soil VAM and ECM inoculum potential after prescribed burning and mulching treatments to no treatment (control) using greenhouse bioassays. Neither VAM nor ECM inoculum potential were significantly different among treatments, but were highly variable within treated stands.</t>
  </si>
  <si>
    <t>Demenois, Julien; Ibanez, Thomas; Read, Jennifer; Carriconde, Fabian</t>
  </si>
  <si>
    <t>Comparison of two monodominant species in New Caledonia: floristic diversity and ecological strategies of &lt;i&gt;Arillastrum gummiferum&lt;/i&gt; (Myrtaceae) and &lt;i&gt;Nothofagus aequilateralis&lt;/i&gt; (Nothofagaceae) rainforests</t>
  </si>
  <si>
    <t>AUSTRALIAN JOURNAL OF BOTANY</t>
  </si>
  <si>
    <t>21</t>
  </si>
  <si>
    <t>10.1071/BT16125</t>
  </si>
  <si>
    <t>Mechanisms leading to monodominance in rainforests are still commonly discussed within the framework of forest succession. Here, we focused on the comparison of two monodominant species, Arillastrum gummiferum (Myrtaceae) and Nothofagus aequilateralis (Nothofagaceae), to try to better understand the underlying ecological mechanisms. Those two species are known to dominate the upper canopy of some rainforests on ultramafic substrates in New Caledonia. We investigated the structure, diversity and composition of Arillastrum-dominated plots and compared them with adjacent Nothofagus-dominated and mixed rainforest plots. We found that the dominance of Arillastrum was more pronounced in terms of basal area, whereas for Nothofagus the dominance was mainly in terms of stem density. Species richness and diversities in the two dominated forests were not lower than those observed in mixed rainforests, suggesting that monodominance would not lead to a limitation of diversity. Finally, our observations were consistent with a transient dominance for the two species. We suggest that resistance of Arillastrum to some wildfire regimes would allow the species to survive and regenerate, whereas Nothofagus may have a supportive strategy towards their seedlings through mycorrhizal networks. Both competitive advantages would contribute to the maintenance of monodominance.</t>
  </si>
  <si>
    <t>Rincon, A.; Santamaria, B. P.; Ocana, L.; Verdu, M.</t>
  </si>
  <si>
    <t>Structure and phylogenetic diversity of post-fire ectomycorrhizal communities of maritime pine</t>
  </si>
  <si>
    <t>141</t>
  </si>
  <si>
    <t>10.1007/s00572-013-0520-0</t>
  </si>
  <si>
    <t>Environmental disturbances define the diversity and assemblage of species, affecting the functioning of ecosystems. Fire is a major disturbance of Mediterranean pine forests. Pines are highly dependent on the ectomycorrhizal (EM) fungal symbiosis, which is critical for tree recruitment under primary succession. To determine the effects of time since fire on the structure and recovery of EM fungal communities, we surveyed the young Pinus pinaster regenerate in three sites differing in the elapsed time after the last fire event. Pine roots were collected, and EM fungi characterized by sequencing the internal transcribed spacer (ITS) and the large subunit (LSU) regions of the nuclear ribosomal (nr)-DNA. The effects of the elapsed time after fire on the EM community structure (richness, presence/absence of fungi, phylogenetic diversity) and on soil properties were analysed.Fungal richness decreased with the elapsed time since the fire; although, the phylogenetic diversity of the EM community increased. Soil properties were different depending on the elapsed time after fire and particularly, the organic matter, carbon-to-nitrogen (C/N) ratio, nitrogen and iron significantly correlated with the assemblage of fungal species. Ascomycetes, particularly Tuberaceae and Pezizales, were significantly over-represented on saplings in the burned site. On seedlings, a significant over-representation of Rhizopogonaceae and Atheliaceae was observed in the most recently burned site, while other fungi (i.e. Cortinariaceae) were significantly under-represented. Our results are consistent with the hypothesis that fire can act as a selective agent by printing a phylogenetic signal on the EM fungal communities associated with naturally regenerated pines, pointing out to some groups as potential fire-adapted fungi.</t>
  </si>
  <si>
    <t>Pitman, Rona M.</t>
  </si>
  <si>
    <t>Wood ash use in forestry - a review of the environmental impacts</t>
  </si>
  <si>
    <t>563</t>
  </si>
  <si>
    <t>588</t>
  </si>
  <si>
    <t>10.1093/forestry/cpl041</t>
  </si>
  <si>
    <t>The use of wood fuel for energy production in the UK is set to increase in the near future as part of a government commitment to increase renewable sources to 10 per cent by 2010. The ash generated as a by-product of combustion, whether for heat or power generation, has potential use as a fertilizer in forest systems. This review assesses the available information on factors affecting the quality of the ash and environmental implications arising from its application. The key determinants of wood ash chemistry are the tree species combusted, the nature of the burn process and the conditions at the application site. Wood ash from hardwood species produces higher levels of macronutrients in their ash than conifers, and the silica content is frequently lower. A furnace temperature between 500 and 900 degrees C is critical to the retention of nutrients, particularly potassium, and determines the concentrations of potentially toxic metals including aluminium in the ash. Fly ash, the lightest component that accumulates in the flue system, can contain high concentrations of cadmium, copper, chromium, lead and arsenic and this ash should not be used as fertilizer. The form of the ash at application is important, with loose ash releasing Ca, K and Na more rapidly than granulated ash. Heavy metal, radionuclide and dioxin contamination of wood ash-based fertilizers is minimal and unlikely to affect ecosystem function. The effects of wood ash are primarily governed by application rate and soil type. The benefits are maximized at low dose rates, with possible toxicity from applications in excess of 10 t ha(-1). For most forest sites, a single wood ash application per rotation could replace all the nutrients lost after whole-tree harvesting (excepting N). Long-lasting positive effects on tree growth have been observed on shallow peats, in which the humus is slowly mineralized in response to elevated pH and increased nutrient availability. In contrast, wood ash application to podzols is only effective in enhancing tree growth when nitrogen availability is non-limiting. To date, published research of wood ash effects on trees growing in clays and loams is minimal. A lag time for positive tree responses to wood ash application is often observed, and may be the result of phosphorous limitation at higher soil pH. The greatest reported adverse ecological effects are to acidophilic ecosystems, particularly the constituent bryophyte, soil bacteria and ectomycorrhizal communities.</t>
  </si>
  <si>
    <t>Dahlberg, A; Schimmel, J; Taylor, AFS; Johannesson, H</t>
  </si>
  <si>
    <t>Post-fire legacy of ectomycorrhizal fungal communities in the Swedish boreal forest in relation to fire severity and logging intensity</t>
  </si>
  <si>
    <t>BIOLOGICAL CONSERVATION</t>
  </si>
  <si>
    <t>151</t>
  </si>
  <si>
    <t>161</t>
  </si>
  <si>
    <t>10.1016/S0006-3207(00)00230-5</t>
  </si>
  <si>
    <t>Swedish foresters are placing increasing reliance in burning of forestland and green tree retention, in order to enhance biodiversity in the Swedish boreal forests. However, much remains to be learned about how to optimise nature conservation goals by different logging and burning procedures. We monitored the survival of ectomycorrhizal (EM) fungi as mycorrhizas, at a clear-cut, a seed tree stand and an uncut stand of Scots pine in central Sweden, with and without burning at two levels of fire severity. The abundance of mycorrhizas and the EM fungal diversity declined with increased logging intensity and with increased depth of burn. Deep burning fires in combination with logging or fire-caused tree mortality can kill much of the existing EM community. Logging intensity, fire intensity and fire severity are all factors that can be manipulated, thus changing the effects on EM fungi and other soil biota. (C) 2001 Elsevier Science Ltd. All rights reserved.</t>
  </si>
  <si>
    <t>Kim HyunJoong, Kim HyunJoong; Ka KangHyeon, Ka KangHyeon; Huh TaeChul, Huh TaeChul</t>
  </si>
  <si>
    <t>Changes of reducing sugar in the roots of Pinus densiflora and the mycelial viability of Tricholoma matsutake after forest fire.</t>
  </si>
  <si>
    <t>FRI Journal of Forest Science (Seoul)</t>
  </si>
  <si>
    <t>140</t>
  </si>
  <si>
    <t>The concentration of reducing sugar in the roots of Pinus densiflora and the mycelial viability of Tricholoma matsutake were was determined at 2- and 4-month intervals for 3 levels of fire intensity in a pine stand in Kangneung city, Kangwon-do province, Korea Republic. In a crown-burned stand, the concentration of reducing sugar in the dying trees decreased by 78 and 98% (compared with control unburned trees) in the 4 and 8 months after the fire, respectively. In a surface-burned stand the concentration of reducing sugar in the live trees was only 6% less than that of an unburned stand after 4 months and was 28% higher than that of the control after 8 months, indicating that the trees had recovered from the fire damage. The viability of T. matsutake mycelia (associated with the trees) assayed by fluorescein diacetate showed a sudden decrease by 4 months after the fire and were almost dead after 8 months in the crown-burned stand. In the surface-burned stand mycelial viability diminished in the 4 months after the fire, but had nearly recovered after 8 months.</t>
  </si>
  <si>
    <t>Becklin, Katie M.; Galen, Candace</t>
  </si>
  <si>
    <t>Intra- and Interspecific Variation in Mycorrhizal Associations across a Heterogeneous Habitat Gradient in Alpine Plant Communities</t>
  </si>
  <si>
    <t>ARCTIC ANTARCTIC AND ALPINE RESEARCH</t>
  </si>
  <si>
    <t>183</t>
  </si>
  <si>
    <t>190</t>
  </si>
  <si>
    <t>10.1657/1938-4246-41.2.183</t>
  </si>
  <si>
    <t>Spatial and temporal variation ill mycorrhizal associations may significantly impact plant community dynamics. In this study we evaluated the distribution and abundance of mycorrhizal associations in alpine plant communities to gain a better Understanding of the potential effects of microhabitat and host identity oil plant-fungus mutualisms. We surveyed the abundance of ectomycorrhizae (ECM) associated with Salix sp. and the abundance of arbuscular mycorrhizae (AMF) associated with Taraxacum ceratophorum, T officinale, Polemonium viscosum, and P. delicatum in plots under willow canopies and in adjacent open meadows. AMF colonization of T ceratophorum, T officinale, and P. viscosum was greater in open meadow than ill understory habitats. Conversely, ECM abundance was greater ill the willow understory than in the surrounding open meadow. AMF abundance in three of the four host species was negatively correlated with ECM abundance in the soil microsite. Taraxacum ceratophorum showed consistently high colonization by AMF regardless of habitat or ECM abundance. Our results suggest that willow-mediated heterogeneity in light and nutrient availability influence the distribution of AMF associations across the willow-meadow ecotone. Furthermore, species-specific plant life history traits related to growth strategies, carbon allocation patterns, and stress tolerance likely affect mycorrhizal dependence and interspecific variation in mycorrhizal associations.</t>
  </si>
  <si>
    <t>Pulido-Chavez, Martha Fabiola</t>
  </si>
  <si>
    <t>Effects of High-Severity Wildfires on the Ectomycorrhizal Fungal Communities of Ponderosa Pine Ecosystems in Eastern Washington</t>
  </si>
  <si>
    <t>DOWNLOADED THE PUBLISHED ARTICLE</t>
  </si>
  <si>
    <t>HERR, DG; DUCHESNE, LC; TELLIER, R; MCALPINE, RS; PETERSON, RL</t>
  </si>
  <si>
    <t>EFFECT OF PRESCRIBED BURNING ON THE ECTOMYCORRHIZAL INFECTIVITY OF A FOREST SOIL</t>
  </si>
  <si>
    <t>95</t>
  </si>
  <si>
    <t>10.1071/WF9940095</t>
  </si>
  <si>
    <t>Ectomycorrhizae formation, seedling health index, and seedling survival were assessed for two-year-old nursery-grown seedlings of Pinus resinosa and Pinus strobus two months after planting in clear-cuts that had received prescribed burning under different fire intensities. Controls consisted of seedlings planted in unburned clear-cuts. Fire intensity positively correlated with percent ectomycorrhizal roots for P. strobus but not for P. resinosa. Seedling health index and survival were highest in burned-over sites as compared to control sites for both pine species. Fire intensity correlated with seedling health index for P. strobus but not for P. resinosa. Fire intensity correlated with seedling survival for both species. Colonization of seedlings by ectomycorrhizal fungi did not correlate with seedling health index or seedling survival. P. resinosa seedlings planted in burned-over sites had a smaller number of lateral roots per unit length primary/secondary roots compared to seedlings planted in control plots.</t>
  </si>
  <si>
    <t>Paradi, Istvan; Baar, Jacqueline</t>
  </si>
  <si>
    <t>Mycorrhizal fungal diversity in willow forests of different age along the river Waal, The Netherlands</t>
  </si>
  <si>
    <t>372</t>
  </si>
  <si>
    <t>10.1016/j.foreco.2006.09.059</t>
  </si>
  <si>
    <t>In The Netherlands, riparian edge forests are often dominated by Salix species because they are well adapted to anaerobic soil conditions. Willows play therefore an important role in rehabilitation of natural riparian edge forests. They associate with both arbuscular mycorrhizal (AM) and ectomycorrhizal (EM) fungi which are essential for successful restoration of natural ecosystems, but it is still unknown what communities of mycorrhizal fungi develop on Salix species in this environment. Salix alba L. (white willow) forests of three different ages (10, 20 and 60 years old) under restoration management along the river Waal were studied by molecular techniques to describe species composition of mycorrhizal fungi in roots and soil surrounding the trees. Presence of AM colonization was not determined in the roots of S. alba and only EM fungi were observed. Frequencies of EM root tips were below 9% at all sites. Twelve types of mycorrhizat fungi were distinguished in the roots. The mycorrhizal below-ground communities were dominated by Tuber species and to our best knowledge, this is the first molecular indication that Tuber spp. are associated with roots of Salix species. The basidiomycetous fungi including Hebeloma and thelephoroid spp. were found mainly in the 20-year-old forest with the lowest soil nutrient concentrations and were apparently able to withstand flooding. A tendency was observed for higher frequencies of mycorrhizal roots with lower nutrient concentrations and higher soil pH among the sites of different age. The results demonstrate that only a limited number of mycorrhizal fungi can resist the harsh conditions caused by flooding and drought. (c) 2006 Elsevier B.V. All rights reserved.</t>
  </si>
  <si>
    <t>Rodriguez-Ramos, Jean C.; Cale, Jonathan A.; Cahill, James F., Jr.; Simard, Suzanne W.; Karst, Justine; Erbilgin, Nadir</t>
  </si>
  <si>
    <t>Changes in soil fungal community composition depend on functional group and forest disturbance type</t>
  </si>
  <si>
    <t>1105</t>
  </si>
  <si>
    <t>1117</t>
  </si>
  <si>
    <t>10.1111/nph.16749</t>
  </si>
  <si>
    <t>Disturbances have altered community dynamics in boreal forests with unknown consequences for belowground ecological processes. Soil fungi are particularly sensitive to such disturbances; however, the individual response of fungal guilds to different disturbance types is poorly understood. Here, we profiled soil fungal communities in lodgepole pine forests following a bark beetle outbreak, wildfire, clear-cut logging, and salvage-logging. Using Illumina MiSeq to sequence ITS1 and SSU rDNA, we characterized communities of ectomycorrhizal, arbuscular mycorrhizal, saprotrophic, and pathogenic fungi in sites representing each disturbance type paired with intact forests. We also quantified soil fungal biomass by measuring ergosterol. Abiotic disturbances changed the community composition of ectomycorrhizal fungi and shifted the dominance from ectomycorrhizal to saprotrophic fungi compared to intact forests. The disruption of the soil organic layer with disturbances correlated with the decline of ectomycorrhizal and the increase of arbuscular mycorrhizal fungi. Wildfire changed the community composition of pathogenic fungi but did not affect their proportion and diversity. Fungal biomass declined with disturbances that disrupted the forest floor. Our results suggest that the disruption of the forest floor with disturbances, and the changes in C and nutrient dynamics it may promote, structure the fungal community with implications for fungal biomass-C.</t>
  </si>
  <si>
    <t>Campbell, D. B.; Jones, M. D.; Kiiskila, S.; Bulmer, C.</t>
  </si>
  <si>
    <t>Two-year field performance of lodgepole pine seedlings: effects of container type, mycorrhizal fungal inoculants, and site preparation.</t>
  </si>
  <si>
    <t>BC Journal of Ecosystems and Management</t>
  </si>
  <si>
    <t>110</t>
  </si>
  <si>
    <t>120</t>
  </si>
  <si>
    <t>Interior lodgepole pine (Pinus contorta var. latifolia) seedlings were grown in Styroblocks, Copperblocks, or AirBlocks, and inoculated with Rhizopogon rubescens or Hebeloma longicaudum, or left as non-inoculated controls. Seedlings were planted into different rooting environments in two separate locations, encompassing two separate experiments in British Columbia, Canada. In experiment 1, seedlings were planted into fully rehabilitated landings (ripped with burn-pile debris and topsoil incorporated), ripped landings, and unprepared cutblocks in the spring. In experiment 2, seedlings were planted in a cutblock in manually screefed (i.e., boot screefed) planting sites or undisturbed forest floor planting sites in the summer. Seedlings in the fully rehabilitated landings were 21% taller, had 45% larger diameters, and were more vigorous than seedlings in landings that were simply ripped; seedlings planted in the unprepared cutblock were taller, but with a smaller diameter, than those on the rehabilitated landings. Seedlings in screefed microsites grew significantly larger (5%) than seedlings planted directly in the forest floor. After 2 years in the field, the sizes of spring-planted, non-inoculated seedlings, and seedlings inoculated with ectomycorrhizal fungi were not significantly different. Inoculated summer-planted seedlings were approximately 5% larger than non-inoculated control seedlings. Among the variables we manipulated, planting environment had the greatest influence on seedling growth.</t>
  </si>
  <si>
    <t>Benedict, James B.</t>
  </si>
  <si>
    <t>Sclerotia as indicators of mid-Holocene tree-limit altitude, Colorado Front Range, USA</t>
  </si>
  <si>
    <t>HOLOCENE</t>
  </si>
  <si>
    <t>1021</t>
  </si>
  <si>
    <t>1023</t>
  </si>
  <si>
    <t>10.1177/0959683610395078</t>
  </si>
  <si>
    <t>Studies in the Front Range of north-central Colorado have shown that sclerotia of Cenococcum geophilum, a common ectomycorrhizal fungus, are larger beneath spruce-fir-forest and tree-island vegetation than beneath tundra grasses and herbs. The presence, in alpine-tundra soils, of C. geophilum sclerotia with median diameters that approach or exceed 1.0 mm is evidence that tree limit formerly stood higher than it does today. A sediment sample collected 116 m above tree limit on Rowe Mountain, in Rocky Mountain National Park, contained charred sclerotia with a median diameter of 1.1 mm. Wood-charcoal particles too large to have been transported by wind were associated. Radiocarbon dates of 4770 +/- 25 yr BP (charred sclerotia) and 4900 +/- 15 yr BP (charred spruce twig) apply to the wildfire that destroyed forest or tree-island vegetation at this locality. Lack of evidence for post-fire regeneration suggests that growing-season temperatures had already begun to decline from elevated middle Holocene levels.</t>
  </si>
  <si>
    <t>Glassman, Sydney</t>
  </si>
  <si>
    <t>Patterns and Processes in Ectomycorrhizal Fungal Ecology</t>
  </si>
  <si>
    <t>PhD Thesis</t>
  </si>
  <si>
    <t>Palfner, Goetz; Ines Canseco, Maria; Casanova-Katny, Angelica</t>
  </si>
  <si>
    <t>Post-fire seedlings of &lt;i&gt;Nothofagus alpina&lt;/i&gt; in Southern Chile show strong dominance of a single ectomycorrhizal fungus and a vertical shift in root architecture</t>
  </si>
  <si>
    <t>250</t>
  </si>
  <si>
    <t>10.1007/s11104-008-9697-y</t>
  </si>
  <si>
    <t>We investigated belowground responses of Nothofagus alpina seedlings to post-fire conditions during natural regeneration after a wildfire in Chile, focusing on mycorrhizal community and root architecture. The complete root systems of 2-year-old N. alpina seedlings were extracted from a post-fire site with natural regeneration and compared to roots of seedlings from undisturbed forest nearby. Mycorrhizal morphotype richness was determined in each seedling. Morphometric parameters of tertiary root structure and dry biomass of whole root systems were determined in 5 cm vertical intervals and in four lateral root classes. With 43.5% of colonized vital mycorrhizal root tips, the Basidiomycete Descolea antarctica was the most abundant fungal symbiont on post-fire seedlings. Tertiary root morphology of these seedlings was distinct from control plants and characterized by a deep-reaching tap root with rather evenly distributed lateral branches whereas seedlings from the undisturbed site had shallower root systems with most lateral roots concentrated in the upper soil layers. Post-fire seedlings had more mycorrhizal rootlets and mycorrhiza-bearing third order lateral roots than control plants which was expressed in a 34% higher total root number but only a 10% higher total root biomass, although both values were not statistically significant. A major part of these fine roots in seedlings from burnt forest was found in deeper soil horizons, compared to the seedlings from undisturbed forest. According to our results, post-fire conditions clearly favour Descolea antarctica as an early ectomycorrhizal colonizer of Nothofagus seedlings at the studied site. As no significant changes in soil chemistry could be observed at the burnt site, the deep-reaching tertiary root architecture of these seedlings may be interpreted as a response to other abiotic factors like reduced moisture in surface soil.</t>
  </si>
  <si>
    <t>Fischer, Christine R.; Colinas, Carlos</t>
  </si>
  <si>
    <t>Tuber melanosporum Vitt.: A unique ectomycorrhizal partner for Quercus ilex L. in Spain.</t>
  </si>
  <si>
    <t>156</t>
  </si>
  <si>
    <t>157</t>
  </si>
  <si>
    <t>Sun, Hui; Santalahti, Minna; Pumpanen, Jukka; Koster, Kajar; Berninger, Frank; Raffaello, Tommaso; Jumpponen, Ari; Asiegbu, Fred O.; Heinonsalo, Jussi</t>
  </si>
  <si>
    <t>Fungal Community Shifts in Structure and Function across a Boreal Forest Fire Chronosequence</t>
  </si>
  <si>
    <t>7869</t>
  </si>
  <si>
    <t>7880</t>
  </si>
  <si>
    <t>10.1128/AEM.02063-15</t>
  </si>
  <si>
    <t>Forest fires are a common natural disturbance in forested ecosystems and have a large impact on the microbial communities in forest soils. The response of soil fungal communities to forest fire is poorly documented. Here, we investigated fungal community structure and function across a 152-year boreal forest fire chronosequence using high-throughput sequencing of the internal transcribed spacer 2 (ITS2) region and a functional gene array (GeoChip). Our results demonstrate that the boreal forest soil fungal community was most diverse soon after a fire disturbance and declined over time. The differences in the fungal communities were explained by changes in the abundance of basidiomycetes and ascomycetes. Ectomycorrhizal (ECM) fungi contributed to the increase in basidiomycete abundance over time, with the operational taxonomic units (OTUs) representing the genera Cortinarius and Piloderma dominating in abundance. Hierarchical cluster analysis by using gene signal intensity revealed that the sites with different fire histories formed separate clusters, suggesting differences in the potential to maintain essential biogeochemical soil processes. The site with the greatest biological diversity had also the most diverse genes. The genes involved in organic matter degradation in the mature forest, in which ECM fungi were the most abundant, were as common in the youngest site, in which saprotrophic fungi had a relatively higher abundance. This study provides insight into the impact of fire disturbance on soil fungal community dynamics.</t>
  </si>
  <si>
    <t>V. Caiafa, Marcos; Nelson, Amelia R.; Borch, Thomas; Roth, Holly K.; Fegel, Timothy S.; Rhoades, Charles C.; Wilkins, Michael J.; Glassman, Sydney I.</t>
  </si>
  <si>
    <t>Distinct fungal and bacterial responses to fire severity and soil depth across a ten-year wildfire chronosequence in beetle-killed lodgepole pine forests</t>
  </si>
  <si>
    <t>10.1016/j.foreco.2023.121160</t>
  </si>
  <si>
    <t>Lodgepole pine forests are under threat due to wildfires of increasing severity and frequency coupled with tree mortality from insect outbreaks. Soil microbial communities, which drive biogeochemical cycles and partner in mycorrhizal symbiosis with lodgepole pines, play critical roles in the ability of these forests to survive and regenerate in the face of simultaneous global change threats. How soil microbial communities are influenced by fire severity and soil depth and how they recover over time in lodgepole pine forests with existing insect-driven mortality remains an open question. Here, we sampled two soil depths (0-5 and 5-15 cm) and various burn severities across a ten-year wildfire chronosequence in the Southern Rocky Mountains. We used qPCR of 18S and 16S rRNA genes to assess changes in fungal and bacterial abundance and ITS2 and 16S amplicon sequencing to assess fungal and bacterial richness and composition. Our results show that: 1) higher severity fires led to larger reductions of both fungal and bacterial abundance and richness, 2) the impact of fire on fungal and bacterial communities was modulated by soil depth, with more severe impacts in shallower soils 3) both fungal and bacterial communities exhibit a partial recovery of abundance and species richness in older fires, 4) fire severity is the main driver of fungal and bacterial community structure but its effect varied across time, 5) pyrophilous "fire-loving" fungi and bacteria exhibit an increased abundance in burned plots, particularly in recent fires, and 6) symbiotic ectomycorrhizal fungi are particularly hard hit by the compound effect of the beetle-driven tree mortality and wildfires. They exhibit a consistently low abundance and richness in the high severity plots which did not recover over time, and unburned plots have a depauperated ectomycorrhizal community.</t>
  </si>
  <si>
    <t>De las Heras, J; González-Ochoa, AI; Torres, P</t>
  </si>
  <si>
    <t>Afforestation of burnt forests using mycorrhized &lt;i&gt;Pinus halepensis&lt;/i&gt; and &lt;i&gt;P-pinastar&lt;/i&gt; saplings</t>
  </si>
  <si>
    <t>FIRE AND BIOLOGICAL PROCESSES</t>
  </si>
  <si>
    <t>255</t>
  </si>
  <si>
    <t>263</t>
  </si>
  <si>
    <t>A large fire of 14,000 ha occurred in 1994 in the Tus Valley (Sierra de Alcaraz, SE Spain). After disturbance, a natural regeneration of Pinus halepensis and P. pinaster was observed in several sites due to mature seed rain during the early days after fire. However, in zones with steep slope and sunny exposure, natural pine regeneration was very low and in some cases, null. The aim of this study was to recover those sites using R halepensis and P pinaster saplings improved by mycorrhization. Two different substrata (composted pine bark and fertilized-peat-vermiculite) and seven fungi species (Pisolithus tinctorius, Lactarius deliciosus, L. sanguifluus, Suillus mediterranensis, S. collinitus, S. bellini and Rhizopogon roseolus) were used on 3,700 pine seedlings. Two types of inoculum (spore suspension and mycelium inoculum) were used. Mycorrhized and control saplings were planted in April 2001 and survival was tested six months after. Results demonstrated significant differences among treatments. In general, pines mycorrhized with Lactarius deliciosus presented the highest survival percentage.</t>
  </si>
  <si>
    <t>Jacques, Marie-Eve; Hallgren, Stephen W.; Wilson, Duncan S.</t>
  </si>
  <si>
    <t>Low-basal area treatment and prescribed fire to restore oak-pine savannas alter small mammal communities</t>
  </si>
  <si>
    <t>353</t>
  </si>
  <si>
    <t>362</t>
  </si>
  <si>
    <t>10.1016/j.foreco.2017.06.022</t>
  </si>
  <si>
    <t>Following decades of fire suppression many oak-pine savanna ecosystems have shifted to close-canopied forests. Restoration of these ecosystems to their savanna condition is seen as a way to reduce woody species encroachment and dangerous fuel loads, and restore community species composition. The management practices to achieve these goals typically involve thinning and prescribed fire. We assessed how thinning to reduce basal area combined with frequent prescribed fire influenced small mammal communities and their habitat. We focused on six habitat variables that can influence small mammal abundance and species composition: stand basal area of live trees and snags, volume of coarse woody debris, percent ground cover, forest floor depth, and distance of vulnerability, a measure of understory vegetation structure and animal vulnerability to predators. Although savanna restoration reduced basal area by 80%, there was no change in snag density or coarse woody debris volume. Savanna restoration significantly increased the ground cover of graminoids, forbs, bare ground, and down woody debris and reduced forest floor depth and distance of vulnerability. These habitat changes likely contributed to the significant differences between small mammal communities in restored and non-restored stands. Restoration treatments caused a large increase in abundance of White-footed Mouse (Peromyscus leucopus) and important changes in community assemblages. Least Shrew (Cryptotis parva), Fulvous Harvest Mouse (Reithrodontomys fulvescens), Eastern Harvest Mouse (R. humulis), and Hispid Cotton Rat (Sigmodon hispidus) were caught only in restored stands, while House Mouse (Mus musculus), Plains Harvest Mouse (R. montanus), and Texas Mouse (P. attwateri) were caught only in non-restored stands. (C) 2017 Elsevier B.V. All rights reserved.</t>
  </si>
  <si>
    <t>Costa, Eunice Conceição Lima da</t>
  </si>
  <si>
    <t>Post-Fire Restoration of Soil Microbial Communities in a Quercus Suber Population</t>
  </si>
  <si>
    <t>Vasquez Gassibe, Pablo; Fraile Fabero, Raul; Hernandez-Rodriguez, Maria; Andres Oria-de-Rueda, Juan; Bravo Oviedo, Felipe; Martin-Pinto, Pablo</t>
  </si>
  <si>
    <t>Post-fire production of mushrooms in &lt;i&gt;Pinus&lt;/i&gt; &lt;i&gt;pinaster&lt;/i&gt; forests using classificatory models</t>
  </si>
  <si>
    <t>JOURNAL OF FOREST RESEARCH</t>
  </si>
  <si>
    <t>356</t>
  </si>
  <si>
    <t>10.1007/s10310-013-0419-9</t>
  </si>
  <si>
    <t>This study was aimed at describing post-fire mushroom production in a Mediterranean ecosystem dominated by Pinus pinaster Ait. in the northwest of Spain and assessing the results by classificatory models. During the autumn periods of 2003-2006, fruit bodies from 115 fungal taxa were collected in burned and unburned areas and were further grouped into the following categories: saprotrophic/mycorrhizal; and edible/non-edible. After wildfires, a significant reduction in the number of fungal species and fruit body biomass production was observed. Based on this relevant information, the first simple classificatory model for this aim is provided. Nine alternative models based on classifications according to combinations of edibility and functional groups were fitted, and four fruiting body biomass production classes were defined as possible responses. As explanatory factors, time after fire and climatic variables significantly related to fruit body production were included. The best predictive results were obtained for edible and edible-mycorrhizal models, for which the correct classification rate of production classes was between 92 and 85 %. Moreover, the models obtained were applied to analyse the effect of time after fire on fungal production. Mycorrhizal and edible fungal production after fire was classified into the lowest class, whereas saprotrophic and non-edible species followed a contrary trend. The classificatory models can be useful to optimise management and harvest of these increasingly appreciated non-timber forest resources.</t>
  </si>
  <si>
    <t>Craig, Ashley J.; Woods, Shannis; Hoeksema, Jason D.</t>
  </si>
  <si>
    <t>Influences of host plant identity and disturbance on spatial structure and community composition of ectomycorrhizal fungi in a northern Mississippi uplands ecosystem</t>
  </si>
  <si>
    <t>7</t>
  </si>
  <si>
    <t>10.1016/j.funeco.2016.08.007</t>
  </si>
  <si>
    <t>We sought to characterize how abiotic and biotic factors, including identities of tree hosts, influence ectomycorrhizal (ECM) fungal composition on tree roots in mixed upland forests of northern Mississippi, where sites have been subject to restoration treatments through burning, manual and natural (tornado) thinning. We identified both plant and fungal components of root tips and collected data on abiotic factors that potentially drive variation in ECM fungal community composition. We found that plant host identity and measured abiotic factors explained less than 8% of variation in ECM fungal community composition. ECM fungal community composition did not differ significantly between control and burned/thinned plots; however, it did differ substantially at the tornado-damaged plot, which also exhibited significant spatial structure. These results suggest that much variation in ECM communities is unexplained by commonly measured biotic and abiotic variables and natural disturbance may play a role in both community and spatial structure of ECM fungi. (C) 2016 Elsevier Ltd and British Mycological Society. All rights reserved.</t>
  </si>
  <si>
    <t>Perera, Ajith H.; Buse, Lisa J.</t>
  </si>
  <si>
    <t>Ecological roles of wildfire residuals</t>
  </si>
  <si>
    <t>Ecology of Wildfire Residuals in Boreal Forests</t>
  </si>
  <si>
    <t>119</t>
  </si>
  <si>
    <t>Hilszczanska, Dorota; Gil, Wojciech; Olszowska, Grazyna</t>
  </si>
  <si>
    <t>Structure of post-fire ectomycorrhizal communities of Scots pine stand in a dry coniferous forest habitat</t>
  </si>
  <si>
    <t>SYLWAN</t>
  </si>
  <si>
    <t>71</t>
  </si>
  <si>
    <t>Ectomycorrhizal communities associated with Pinus sylvestris growing on dry coniferous forest habitat after the fire were studied. In order to investigate the fire effect on ectomycorrhizal fungi and changes of soil parameters in the upper (0-15 cm) soil layer three study plots were established: 1 - the control, 2 - fire zone left for artificial renewal (with the economic method of renewal) and 3 - fire zone left for natural renewal. The analysis of mycorrhizae revealed presence of eight mycorrhizal fungi on Scots pine roots and the value of Shannon-Wiener species diversity index H' equaled to 1.76. The most abundant were mycorrhizae formed by Tomentella feruginea (31.7%) and Hebeloma crustuliniforme (23.3%). The fraction of Paxillus involutus and Rhizopogon sp. mycorrhizae was 16.7% and 13.0%, respectively. The lowest was the number of Thelephora terrestris mycorrhizae (only 1.7%). At the site 2, number of mycorrhizal fungi diminished to five and Shannon-Wiener species diversity index was also lower (1.37). The predominant were mycorrhizae of Cenococcum geophilum (26.7%) and P involutus (21.7%), whilst the lowest were mycorrhizae of Suillus luteus (1.7%). Although at the third site the number of ectomycorrhizal fungi was the same as on the site 2, the dominance of Thelephora terrestris (66.7%) caused that Shannon-Wiener's species diversity index was the lowest (1.05). Mycorrhizae of Paxillus involutus and Wilcoxina mikolae were characterised by similar abundance (13.3% and 11.7%, respectively). The lowest number of mycorrhizae was observed for Tomentella sp. (3.3%). Analysis of soil parameters showed an increase of pH on burnt sites in comparison to the control. The soil of burnt sites were also characterised by lower value of C and C/N ratio than the soil on the control treatment. The result showed that ubiquitous mycorrhizal fungi, such as T terrestis, are able to persist on roots in changed soil environment with low content of nutritions.</t>
  </si>
  <si>
    <t>Bruns, Thomas D.; Hale, Maren L.; Nguyen, Nhu H.</t>
  </si>
  <si>
    <t>&lt;i&gt;Rhizopogon olivaceotinctus&lt;/i&gt; increases its inoculum potential in heated soil independent of competitive release from other ectomycorrhizal fungi</t>
  </si>
  <si>
    <t>936</t>
  </si>
  <si>
    <t>941</t>
  </si>
  <si>
    <t>10.1080/00275514.2019.1657354</t>
  </si>
  <si>
    <t>Rhizopogon olivaceotinctus is a rarely collected ectomycorrhizal fungus that has been found primarily in California and southern Oregon. Prior work has shown that it (i) is common in soil spore banks associated with pine forests from these areas; (ii) is rare or absent on trees in undisturbed forests in these same areas; (iii) exhibits an increased abundance on pine seedlings following fire or experimental soil heating; and (iv) has spores that are more resistant to heat than those of several other ectomycorrhizal species tested to date. Here, we reject the hypothesis that the increased abundance of the species following soil heating is caused only by reduced competition with other ectomycorrnizal fungi and show instead that heating alone significantly increases the inoculum potential of its spores. We argue that this is likely caused by heat stimulation of the spores, a process that has precedent in saprotrophic fungi and plant seeds. This result, in combination with those of previous studies, shows that Rhizopogon olivaceotinctus is well adapted to fire.</t>
  </si>
  <si>
    <t>Franco, Albina R.; Sousa, Nadine R.; Ramos, Miguel A.; Oliveira, Rui S.; Castro, Paula M. L.</t>
  </si>
  <si>
    <t>Diversity and Persistence of Ectomycorrhizal Fungi and Their Effect on Nursery-Inoculated &lt;i&gt;Pinus pinaster&lt;/i&gt; in a Post-fire Plantation in Northern Portugal</t>
  </si>
  <si>
    <t>MICROBIAL ECOLOGY</t>
  </si>
  <si>
    <t>772</t>
  </si>
  <si>
    <t>10.1007/s00248-014-0447-9</t>
  </si>
  <si>
    <t>Ectomycorrhizal fungi (ECMF) play an important role in forest ecosystems, often mitigating stress factors and increasing seedling performance. The aim of this study was to investigate the effects of a nursery inoculation on Pinus pinaster growth and on the fungal communities established when reforesting burned areas. Inoculated P. pinaster saplings showed 1.5-fold higher stem height than the non-inoculated controls after a 5 year growth period, suggesting that fungal inoculation could potentiate tree growth in the field. Ordination analysis revealed the presence of different ECMF communities on both plots. Among the nursery-inoculated fungi, Laccaria sp., Rhizopogon sp., Suillus bovinus and Pisolithus sp. were detected on inoculated Pinus saplings on both sampling periods, indicating that they persisted after field establishment. Other fungi were also detected in the inoculated plants. Phialocephala sp. was found on the first assessment, while Terfezia sp. was detected on both sampling periods. Laccaria sp. and Rhizopogon sp. were identified in the control saplings, belonging however to different species than those found in the inoculated plot. Inocybe sp., Thelephora sp. and Paxillus involutus were present on both sampling periods in the non-inoculated plots. The results suggest that ECMF inoculation at nursery stage can benefit plant growth after transplantation to a post-fire site and that the inoculated fungi can persist in the field. This approach has great potential as a biotechnological tool to aid in the reforestation of burned areas.</t>
  </si>
  <si>
    <t>Pulido-Chavez, M. Fabiola; Alvarado, Ernesto C.; DeLuca, Thomas H.; Edmonds, Robert L.; Glassman, Sydney I.</t>
  </si>
  <si>
    <t>High-severity wildfire reduces richness and alters composition of ectomycorrhizal fungi in low-severity adapted ponderosa pine forests</t>
  </si>
  <si>
    <t>10.1016/j.foreco.2021.118923</t>
  </si>
  <si>
    <t>Ponderosa pine (Pinus ponderosa) forests are increasingly experiencing high-severity, stand-replacing fires. Whereas alterations to aboveground ecosystems have been extensively studied, little is known about soil fungal responses in fire-adapted ecosystems. We implement a chronosequence of four different fires that varied in time since fire, 2 years (2015) to 11 years (2006) and contained stands of high severity burned P. ponderosa in eastern Washington and compared their soil fungal communities to adjacent unburned plots. Using Illumina Miseq (ITS1), we examined changes in soil nutrients, drivers of species richness for ectomycorrhizal (plant symbionts) and saprobic (decomposers) fungi, community shifts, and post-fire fungal succession in burned and unburned plots. Ectomycorrhizal richness was 43.4% and sapmbic richness 12.2% lower in the burned plots, leading to long-term alterations to the fungal communities that did not return to unburned levels, even after 11 years. Differences in the post-fire fungal community were driven by pyrophilous, "fire-loving" fungi, including the ectomycorrhizal Ascomycete genera Pustularia and Wilcoxina, and the saprobic Basidiomycete genus Geminibasidium. Ectomycorrhizal and sapmbic fungi were intimately linked to the soil environment: depth of the organic matter, total carbon, total nitrogen, and their interaction with fire predicted ectomycorrhizal richness. Whereas total carbon, time since fire, treatment, and the interaction between time since fire and treatment predicted saprobic richness. We conclude that high-severity wildfires lead to lower ectomycorrhizal richness and significantly altered ectomycorrhizal and saprobic communities in fire-adapted ecosystems, selecting resilient and fire-adapted species, such as W. rehmii and Geminibasidium sp., thus initiating post-fire succession.</t>
  </si>
  <si>
    <t>Perez-Izquierdo, Leticia; Clemmensen, Karina E.; Strengbom, Joachim; Granath, Gustaf; Wardle, David A.; Nilsson, Marie-Charlotte; Lindahl, Bjorn D.</t>
  </si>
  <si>
    <t>Crown-fire severity is more important than ground-fire severity in determining soil fungal community development in the boreal forest</t>
  </si>
  <si>
    <t>504</t>
  </si>
  <si>
    <t>518</t>
  </si>
  <si>
    <t>10.1111/1365-2745.13529</t>
  </si>
  <si>
    <t>Wildfire shapes the structure, dynamic and functioning of boreal forests. With predicted warmer and drier summers, increased incidence and intensity of crown-fires may affect plant-soil interactions with consequences for post-fire fertility and forest productivity.We assessed how severity of crown- and ground-fire in boreal pine forests affected post-fire responses of soil fungal communities and their associated enzyme activities, and how variation in fire severity interacts with salvage (post-fire) logging in impacting soil fungi.Crown fire-induced tree mortality had a stronger impact on fungal biomass and community composition than did ground-fire-induced loss of soil organic matter. Severe crown-fire led to replacement of ectomycorrhizal- and litter-associated fungi by stress-tolerant ascomycetes. Elevated activities of hydrolytic enzymes in burned areas were correlated with root-associated ascomycetes and moulds, suggesting opportunistic exploitation of labile organic substrates. Fire did not, however, increase the abundance of more potent basidiomycete decomposers in the organic layer, nor did it enhance organic matter oxidation by fungal peroxidases, indicating that the potential for major post-fire losses of carbon due to stimulated decomposition is limited. Rather, peroxidase activity was low in burned areas, likely reflecting the absence of ectomycorrhizal fungi. Post-fire salvage logging induced larger shifts in fungal communities in areas with low crown-fire severity.Synthesis. Historically, boreal pine forests have been shaped by low-severity ground-fires. Our study highlights a risk that increasing occurrence of high-severity crown-fire as climate warms will have detrimental effects on mycorrhizal-mediated functions that are pivotal for maintaining organic matter turnover, soil fertility and forest resilience.</t>
  </si>
  <si>
    <t>Cripps, Cathy L.; Alger, Genoa; Sissons, Robert</t>
  </si>
  <si>
    <t>Designer Niches Promote Seedling Survival in Forest Restoration: A 7-Year Study of Whitebark Pine (&lt;i&gt;Pinus albicaulis&lt;/i&gt;) Seedlings in Waterton Lakes National Park</t>
  </si>
  <si>
    <t>10.3390/f9080477</t>
  </si>
  <si>
    <t>Designer niches in which environmental variables are controlled are useful in forest restoration to enhance survival of planted tree seedlings. Here, we evaluate particular manipulated habitats, on site variables, and pre-seedling conditions hypothesized to improve the survival rate of whitebark pine (Pinus albicaulis) seedlings out-planted in Waterton Lakes National Park. The tree species is in peril due to blister rust and mountain pine beetle infestations in its range; and is a restoration priority in Waterton Lakes because populations in the park are highly infected with blister rust (up to 90%). At Summit Lake, 21 plots were set up and half of each was terra-torched; 1000 seedlings were planted in clusters of three, under four conditions: on burned areas in burned beargrass mats, in burned areas where beargrass mats were not present, in unburned areas where beargrass was present, and in unburned areas without beargrass. This study reports data for the seventh year after planting, and overall, survival was 53% for individual seedlings and at least one seedling survived in 60.8% of clusters. Planting in burned areas increased cluster survival (by 34.3%, p ? 0.0001) and planting near microsites increased cluster survival (by 19.3%, p ? 0.0001); the type of microsite did not make a difference. Planting in beargrass mats decreased survival, but not significantly (8.9%, p = 0.11) and this was true for burns, not unburned areas. Inoculation with native ectomycorrhizal fungi did not enhance survival most likely because controls on lightly terra-torched and unburned areas had access to local native fungi. This is the first study to report statistics on the planting of seedlings in clusters; the results need to be compared with studies where seedlings are planted individually.</t>
  </si>
  <si>
    <t>Taylor, DL; Bruns, TD</t>
  </si>
  <si>
    <t>Community structure of ectomycorrhizal fungi in a &lt;i&gt;Pinus muricata&lt;/i&gt; forest:: minimal overlap between the mature forest and resistant propagule communities</t>
  </si>
  <si>
    <t>1837</t>
  </si>
  <si>
    <t>1850</t>
  </si>
  <si>
    <t>10.1046/j.1365-294x.1999.00773.x</t>
  </si>
  <si>
    <t>We have investigated colonization strategies by comparing the abundance and frequency of ectomycorrhizal fungal species on roots in a mature Pinus muricata forest with those present as resistant propagules colonizing potted seedlings grown in the same soil samples. Thirty-seven fungal species were distinguished by internal transcribed spacer (ITS) restriction fragment length polymorphisms (RFLPs); most were identified to species level by sporocarp RFLP matches or to genus/family level by using sequence databases for the mitochondrial and nuclear large-subunit rRNA genes. The below-ground fungal community found in the mature forest contrasted markedly with the resistant propagule community, as only four species were found in both communities. The dominant species in the mature forest were members of the Russulaceae, Thelephorales and Amanitaceae. In contrast, the resistant propagule community was dominated by Rhizopogon species and by species of the Ascomycota. Only one species, Tomentella sublilacina (Thelephorales), was common in both communities. The spatial distribution of mycorrhizae on mature roots and propagules in the soil differed among the dominant species, For example, T. sublilacina mycorrhizae exhibited a unique bias toward the organic horizons, Russula brevipes mycorrhizae were denser and more clumped than those of other species and Cenococcum propagules were localized, whereas R. subcaerulescens propagules were evenly distributed. We suggest that species differences in resource preferences and colonization strategies, such as those documented here, contribute to the maintenance of species richness in the ectomycorrhizal community.</t>
  </si>
  <si>
    <t>Lazaruk, Lance William</t>
  </si>
  <si>
    <t>The impact of harvesting practices on the biodiversity of &lt;i&gt; Picea glauca&lt;/i&gt; ectomycorrhizae</t>
  </si>
  <si>
    <t>Koster, Kajar; Berninger, Frank; Linden, Aki; Koster, Egle; Pumpanen, Jukka</t>
  </si>
  <si>
    <t>Recovery in fungal biomass is related to decrease in soil organic matter turnover time in a boreal fire chronosequence</t>
  </si>
  <si>
    <t>10.1016/j.geoderma.2014.07.001</t>
  </si>
  <si>
    <t>Fire is one of the most important natural disturbances in the boreal forest. It strongly influences boreal forest structure and function, and alters microbial biomass and species composition e.g. by significantly reducing the abundance of decomposing fungi. We measured carbon stocks and estimated fungal biomass and soil carbon turnover in Pinus sylvestris stands on a fire chronosequence from 2 to 152 years post-fire. Results show that the turnover time of soil carbon was longest in the area where fire occurred 2 years ago (117 years) and approximately two times shorter (ca. 60 years) in the areas where fire occurred 42,60 and 152 years ago. The soil carbon turnover time in our study areas was associated with very slow fungal biomass recovery. The fungal biomass (ergosterol content), soil carbon content and soil CO2 efflux reached the same levels as in the oldest site approximately 60 years after the fire. Our results indicate that the slow multi-decadal post-fire recovery of fungal biomass drives the soil carbon balance of boreal forests, and disturbances such as fires have a profound influence on soil carbon turnover for decades. On the other hand, the longer post-fire residence time of carbon in the soil compared to older forests suggests that fire effects on the soil carbon pool in boreal forests might be less dramatic than previously thought. (C) 2014 Elsevier B.V. All rights reserved.</t>
  </si>
  <si>
    <t>Schoonmaker, A. S.; Lieffers, V. J.; Landhaeusser, S. M.</t>
  </si>
  <si>
    <t>Viewing forests from below: fine root mass declines relative to leaf area in aging lodgepole pine stands</t>
  </si>
  <si>
    <t>733</t>
  </si>
  <si>
    <t>747</t>
  </si>
  <si>
    <t>10.1007/s00442-016-3621-6</t>
  </si>
  <si>
    <t>In the continued quest to explain the decline in productivity and vigor with aging forest stands, the most poorly studied area relates to root system change in time. This paper measures the wood production, root and leaf area (and mass) in a chronosequence of fire-origin lodgepole pine (Pinus contorta Loudon) stands consisting of four age classes (12, 21, 53, and a parts per thousand yen100 years), each replicated similar to five times. Wood productivity was greatest in the 53-year-old stands and then declined in the a parts per thousand yen100-year-old stands. Growth efficiency, the quantity of wood produced per unit leaf mass, steadily declined with age. Leaf mass and fine root mass plateaued between the 53- and a parts per thousand yen100-year-old stands, but leaf area index actually increased in the older stands. An increase in the leaf area index:fine root area ratio supports the idea that older stand are potentially limited by soil resources. Other factors contributing to slower growth in older stands might be lower soil temperatures and increased self-shading due to the clumped nature of crowns. Collectively, the proportionally greater reduction in fine roots in older stands might be the variable that predisposes these forests to be at a potentially greater risk of stress-induced mortality.</t>
  </si>
  <si>
    <t>Torres, P; Honrubia, M</t>
  </si>
  <si>
    <t>Changes and effects of a natural fire on ectomycorrhizal inoculum potential of soil in a Pinus halepensis forest</t>
  </si>
  <si>
    <t>196</t>
  </si>
  <si>
    <t>10.1016/S0378-1127(97)00058-3</t>
  </si>
  <si>
    <t>A typically mediterranean forest of Pinus halepensis was studied. During two years following fruiting fungal species, the number of sclerotia in soil, and the percentages and types of mycorrhizas present were determined. In burned stands ascomycetes were typical carbonicolous while basidiomycetes were strongly reduced. The sclerotia extracted from soils were mainly Cenococcum. The number of sclerotia in burned stands was greater than in unburned stands. Seven types of mycorrhizas were recognized in Pinus halepensis root systems from bioassays: Cenococcum, E-strain, Rhizopogon, Suillus, Tuber, Xerocomus, and one non-identified. Nearly 100% of the roots were colonized by mycorrhizal fungi. Ectendomycorrhizas represented 50-90% of the total number. The predominant type is ectendomycorrhizas formed by ascomycetes included in the E-strain group. (C) 1997 Elsevier Science B.V.</t>
  </si>
  <si>
    <t>Garcia-Barreda, Sergi; Molina-Grau, Sara; Reyna, Santiago</t>
  </si>
  <si>
    <t>Reducing the infectivity and richness of ectomycorrhizal fungi in a calcareous &lt;i&gt;Quercus ilex&lt;/i&gt; forest through soil preparations for truffle plantation establishment: A bioassay study</t>
  </si>
  <si>
    <t>1137</t>
  </si>
  <si>
    <t>1143</t>
  </si>
  <si>
    <t>10.1016/j.funbio.2015.08.014</t>
  </si>
  <si>
    <t>In the early years of a black truffle plantation, the field proliferation of the nursery-inoculated fungi can be hampered by native ectomycorrhizal fungi colonising the seedling roots. Reducing the soil ectomycorrhizal infectivity in the planting hole before introducing the inoculated seedling could be an effective strategy to reduce this problem. Three bioassays were conducted to evaluate the impact of several soil preparations on the ectomycorrhizal infectivity and richness of a Quercus ilex soil in a truffle-producing region. Microwaves, quicklime, and acetic acid significantly decreased the percent root colonisation and morphotype richness of the native ectomycorrhizal fungi. However, they also decreased seedling survival or growth. Peracetic acid, hydrogen peroxide, and sodium hypochlorite did not show a significant negative effect on the soil ectomycorrhizal community. The results support the potential of soil preparation for reducing the ectomycorrhizal infectivity of forest soils, thus being a promising strategy to reduce the early colonisation by native fungi in truffle plantations. However, the indications of damage to the seedling development must be addressed. (C) 2015 The British Mycological Society. Published by Elsevier Ltd. All rights reserved.</t>
  </si>
  <si>
    <t>Carpenter, Dana O.; Taylor, Melanie K.; Callaham, Mac A., Jr.; Hiers, J. Kevin; Loudermilk, E. Louise; O'Brien, Joseph J.; Wurzburger, Nina</t>
  </si>
  <si>
    <t>Benefit or Liability? The Ectomycorrhizal Association May Undermine Tree Adaptations to Fire After Long-term Fire Exclusion</t>
  </si>
  <si>
    <t>1059</t>
  </si>
  <si>
    <t>1074</t>
  </si>
  <si>
    <t>10.1007/s10021-020-00568-7</t>
  </si>
  <si>
    <t>Long-term fire exclusion may weaken ecosystem resistance to the return of fire. We investigated how a surface wildfire that occurred after several decades of fire exclusion affected a southern Appalachian forest transitioning from a fire-adapted to a fire-intolerant state. Tree traits associated with fire adaptation often co-occur with traits for nutrient conservation, including the ectomycorrhizal (ECM) association. In the absence of fire, the ECM association may facilitate the accumulation of organic matter, which becomes colonized by fine roots that then become vulnerable to consumption or damage by fire. Therefore, a deeper organic horizon might make stands of fire-adapted, ECM trees less resistant to a surface wildfire than stands of arbuscular mycorrhizal (AM), fire-intolerant trees. To test this hypothesis, we established plots in stands that fall along a gradient of mycorrhizal tree relative abundance both inside and outside the perimeter of the 2016 Rock Mountain wildfire. With increasing relative abundance of ECM trees, we found increasing organic horizon depth and mass and slower rates of decay, even for litter of ECM tree species. We calculated a major (73-83%) reduction in fine root biomass and length in the organic horizon following the wildfire. Over three years post-fire, we observed a higher probability of crown decline, basal sprouting and aboveground biomass mortality with increasing abundance of ECM trees. We propose that the biogeochemistry of mycorrhizal associations can help explain why fire exclusion makes stands of fire-adapted trees less resistant to a surface wildfire than those with fire-intolerant trees.</t>
  </si>
  <si>
    <t>Waters, JR; McKelvey, KS; Luoma, DL; Zabel, CJ</t>
  </si>
  <si>
    <t>Truffle production in old-growth and mature fir stands in northeastern California</t>
  </si>
  <si>
    <t>155</t>
  </si>
  <si>
    <t>166</t>
  </si>
  <si>
    <t>10.1016/S0378-1127(97)00016-9</t>
  </si>
  <si>
    <t>Few studies have examined fruiting patterns of hypogeous fungi, and relationships between sporocarp production of hypogeous fungi and forest habitat components such as organic soil depth and amounts of decayed wood are poorly understood. We sampled sporocarps of hypogeous fungi (truffles) in four old-growth (&gt; 200 years) and four paired, mature (ca 100 years) fir (Abies spp.) stands during four sample periods in 1993 and three sample periods in 1994 in the Lassen National Forest in northeastern California. Truffles were collected from 4-m(2) circular plots systematically located at 36 grid points per stand during-each sample period. Habitat characteristics were measured in 50.3-m(2) circles centered at each grid point in 1993. We found a total of 46 truffle species in 30.4% of the 2016 total plots, and the total standing dry weight of truffles was equivalent to 2.43 kg ha(-1). Total frequency and biomass of truffles and number of truffle species did not differ significantly between stand types in 1993 or 1994, but species composition did. We found no significant associations between measures of total truffle abundance and measures of habitat structure and composition at the 0.25-ha grid scale or at the 50.3-m(2) habitat plot scale. At the scale of the 4-m(2) truffle plot, plots with decayed wood were more likely to have truffles than plots without decayed wood during the final sample period of each year, but the association was significant only in 1993. Mean organic soil depth was greater in plots with truffles than plots without truffles in each sample period in both years, but ranked values were only marginally significant in one sample period. Goodness-of-fit tests to the Poisson distribution indicated that individual truffles had clumped distributions, but we could not reject the null hypothesis of random distribution of truffle collections. Our results indicate that total truffle production had recovered from stand-replacement wildfire in the mature stands, and that total truffle abundance was not strongly associated with habitat characteristics within the range of habitat variation exhibited in these stands. Individual species, however, were associated with old-growth stands and others with mature stands. (C) 1997 Elsevier Science B.V.</t>
  </si>
  <si>
    <t>Hewitt, Rebecca E.; Day, Nicola J.; DeVan, M. Rae; Taylor, D. Lee</t>
  </si>
  <si>
    <t>Wildfire impacts on root-associated fungi and predicted plant-soil feedbacks in the boreal forest: Research progress and recommendations</t>
  </si>
  <si>
    <t>2110</t>
  </si>
  <si>
    <t>2125</t>
  </si>
  <si>
    <t>10.1111/1365-2435.14205</t>
  </si>
  <si>
    <t>Root-associated fungi play a critical role in plant ecophysiology, growth and subsequent responses to disturbances, so they are thought to be particularly instrumental in shaping vegetation dynamics after fire in the boreal forest. Despite increasing data on the distribution of fungal taxonomic diversity through space and time in boreal ecosystems, there are knowledge gaps with respect to linking these patterns to ecosystem function and process. Here we explore what is currently known about postfire root-associated fungi in the boreal forest. We focus on wildfire impacts on mycorrhizal fungi and the relationships between plant-fungal interactions and forest recovery in an effort to explore whether postfire mycorrhizal dynamics underlie plant-soil feedbacks that may influence fire-facilitated vegetation shifts. We characterize the mechanisms by which wildfire influences root-associated fungal community assembly. We identify scenarios of postfire plant-fungal interactions that represent putative positive and negative plant-soil feedbacks that may impact successional trajectories. We highlight the need for empirical field observations and experiments to inform our ability to translate patterns of postfire root-associated fungal diversity to ecological function and application in models. We suggest that understanding postfire interactions between root-associated fungi and plants is critical to predict fire effects on vegetation patterns, ecosystem function, future landscape flammability and feedbacks to climate. Read the free Plain Language Summary for this article on the Journal blog.</t>
  </si>
  <si>
    <t>McMullan-Fisher, SJM; May, TW; Keane, PJ</t>
  </si>
  <si>
    <t>The macrofungal community and fire in a Mountain Ash forest in southern Australia</t>
  </si>
  <si>
    <t>57</t>
  </si>
  <si>
    <t>Changes in the occurrence of macrofungi with time following forestry activities and fire were studied at 14 sites in Mountain Ash (Eucalyptus regnans) dominated forests, in the Eastern Central Highlands, Victoria, Australia. Forests of 0-57 years after fire were used to compare macrofungal communities. Pattern analysis through classification and ordination showed that there was a distinct change in the macrofungal community over time since disturbance. Three phases were apparent in the process of recolonisation after fire: (1) immediate post-fire (0-year), (2) an intermediate phase (2- and 4-year-old), and (3) a mature phase (7-year-old and older). The macrofungi evident in the Mountain Ash forest during the first year after fire were the most distinctive. The change in the suite of macrofungi closely reflected the changes in macrofungal substrates in the forests of different ages. Macrofungi found to be specific to certain stages of regeneration after fire will provide a subset of indicator taxa suitable for use in further surveys.</t>
  </si>
  <si>
    <t>Hewitt, Rebecca E.; Bent, Elizabeth; Hollingsworth, Teresa N.; Chapin, F. Stuart, III; Taylor, D. Lee</t>
  </si>
  <si>
    <t>Resilience of Arctic mycorrhizal fungal communities after wildfire facilitated by resprouting shrubs</t>
  </si>
  <si>
    <t>ECOSCIENCE</t>
  </si>
  <si>
    <t>310</t>
  </si>
  <si>
    <t>10.2980/20-3-3620</t>
  </si>
  <si>
    <t>Climate-induced changes in the tundra fire regime are expected to alter shrub abundance and distribution across the Arctic. However, little is known about how fire may indirectly impact shrub performance by altering mycorrhizal symbionts. We used molecular tools, including ARISA and fungal ITS sequencing, to characterize the mycorrhizal communities on resprouting Betula nana shrubs across a fire-severity gradient after the largest tundra fire recorded in the Alaskan Arctic (July-October 2007). Fire effects on the components of fungal composition were dependant on the scale of taxonomic resolution. Variation in fungal community composition was correlated with fire severity. Fungal richness and relative abundance of dominant taxa declined with increased fire severity. Yet, in contrast to temperate and boreal regions with frequent wildfires, mycorrhizal fungi on resprouting shrubs in tundra were not strongly differentiated into fire-specialists and fire-sensitive fungi. Instead, dominant fungi, including taxa characteristic of late successional stages, were present regardless of fire severity. It is likely that the resprouting life history strategy of tundra shrubs confers resilience of dominant mycorrhizal fungi to fire disturbance by maintaining an inoculum source on the landscape after fire. Based on these results, we suggest that resprouting shrubs may facilitate post-fire vegetation regeneration and potentially the expansion of trees and shrubs under predicted scenarios of increased warming and fire disturbance in Arctic tundra.</t>
  </si>
  <si>
    <t>Vasquez Gassibe, Pablo; Fraile Fabero, Raul; Hernandez-Rodriguez, Maria; Andres Oria-de-Rueda, Juan; Martin-Pinto, Pablo</t>
  </si>
  <si>
    <t>Fungal community succession following wildfire in a Mediterranean vegetation type dominated by &lt;i&gt;Pinus&lt;/i&gt; &lt;i&gt;pinaster&lt;/i&gt; in Northwest Spain</t>
  </si>
  <si>
    <t>655</t>
  </si>
  <si>
    <t>662</t>
  </si>
  <si>
    <t>10.1016/j.foreco.2011.04.036</t>
  </si>
  <si>
    <t>This study examined the succession of fungal communities following fire in a Mediterranean ecosystem dominated by Pinus pinaster Ait. in northwestern Spain. A large wildfire occurred in August 2002. During the autumn seasons from 2003 to 2006, fruiting bodies were collected and identified, production in burned (early stage) and unburned (late stage) areas was measured. For statistical analysis, data were grouped into the following four categories: saprotrophic, mycorrhizal; edible and inedible. A total of 115 fungal taxa were collected during the four sampling periods (85 in the late and 60 in the early stage). The number of mycorrhizal species increased from early to late succession and there were shifts in community composition. After fire, pyrophytic species such as Pholiota carbonaria, Peziza violacea, Rhizopogon luteolus and Rhizopogon sp. appeared. Fire strongly affected the production of fungal species in the studied area. Thus, yields in the early stage treatment were significantly lower than those observed in the late stage. Total fungal fresh weight decreased from 209.95 kg fw ha(-1) in the late stage to 162.45 kg fw ha(-1) in the early stage when richness and production of mycorrhizal species and production of edible fungi were significantly lower. Fresh weight for saprotrophic and inedible species was higher than for mycorrhizal fungi in the early stage treatment. The results obtained can be useful to forest managers for optimization of management and harvesting of these increasingly appreciated non-timber resources. (C) 2011 Elsevier B.V. All rights reserved.</t>
  </si>
  <si>
    <t>Suz, Laura M.; Martin, Maria P.; Oliach, Daniel; Fischer, Christine R.; Colinas, Carlos</t>
  </si>
  <si>
    <t>Mycelial abundance and other factors related to truffle productivity in &lt;i&gt;Tuber melanosporum&lt;/i&gt;-&lt;i&gt;Quercus ilex&lt;/i&gt; orchards</t>
  </si>
  <si>
    <t>FEMS MICROBIOLOGY LETTERS</t>
  </si>
  <si>
    <t>78</t>
  </si>
  <si>
    <t>10.1111/j.1574-6968.2008.01213.x</t>
  </si>
  <si>
    <t>Relative quantification of DNA from Tuber melanosporum mycelia was performed by conventional and real-time PCR in soil from trees in three truffle orchards of different ages to determine: (1) whether burn appearance is related to the amount of T. melanosporum mycelium in soil, and (2) whether productivity onset and truffle production are related to (a) the amount of T. melanosporum mycelium in soil, (b) tree height and diameter, (c) burn extension and (d) surface rock cover. The burn seems to appear only after a certain amount of mycelium has formed. Precociously productive trees presented higher quantities of mycelium than nonproductive trees in the productivity onset study, while highly productive trees presented less quantities of mycelium than nonproductive trees in the productivity study. Trees with high but not excessive surface rock cover showed greater truffle production. Larger trees tended to display a burn earlier than smaller trees.</t>
  </si>
  <si>
    <t>WATERS, JR; MCKELVEY, KS; ZABEL, CJ; OLIVER, WW</t>
  </si>
  <si>
    <t>THE EFFECTS OF THINNING AND BROADCAST BURNING ON SPOROCARP PRODUCTION OF HYPOGEOUS FUNGI</t>
  </si>
  <si>
    <t>1516</t>
  </si>
  <si>
    <t>1522</t>
  </si>
  <si>
    <t>10.1139/x94-196</t>
  </si>
  <si>
    <t>The objectives of our study were to determine the effects of commercial thinning and broadcast burning on sporocarp production of hypogeous ectomycorrhizal (HEM) fungi. At two sites in northeastern California, Jennie Springs (JS) and Swain Mountain (SM), we compared HEM sporocarp production among units that had been heavily thinned, moderately thinned, and unthinned. At one of those sites, JS, we also compared sporocarp production between units that had been broadcast burned and units left unburned. Sporocarps were sampled in 1992, 10 years after thinning and 9 years after burning occurred at JS, and 17 years after thinning occurred at SM. Total relative frequency and biomass of sporocarps did not differ significantly among thin levels at either site, or between burn levels at JS. There was, however, significant association between thin level and frequencies of the most common genera at JS, suggesting that thinning significantly affected the composition of HEM fungi. The association between burn level and frequencies of the most common genera was also significant, but less pronounced than the association between thin level and the frequencies of common genera.</t>
  </si>
  <si>
    <t>Williams, Ryan</t>
  </si>
  <si>
    <t>The effect of eastern redcedar and prescribed burning on the soil ecosystem of the cross timbers forest</t>
  </si>
  <si>
    <t>VISSER, S</t>
  </si>
  <si>
    <t>ECTOMYCORRHIZAL FUNGAL SUCCESSION IN JACK PINE STANDS FOLLOWING WILDFIRE</t>
  </si>
  <si>
    <t>389</t>
  </si>
  <si>
    <t>401</t>
  </si>
  <si>
    <t>10.1111/j.1469-8137.1995.tb04309.x</t>
  </si>
  <si>
    <t>A study was conducted to determine if ectomycorrhizal fungi in an age sequence of jack pine (Pinus banksiana Lamb.) stands which had regenerated following wildfire disturbance followed a successional pattern. Ectomycorrhizal development and number of symbionts were assessed in the forest floor and 0-20 cm deep mineral soil in 6, 41, 65 and 122-yr-old stand by conducting a macrofungal fruit body survey and examining pine root tips microscopically for mycorrhizal status and types of fungi forming the symbiosis. The majority of roots were located in the mineral soil with no substantial invasion of the forest floor except in the 122-yr-old stand. Over 90% of the jack pine root tips were mycorrhizal and the majority of fruit bodies were produced by ectomycorrhizal species, regardless of stand age. There was no decrease in ectomycorrhizal colonization of roots with stand age. Both fruit body and root assessments revealed a distinct sequence of mycorrhizal fungi with stand age consisting of early-stage fungi [Coltricia perennis (L: Fr.) Murr., Thelephora spp., E-strain]; multi-stage fungi [Suillus brevipes (Pk.) Kuntze, Inocybe spp., Cenococcum geophilum Fr., Mycelium radicis atrovirens Melin] and late-stage fungi [Cortinarius spp., Lactarius spp., Russula spp., Tricholoma spp., Hygrophorus spp., Hydnellum peckii Banker, Suillus tomentosus (Kauff.) Sing., Snell &amp; Dick, Piloderma byssinum (Karst.) Jul. and Sarcodon scabrosus (Fr.) Karst.]. Many of the basidiomycete species fruiting above ground were detected also on the roots below ground. Fruit bodies of 50 species of ectomycorrhizal fungi were recorded while 39 distinct mycorrhizal types were identified on the roots. There was a significant increase in mycorrhizal-species richness between the 6 and 41-yr-old stands and this was primarily the result of partial replacement of Suillus brevipes on the 6-yr-old trees by late-stage fungi in the older stands. Very few species present in the 6-yr-old stand were completely replaced in the older stands; rather, the multi-stage species present in the young stand were joined by late-stage species in the mature stands. The species abundance distribution of fungi on the roots in the 6-yr old stand was best described by a geometric series which is typical of an early successional community while the distributions in the three oldest stands conformed to a lognormal series which is indicative of a stable, species rich community. Both the composition and structure of the ectomycorrhizal community had stabilized 41 yr after wildfire.</t>
  </si>
  <si>
    <t>Martín-Pinto, P; Vaquerizo, W; Peñalver, F; Olaizola, J; Oria-de-Rueda, JA</t>
  </si>
  <si>
    <t>Early effects of a wildfire on the diversity and production of fungal communities in Mediterranean vegetation types dominated by &lt;i&gt;Cistus ladanifer&lt;/i&gt; and &lt;i&gt;Pinus pinaster&lt;/i&gt; in Spain</t>
  </si>
  <si>
    <t>10.1016/j.foreco.2006.01.006</t>
  </si>
  <si>
    <t>This study examined the short-term effects of wildfire on fungal communities in two Mediterranean ecosystems in northwestern Spain, dominated by Pinus pinaster Ait. and Cistus ladanifer L., respectively. A large wildfire burned the areas on August 2002. During the autumn of 2003, fruiting bodies found in the plots were identified, and mycological richness, diversity and production in both burned and unburned areas were measured. A 50 m x 2 m transect was established in each plot.In P. pinaster plots, total fungal dry weight decreased from 35.3 kg ha(-1) in unburned plots to 1.9 kg ha-1 in burned plots, where richness, diversity of mycorrhizal species and production of edible fungi were significantly lower. Dry weight for mycorrhizal species was higher than for saprophytic fungi in the unburned treatments (75% and 25% of the total, respectively), but it was not significantly different in burned areas (56% and 44%).In C. ladanifer plots, mycorrhizal species diversity was higher than that for saprophytic species. However, diversity of total, mycorrhizal and saprophytic fungal species was significantly lower in burned plots. An overall decrease of richness was also observed in these plots. Fire significantly increased the abundance of the pyrophytic mycorrhizal species Leccinum corsicum, whereas Boletus edulis, usually associated with C. ladanifer in northwestern Spain, was not found in burned plots.Some mycorrhizal fungi associated with C. ladanifer are common to Pinus forests, so these pyrophytic shrubs can play an important role in the regeneration of P. pinaster stands after wildfire. (c) 2006 Elsevier B.V. All rights reserved.</t>
  </si>
  <si>
    <t>Smith, Joshua M.; Whiteside, Matthew D.; Jones, Melanie D.</t>
  </si>
  <si>
    <t>Rapid nitrogen loss from ectomycorrhizal pine germinants signaled by their fungal symbiont</t>
  </si>
  <si>
    <t>407</t>
  </si>
  <si>
    <t>10.1007/s00572-020-00959-7</t>
  </si>
  <si>
    <t>Ectomycorrhizal fungi supply their plant partners with nitrogen but can also retain substantial amounts. The concentration of nitrogen in the soil and the amount of carbon supplied from the host seem to influence the proportion of N retained by the fungus. In an experiment designed to determine whether differential supply of nitrogen to two plants influenced nitrogen transfer from fungus to plant within a mycorrhizal network, we observed rapid, substantial loss of nitrogen from pine seedlings. The loss occurred when the mycorrhizal fungus experienced a sudden increase in nitrogen supply. We grew Pinus contorta seedlings in association with Suillus tomentosus in low-nitrogen microcosms where some nitrogen was accessible only by hyphae. After 70 days, foliage of some seedlings was treated with nitrogen. Three days later, hyphal nutrient media were replaced with water or a solution containing nitrogen. Foliar treatment did not affect nitrogen transfer by the fungus to shoots, but by day 75, seedling nitrogen contents had dropped by 60% in microcosms where nitrogen had been added to the hyphal compartments. Those seedlings retained only 55% of the nitrogen originally present in the seed. Loss of nitrogen did not occur if water was added or the hyphae were severed. Because of the severing effect, we concluded that S. tomentosus triggered the loss of seedling nitrogen. Nitrogen may have been lost through increased root exudation or transfer to the fungus. Access to nitrogen from nutrient-rich germinants would benefit rhizosphere microorganisms, including ectomycorrhizal fungi colonizing pine from spores after wildfire.</t>
  </si>
  <si>
    <t>The dominance of &lt;i&gt;Suillus&lt;/i&gt; species in ectomycorrhizal fungal communities on &lt;i&gt;Larix gmelinii&lt;/i&gt; in a post-fire forest in the Russian Far East (November, 10.1007/s00572-020-00995-3, 2020)</t>
  </si>
  <si>
    <t>67</t>
  </si>
  <si>
    <t>10.1007/s00572-020-01004-3</t>
  </si>
  <si>
    <t>DUPLICATED</t>
  </si>
  <si>
    <t>Bowman, Elizabeth A.; Hayden, Daniel R.; Arnold, A. Elizabeth</t>
  </si>
  <si>
    <t>Fire and local factors shape ectomycorrhizal fungal communities associated with &lt;i&gt;Pinus ponderosa&lt;/i&gt; in mountains of the Madrean Sky Island Archipelago</t>
  </si>
  <si>
    <t>10.1016/j.funeco.2020.101013</t>
  </si>
  <si>
    <t>With a warming and drying climate, coniferous forests worldwide are increasingly threatened by wildfires. We examined how fire impacts ectomycorrhizal (EM) fungi associated with Pinus ponderosa, an important tree species in western North America. In the biodiverse Madrean Sky Islands, P. ponderosa forests exist on insular mountains separated by arid lands. How do EM fungi in these isolated ranges respond to fire, and can data from individual ranges predict community shifts after fire at a regional scale? By comparing areas in two ranges that experienced moderate fires 12-16 y earlier, and proximate areas in each range without recent fire, we reveal pervasive effects on diversity and composition of EM communities more than a decade after moderate fires occurred. Post fire differences in EM communities in different ranges highlight the challenge of predicting fungal community shifts in these isolated forests, despite similarities of climate, plant communities, and fire severity. (C) 2020 Elsevier Ltd and British Mycological Society. All rights reserved.</t>
  </si>
  <si>
    <t>Proposal Title: Collaborative Research: Dispersal Limitation as a Primary Factor in   &lt;br/&gt;Determining Ectomycorrhizal Community Structure   &lt;br/&gt;Institution: University of California-Berkeley   &lt;br/&gt;Abstract Date: 12/04/07   &lt;br/&gt;Ectomycorrhizal fungi are obligate mutualists with temperate forest trees such as pines,   &lt;br/&gt;oaks, aspens, and birch. These fungi provide mineral nutrients to the trees in exchange   &lt;br/&gt;for sugars, and trees require them for growth and survival. Following severe   &lt;br/&gt;disturbance such as forest fires or logging, trees need to reestablish their relationships   &lt;br/&gt;with mycorrhizal fungi in order to survive. Prior work has shown that these fungi arrive   &lt;br/&gt;in an ordered sequence, or "succession", after such disturbances. A new model is   &lt;br/&gt;proposed to explain this observed pattern through differences in spore dispersal and   &lt;br/&gt;competitive interactions among mycorrhizal fungi. Four key predictions of this model   &lt;br/&gt;concerning limitations to aerial spore dispersal and effect of tree root density on fungal   &lt;br/&gt;competition will be tested through a combination of field sampling and manipulative   &lt;br/&gt;growth-chamber experiments. The broader impacts of this work are that it will help us   &lt;br/&gt;understand an essential biotic process necessary for tree establishment, and will build a   &lt;br/&gt;foundation of basic ecological knowledge for an important group of understudied   &lt;br/&gt;organisms. Training of graduate and undergraduate students will be an important   &lt;br/&gt;component of this research. In addition this work takes advantage of its location within   &lt;br/&gt;Point Reyes National Seashore by feeding back into management decisions within the   &lt;br/&gt;park and through outreach efforts directed towards public education.   &lt;br/&gt;</t>
  </si>
  <si>
    <t>Jenkins, Martha L.; Cripps, Cathy L.; Gains-Germain, Leslie</t>
  </si>
  <si>
    <t>Scorched Earth: &lt;i&gt;Suillus&lt;/i&gt; colonization of &lt;i&gt;Pinus albicaulis&lt;/i&gt; seedlings planted in wildfire-impacted soil affects seedling biomass, foliar nutrient content, and isotope signatures</t>
  </si>
  <si>
    <t>113</t>
  </si>
  <si>
    <t>10.1007/s11104-018-3577-x</t>
  </si>
  <si>
    <t>Aims In western North America ectomycorrhizal fungi are critical to establishment of conifers in low nitrogen soils. Fire can affect both ectomycorrhizal fungi and soil properties, and inoculation with ectomycorrhizal fungi is recommended when planting on burns for restoration. The aim of this study was to examine how Suillus species used in inoculation affect whitebark pine (Pinus albicaulis L.) seedlings planted in fire-impacted soil.Methods In a greenhouse experiment, Suillus-colonized and uncolonized whitebark pine seedlings were planted in unsterilized and sterilized (control) soil from a recent burn. After 6 months, foliar nitrogen and carbon content, concentration, and stable isotope values were assessed, along with growth parameters.Results When seedlings were colonized, biomass was 61% greater, foliar nitrogen content 25% higher, foliar nitrogen concentration 30-63% lower; needles had lower delta N-15 and higher delta C-13. Differences were more pronounced in sterilized soil where colonization was higher. Foliar N content was negatively correlated with delta N-15 values.Conclusions Colonization by host-specific fungi produced larger seedlings with higher foliar nitrogen content in both burn soils. The hypothesis that ectomycorrhizal fungi on roots fractionate nitrogen isotopes leading to lower delta N-15 in needles is supported. This helps explain restoration outcomes, and bridges the gap between field and in vitro investigations.</t>
  </si>
  <si>
    <t>Dejene, Tatek; Andres Oria-de-Rueda, Juan; Martin-Pinto, Pablo</t>
  </si>
  <si>
    <t>Fungal diversity and succession under &lt;i&gt;Eucalyptus grandis&lt;/i&gt; plantations in Ethiopia</t>
  </si>
  <si>
    <t>179</t>
  </si>
  <si>
    <t>10.1016/j.foreco.2017.08.050</t>
  </si>
  <si>
    <t>In Ethiopia, plantation forestry is dominated by Eucalyptus tree species. However, there is a very limited knowledge on the associated flora, specifically any study focused on fungal flora is lacking. In this study, we investigated the fungal species diversity, composition and sporocarp production in relation to plantation age of Eucalyptus grandis stands in Southern Ethiopia. For this purpose, we surveyed nine plots (100 m(2)) established in ten-, nineteen-, and thirty-seven years old E. grandis stands. We found a total of 29 fungal taxa belonging to Basidiomycota, with the exception of Xylaria hypoxylon which is Ascomycota. All the taxa collected were saprophytic and one third of them were classified as edible. Taxa richness, species composition, the Shannon diversity values, and sporocarp yield were positively correlated with plantation age. The PERMANOVA showed that the stands are significantly different (P &lt; 0.05) in terms of their fungal species composition. An analysis of similarity percentage (SIMPER) also identified influential fungal taxa such as Lepiota aff. cristata and Marasmius sp. that best differentiated between paired stands. This preliminary study extends our knowledge of fungal community structure in plantation forests and provides a starting place in broadening Eucalyptus stands management objectives for Non Timber Forest Products (NTFPs) in the country, mainly of mushrooms that could provide complementary incomes for the rural people.</t>
  </si>
  <si>
    <t>Kennedy, Keegan H.; Maxwell, James F.; Lumyong, Saisamorn</t>
  </si>
  <si>
    <t>Fire and the production of &lt;i&gt;Astraeus odoratus&lt;/i&gt; (Basidiomycetes) sporocarps in deciduous dipterocarp-oak forests of northern Thailand</t>
  </si>
  <si>
    <t>MAEJO INTERNATIONAL JOURNAL OF SCIENCE AND TECHNOLOGY</t>
  </si>
  <si>
    <t>The genus Astraeus (Diplocystidiaceae) forms ectomycorrhizal associations with many tree species and is a common gasteromycete in tropical and temperate ecosystems worldwide. In Thailand, Astraeus is most prevalent in deciduous dipterocarpoak forest (DOF) in the north and north-east and its ecology is uniquely associated with fire. Rural villagers often burn the seasonally dry DOF ground vegetation causing significant environmental disturbance to promote the growth of Astraeus sporocraps-a local culinary delicacy and important source of household income. The purpose of this work is to investigate whether the practice of burning DOF stimulates the production of Astraeus sporocarps in DOF. Burned and unburned Astraeus habitat was surveyed over two years at two sites in Chiang Mai province and one site in Mae Hong Son province. Changes in soil fungi after a fire as well as vascular vegetation growing with Astraeus were studied. All sporocarps collected were identified as Astraeus odoratus. Astraeus sporocarps were found in both burned and unburned areas in 2010. In 2011, an unusually wet year, no sporocarps were found in burned or unburned areas. The top 2 cm of soil experienced high temperatures which killed fungi, but lower depths were well insulated from the heat. A wide range of vascular flora grew in Astraeus habitat, the most common tree species being Dipterocarpus tuberculatus var. tuberculatus and Dipterocarpus obtusifolius var. obtusifolius. This study shows that Astraeus can produce sporocarps without fire and future work can focus on more environmentally benign methods of harvesting this popular mushroom.</t>
  </si>
  <si>
    <t>De Roman, M; De Miguel, AM</t>
  </si>
  <si>
    <t>Post-fire dynamics of the ectomycorrhizal community in a &lt;i&gt;Quercus ilex&lt;/i&gt; subsp &lt;i&gt;ballota&lt;/i&gt; forest</t>
  </si>
  <si>
    <t>This study aims at comparing the percentage of ectomycorrhizal colonization and the diversity and abundance of ectomycorrhizal morphotypes occurring in a burned area and in an adjacent unburned late-successional site in a Quercus ilex L. subsp. ballota (Desf) Samp. forest located in Navarra (NE Spain) and burned in 1993. The percentages of ectomycorrhizal colonization tended to be lower after wildfire, but there was no relation between the percentage of mycorrhization and the time of the year in which the sampling was done. The study of the ectomycorrhizal diversity has yielded a total of 33 described morphotypes, of which 12 have been identified. Most morphotypes occurred in the burned and in the unburned study sites, although their abundance differs between the two sites. Nevertheless, there were some species of mycorrhizal fungi which seemed to be particularly adapted to fire, due either to their ability to colonize disturbed areas, such as Pisolithus tinctorius or Sphaerosporella brunnea, or to their resistance to adverse environmental conditions, such as Cenococcum geophilum or the tomentelloid morphotypes. These species could be used to mycorrhize the plantlets in reforestation projects.</t>
  </si>
  <si>
    <t>Enrique Angeles-Argaiz, Rodolfo; Flores-Garcia, Andres; Ulloa, Miguel; Garibay-Orijel, Roberto</t>
  </si>
  <si>
    <t>Commercial &lt;i&gt;Sphagnum&lt;/i&gt; peat moss is a vector for exotic ectomycorrhizal mushrooms</t>
  </si>
  <si>
    <t>BIOLOGICAL INVASIONS</t>
  </si>
  <si>
    <t>101</t>
  </si>
  <si>
    <t>10.1007/s10530-015-0992-2</t>
  </si>
  <si>
    <t>Sphagnum peat moss is one of the most commonly used substrates for forest plant and houseplant production. It is extracted from peat bogs in the circumboreal region and exported worldwide. Commercial peat moss is pasteurized, and is therefore believed to be free of viable ectomycorrhizal propagules. We used a bioassay with Pinus montezumae to demonstrate that commercial peat moss carries viable ectomycorrhizal spores, able to form mycorrhizae. Ectomycorrhizal fungi on seedling root-tips were sequenced for phylogenetic analyses using the ITS rDNA barcode region. We found three species: Suillus brevipes, Sphaerosporella brunnea, and Thelephora terrestris. S. brevipes and T. terrestris were found as viable inoculum transported in the peat moss, while S. brunnea was a greenhouse contaminant. S. brevipes and T. terrestris have biological characteristics (such as heat resistant and long living spores) that facilitate their survival to the extraction, transport, and storage processes of peat moss. This allows them to colonize nursery seedlings and to become potential invasive species in plantation areas. S. brevipes and T. terrestris are two of the most introduced fungi by anthropic activities; it has been argued that the vehicle for the introductions are their pine symbionts. This is the first time it has been demonstrated that peat moss is an important vehicle for the introduction of these fungi; a fact potentially related to the pattern of introduction of these ectomycorrhizal species from the northern hemisphere to elsewhere in the world.</t>
  </si>
  <si>
    <t>Semenova-Nelsen, Tatiana A.; Platt, William J.; Patterson, Taylor R.; Huffman, Jean; Sikes, Benjamin A.</t>
  </si>
  <si>
    <t>Frequent fire reorganizes fungal communities and slows decomposition across a heterogeneous pine savanna landscape</t>
  </si>
  <si>
    <t>916</t>
  </si>
  <si>
    <t>927</t>
  </si>
  <si>
    <t>10.1111/nph.16096</t>
  </si>
  <si>
    <t>Pyrogenic savannas with a tree-grassland 'matrix' experience frequent fires (i.e. every 1-3 yr). Aboveground responses to frequent fires have been well studied, but responses of fungal litter decomposers, which directly affect fuels, remain poorly known. We hypothesized that each fire reorganizes belowground communities and slows litter decomposition, thereby influencing savanna fuel dynamics. In a pine savanna, we established patches near and away from pines that were either burned or unburned in that year. Within patches, we assessed fungal communities and microbial decomposition of newly deposited litter. Soil variables and plant communities were also assessed as proximate drivers of fungal communities. Fungal communities, but not soil variables or vegetation, differed substantially between burned and unburned patches. Saprotrophic fungi dominated in unburned patches but decreased in richness and relative abundance after fire. Differences in fungal communities with fire were greater in litter than in soils, but unaffected by pine proximity. Litter decomposed more slowly in burned than in unburned patches. Fires drive shifts between fire-adapted and sensitive fungal taxa in pine savannas. Slower fuel decomposition in accordance with saprotroph declines should enhance fuel accumulation and could impact future fire characteristics. Thus, fire reorganization of fungal communities may enhance persistence of these fire-adapted ecosystems.</t>
  </si>
  <si>
    <t>Robinson, Richard M.; Williams, Matthew R.</t>
  </si>
  <si>
    <t>FORESTCHECK: the response of epigeous macrofungi to silviculture in jarrah (&lt;i&gt;Eucalyptus marginata&lt;/i&gt;) forest</t>
  </si>
  <si>
    <t>AUSTRALIAN FORESTRY</t>
  </si>
  <si>
    <t>288</t>
  </si>
  <si>
    <t>10.1080/00049158.2011.10676373</t>
  </si>
  <si>
    <t>Species richness, abundance and composition of epigeous macrofungi were monitored at 48 grids across four jarrah (Eucalyptus marginata) forest ecosystems in south-west Western Australia as part of an integrated monitoring project to examine responses to different timber harvesting and regeneration treatments. Forest that had never been harvested or had not been harvested for over 40 years was used as a reference, and compared to forest that had undergone shelterwood/selective cutting and gap release treatment after 1988. Silvicultural treatment also included post-harvest burning. All epigeous species of macrofungi and their abundance were recorded from autumn surveys at each grid. A total of 450 species were recorded. Overall mean species richness and abundance was similar but the composition of species assemblages contributing to macrofungal communities differed significantly between silvicultural treatments and reference forest. Sixty-nine species were restricted to reference forest while 35 were restricted to shelterwood/selective cut and 62 to gap release treatment. In all treatments, the overall mean number of species per grid recorded fruiting on soil was 2-4 times higher than that recorded on litter or wood. Species richness of sporophores recorded on both soil and litter was similar for all treatments, but was significantly lower on wood in reference forest compared to the gap release treatment. Mean sporophore abundance was significantly higher on litter and lower on wood in reference forest compared with silviculturally treated forest. Because fire is an integral part of jarrah forest silviculture, it was not possible to separate the singular effect that either tree removal or fire had on macrofungal communities. However, in different time-since-treatment classes the overall composition of species assemblages was different, but species richness and abundance for each silvicultural treatment were similar. Each forest ecosystem supported its own unique fungal community, which supports the concept of ecosystems in jarrah forest based on forest structure and understory vegetation resulting from variation in climate, soils and landforms. Current conservation policy and silviculture practice in jarrah forest produces a landscape mosaic containing early succession stands through to mature forest across the landscape, which is important for the maintenance of fungal biodiversity. Much of the fungal population in jarrah forest, however, remains unknown and only a long-term commitment to survey and monitoring will improve knowledge on the diversity and ecology of these important organisms and ensure their consideration in future management decisions.</t>
  </si>
  <si>
    <t>Korb, JE; Johnson, NC; Covington, WW</t>
  </si>
  <si>
    <t>Arbuscular mycorrhizal propagule densities respond rapidly to ponderosa pine restoration treatments</t>
  </si>
  <si>
    <t>10.1046/j.1365-2664.2003.00781.x</t>
  </si>
  <si>
    <t>1. Mycorrhizae form a critical link between above-ground plants and the soil system by influencing plant nutrition, nutrient cycling and soil structure. Understanding how mycorrhizae respond to disturbances may lead to important advances in interpreting above-ground plant recovery.2. The inoculum potential for arbuscular mycorrhizae (AM) and ectomycorrhizal (EM) fungi was investigated in thinned-only, thinned and prescribed burned (both restoration treatments) and unthinned and unburned control stands in northern Arizona ponderosa pine forests. The relationships between mycorrhizal fungal propagule densities and plant community and soil properties were quantified.3. The relative amount of infective propagules of AM fungi was significantly higher in samples collected from both restoration treatments than their paired controls (unthinned and unburned stands). In contrast, the same restoration treatments had no significant effect on the relative amount of infective propagules of EM fungi.4. The relative amount of infective propagules of AM fungi was significantly positively correlated with graminoid cover and herbaceous understorey species richness and negatively correlated with overstorey tree canopy cover and litter cover.5. Synthesis and applications . These results indicate that population densities of AM fungi can rapidly increase following restoration treatments in northern Arizona ponderosa pine forests. This has important implications for restoring the herbaceous understorey of these forests because most understorey plants depend on AM associations for normal growth. These results also can be applied to other ecosystems that are in a state of restoration or where the role of fire is just beginning to be understood.</t>
  </si>
  <si>
    <t>Ectomycorrhizae of Table Mountain Pine (Pinus pungens)</t>
  </si>
  <si>
    <t>Phytopathology</t>
  </si>
  <si>
    <t>S21</t>
  </si>
  <si>
    <t>Kutorga, Ernestas; Adamonyte, Grazina; Irsenaite, Reda; Juzenas, Sigitas; Kasparavicius, Jonas; Markovskaja, Svetlana; Motiejunaite, Jurga; Treigiene, Ausra</t>
  </si>
  <si>
    <t>Wildfire and post-fire management effects on early fungal succession in &lt;i&gt;Pinus mugo&lt;/i&gt; plantations, located in Curonian Spit (Lithuania)</t>
  </si>
  <si>
    <t>10.1016/j.geoderma.2012.02.007</t>
  </si>
  <si>
    <t>The objective of this study was to evaluate the effects of wildfire and subsequent forest management on the diversity and functional community structure of fungi during early stage of succession in the coastal sand dunes of the Curonian Spit in Lithuania. 12 permanent study plots were established in multiple forest areas: burnt, not managed (B); burnt, clear-cut (C); burnt, clear-cut and reforested (R) and unburnt (U). During three years of the study, a total of 390 different fungal species were determined. The overall number of recorded species in studied post-fire variants comprised 52% (B), 41% (C) and 48% (R) of unburnt sites (U, 261 species). Significantly different species compositions were registered between C and B plots, while no difference was observed between C and R plots. Fungal communities of all burnt sites showed more significant differences stemming from annual changes rather than from types of forest management. Early succession of the post-fire fungal communities maintained the fungi from all defined taxonomical and functional groups. However, a certain alteration within some fungal life styles was observed. The wildfire has negatively impacted the lichens and the mycorrhizal species, as the percentages of these groups decreased from 15% and 12% in U plots to 10% and 3% in B plots. Wood saprobic fungi and soil saprobes were affected negatively by harvesting of the burnt trees that reduced their percentage from 38% and 8% in B plots to 27% and 4% in C plots. Soil-associated fungi were less affected both by fire and post-fire management than the fungi inhabiting above-ground substrates. The percentage of soil-associated fungi initially increased in the burnt sites, but two years after the fire it returned to the pre-fire level. No significant effect on soil-inhabiting fungi was noted for the differently managed post-fire sites. (C) 2012 Elsevier B.V. All rights reserved.</t>
  </si>
  <si>
    <t>Chaudhry, T. M.; Khan, A. G.</t>
  </si>
  <si>
    <t>Role of symbiotic micro-organisms in sustainable plant growth on heavy metal contaminated industrial sites.</t>
  </si>
  <si>
    <t>Biotechnology of microbes and sustainable utilization</t>
  </si>
  <si>
    <t>270</t>
  </si>
  <si>
    <t>Pollution of the environment with toxic materials from fossil burning, mining and smelting of metalliferous ores, disposal of sewage, fertilizers and pesticides has increased dramatically since the onset of the industrial revolution. Of most commonly used methods of cleaning such contaminated sites is excavation and burial. Recently, however, the role of plants (phytoextraction) and their associated microbes for environmental clean-up has been pursed. But, knowledge of suitable plants is lacking and we know very little about the role symbiotic bacteria and fungi adapted to heavy metals play in phytoremediation. This paper reports the occurrence of plants, and their symbiotic associations with soil microbes, at heavy metal contaminated abandoned mine sites in New South Wales, Australia. Knowledge of suitable plants that might be used for phytoremediation of heavy metal contaminated soil is lacking. Furthermore, since metal uptake and tolerance depend on both plant and soil factors, we also require information on plant-soil interactions. The plants growing on contaminated soils are normally slow growing producing a small biomass but they accumulate heavy metals in their tissues lowering the quantity and controlling the migration of heavy metals through the soil profile. Symbiotic bacteria and fungi adapted to heavy metal can be utilized to enhance the growth of such plants. At the contaminated site species richness was poor. Roots of all the plants surveyed possessed mycorrhizal infections. On the mine tailings, species of Baeckea utilis, Poa labillardieri, Lomandra longifolia, Acacia melanoxylon, Eucalyptus dalrympleana and cultivated Pinus were the most abundant plants. Roots of A. melanoxylon possessed dual symbioses, i.e., arbuscular mycorrhizas and nitrogen fixing rhizobial nodules, whereas roots of E. dalrympleana possessed both ectomycorrhizas and arbuscular mycorrhizas. Significance of these plants and their symbionts in phytoremediation and preserving the biodiversity and physical structure of the contaminated soils is also discussed.</t>
  </si>
  <si>
    <t>Sanchez, Sergio; Agreda, Teresa; Agueda, Beatriz; Martin, Maria; Maria de Miguel, Ana; Barriuso, Juan</t>
  </si>
  <si>
    <t>Persistence and detection of black truffle ectomycorrhizas in plantations: comparison between two field detection methods</t>
  </si>
  <si>
    <t>S39</t>
  </si>
  <si>
    <t>S46</t>
  </si>
  <si>
    <t>10.1007/s00572-014-0560-0</t>
  </si>
  <si>
    <t>Owners of black truffle (Tuber melanosporum) plantations are concerned about the persistence of its mycorrhizas and mycelium in the soil, especially until the appearance of the "truffle burn" areas and the triggering of sporocarp production, at least 5-7 years after planting truffle-inoculated seedlings. During this period, the farmer does not know whether his management is promoting black truffle development. To study the presence and abundance of T. melanosporum ectomycorrhizas in plantations, two sampling methods, direct sampling of root tips and soil core collection, are compared by analyzing 48 evergreen oak trees (Quercus ilex) inoculated with truffle. Those trees are grouped by age (&lt; 6, 6-9, &gt; 9 years old) and presence or absence of truffle production. T. melanosporum was present in 46 out of the 48 studied trees, and its ectomycorrhizas appeared in 65 % of the ectomycorrhizal tips. Its abundance is significantly higher with productive trees and young trees. Direct sampling of root tips and soil core collection were equally effective in detecting this species, although soil core collection proved a better method to also evaluate ectomycorrhizal fungal diversity. To detect the presence of T. melanosporum in a given plantation, three samples suffice, with a single sample per random tree. Although the presence of mycorrhizas is not a sure sign of the future success of a black truffle plantation, its absence influences managers as to whether to continue culturing truffles in a plantation.</t>
  </si>
  <si>
    <t>Hughes, Karen W.; Case, Alexis; Matheny, P. Brandon; Kivlin, Stephanie; Petersen, Ronald H.; Miller, Andrew N.; Iturriaga, Teresa</t>
  </si>
  <si>
    <t>Secret lifestyles of pyrophilous fungi in the genus &lt;i&gt;Sphaerosporella&lt;/i&gt;</t>
  </si>
  <si>
    <t>AMERICAN JOURNAL OF BOTANY</t>
  </si>
  <si>
    <t>876</t>
  </si>
  <si>
    <t>885</t>
  </si>
  <si>
    <t>10.1002/ajb2.1482</t>
  </si>
  <si>
    <t>Premise Pyrophilous fungi form aboveground fruiting structures (ascocarps) following wildfires, but their ecology, natural history, and life cycles in the absence of wildfires are largely unknown. Sphaerosporella is considered to be pyrophilous. This study explores Sphaerosporella ascocarp appearance following a rare 2016 wildfire in the Great Smoky Mountains National Park (GSMNP), compares the timing of ascocarp formation with recovery of Sphaerosporella DNA sequences in soils, and explores the association of Sphaerosporella with post-fire Table Mountain pine (Pinus pungens) seedlings.Methods Burned sites in the GSMNP were surveyed for pyrophilous fungal ascocarps over 2 years. Ascocarps, mycorrhizae, and endophyte cultures were evaluated morphologically and by Sanger sequencing of the nuclear ribosomal ITS gene region (fungal barcode; Schoch et al., 2012). DNA from soil cores was subjected to Illumina sequencing.Results The timing and location of post-fire Sphaerosporella ascocarp formation was correlated with recovery of Sphaerosporella DNA sequences in soils. Genetic markers (fungal barcode) of Sphaerosporella were also recovered from mycorrhizal root tips and endophyte cultures from seedlings of Pinus pungens.Conclusions This study demonstrates that Sphaerosporella species, in the absence of fire, are biotrophic, forming both mycorrhizal and endophytic associations with developing Pinus pungens seedlings and may persist in nature in the absence of wildfire as a conifer symbiont. We speculate that Sphaerosporella may fruit only after the host plant is damaged or destroyed and that after wildfires, deep roots, needle endophytes, or heat-resistant spores could serve as a source of soil mycelium.</t>
  </si>
  <si>
    <t>Causes and Consequences of Succession in Mycorrhizal Fungus Communities</t>
  </si>
  <si>
    <t>Mycorrhizal fungi are ubiquitous and influential symbionts of most terrestrial plants, and their communities have been observed to replace each other over time in predictable successional order. Ecologists have no understanding how successional suites of mycorrhizal fungi differ functionally or how changes in functional traits relate to effects of mycorrhizae on plants.  Changes in the conditions of such an important symbiosis must have broad consequences for plant community and ecosystem-level dynamics. Thus, establishing an experimental and theoretical basis for understanding consequences and causes of trait variation in distinct, successional mycorrhizal communities is the central theme of the work proposed.&lt;br/&gt;&lt;br/&gt;Coastal California pine forests harbor the best-studied examples of mycorrhizal succession in the world. In them a very different suite of mycorrhizal species colonize seedlings in burned areas and open dunes compared to mature forest settings, where seedlings are linked to adult trees in common mycorrhizal networks (CMNs). Experiments have shown that recruiting seedlings in forests respond very differently to these two guilds of mycorrhizal fungi; however, ecologists do not understand why these ectomycorrhizal fungal communities change over time, or how successive functional traits of successive fungi relate to their effects on plants.  Growth chamber experiments, along with the results of a three-year field experiment in a coastal California Monterey pine (Pinus radiata) forest, wil establish  differences in the mechanisms by which early- and late-stage fungi influence seedling performance in the forest understorey.&lt;br/&gt;&lt;br/&gt;The proposed work will have broad implications for conservation and silviculture. In its native range of California and Mexico, Monterey pine is limited to five small populations, some of which are at risk of extinction. Outside this range, it is one of the most widely planted timber species in the world, covering millions of acres on multiple continents. As an exotic, it is both a valuable commodity that preempts the need to harvest native timber and an aggressive invader, often naturalizing in ecosystems. Three undergraduate students, a graduate student and a postdoctoral research will receive research training as part of this research. &lt;br/&gt;</t>
  </si>
  <si>
    <t>Project proposal</t>
  </si>
  <si>
    <t>Luoma, DL; Eberhart, J</t>
  </si>
  <si>
    <t>Results from green-tree retention experiments: Ectomycorrhizal fungi</t>
  </si>
  <si>
    <t>BALANCING ECOSYSTEM VALUES: INNOVATIVE EXPERIMENTS FOR SUSTAINABLE FORESTRY</t>
  </si>
  <si>
    <t>264</t>
  </si>
  <si>
    <t>The ecosystem effects of natural disturbances differ dramatically from those engendered by even-aged management practices that emphasize commodity production. Because forest management activities can reduce ectomycorrhizal (EM) fungus diversity and forest regeneration success, management approaches are needed to sustain these essential forests organisms. We present selected results from experiments that test biodiversity assumptions behind current guidelines for ecosystem management. We examine contrasts in structural retention as they affect biodiversity and sporocarp production of EM fungi-a functional guild of organisms well suited as indicators of disturbance effects on below-ground ecosystems.Overstory removal significantly reduced EMF sporocarp production but, in contrast to the initial hypothesis, the effects were not always proportional to basal area retained. The effect of spatial pattern of retention varied between retention levels and mushroom and truffle sporocarp groups. Management implications include the need to address the conservation of rare truffle and mushroom species in a manner that recognizes their different responses to forest disturbance. We also raise the hypothesis that fire suppression may favor mushroom production over truffle production. Because fire seems to be important in the reproductive evolution of EMF, our results also add further impetus to the development of management plans that seek to restore forest health from the effects of decades of fire suppression.Experimental results suggest using dispersed green-tree retention in combination with aggregated retention to maintain sporocarp production. Such a mix ameliorates disturbance effects and may maintain higher levels of sporocarp production in the aggregates by reducing edge effects. It remains unclear how short-term reductions in sporocarp abundance will affect EM fungus populations for future forests. After disturbance, spores are a form of legacy and key to enabling adaptations by other species in the face of environmental change. Long-term silvicultural experiments are essential for monitoring trends in the EM fungus community.</t>
  </si>
  <si>
    <t>Owen, Suzanne Marie</t>
  </si>
  <si>
    <t>Tree Regeneration Following Large Wildfires in Southwestern Ponderosa Pine Forests</t>
  </si>
  <si>
    <t>Dissertation</t>
  </si>
  <si>
    <t>Adriaensen, Kristin; Vangronsveld, Jaco; Colpaert, Jan V.</t>
  </si>
  <si>
    <t>Zinc-tolerant &lt;i&gt;Suillus bovinus&lt;/i&gt; improves growth of Zn-exposed &lt;i&gt;Pinus sylvestris&lt;/i&gt; seedlings</t>
  </si>
  <si>
    <t>553</t>
  </si>
  <si>
    <t>10.1007/s00572-006-0072-7</t>
  </si>
  <si>
    <t>Scots pine (Pinus sylvestris L.) seedlings inoculated or not (NM) by a Zn-sensitive or a Zn-tolerant isolate of the ectomycorrhizal fungus Suillus bovinus (L. Fr.) Roussel were exposed to 0.1 or 150 mu M Zn2+ for 9 months. We hypothesized that inoculation with a Zn-tolerant S. bovinus isolate should result in added Zn resistance of the host plant. Plant and fungal growth as well as nutrient profiles and photosynthetic pigments in pine needles were quantified. In NM plants and in plants colonized by the Zn-sensitive isolate, plant growth, N, P, Mg and Fe assimilation were strongly inhibited under Zn stress and concurred with significantly reduced chlorophyll concentrations. In contrast, plants colonized by the Zn-tolerant isolate grew much better and remained physiologically healthier when exposed to elevated Zn. These results provide further evidence for the important role metal-adapted mycorrhizal fungi play as an effective biological barrier against metal toxicity in trees.</t>
  </si>
  <si>
    <t>Oliver, Alena K.; Callaham, Mac A., Jr.; Jumpponen, Ari</t>
  </si>
  <si>
    <t>Soil fungal communities respond compositionally to recurring frequent prescribed burning in a managed southeastern US forest ecosystem</t>
  </si>
  <si>
    <t>9</t>
  </si>
  <si>
    <t>10.1016/j.foreco.2015.02.020</t>
  </si>
  <si>
    <t>Prescribed fire is an important management tool to reduce fuel loads, to remove non-fire adapted species and to sustain fire-adapted taxa in many forested ecosystems of the southeastern USA. Yet, the long-term effects of recurring prescribed fires on soil fungi and their communities in these ecosystems remain unclear. We Illumina MiSeq sequenced and analyzed fungal Internal Transcribed Spacer (ITS2) amplicons from a long-term prescribed burn experiment that has implemented different regimes for nearly a quarter century to evaluate the effects of differing prescribed fire intervals and the season of their implementation on soil-inhabiting fungal communities. Unburned plots were used as a reference to represent the compositional state resulting from fire suppression. Our data show that while the recurring burning or the season of the prescribed burning do not affect richness and diversity of the fungal communities, the frequent (two and three year interval) fires maintain a fire-adapted community that is distinct from those in unburned reference plots. Subsequent indicator taxon analyses identified a total of 37 Operational Taxonomic Units (OTUs) that were more frequent in the frequently implemented burns and 26 OTUs that were more frequent in the fire suppressed treatment. We conclude that frequent prescribed burning maintains fire selected soil fungal communities that may support plant communities that are composed of desired fire adapted or fire tolerant species that dominate the frequently burned areas. (C) 2015 Elsevier B.V. All rights reserved.</t>
  </si>
  <si>
    <t>Sedia, EG; Ehrenfeld, JG</t>
  </si>
  <si>
    <t>Lichens and mosses promote alternate stable plant communities in the New Jersey Pinelands</t>
  </si>
  <si>
    <t>OIKOS</t>
  </si>
  <si>
    <t>458</t>
  </si>
  <si>
    <t>10.1034/j.1600-0706.2003.12058.x</t>
  </si>
  <si>
    <t>Severely burned areas in the pitch pine-dominated forests of the New Jersey Pinelands may remain open and only vegetated with mats of lichens and mosses and sparse, scattered vascular plants for many decades. We hypothesize that climate-driven alternation between moss and lichen domination of the cryptogam mats may foster and inhibit, respectively, vascular plant development. We propose that these processes are mediated by the inhibitory effects of lichens oil seed germination and seedling establishment versus a facilitating effect of mosses. We tested the hypothesis by 1) detailed surveys of the composition of cryptogam mats and their association with vascular plants, 2) experimental studies of the effects Of tissue leachates on seed germination, 3) observations of mycorrhizal infection in field-collected plants, and 4) experimental tests of seedling emergence from mats. Lichen dominance ill the mats was correlated with low densities of vascular plants (graminoids and cricoid Shrubs), thin organic horizons on the soil, and high levels of light availability; moss dominance was correlated with higher vascular plant densities, thicker organic horizons, and lower light. Tissue extracts of lichens strongly inhibited seed germination, while moss extracts had no effect. Similarly, mycorrhizal infection by both ecto- and endomycorrhizae was lower in plants growing within lichen mats than ill moss trials or in bare soil. However, thick mats of both types of cryptogam inhibited seedling emergence. We observed that moss-dominated patches became overgrown with lichens during a series of very dry, hot summers during the Study. These observations all support the hypothesis that fluctuating warm and dry versus cool and moist conditions allow alternative stable states (open cryptogam mats vs succession to pine forest) to develop.</t>
  </si>
  <si>
    <t>Carpenter, Dana O.</t>
  </si>
  <si>
    <t>Long-Term Fire Exclusion Weakens the Resistance of Fire-Adapted Southern Appalachian Forests to Wildfire</t>
  </si>
  <si>
    <t>Johnson, Michael G.</t>
  </si>
  <si>
    <t>Long-term dynamics of snags, logs, and their fungal communities in southwestern ponderosa pine forests</t>
  </si>
  <si>
    <t>Peddle, DR; Johnson, RL; Cihlar, J; Latifovic, R</t>
  </si>
  <si>
    <t>Large area forest classification and biophysical parameter estimation using the 5-Scale canopy reflectance model in Multiple-Forward-Mode</t>
  </si>
  <si>
    <t>REMOTE SENSING OF ENVIRONMENT</t>
  </si>
  <si>
    <t>252</t>
  </si>
  <si>
    <t>10.1016/j.rse.2002.08.001</t>
  </si>
  <si>
    <t>The Multiple-Forward-Mode approach to running the 5-Scale geometric-optical reflectance model (MFM-5-Scale) provides an inversion modeling capability for powerful but non-invertible models, and yields both landcover classification and forest biophysical-structural information that is important in global change projects such as BOREAS. Unlike regular forward mode, MFM-5-Scale does not require exact physical stand descriptors, but instead requires only input ranges and model increments that are easily obtained, with results determined by matching satellite image data with modeled reflectance values as stored in a look-up table. In this work, MFM-5-Scale was applied to a mosaic of seven multi-year (1991-1998) Landsat TM scenes covering the BOREAS region in western Canada, with results validated against field data and also compared with the Enhancement Classification Method (ECM), a highly accurate yet subjective and labour intensive approach which involves considerable user judgement and expertise. The goal was to approach ECM accuracy using MFM-5-Scale, but without the subjectivity of ECM. Classifications of 13 forest classes including deciduous and species-specific coniferous classes subdivided into low, medium and high crown densities as well as a mixed forest class were evaluated against 136 field checked validation sites. Overall classification accuracies were 91% for ECM and 85% for MFM-5-Scale. Additional assessments of agreement between the MFM-5-Scale and ECM products were also performed over larger sample areas. MFM-5-Scale classification of a full set of 25 forest and non-forest classes adhering to Global Observation of Forest Cover (GOFC) specifications was in 80% agreement with the ECM product (n = 11,442). This is viewed as a significant result given the ambitious and detailed nature of the classes considered (21 forest classes comprising 12 species and density specific conifer and deciduous classes, four mixed forest classes and five burnt forest classes, as well as four non-forest classes). The two products were also in 94% agreement for 6 forest density classes (it = 3730). MFM-5-Scale biophysical analysis of 63 BOREAS plots showed LAI was estimated within +/- 0.53 LAI compared with ground-based TRAC LAI validation data (biophysical information is not provided by ECM). These results represent significant progress towards defining an operational landcover and biophysical estimation approach given the objective, semi-automated nature of MFM-5-Scale physical scene modeling compared to subjective, user-driven methods such as ECM. (C) 2003 Elsevier Inc. All rights reserved.</t>
  </si>
  <si>
    <t>Baar, J; Horton, TR; Kretzer, AM; Bruns, TD</t>
  </si>
  <si>
    <t>Mycorrhizal colonization of &lt;i&gt;Pinus muricata&lt;/i&gt; from resistant propagules after a stand-replacing wildfire</t>
  </si>
  <si>
    <t>418</t>
  </si>
  <si>
    <t>10.1046/j.1469-8137.1999.00452.x</t>
  </si>
  <si>
    <t>Colonization of mycorrhizal fungi was studied in a Pinus muricata forest on the coast in California, USA, burned by a stand-replacing wildfire in October 1995. Naturally established field seedlings of P. muricata were harvested 1 yr after the fire. The species composition of the mycorrhizal fungi on these field seedlings was dominated by Rhizopogon species, Wilcoxina mikolae and Tomentella sublilacina. Bioassays, set up with soil collected immediately after the fire, were used to determine which mycorrhizal species had colonized the burned area from resistant propagules. The P. muricata seedlings in these bioassays were dominated by suilloid and ascomycetous fungi, the same fungi which dominated the mycorrhizal flora of seedlings in pre-fire bioassays derived from the same forest site, suggesting that resistant propagules were the primary inoculum source for naturally establishing seedlings. Drying of post-fire soil for 1 month raised the number of bioassay seedlings associated with Rhizopogon olivaceotinctus, while the number of bioassay seedlings associated with Rhizopogon ochraceorubens was reduced. Fire appeared to have either stimulated or provided a competitive advantage to R. olivaceotinctus, which increased in abundance on the post-fire bioassay and field seedlings. Soil collected from the burned area was diluted with sterile soil in three different concentrations, and the number and frequency of mycorrhizal taxa on bioassay seedlings decreased with increased dilution. Although precise quantification was not possible, propagules of the Rhizopogon species were much more abundant than those of Tomentella or Wilcoxina species. Differences between the mycorrhizal associates of bioassay seedlings, naturally regenerated seedlings, and different inoculum sources are discussed.</t>
  </si>
  <si>
    <t>Mullin, Brady C.; Tuininga, Amy R.; Dighton, John; Van Horn, Meghan M.; Huskins, Rebecca E.; Vargas, Alan M.</t>
  </si>
  <si>
    <t>Ericaceous control of phosphorus availability following fire: interactions between ectomycorrhizal pitch pine (Pinus rigida) and ericoid mycorrhizal blueberry plants (Vaccinium angustifolium).</t>
  </si>
  <si>
    <t>Meers, Trevor L.; Enright, Neal J.; Bell, Tina L.; Kasel, Sabine</t>
  </si>
  <si>
    <t>Deforestation strongly affects soil seed banks in eucalypt forests: Generalisations in functional traits and implications for restoration</t>
  </si>
  <si>
    <t>94</t>
  </si>
  <si>
    <t>107</t>
  </si>
  <si>
    <t>10.1016/j.foreco.2011.11.004</t>
  </si>
  <si>
    <t>We examined the potential role of the soil seed bank in restoration of an open eucalypt forest community following land-use change involving clearing of native eucalypt forest for grazing and subsequent abandonment, and for establishment of Pinus radiata plantation. We used plant functional traits responsive to disturbance and other traits associated with the capacity to re-colonise and form persistent seed banks as a means of assessing the effects of land-use change on soil seed banks. The soil seed bank and corresponding extant vegetation was surveyed within four replicated paired sites of fragmented native forest and abandoned farmland, and native forest and pine plantation. There was a significant difference in the composition of the soil seed bank for both land-use changes. Non-metric Multi-dimensional Scaling of plant attributes showed a clear separation of samples according to land-use type and between seed bank and extant vegetation. Cluster analysis of plant functional traits produced eight emergent groups. Phanerophytes were classified as either Ant-dispersed shrubs and herbs, Ericoid heaths or Eucalypts, perennial herbs were either Vertebrate-dispersed species, Barochorous annuals and herbs or Small-seeded hemicryptophytes and the remaining species were Wind-dispersed species or Small-seeded annuals. Small-seeded annuals dominated the soil seed banks and native phanerophytes with low specific leaf area, resprouting, ant-dispersal, large seed, and ericoid mycorrhizal and ectomycorrhizal associations formed a minor component of the soil seed bank for all land-use types. Sorensen Similarity between the vegetation and soil seed bank was low across all land-use types and was explained by the dominance of annuals in the soil seed bank and perennial species in the extant vegetation. Indicator species analysis revealed an increase in Wind-dispersed species, Barochorous species and Small-seeded annuals in the soil seed bank relative to extant vegetation. Trait associations include a therophyte life form (of predominantly introduced species) with high specific leaf area, small round seed, a seeder fire response, and arbuscular or non-mycorrhizal associations. Underlying axes in trait variation indicate seed banks were dominated by traits associated with the rapid acquisition of resources or the ability to respond rapidly to disturbance that provided for large and persistent stores of introduced ruderal species. In contrast, species excluded from the seed bank shared traits associated with the conservation of resources or ability to withstand environmental stress and were typical of native phanerophytes. These generalisable patterns in plant traits make it unlikely that eucalypt communities can be restored from the native soil seed bank alone. (C) 2011 Elsevier B.V. All rights reserved.</t>
  </si>
  <si>
    <t>Craig, Ashley (Anjel)</t>
  </si>
  <si>
    <t>The Fungal Connection: Characterizing the Ectomycorrhizal Community and Belowground Response to Restoration Treatments in Northern Mississippi</t>
  </si>
  <si>
    <t>Master Thesis</t>
  </si>
  <si>
    <t>OHALLORAN, KA; BLAIR, RM; ALCANIZ, R; MORRIS, HF</t>
  </si>
  <si>
    <t>PRESCRIBED BURNING EFFECTS ON PRODUCTION AND NUTRIENT COMPOSITION OF FLESHY FUNGI</t>
  </si>
  <si>
    <t>JOURNAL OF WILDLIFE MANAGEMENT</t>
  </si>
  <si>
    <t>10.2307/3801665</t>
  </si>
  <si>
    <t>The influence of prescribed burning on production and nutrient quality of fleshly fungi were studied on 4 areas burned in March 1981 and 4 unburned control areas in an eastern Texas pine (Pinus spp.)-hardwood forest. Fleshly fungi were collected from both treatments from April 1981 through March 1983. Nutrient analyses were conducted to determine average monthly crude protein, phosphorus, and calcium levels. Neither yield nor nutrient composition of fleshly fungi was significantly different (P &gt; 0.05) between treatments. Overstory and understory species composition were similar in all areas, which may have minimized the effects of fire because vascular plants may serve as hosts for ectomycorrhizal fungi. The consistency high levels of protein (&gt; 19%) and phosphorus (&gt; 0.37%) indicate that fleshly fungi are potentially important nutrient sources for wildlife. This study indicated that fire does not alter production or nutrient quality of fleshly fungi.</t>
  </si>
  <si>
    <t>Dejene, Tatek; Oria-de-Rueda, Juan Andres; Martin-Pinto, Pablo</t>
  </si>
  <si>
    <t>Fungal diversity and succession following stand development in &lt;i&gt;Pinus patula&lt;/i&gt; Schiede ex Schltdl. &amp; Cham. plantations in Ethiopia</t>
  </si>
  <si>
    <t>10.1016/j.foreco.2017.03.032</t>
  </si>
  <si>
    <t>Fungal communities associated to conifers have been typically studied in temperate conifer forests, but little is known about tropical habitats. The present study examined the macrofungal succession and corresponding sporocarp production in Pinus patula stands in Ethiopia. For this purpose, we surveyed nine permanent plots (100 m(2)) established in five-, eleven- and thirty-six years old P. patula plantations and estimated fungal taxa richness, diversity and sporocarp yields. Composite soil samples were also collected from each plot to determine explanatory edaphic variables for fungal taxa compositions. We found a total of 53 fungal taxa belonging to Basidiomycota, with the exception of Xylaria hypoxylon which is Ascomycota. The majority of the collected taxa were saprophytic and about 6% were ectomycorrhizal fungi. About 36% of the taxa were classified as edible. Taxa richness, the Shannon diversity index and sporocarp yields showed significant increasing trends towards the more mature P. patula stands. Fungal community composition was also correlated significantly with N, K and pH. This study extends our knowledge on fungal diversity and community structure in managed P. patula plantations. Higher diversity and sporocarp production was found in older stands. Thus, the deliberate presence of mature trees in Pinus stands could provide incentives for the production and conservation of ecologically and commercially important fungal species in the study area. (C) 2017 Elsevier B.V. All rights reserved.</t>
  </si>
  <si>
    <t>Visser, S.</t>
  </si>
  <si>
    <t>Organic matter, nutrient and ectomycorrhizal dynamics in jack pine stands following wildfire.</t>
  </si>
  <si>
    <t>DUPLICATED?</t>
  </si>
  <si>
    <t>Chen, DM; Cairney, JWG</t>
  </si>
  <si>
    <t>Investigation of the influence of prescribed burning on ITS profiles of ectomycorrhizal and other soil fungi at three Australian sclerophyll forest sites</t>
  </si>
  <si>
    <t>532</t>
  </si>
  <si>
    <t>540</t>
  </si>
  <si>
    <t>10.1017/S0953756202005890</t>
  </si>
  <si>
    <t>DNA was extracted from soil collected from the upper 15 cm of the profile at three sclerophyll forest sites in New South Wales three days before, and 14 d after prescribed burning events. rDNA internal transcribed spacer (ITS) regions were amplified by PCR using fungus-specific primers, and ITS products cloned. Restriction fragment length polymorphism (RFLP) analysis was conducted on the ITS clones using the endonucleases HacIII, HinI, MboI and AluI. Cloned ITS products from the three sites were thus separated into 120 RFLP types and the ITS product for each RFLP type was sequenced. Comparison of sequences with those available in the GenBank nucleotide database allowed putative assignment of ITS clones to the following functional groups: ectomycorrhizal (ECM), arbuscular mycorrhizal (AM), ericoid mycorrhizal (ERM), decomposer basidiomycetes (DEC), other soil fungi (OSF). While abundant ECM-like clones were amplified from pre-fire soils at the North Rocks and South Maroota sites, they were largely absent in the post-fire soils at these sites, being replaced mainly by microfungi. In contrast, no decrease in ECM-like ITS clones was observed at the Ridgecrop site following fire. The data indicate that, while the abundance of extraradical ECM fungal propagules in the upper soil profile may be reduced by prescribed burning, the effect is site-specific.</t>
  </si>
  <si>
    <t>Veselkin, D. V.</t>
  </si>
  <si>
    <t>VARIABILITY OF ROOTS SIZE AND MYCORRHIZATION IN SEEDLINGS OF PINE (&lt;i&gt;Pinus sylvestris&lt;/i&gt; L.) UNDER ADAPTATION TO THE CONDITIONS OF INHABITANCE</t>
  </si>
  <si>
    <t>Sel'skokhozyaistvennaya Biologiya</t>
  </si>
  <si>
    <t>To find out the peculiarities of underground parts' architectonics variability which characterize an extent. of autonomic and symbiotic adaptation of ectomycorrhizal plants' in root zone, the seedlings of Pinus sylvestris L. from 45 natural and artificial localities were studied. At the territory of the Ural region the plants, 1496 samples in total, were picked out from intact forests, burnt forests, natural (arboreta) and non-forest habitats on clay, loam, and peat soils. In the experiments, the tested seedlings were also grown in greenhouse under unsterile conditions using pots filled with the mix of peat and sand to which a sample of woodland sod-podzole soil was added as an inoculum. The length of undetermined roots as an index of autonomic adaptation, and the rate of root mycorrhization as an index of symbiotic adaptation were estimated. Under similar conditions, the individual's variability on mycorrhization was shown to be higher comparing to the variability on undetermined roots length. Both these traits were mostly determined by environmental conditions depending on locality. For root length and mycorrhization rate, the component; related with differences between, groups due to locality made 52 and 75 % of the total variance, respectively. Local environment modifications between the habitats within a group of habitat resulted in 14 % (root length) and 7 % (mycorrhization rate) of the total variance. So, from the total variance on these traits 34 14 18 % at most are due to individual variability. These data characterize the ectomycorrhial symbiosis as a coenotic facility to increase a diversity of ectomycorrhizal plants in root zone. Its effect results in qualitative changes in these organs,and depends on plenty, activity, and inter- and intraspecial differences of mycobionts.</t>
  </si>
  <si>
    <t>FULL ARTICLE IN RUSSIAN</t>
  </si>
  <si>
    <t>Hrynkiewicz, K.; Baum, C.; Niedojadlo, J.; Dahm, H.</t>
  </si>
  <si>
    <t>Promotion of mycorrhiza formation and growth of willows by the bacterial strain &lt;i&gt;Sphingomonas&lt;/i&gt; sp 23L on fly ash</t>
  </si>
  <si>
    <t>BIOLOGY AND FERTILITY OF SOILS</t>
  </si>
  <si>
    <t>385</t>
  </si>
  <si>
    <t>394</t>
  </si>
  <si>
    <t>10.1007/s00374-008-0346-7</t>
  </si>
  <si>
    <t>Re-vegetation of fly ash, the principal by-product of coal fired power stations, is hampered by its unfavourable chemical and physical properties for plant growth. In the present study, we evaluated the use of inoculation with a mycorrhiza-associated bacterial strain (Sphingomonas sp. 23L) to promote mycorrhiza formation and plant growth of three willow clones (Salix spp.) on fly ash from an over-burdened dump in a pot experiment. The high pH(H2O) (8.7) and low nitrogen content (N-t = 0.1 g kg(-1)) in combination with hydrophobicity of the particle surfaces caused low plant growth. Inoculation of the willows with Sphingomonas sp. 23L improved the nitrogen uptake by plants, increased plant growth and stimulated formation of ectomycorrhizae with an autochthonous Geopora sp. strain on all three willow clones. The ectomycorrhiza formed by the Geopora sp. was morphologically and anatomically described. The inoculation significantly increased the shoot growth of two Salix viminalis clones and the root growth of a S. viminalis x caprea hybrid clone. We conclude that inoculation with mycorrhiza promoting bacterial strains might be a suitable approach to support mycorrhiza formation with autochtonous site-adapted ectomycorrhizal fungi in fly ash and thereby to improve re-vegetation of fly ash landfills with willows.</t>
  </si>
  <si>
    <t>Reazin, C.; Morris, S.; Smith, J. E.; Cowan, A. D.; Jumpponen, A.</t>
  </si>
  <si>
    <t>Fires of differing intensities rapidly select distinct soil fungal communities in a Northwest US ponderosa pine forest ecosystem</t>
  </si>
  <si>
    <t>118</t>
  </si>
  <si>
    <t>127</t>
  </si>
  <si>
    <t>10.1016/j.foreco.2016.07.002</t>
  </si>
  <si>
    <t>Environmental change and long-term fire management in the western United States have created conditions that facilitate high-intensity burn areas in forested systems. Such burns may have dramatic effects on the soil microbial communities. In this study, we utilized experimental infrastructure in the Pringle Falls Experimental Forest in Oregon, where ten pairs of sites were assigned to either high burn (HB) or low burn (LB) intensity treatments to examine fungal community responses. In these treatments, understory shrubs and logging debris were masticated and broadcast burned (LB) or piled logs were fully combusted (HB) in a paired design. The burn treatments generated soil temperatures of similar to 100 degrees C (LB) or up to 700 degrees C (HB) at the soil surface. We sampled soils (0-10 cm) one week before and three weeks after ignition and Illumina MiSeq-analyzed fungal Internal Transcribed Spacer 1 (ITS1) PCR-amplicons to deeply dissect the fungal communities. Our data indicate dramatic and rapid responses in community diversity and evenness in the HB treatment, with similar responses, but to a lesser degree, in the LB treatment. Nonmetric Multidimensional Scaling (NMS) ordinations and analyses of taxon frequencies reveal a substantial community turnover and corresponding replacement of the dominant basidiomycetes by ascomycetes in the HB treatment. Similar trends were visible, but weaker in the LB treatments. These coarse-level taxonomic responses were attributable to a few fire-responsive fungi, particularly Operational Taxonomic Units (OTUs) assigned to Pyronema sp. and Morchella sp., whose frequencies increased more than 100-fold following the HB treatment. Our study highlights the strong and rapid fungal fire responses and differences among fires of different intensities. As the high intensity fires - such as those represented here by the HB treatment - tend to be spatially confined and limited in scale, we emphasize their potential to generate distinct patches that may substantially contribute to beta diversity on small scales. Further, these data lead to questions about fungal community recovery (return to community state preceding the fire) and the importance of patch dynamics following a fire as well as function of post-fire communities and ecosystem services that they may provide. (C) 2016 Elsevier B.V. All rights reserved.</t>
  </si>
  <si>
    <t>Rincon, Ana; Pueyo, Jose J.</t>
  </si>
  <si>
    <t>Effect of fire severity and site slope on diversity and structure of the ectomycorrhizal fungal community associated with post-fire regenerated &lt;i&gt;Pinus pinaster&lt;/i&gt; Ait. seedlings</t>
  </si>
  <si>
    <t>361</t>
  </si>
  <si>
    <t>369</t>
  </si>
  <si>
    <t>10.1016/j.foreco.2010.04.028</t>
  </si>
  <si>
    <t>We investigated the diversity and structure of the ectomycorrhizal (EM) fungal community associated with post-fire regenerated Pinus master Ait, and the influence of fire severity and site slope on EM assemblage patterns. Seedlings were sampled in the first autumn and in both spring and autumn of the second growing season after fire, in a total of three samplings EM percentages per seedling were assessed, morphotypes described, and tentative identification of EM types performed by restriction fragment length polymorphism (RFLP) and sequencing of nrDNA internal transcribed spacer (ITS) region Seedlings were highly mycorrhizal in all samplings, independently of the factors studied. A total of 45 EM types were identified, and richness and diversity significantly increased from the first to the second autumn after fire Neither fire severity nor slope had a significant effect on fungal richness and diversity. Overall EM community composition was similar in all samplings, although fire severity, site slope and elapsed time after fire caused evident shifts in presence or in relative frequencies of a number of EM types No significant effect of fire severity or slope on EM assemblage patterns was detected in the first two samplings after fire However, a significant effect of fire severity was observed at the end of the second growing season The harvest of burned wood did not significantly affect EM fungal assemblages although the slope did We conclude that there was a high potential of active EM inoculum in soil immediately after fire colonizing post-fire natural regenerated P master seedlings with high EM percentages, and that factors defining burn intensity, such as fire severity and topography, directly influenced the species composition and assemblage patterns of EM fungal communities, triggering replacements and succession of EM fungal species. (C) 2010 Elsevier B V All rights reserved</t>
  </si>
  <si>
    <t>Langley, JA; Drake, BG; Hungate, BA</t>
  </si>
  <si>
    <t>Extensive belowground carbon storage supports roots and mycorrhizae in regenerating scrub oaks</t>
  </si>
  <si>
    <t>542</t>
  </si>
  <si>
    <t>548</t>
  </si>
  <si>
    <t>10.1007/s00442-002-0932-6</t>
  </si>
  <si>
    <t>Portions of a regenerating scrub oak ecosystem were enclosed in open-top chambers and exposed to elevated CO, The distinct C-13 signal of the supplemental CO2 was used to trace the rate of C integration into various ecosystem components. Oak foliage, stems, roots and ectomycorrhizae were sampled over 3 years and were analyzed for C-13 composition. The aboveground tissue C-13 equilibrated to the novel C-13 signal in the first season, while the belowground components displayed extremely slow integration of the new C. Roots taken from ingrowth cores showed that 33% of the C in newly formed roots originated from a source other than recent photosynthesis inside the chamber. In this highly fire-prone system, the oaks re-establish primarily by resprouting from large rhizomes. Remobilization from belowground C stores may support fine roots and mycorrhizae for several years into stand re-establishment and, therefore, may explain why below-round tissues contain less of the new photosynthate than expected. Though it has been shown that long-term cycles of C storage are theoretically advantageous for plants in systems with frequent and severe disturbances, such patterns have not been previously examined in wild systems.</t>
  </si>
  <si>
    <t>Fox, Sam; Taylor, Melanie K.; Callaham Jr, Mac; Jumpponen, Ari</t>
  </si>
  <si>
    <t>Fire-excluded and frequently burned longleaf pine forests have contrasting soil microbial communities</t>
  </si>
  <si>
    <t>10.1016/j.foreco.2023.121519</t>
  </si>
  <si>
    <t>Prescribed fires are common in forest management, yet we lack a clear picture of how different fire frequencies impact soil systems. Here, we present evidence of microbial community and soil chemistry shifts following sixty years of continuous prescribed fire interval manipulation at the Olustee Experimental Forest in Northeastern Florida. We investigated three fire interval treatments (1 year, 2 years, and 4 years) in addition to an unburned control treatment. We sampled three mineral soil horizons (A, E, and Bh) to elucidate prescribed fire impacts across the soil profile. Our results indicate that only the A horizon was affected by the fire interval manipulations, whereas the deeper E and Bh horizons were minimally impacted. Richness of both bacterial and fungal communities in recurring fire treatments was higher than, and their community composition different from, those in the unburned control in A horizon soils. Similar to the biotic soil attributes, fire interval treatments altered soil chemistry only in the top-most A horizon: the burned treatments had higher total nitrogen, total carbon, phosphorus, and NH4+ than the fire exclusion treatment; the soil chemistry of the deeper E and Bh horizons did not differ among the treatments. All soil chemistry properties correlated with bacterial community composition of the A horizon and nearly all properties correlated with fungal community composition of the A horizon as well, especially when comparing the more frequent burns to the fire exclusion treatment. Indicator taxon analyses identified fire-responsive bacteria and fungi, such as Ktedonobacteria sp. and an unclassified ascomycete that were abundant in the fire exclusion treatment and the ectomycorrhizal Russula spp. that were most abundant in the annual burn treatment. The different fire intervals also impacted fungal guilds, suggesting shifts in community function. The fire exclusion treatment was enriched with ectomycorrhizal, lichenized, and wood saprotrophic fungi, whereas the annual burn treatment was enriched with arbuscular mycorrhizal fungi compared to the other treatments. Our results indicate that long-term changes in the type and amount of detrital inputs and changes in the plant community associated with differing fire frequencies can induce shifts in the soil microbial community.</t>
  </si>
  <si>
    <t>Hewitt, Rebecca E.</t>
  </si>
  <si>
    <t>Fire-severity effects on plant-fungal interactions: Implications for Alaskan treeline dynamics in a warming climate</t>
  </si>
  <si>
    <t>Grad thesis</t>
  </si>
  <si>
    <t>JOHNSON, CN</t>
  </si>
  <si>
    <t>DISTRIBUTION OF FEEDING-ACTIVITY OF THE TASMANIAN BETTONG (BETTONGIA-GAIMARDI) IN RELATION TO VEGETATION PATTERNS</t>
  </si>
  <si>
    <t>WILDLIFE RESEARCH</t>
  </si>
  <si>
    <t>249</t>
  </si>
  <si>
    <t>10.1071/WR9940249</t>
  </si>
  <si>
    <t>The Tasmanian bettong, Bettongia gaimardi, feeds by digging for the fruit-bodies of hypogeous ectomycorrhizal fungi in dry sclerophyll forest. This study examined variations in the density of food-diggings of B. gaimardi in relation to vegetation patterns in a 150-ha study area. Density of B. gaimardi diggings was highest in Eucalyptus tenuiramus forest with a high density of mature stems and little ground vegetation; this type of vegetation was found on soils of low fertility. Density of diggings also increased towards the dry end of a moisture gradient characterised by a transition from Eucalyptus amygdalina to Eucalyptus obliqua, and increased with the density of Acacia dealbata stems. High densities of A. dealbata probably indicate recent burning. Analysis of the fine-scale distribution of diggings showed that diggings were clustered around Eucalyptus and Acacia stems, but showed no pattern in relation to density of ground vegetation.</t>
  </si>
  <si>
    <t>Livne-Luzon, Stav; Shemesh, Hagai; Osem, Yagil; Carmel, Yohay; Migael, Hen; Avidan, Yael; Tsafrir, Anat; Glassman, Sydney I.; Bruns, Thomas D.; Ovadia, Ofer</t>
  </si>
  <si>
    <t>High resilience of the mycorrhizal community to prescribed seasonal burnings in eastern Mediterranean woodlands</t>
  </si>
  <si>
    <t>216</t>
  </si>
  <si>
    <t>10.1007/s00572-020-01010-5</t>
  </si>
  <si>
    <t>Fire effects on ecosystems range from destruction of aboveground vegetation to direct and indirect effects on belowground microorganisms. Although variation in such effects is expected to be related to fire severity, another potentially important and poorly understood factor is the effect of fire seasonality on soil microorganisms. We carried out a large-scale field experiment examining the effects of spring (early-dry season) versus autumn (late-dry- season) burns on the community composition of soil fungi in a typical Mediterranean woodland. Although the intensity and severity of our prescribed burns were largely consistent between the two burning seasons, we detected differential fire season effects on the composition of the soil fungal community, driven by changes in the saprotrophic fungal guild. The community composition of ectomycorrhizal fungi, assayed both in pine seedling bioassays and from soil sequencing, appeared to be resilient to the variation inflicted by seasonal fires. Since changes in the soil saprotrophic fungal community can directly influence carbon emission and decomposition rates, we suggest that regardless of their intensity and severity, seasonal fires may cause changes in ecosystem functioning.</t>
  </si>
  <si>
    <t>PUPPI, G; TARTAGLINI, N</t>
  </si>
  <si>
    <t>MYCORRHIZAL TYPES IN 3 MEDITERRANEAN COMMUNITIES AFFECTED BY FIRE TO DIFFERENT EXTENTS</t>
  </si>
  <si>
    <t>ACTA OECOLOGICA-INTERNATIONAL JOURNAL OF ECOLOGY</t>
  </si>
  <si>
    <t>Observations, relating phytosociological releves with analyses of the mycorrhizal status and type of the plants, are reported from three Mediterranean communities: two, located respectively in the Circeo National Park (Latium) and in the Maremma Regional Park (Tuscany), burned in 1979, and a third in an unburned area, in the Maremma Regional Park.Floristic richness is higher in the burned areas, mainly due to herbaceous annuals. Species showing high cover values are on the contrary all resprouters. In the unburned site, 62% of the cover consists of ectomycorrhizal, 25% of vesicular-arbuscular and 12% of arbutoid mycorrhizal species. The two burned areas, notwithstanding their different floristic composition, show the same distribution of mycorrhizal types: potentially, VA mycorrhizal species constitute 70% of the plant cover, while 5-6% is made up of species with ericoid mycorrhizae and the remaining 15-17% are ectomycorrhizal species. Nonmycorrhizal species are few.It is suggested that VA mycorrhizal fungi may be less affected by disturbances involving destruction of aerial biomass than ectomycorrhizal fungi, since they may from symbiotic relationships with more plant species. VA mycorrhizae, linking root systems of different individuals, even of different species, may contribute to the regeneration of the vegetation, and also promote increased diversity.</t>
  </si>
  <si>
    <t>Teste, FP; Schmidt, MG; Berch, SM; Bulmer, C; Egger, KN</t>
  </si>
  <si>
    <t>Effects of ectomycorrhizal inoculants on survival and growth of interior Douglas-fir seedlings on reforestation sites and partially rehabilitated landings</t>
  </si>
  <si>
    <t>2074</t>
  </si>
  <si>
    <t>2088</t>
  </si>
  <si>
    <t>10.1139/X04-083</t>
  </si>
  <si>
    <t>We studied the effects of commercially available (Laccaria laccata (Scop.:Fr.) Berk. &amp; Br. and Rhizopogon parksii Smith (Oregon source)) and native (R. parksii (British Columbia source)) ectomycorrhizal (EM) inoculants on the survival and growth of commercially grown interior Douglas-fir (Pseudotsuga menziesii var. glauca (Beissn.) Franco) seedlings outplanted on reforestation sites (burned piles and clearcuts) and partially rehabilitated (shallow- and deep-tilled to a depth of 15 and 50 cm, respectively) landings. We also examined the physical and chemical properties of the soil and the EM status and foliar element levels of noninoculated Douglas-fir seedlings to provide information on the growing conditions found on these types of sites. Inoculation treatments did not significantly increase survival and growth of Douglas-fir seedlings 2 years after outplanting. However, because the average percent EM colonization of inoculated seedlings at time of outplanting was low (36%), the beneficial effects of these inoculants may not have been attained. It is possible that nursery conditions partially account for the low EM colonization of inoculated seedlings. We therefore suggest that nurseries try to modify growing conditions to favor good EM formation before outplanting interior Douglas-fir. Benefits of inoculations on landings may have been restricted by the poor soil conditions, potentially toxic levels of Fe and Al, and competition from well-adapted native EM fungi.</t>
  </si>
  <si>
    <t>Suz, LM; Martín, MP; Colinas, C</t>
  </si>
  <si>
    <t>Detection of &lt;i&gt;Tuber melanosporum&lt;/i&gt; DNA in soil</t>
  </si>
  <si>
    <t>251</t>
  </si>
  <si>
    <t>10.1111/j.1574-6968.2005.00029.x</t>
  </si>
  <si>
    <t>Our objectives were (i) to develop a molecular method to detect mycelia of Tuber melanosporum (black truffle) in soil and (ii) to test for mycelial distribution around two truffle-bearing Quercus ilex trees in a truffle orchard. Isolation of total DNA from soil was performed, followed by PCR amplification with T melanosporum-specific primers and restriction analysis. To address the detection sensitivity level, soil samples were inoculated with known amounts of gleba of T melanosporum. The detection limit was &gt;= 11.4 mu g of hyphae g(-1) of soil. Mycelium was detected primarily within the area defined by the truffle burn and within the top 35 cm of the soil in all directions from the trees.</t>
  </si>
  <si>
    <t>Bruns, T; Tan, J; Bidartondo, M; Szaro, T; Redecker, D</t>
  </si>
  <si>
    <t>Survival of &lt;i&gt;Suillus pungens&lt;/i&gt; and &lt;i&gt;Amanita francheti&lt;/i&gt; ectomycorrhizal genets was rare or absent after a stand-replacing wildfire</t>
  </si>
  <si>
    <t>523</t>
  </si>
  <si>
    <t>10.1046/j.1469-8137.2002.00468.x</t>
  </si>
  <si>
    <t>We looked for evidence of mycelial survival by Suillus pungens and Amanita francheti following a stand-replacing wildfire. These species were selected because we had previously mapped and genotyped their fruiting bodies in the pre-fire forest.Mycelial survival was investigated in two ways. First, we sampled seedlings in areas where these species had fruited abundantly before the fire, and second, we collected and genotyped mushrooms of S. pungens.Neither species was detected on seedlings within the areas sampled, and A. francheti was not detected in any above- or below-ground samples after the fire. Genetic evidence from S. pungens revealed that post-fire genets were small and numerous, and none were found to be identical to the genets sampled prior to the fire.From these results we conclude that A. francheti was not a common survivor or an early colonist of the post-fire forest, and that spores are the primary means by which S. pungens recolonized. If mycelial survival occurred in either species, it must have been relatively rare.</t>
  </si>
  <si>
    <t>Hewitt, Rebecca E.; Chapin, F. Stuart, III; Hollingsworth, Teresa N.; Taylor, D. Lee</t>
  </si>
  <si>
    <t>The potential for mycobiont sharing between shrubs and seedlings to facilitate tree establishment after wildfire at Alaska arctic treeline</t>
  </si>
  <si>
    <t>3826</t>
  </si>
  <si>
    <t>3838</t>
  </si>
  <si>
    <t>10.1111/mec.14143</t>
  </si>
  <si>
    <t>Root-associated fungi, particularly ectomycorrhizal fungi (EMF), are critical symbionts of all boreal tree species. Although climatically driven increases in wildfire frequency and extent have been hypothesized to increase vegetation transitions from tundra to boreal forest, fire reduces mycorrhizal inoculum. Therefore, changes in mycobiont inoculum may potentially limit tree-seedling establishment beyond current treeline. We investigated whether ectomycorrhizal shrubs that resprout after fire support similar fungal taxa to those that associate with tree seedlings that establish naturally after fire. We then assessed whether mycobiont identity correlates with the biomass or nutrient status of these tree seedlings. The majority of fungal taxa observed on shrub and seedling root systems were EMF, with some dark septate endophytes and ericoid mycorrhizal taxa. Seedlings and adjacent shrubs associated with similar arrays of fungal taxa, and there were strong correlations between the structure of seedling and shrub fungal communities. These results show that resprouting postfire shrubs support fungal taxa compatible with tree seedlings that establish after wildfire. Shrub taxon, distance to the nearest shrub and fire severity influenced the similarity between seedling and shrub fungal communities. Fungal composition was correlated with both foliar C:N ratio and seedling biomass and was one of the strongest explanatory variables predicting seedling biomass. While correlative, these results suggest that mycobionts are important to nutrient acquisition and biomass accrual of naturally establishing tree seedlings at treeline and that mycobiont taxa shared by resprouting postfire vegetation may be a significant source of inoculum for tree-seedling establishment beyond current treeline.</t>
  </si>
  <si>
    <t>Robinson, RM; Bougher, NL</t>
  </si>
  <si>
    <t>The response of fungi to fire in Jarrah (&lt;i&gt;Eucalyptus marginata)&lt;/i&gt; and Karri (&lt;i&gt;Eucalyptus diversicolor&lt;/i&gt;) forests of south-west Western Australia</t>
  </si>
  <si>
    <t>FIRE IN ECOSYSTEMS OF SOUTH-WEST WESTERN AUSTRALIA: IMPACTS AND MANAGEMENT</t>
  </si>
  <si>
    <t>Book?</t>
  </si>
  <si>
    <t>Hagenbo, Andreas; Clemmensen, Karina E.; Finlay, Roger D.; Kyaschenko, Julia; Lindahl, Bjoern D.; Fransson, Petra; Ekblad, Alf</t>
  </si>
  <si>
    <t>Changes in turnover rather than production regulate biomass of ectomycorrhizal fungal mycelium across a &lt;i&gt;Pinus sylvestris&lt;/i&gt; chronosequence</t>
  </si>
  <si>
    <t>431</t>
  </si>
  <si>
    <t>10.1111/nph.14379</t>
  </si>
  <si>
    <t>In boreal forest soils, ectomycorrhizal fungi are fundamentally important for carbon (C) dynamics and nutrient cycling. Although their extraradical mycelium (ERM) is pivotal for processes such as soil organic matter build-up and nitrogen cycling, very little is known about its dynamics and regulation.In this study, we quantified ERM production and turnover, and examined how these two processes together regulated standing ERM biomass in seven sites forming a chronosequence of 12-to 100-yr-old managed Pinus sylvestris forests. This was done by determining ERM biomass, using ergosterol as a proxy, in sequentially harvested in-growth mesh bags and by applying mathematical models.Although ERM production declined with increasing forest age from 1.2 to 0.5 kg ha(-1) d(-1), the standing biomass increased from 50 to 112 kg ha(-1). This was explained by a drastic decline in mycelial turnover from seven times to one time per year with increasing forest age, corresponding to mean residence times from 25 d up to 1 yr.Our results demonstrate that ERM turnover is the main factor regulating biomass across differently aged forest stands. Explicit inclusion of ERM parameters in forest ecosystem C models may significantly improve their capacity to predict responses of mycorrhiza-mediated processes to management and environmental changes.</t>
  </si>
  <si>
    <t>Perez-Izquierdo, Leticia; Bengtsson, Jan; Clemmensen, Karina E.; Granath, Gustaf; Gundale, Michael J.; Ibanez, Theresa S.; Lindahl, Bjorn D.; Strengbom, Joachim; Taylor, Astrid; Viketoft, Maria; Wardle, David A.; Nilsson, Marie-Charlotte</t>
  </si>
  <si>
    <t>Fire severity as a key determinant of aboveground and belowground biological community recovery in managed even-aged boreal forests</t>
  </si>
  <si>
    <t>ECOLOGY AND EVOLUTION</t>
  </si>
  <si>
    <t>10.1002/ece3.10086</t>
  </si>
  <si>
    <t>Changes in fire regime of boreal forests in response to climate warming are expected to impact postfire recovery. However, quantitative data on how managed forests sustain and recover from recent fire disturbance are limited.Two years after a large wildfire in managed even-aged boreal forests in Sweden, we investigated how recovery of aboveground and belowground communities, that is, understory vegetation and soil microbial and faunal communities, responded to variation in the severity of soil (i.e., consumption of soil organic matter) and canopy fires (i.e., tree mortality).While fire overall enhanced diversity of understory vegetation through colonization of fire adapted plant species, it reduced the abundance and diversity of soil biota. We observed contrasting effects of tree- and soil-related fire severity on survival and recovery of understory vegetation and soil biological communities. Severe fires that killed overstory Pinus sylvestris promoted a successional stage dominated by the mosses Ceratodon purpureus and Polytrichum juniperinum, but reduced regeneration of tree seedlings and disfavored the ericaceous dwarf-shrub Vaccinium vitis-idaea and the grass Deschampsia flexuosa. Moreover, high tree mortality from fire reduced fungal biomass and changed fungal community composition, in particular that of ectomycorrhizal fungi, and reduced the fungivorous soil Oribatida. In contrast, soil-related fire severity had little impact on vegetation composition, fungal communities, and soil animals. Bacterial communities responded to both tree- and soil-related fire severity.Synthesis: Our results 2 years postfire suggest that a change in fire regime from a historically low-severity ground fire regime, with fires that mainly burns into the soil organic layer, to a stand-replacing fire regime with a high degree of tree mortality, as may be expected with climate change, is likely to impact the short-term recovery of stand structure and above- and belowground species composition of even-aged P. sylvestris boreal forests.</t>
  </si>
  <si>
    <t>Garcia-Montero, Luis G.; Casermeiro, Miguel A.; Manjon, Jose L.; Hernando, Isabel</t>
  </si>
  <si>
    <t>Impact of active soil carbonate and burn size on the capacity of the rockrose &lt;i&gt;Cistus laurifolius&lt;/i&gt; to produce &lt;i&gt;Tuber melanosporum&lt;/i&gt; carpophores in truffle culture</t>
  </si>
  <si>
    <t>734</t>
  </si>
  <si>
    <t>739</t>
  </si>
  <si>
    <t>10.1016/j.mycres.2007.03.017</t>
  </si>
  <si>
    <t>There are very few studies on Tuber melanosporum associated with Cistus populations. In central Spain, we confirm that C. laurifolius shows carpophore production of Tuber melanosporum. This study demonstrates a correlation between T. rnelanosporum production and the size of the 41 burns, with burn size explaining 26% of the variability in carpophore production. However, statistical analysis of the results indicates that average production of 21 burns with Cistus laurifolius is 73% lower than the production of 20 burns associated with Quercus/Corylus without Cistus laurifolius in this zone, respectively. C. laurifolius develops small burns, which has an impact on their carpophore production, and their soils have 92% less active carbonate than the burns associated with Quercus/Corylus in this zone, respectively. The low levels of active carbonate allow Cistus laurifolius to grow, but impair Tuber melanosporum production. We thus provide a mechanism, based on the inability of Cistus laurifolius to grow in highly carbonated soils, which contradicts the well-known fact that C. laurifolius might act as a transmitter of Tuber melanosporum mycorrhizae. These results indicate that this rockrose can not be considered a useful species for truffle culture. We thus recommend that particular attention should be given to the concentration of active carbonate present in the soil in future studies on the relationship between Cistus species and truffles. (c) 2007 The British Mycological Society. Published by Elsevier Ltd. All rights reserved.</t>
  </si>
  <si>
    <t>Morera, Albert; de Aragon, Juan Martinez; De Caceres, Miquel; Bonet, Jose Antonio; de-Miguel, Sergio</t>
  </si>
  <si>
    <t>Historical and future spatially-explicit climate change impacts on mycorrhizal and saprotrophic macrofungal productivity in Mediterranean pine forests</t>
  </si>
  <si>
    <t>AGRICULTURAL AND FOREST METEOROLOGY</t>
  </si>
  <si>
    <t>10.1016/j.agrformet.2022.108918</t>
  </si>
  <si>
    <t>Fungi are responsible for many of the processes that occur in natural ecosystems and largely determine forest ecosystem dynamics, such as the ability of trees to access limiting nutrients and sequester carbon. Understanding and predicting climate change impacts on fungal dynamics over large scales is key in order to gain further insights into the effects of global change on natural ecosystem functioning and related ecosystem services. In this study, we use predictive models based on machine learning algorithms to estimate, in a spatially explicit way, the historical and future (1976-2100) evolution of mycorrhizal and saprotrophic macrofungal productivity in Mediterranean forest areas under climate change scenarios. The greatest changes in total productivity, as well as mycorrhizal fungi, are predicted to occur in subalpine and montane pine forests, where fungal productivity is estimated to decrease, and will be more pronounced under climate change scenarios with higher expected increase in temperature. In contrast to mycorrhizal species, saprotrophic fungi could benefit from pronounced changes in climate and increase their productivity in supra- and mesomediterranean regions at mid-range elevations. Moreover, we estimated that fungal productivity has also changed historically in some scattered areas where changes in climate over the years may have led to a decrease in productivity. This study contributes to raising awareness on the need for anticipating potential global change impacts on this key element of ecosystem functioning, and for deploying possible management policies oriented toward maintaining the important role of fungal productivity in both climate change mitigation and adaptation.</t>
  </si>
  <si>
    <t>Predictive model</t>
  </si>
  <si>
    <t>SCHOENBERGER, MM; PERRY, DA</t>
  </si>
  <si>
    <t>THE EFFECT OF SOIL DISTURBANCE ON GROWTH AND ECTOMYCORRHIZAE OF DOUGLAS-FIR AND WESTERN HEMLOCK SEEDLINGS - A GREENHOUSE BIOASSAY</t>
  </si>
  <si>
    <t>343</t>
  </si>
  <si>
    <t>10.1139/x82-050</t>
  </si>
  <si>
    <t>In a greenhouse bioassay of soils from the central Oregon Cascades [USA], Douglas-fir (P. menziesii (Mirb.) Franco) seedlings had the most total and ectomycorrhizal root tips when grown in soil from an unburned clear-cut and the least when grown in soil from a 20-yr-old plantation that had been clear-cut and burned in the late 1950s and 1 old-growth forest. Tip formation was intermediate in soil from a 2nd old-growth forest, a recently burned clear-cut, and a 40-yr-old natural burn. Root weights followed the same trend, but top weights did not differ among the various soils. Ectomycorrhizal and total root tips of western hemlock (T. heterophylla (Raf.) Sarg.) were lowest in soils from the plantation and recently burned clear-cut. Unlike Douglas-fir, western helmlock''s tip production was not greater in the unburned clear-cut than in the old-growth forest soils. In this species, both top and root weights varied according to soil, with the largest seedlings produced in soil from the unburned clear-cut. With both species, there was a significant interaction between ectomycorrhizal type and soil type. Cenococcum geophilum Fr. predominated on western hemlock and was reduced in soils from the burned clear-cut and plantation. In comparison with the mean for all soils, ectomycorrhizal types that predominated on Douglas-fir were enhanced in the unburned clear-cut soil and reduced in 1 old-growth soil, an effect apparently related to litter leachate.</t>
  </si>
  <si>
    <t>Valdés, M; Córdova, J; Gómez, M; Fierros, AM</t>
  </si>
  <si>
    <t>Understory vegetation and ectomycorrhizal sporocarp diversity response to pine regeneration methods in Oaxaca, Mexico</t>
  </si>
  <si>
    <t>108</t>
  </si>
  <si>
    <t>10.1093/wjaf/18.2.101</t>
  </si>
  <si>
    <t>This study was carried out over a period of 3 yr in three stands of Pinus oaxacana in Oaxaca, Mexico. Our objective was to determine if pine regeneration, understory vegetation, and ectomycorrhizal (EM) sporocarps respond to increasing levels of site disturbance 5 yr after application of silvicultural treatments. Numbers of pine seedlings, trees, shrubs, and herbs, and numbers and richness of EM sporocarps were assessed in a control stand, a thinned stand, and a thinned and controlled burn stand.The thinned stand without slash burning (Seed Tree) had twice as many pine seedlings compared to the thinned and burned stand (Seed Tree with Burning). The number of shrubs was about twice as great in the treated stands compared to the control. The number of herbs in the control stand was twice that of the Seed Tree stand and four times that of the Seed Tree with Burning stand. Succulent plants were present in low numbers in the control stand and were not found in the treated stands.The structure of the EM community was evaluated by identifying the sporocarps and sclerotia. Abundance and richness of fungi did not differ among stands, but species composition was significantly different. Cenococcum geophilum, Laccaria laccata, Russula emetica and Lactarius crysorheus species were common in all three stands. Although L. laccata was present in the three stands, the number of sporocarps decreased with increased disturbance. Sporocarps of some EM species were found only in the control stand (e.g., Clavariadelphus truncatus, Craterellus fallax, Helvella crispa, Hydnum repandum) and others only in the treated stands (e.g., Amanita gemmata, Lactarius chrysorheus, L. volemus).</t>
  </si>
  <si>
    <t>Dickie, Ian A.; Reich, Peter B.; Schnitzer, Stefan A.; Hobbie, Sarah E.</t>
  </si>
  <si>
    <t>Spatial heterogeneity and mycorrhiza in oak woodlands and savannas: Old fields, fire, and fungi.</t>
  </si>
  <si>
    <t>Honrubia, M</t>
  </si>
  <si>
    <t>Mycorrhizas in &lt;i&gt;Pinus halepensis&lt;/i&gt; Miller</t>
  </si>
  <si>
    <t>ECOLOGY, BIOGEOGRAPHY AND MANAGEMENT OF PINUS HALEPENSIS AND P BRUTIA FOREST ECOSYSTEMS IN THE MEDITERRANEAN BASIN</t>
  </si>
  <si>
    <t>202</t>
  </si>
  <si>
    <t>Hewitt, Rebecca E.; Chapin, F. Stuart, III; Hollingsworth, Teresa N.; Mack, Michelle C.; Rocha, Adrian V.; Taylor, D. Lee</t>
  </si>
  <si>
    <t>Limited overall impacts of ectomycorrhizal inoculation on recruitment of boreal trees into Arctic tundra following wildfire belie species-specific responses</t>
  </si>
  <si>
    <t>10.1371/journal.pone.0235932</t>
  </si>
  <si>
    <t>We tested whether post-fire seedling establishment of common boreal tree and expanding shrub species at treeline and in Arctic tundra is facilitated by co-migration of boreal forest mycorrhizal fungi. Wildfires are anticipated to facilitate biome shifts at the forest-tundra ecotone by improving seedbed conditions for recruiting boreal species; at the same time fire alters the composition and availability of mycorrhizal fungi critical to seedling performance. To determine the role of root-associated fungi (RAF) in post-fire seedling recruitment and future biome shifts, we outplanted four dominant boreal tree and shrub species inoculated with one of three treatments at treeline and in tundra: burned boreal forest, unburned boreal forest, or a control treatment of sterilized inoculum. We compared survivorship, growth, and physiological performance of the seedlings in relation to mycorrhizal inoculum treatment and among host species, characterized the RAF communities based on ITS-rDNA sequencing of individual root tips sampled from surviving seedlings, and tested for correlations between RAF composition and the inoculation treatments, host species, and duration of the experiment. We explored correlations between RAF composition and seedling metrics. Both live and sterile autoclaved inoculation treatments had similar effects on seedling survivorship and growth for all species. RAF composition did not vary by treatment, suggesting that most colonization was due to local fungi. However, seedling traits and growth were correlated with RAF species composition, colonization, and the relative abundance of specific RAF taxa.Piceasp. performance in particular showed strong co-variation with RAF metrics. Our results suggest that mycorrhizal co-migration is not a primary limiting factor to boreal seedling recruitment because the experimental provision of inoculum did not affect seedling recruitment; yet, RAF did influence seedling performance, particularly resident RAF at treeline and in tundra, suggesting that mycorrhizal fungi are important to vegetation processes at the treeline-tundra ecotone.</t>
  </si>
  <si>
    <t>Rasmussen, Ann L.; Brewer, J. Stephen; Jackson, Colin R.; Hoeksema, Jason D.</t>
  </si>
  <si>
    <t>Tree thinning and fire affect ectomycorrhizal fungal communities and enzyme activities</t>
  </si>
  <si>
    <t>10.1002/ecs2.2471</t>
  </si>
  <si>
    <t>Common ecological restoration treatments such as thinning trees and prescribed burning could result in changes to soil fungal communities and changes to the function of those communities. Ectomycorrhizal fungi are especially likely to be affected as they are symbionts on plant roots and exhibit host and niche preferences. Ectomycorrhizal fungi also produce extracellular enzymes that are important in soil nutrient cycling. We conducted a community survey of ectomycorrhizal fungi and assayed ectomycorrhizal root tip enzyme activity using substrate plugs in northern Mississippi upland oak-pine woodland plots differing in restoration history to explore the influence of woodland restoration on ectomycorrhizal fungal community composition and function. Restoration treatment was significant in explaining the occurrence of the most common fungal species (Russula xerampelina) and the most common family (Thelephoraceae) in the ectomycorrhizal fungal community survey. Highest potential laccase, peroxidase, and N-acetyl-beta-d-glucosaminidase enzyme activity were found in a prescribed burn plot, and the lowest enzyme activities at a wildfire plot, where richness of ectomycorrhizal fungi was also lower. Different fungal families displayed significantly different enzymatic capabilities, with Hydnangiaceae having the highest laccase activity and Tuberaceae having significantly higher peroxidase and chitinase activity than several other families. These results suggest that restoration treatments can affect ectomycorrhizal fungal community composition and function, and better understanding these changes can aid understanding of the niches of ectomycorrhizal fungi and the impacts of restoration.</t>
  </si>
  <si>
    <t>Kalies, Elizabeth L.</t>
  </si>
  <si>
    <t>The effects of forest management on small mammal comunity dynamics in southwestern ponderosa pine ecosystems</t>
  </si>
  <si>
    <t>Goodman, DM; Trofymow, JA</t>
  </si>
  <si>
    <t>Comparison of communities of ectomycorrhizal fungi in old-growth and mature stands of Douglas-fir on southern Vancouver Island</t>
  </si>
  <si>
    <t>NORTHWEST SCIENCE</t>
  </si>
  <si>
    <t>Oliver, A. K.; Brown, S. P.; Callaham, M.; Jumpponen, A.</t>
  </si>
  <si>
    <t>Ectomycorrhizal community responses to recurring prescribed fires in yellow pine forests: Effects of fire intervals and season</t>
  </si>
  <si>
    <t>PHYTOPATHOLOGY</t>
  </si>
  <si>
    <t>Mahalovich, Mary F.; Kimsey, Mark J.; Fortin-Noreus, Jennifer K.; Robbins, Charles T.</t>
  </si>
  <si>
    <t>Isotopic heterogeneity in whitebark pine (&lt;i&gt;Pinus albicaulis&lt;/i&gt; Engelm.) nuts across geographic, edaphic and climatic gradients in the Northern Rockies (USA)</t>
  </si>
  <si>
    <t>174</t>
  </si>
  <si>
    <t>10.1016/j.foreco.2015.09.047</t>
  </si>
  <si>
    <t>The overall health and persistence of whitebark pine is of international concern. Extensive tree mortality and loss of vigor due to the non-native pathogen white pine blister rust (Cronartium ribicola A. Dietr.), mountain pine beetle (Dendroctonus ponderosae Hopkins), altered fire regimes, and climate change endanger the existence of whitebark pine, which is an important food source (pine nuts) for several wildlife species. Prior stable isotope analysis revealed variability in intrinsic water-use efficiency and nutritional status; however, small sample sizes prohibited the identification of geo-climatic effects on those isotopes. We summarize carbon isotope discrimination (Delta C-13, a measure of intrinsic water-use efficiency) and the natural abundance of delta C-13, delta N-15 and delta S-34 in whitebark pine nuts in the Northern Rockies. Spatial differences in geography, soil parent material and climate (e.g., summer mean temperature, number of degree-days below 0 degrees C, mean annual precipitation, Hargreaves climatic moisture deficit, and the frost-free period) contributed to the low to moderate spatial resolution in selected models (R-2 values ranged from 0.24 to 0.51). The importance of soil parent material in all models demonstrated whitebark pine exhibits previously unknown edaphic variation. Identification of the mechanistic drivers contributing to spatial heterogeneity in Delta C-13 provides an opportunity to select seed sources better suited to optimize long-term survival, vigor and cone production. Matching genetic resources to sites projected to support whitebark pine in future climates would ensure species persistence, while safeguarding an important wildlife food. Suitable wildlife habitat for projected warmer, drier climates was characterized as low values of Delta C-13 (&lt;13.5 parts per thousand) and was concentrated in the southeastern portion of the Northern Rockies. Whitebark pine nuts at the landscape scale exhibited unique delta S-34 and delta N-15 values relative to other wildlife foods, but these isotope values can overlap other plant materials in more localized areas. Future applications to determine the proportion of pine nuts in assimilated diets will need to accommodate spatial heterogeneity, potential temporal variation in delta C-13, nutrient concentrations, animal tissue turnover rates, and seasonal availability of other foods. Further studies of the abiotic and biotic factors on C, N, and S cycles and the relationship between photosynthetic and heterotrophic tissue are needed for a better mechanistic understanding of the determinants of the natural abundance of delta C-13, Delta C-13, delta N-15 and delta S-34. Published by Elsevier B.V.</t>
  </si>
  <si>
    <t>Smith, Candice M.</t>
  </si>
  <si>
    <t>Carbon, nitrogen and phosphorus additions to a temperate hardwood forest: Effects on belowground processes</t>
  </si>
  <si>
    <t>McAfee, B. J.; Pedras, M. S. C.; Lapp, M. S.</t>
  </si>
  <si>
    <t>Effects of Pisolithus arhizus and other ectomycorrhizal fungi on in vitro rooting of Pinus monticola adventitious shoots</t>
  </si>
  <si>
    <t>Proceedings of the Nova Scotian Institute of Science</t>
  </si>
  <si>
    <t>10</t>
  </si>
  <si>
    <t>Micropropagation of conifers permits the production of large numbers of selected genotypes but in Pinus monticola as well as several other systems, this process is limited by the difficulty of obtaining roots. The potential of ectomycorrhizal fungi to induce and improve adventitious root formation on in vitro micropropagated shoots was investigated. Preliminary trials on de-rooted seedlings showed 100% rooting with Laccaria bicolor, Rhizopogon rubescens and Pisolithus arhizus while rooting on controls was at 79%; however only P. arhizus had a significant effect on the rooting of micropropagated shoots. Co-cultivation with P. arhizus in a medium amended with 0.3 mu-M 1-naphthaleneacetic acid (NAA) gave the best rooting percentages (57%). Thin layer chromatography, high-performance liquid chromatography, and gas chromatography/mass spectrometric analysis of the broth from a P. arhizus culture in NAA amended media indicated the presence of hydroxylated NAA metabolites.</t>
  </si>
  <si>
    <t>Post-Fire Re-Colonization of Ectomycorrhizal Fungi</t>
  </si>
  <si>
    <t>The primary objective of this proposal is to determine how mycorrhizal fungi recolonize the roots of host pine species following fire.  The fungi are essential to the health and growth of all trees in the pine family, yet little is currently know about how they survive and re-establish themselves after fire.  Most of the research will be conducted at Pt. Reyes National Seashore in naturally regenerating Bishop pine forests.  Study sites were selected to take advantage of the recent 5100 hectare wildfire which included several areas where the pre-fire symbiotic fungal community was know in detail.  Specific questions to be addressed include:  1) What is the dominant source of post-fire fungi?  2) How is fungal species composition affected by differences in ash deposition, tree mortality, and litter removal?  and 3) What effect does fungal inoculum level have on successful seedling establishment?    An increased understanding of the dynamics of mycorrhizal populations should have important implications for our understanding of forest dynamics and reforestation practices.</t>
  </si>
  <si>
    <t>El Karkouri, K; Martin, F; Mousain, D</t>
  </si>
  <si>
    <t>Diversity of ectomycorrhizal symbionts in a disturbed &lt;i&gt;Pinus halepensis&lt;/i&gt; plantation in the Mediterranean region</t>
  </si>
  <si>
    <t>ANNALS OF FOREST SCIENCE</t>
  </si>
  <si>
    <t>705</t>
  </si>
  <si>
    <t>710</t>
  </si>
  <si>
    <t>10.1051/forest:2004069</t>
  </si>
  <si>
    <t>Ectomycorrhizal diversity (ED) associated with Pinus halepensis trees was examined 1.5 years after outplanting at a fire-disturbed site of Rieucoulon (Herault, France). ED analysis was examined on non-inoculated and Suillus collinitus-inoculated plants, and on naturally regenerated trees. A total of 461 single ectomycorrhizas was typed using PCR-RFLP analysis and sequencing of the internal transcribed spacer ( ITS) of the nuclear rDNA. Twelve ITS RFLP-taxa were detected. The ectomycorrhizal fungus S. collinitus ( ITS RFLP-taxon 1) was the most abundant (45.8 - 59.7%) species in the three treatments, suggesting that it is a strong ectomycorrhizal competitor in this site. S. mediterraneensis ( ITS RFLP-taxon 2) was restricted to control and naturally regenerated trees and was unequally moderate (11.7 - 31.9%). The remaining below-ground ITS RFLP-taxa were uncommon and rare (0.0 - 9.6%). The current experimental P. halepensis plantation showed a species-poor community dominated by two Suillus species. Ecological strategies of these symbionts are discussed.</t>
  </si>
  <si>
    <t>CLARIDGE, AW; ROBINSON, AP; TANTON, MT; CUNNINGHAM, RB</t>
  </si>
  <si>
    <t>SEASONAL PRODUCTION OF HYPOGEAL FUNGAL SPOROCARPS IN A MIXED-SPECIES EUCALYPT FOREST STAND IN SOUTH-EASTERN AUSTRALIA</t>
  </si>
  <si>
    <t>10.1071/BT9930145</t>
  </si>
  <si>
    <t>The seasonal production of hypogeal fungal sporoearps was monitored over an 18 month period in a catchment of mixed-species euealypt forest in East Gippsland, Vietoria. During the study, sporocarps of one Ascomycete and 25 Basidiomycete species were collected from soil quadrats sampled sequentially around the bases of eucalypt trees- Sporocarps from these species varied in their dimensions and morphological characteristics. Productivity varied from 21 000 sporocarps ha-1 to 181 000 sporocarps ha-1 or 1.8 kg ha-1 to 8.3 kg ha-1 per month. The probability of occurrence of sporocarps was, on average, greater in midslope sites on a sheltered aspect than elsewhere within the catchment. The number of sporocarps produced varied over time, with a major peak in production occurring during May (late-autumn). This peak occurred mainly within gully sites, which supported on average a greater number of sporocarps than ridge or midslope sites, but a lesser weight of sporocarps. The distribution and productivity (probability of occurrence, number and weight) of sporocarps appeared to be associated with some environmental (soil) variables, but not the physical variables (host tree), that we measured. Sporocarps of some species fruited predominantly in ridge and slope habitats, some species fruited mainly in gullies, whereas others apparently showed no preference for fruiting in ridges, slopes and gullies. Thus, in forest catchments subject to land-management practices such as logging and fire, it may be important to retain undisturbed habitat throughout the topographic sequence to conserve a diversity of hypogeal species.</t>
  </si>
  <si>
    <t>Bowd, Elle J.; Egidi, Eleonora; Lindenmayer, David B.; Wardle, David A.; Kardol, Paul; Cary, Geoffrey J.; Foster, Claire</t>
  </si>
  <si>
    <t>Direct and indirect effects of fire on microbial communities in a pyrodiverse dry-sclerophyll forest</t>
  </si>
  <si>
    <t>1687</t>
  </si>
  <si>
    <t>1703</t>
  </si>
  <si>
    <t>10.1111/1365-2745.13903</t>
  </si>
  <si>
    <t>Fire is one of the predominant drivers of the structural and functional dynamics of forest ecosystems. In recent years, novel fire regimes have posed a major challenge to the management of pyrodiverse forests. While previous research efforts have focused on quantifying the impacts of fire on above-ground forest biodiversity, how microbial communities respond to fire is less understood, despite their functional significance. Here, we describe the effects of time since fire, fire frequency and their interaction on soil and leaf litter fungal and bacterial communities from the pyrodiverse, Eucalyptus pilularis forests of south-eastern Australia. Using structural equation models, we also elucidate how fire can influence these communities both directly and indirectly through biotic-abiotic interactions. Our results demonstrate that fire is a key driver of litter and soil bacterial and fungal communities, with effects most pronounced for soil fungal communities. Notably, recently burnt forest hosted lower abundances of symbiotic ectomycorrhizal fungi and Acidobacteria in the soil, and basidiomycetous fungi and Actinobacteriota in the litter. Compared with low fire frequencies, high fire frequency increased soil fungal plant pathogens, but reduced Actinobacteriota. The majority of fire effects on microbial communities were mediated by fire-induced changes in litter and soil abiotic properties. For instance, recent and more frequent fire was associated with reduced soil sulphur, which led to an increase in soil fungal plant pathogens and saprotrophic fungi in these sites. Pathogenic fungi also increased in recently burnt forests that had a low fire frequency, mediated by a decline in litter carbon and an increase in soil pH in these sites. Synthesis. Our findings indicate that predicted increases in the frequency of fire may select for specific microbial communities directly and indirectly through ecological interactions, which may have functional implications for plants (increase in pathogens, decrease in symbionts), decomposition rates (declines in Actinobacteriota and Acidobacteriota) and carbon storage (decrease in ectomycorrhizal fungi). In the face of predicted shifts in wildfire regimes, which may exacerbate fire-induced changes in microbial communities, adaptive fire management and monitoring is required to address the potential functional implications of fire-altered microbial communities.</t>
  </si>
  <si>
    <t>Vazquez-Veloso, Aitor; Dejene, Tatek; Andres Oria-de-Rueda, Juan; Guijarro, Mercedes; Hernando, Carmen; Espinosa, Juncal; Madrigal, Javier; Martin-Pinto, Pablo</t>
  </si>
  <si>
    <t>Prescribed burning in spring or autumn did not affect the soil fungal community in Mediterranean&lt;i&gt; Pinus&lt;/i&gt;&lt;i&gt; nigra&lt;/i&gt; natural forests</t>
  </si>
  <si>
    <t>10.1016/j.foreco.2022.120161</t>
  </si>
  <si>
    <t>In the context of global change, wildfires are not only a threat but are also increasing in their severity in forest ecosystems worldwide, affecting and modifying vegetation, wildlife, and fungal dynamics. Mediterranean ecosystems are frequently affected by fire and prescribed burning is being increasingly used as a tool to reduce the risk and severity of wildfires. Although some of the effects of prescribed burning have been studied, the best moment to perform a prescribed burn to reduce the impact of fire on fungal communities has not been fully investigated. In this study, we analysed the effect of prescribed burning in two different seasons (spring and autumn) on soil fungi associated with natural Pinus nigra forests. Four years after prescribed burning was applied, our analyses showed that the total fungal richness and the composition of fungal communities in spring-burned, autumn-burned, and unburned control plots did not differ significantly. However, analyses of specific phyla and functional trophic groups did reveal some significant differences between spring-or autumn-burned plots and unburned control plots. Valuable edible fungi, which were not affected by the prescribed burning, were also found in the study area. Thus, our results suggest that prescribed burning is not only an interesting tool that could be used to reduce the risk of wildfire but also is compatible with the conservation of fungal communities, and could even promote specific valuable edible species, generating complementary incomes for the rural population. Although further studies are needed, our analyses suggest that the season (spring or autumn) in which prescribed burning is performed does not affect fungal conservation and, therefore, does not need to be one of the factors taken into consideration when selecting the most appropriate time to perform a prescribed burning.</t>
  </si>
  <si>
    <t>Bastias, Brigitte Alice</t>
  </si>
  <si>
    <t>The Influence of Repeated Prescribed Burning and Forest Conversion on Soil Fungal Communities</t>
  </si>
  <si>
    <t>Comparison of communities of ectomycorrhizal fungi in old-growth and mature stands of Douglas-fir at two sites on southern Vancouver Island</t>
  </si>
  <si>
    <t>574</t>
  </si>
  <si>
    <t>581</t>
  </si>
  <si>
    <t>10.1139/x98-026</t>
  </si>
  <si>
    <t>An old-growth and a mature stand, each of fire origin and similar in drainage, slope, and exposure, were selected at each of two sites. Soil cores were collected in spring and fall for 2 years in each stand. Ectomycorrhizae were separated into types based on detailed examination of morphology and anatomy. All root tips were separated and counted. Sixty-nine morphological types were distinguished. Nineteen accounted for &gt;1% of the 17 500 root tips examined, and 14 types were found in greater than or equal to 5% of the 120 soil cores. Only three types were found in greater than or equal to 20% of the cores. Total richness was approximately 100 fungi. Nine codominant mycosymbionts each colonized 2.8-24% of all tips and together colonized 67% of all tips. Cenococcum geophilum Fr. was the most abundant, followed by a Rhizopogon vinicolor Fr.-like species, an unidentified Piloderma-like species, Lactarius rubrilacteus Hesler &amp; Smith, Piloderma fallax (Libert) Stalpers, and four unidentified species. Old-growth and mature stands had similar richness and diversity of ectomycorrhizal types. There was no evidence that any types were more abundant or frequent in one age-class than in the other.</t>
  </si>
  <si>
    <t>Bowman, Elizabeth A.</t>
  </si>
  <si>
    <t>Effects of Climate Change and Related Processes on Communities of Symbiotrophic Fungi Associated with Ponderosa Pine&lt;em&gt; (Pinus ponderosa)&lt;/em&gt;</t>
  </si>
  <si>
    <t>Bastias, Brigitte A.; Huang, Zhiqun Q.; Blumfield, Tim; Xu, Zhihong; Cairney, John W. G.</t>
  </si>
  <si>
    <t>Influence of repeated prescribed burning on the soil fungal community in an eastern Australian wet sclerophyll forest</t>
  </si>
  <si>
    <t>3492</t>
  </si>
  <si>
    <t>3501</t>
  </si>
  <si>
    <t>10.1016/j.soilbio.2006.06.007</t>
  </si>
  <si>
    <t>A long-term prescribed burning experiment, incorporating replicated plots that receive burning biennially (2 yr burn) or quadrennially (4 yr burn) and unburned controls, has been maintained in a wet sclerophyll forest at Peachester, Queensland, Australia since 1972. In 2003 we extracted DNA from soil collected from the experimental plots and investigated the influence of the burning on the soil fungal community by comparing denaturing gradient gel electrophoresis (DGGE) profiles of PCR-amplified partial rDNA internal transcribed spacer regions (ITSI). Canonical analysis of principal coordinates (CAP) of the DGGE profiles of the upper 10cm of the soil profile grouped the data strongly according to treatment, indicating that both burning regimes significantly altered fungal community structure compared to the unburned controls. In contrast, no obvious trend was observed for soil from a depth of 10-20cm of the profile. Sequencing of selected DGGE bands found no obvious patterns of presence/absence of taxonomic groups between the treatments. Analysis of soil nitrogen and carbon by mass spectrometry indicated that total soil C and N, along with both gross and net N mineralisation, were significantly lower in 2 yr plots compared to control and 4 yr plots. (c) 2006 Elsevier Ltd. All rights reserved.</t>
  </si>
  <si>
    <t>Ratkowsky, D. A.; Gates, G. M.</t>
  </si>
  <si>
    <t>Macrofungi in early stages of forest regeneration in Tasmania's southern forests.</t>
  </si>
  <si>
    <t>Tasforests</t>
  </si>
  <si>
    <t>The present study compares the macrofungi at three study sites in the lowland wet eucalypt forest of southern Tasmania, all in early stages of regeneration, two from silvicultural treatments and one from wildfire. Although not part of a designed experiment, the three areas provided an unbroken, partially overlapping time-line in which macrofungi were recorded during the first 38 months of their development after disturbance and/or fire. Two of the three regenerating units had adjacent mature forest, the macrofungi of which were markedly different from those in the regeneration, the latter being dominated by opportunistic, predominantly saprotrophic species and very low in the symbiotic basidiomycetous ectomycorrhizal species that are abundant in the soils of mature forests. Studies such as these assist in a growing understanding of the nature of the early successional mycota in the southern forests of Tasmania.</t>
  </si>
  <si>
    <t>MALAJCZUK, N; HINGSTON, FJ</t>
  </si>
  <si>
    <t>ECTOMYCORRHIZAE ASSOCIATED WITH JARRAH</t>
  </si>
  <si>
    <t>453</t>
  </si>
  <si>
    <t>462</t>
  </si>
  <si>
    <t>10.1071/BT9810453</t>
  </si>
  <si>
    <t>Three major morphological types of ectomycorrhizae were distinguished on roots of E. marginata (jarrah). These were broadly classified as white, brown and black types. The variation in type of ectomycorrhizae and number of infected tips with season and depth in the soil were monitored at 3 forest sites. The sites were burnt 1, 6 and 45 yr before sampling. Formation of ectomycorrhizae occurred in winter and spring. The black type was found predominantly in the soil while the white and brown types were associated with litter. The mean number of ectomycorrhizal root tips was highest in the 45 yr unburnt and least in the 1 yr unburnt site, suggesting that burning history influences their abundance.</t>
  </si>
  <si>
    <t>Klamer, M; Roberts, MS; Levine, LH; Drake, BG; Garland, JL</t>
  </si>
  <si>
    <t>Influence of elevated CO&lt;sub&gt;2&lt;/sub&gt; on the fungal community in a coastal scrub oak forest soil investigated with terminal-restriction fragment length polymorphism analysis</t>
  </si>
  <si>
    <t>4370</t>
  </si>
  <si>
    <t>4376</t>
  </si>
  <si>
    <t>10.1128/AEM.68.9.4370-4376.2002</t>
  </si>
  <si>
    <t>Sixteen open-top chambers (diameter, 3.66 m) were established in a scrub oak habitat in central Florida where vegetation was removed in a planned burn prior to chamber installation. Eight control chambers have been continuously exposed to ambient air and eight have been continuously exposed to elevated CO2 at twice-ambient concentration (similar to700 ppm) for 5 years. Soil cores were collected from each chamber to examine the influence of elevated atmospheric CO, on the fungal community in different soil fractions. Each soil sample was physically fractionated into bulk soil, rhizosphere soil, and roots for separate analyses. Changes in relative fungal biomass were estimated by the ergosterol technique. In the bulk soil and root fractions, a significantly increased level of ergosterol was detected in the elevated CO, treatments relative to ambient controls. Fungal community composition was determined by terminal-restriction fragment length polymorphism (T-RFLP) analysis of the internal transcribed spacer (ITS) region. The specificities of different ITS primer sets were evaluated against plant and fungal species isolated from the experimental site. Changes in community composition were assessed by principal component analyses of T-RFLP profiles resolved by capillary electrophoresis. Fungal species richness, defined by the total number of terminal restriction fragments, was not significantly affected by either CO2 treatment or soil fraction.</t>
  </si>
  <si>
    <t>WARCUP, JH</t>
  </si>
  <si>
    <t>OCCURRENCE OF ECTOMYCORRHIZAL AND SAPROPHYTIC DISCOMYCETES AFTER A WILD FIRE IN A EUCALYPT FOREST</t>
  </si>
  <si>
    <t>1065</t>
  </si>
  <si>
    <t>1069</t>
  </si>
  <si>
    <t>During 1983, after a wild fire in a eucalypt forest at Kuitpo, South Australia, 14 species of discomycetes were recorded, but only Anthracobia melaloma, A. cf. maurilabra, Aleuria venustula, Pulvinula archeri and Lachnea vinosobrunnea were common or abundant. Most of the fungi recorded in 1983 were rare or absent in 1984 and 1985, but Pyronema omphalodes subsequently fruited in moist sites in the autumn and spring of 1984 and 1985. Peziza whitei was recorded in all three years. Boundiera tracheia, Plicaria alveolata, Sphaerosoma trispora and species of Muciturbo occurred predominantly in 1984. Other species (Pulvinula tetraspora, Aleurina FK30, Plicaria endocarpoides, Gymnohydnotrya cf. echinulata and Discinella terrestris) occurred in both 1984 and 1985, while Nothojafnea cryptotricha and Labyrinthomyces varius were only found in 1985; all occur in unburnt forest.Of the 26 species of discomycetes recorded, 20 were obtained in culture and 9 (Boudiera tracheia, Labyrinthomyces varius, Lachnea vinosobrunnea, Muciturbo reticulatus, Peziza FK34, Peziza whitei, Plicaria alveolata, Nothojafnea cryptotricha and Pulvinula tetraspora) formed ectomycorrhizas with Eucalyptus obliqua or Melaleuca uncinata.</t>
  </si>
  <si>
    <t>Jones, MD; Durall, DM; Cairney, JWG</t>
  </si>
  <si>
    <t>Ectomycorrhizal fungal communities in young forest stands regenerating after clearcut logging</t>
  </si>
  <si>
    <t>422</t>
  </si>
  <si>
    <t>10.1046/j.1469-8137.2003.00698.x</t>
  </si>
  <si>
    <t>The effects on the ectomycorrhizal fungal community of clearcut logging, which is used to harvest millions of hectares of ectomycorrhizal forest annually, has been studied for a number of years. Here, we review current knowledge of inoculum sources for ectomycorrhizal fungi in forests and then re-examine earlier studies of ectomycorrhizas on young trees in regenerating stands. We conclude that, taken separately from the effects of site preparation, the major impact of clearcut logging is to change the species composition of the ectomycorrhizal fungal community rather than to reduce the percentage of roots colonized. A thorough examination of site preparation treatments suggests that the changes in fungal species composition are driven by changes in the biology and chemistry of the soil environment after clearcutting as much as they are by loss or change in fungal inoculum. This is an important conclusion because it implies that these new ectomycorrhizal fungal communities are better adapted to the new conditions than the ones in the forest would have been. The shift in fungal species composition and diversity will have implications for seedling establishment and competition. The effects of individual fungi or diverse assemblages of fungi on seedling growth, and effects of changes in the ability of young trees to associate with a common mycelium are discussed.</t>
  </si>
  <si>
    <t>Janos, David P.; Scott, John; Aristizabal, Catalina; Bowman, David M. J. S.</t>
  </si>
  <si>
    <t>Arbuscular-Mycorrhizal Networks Inhibit &lt;i&gt;Eucalyptus tetrodonta&lt;/i&gt; Seedlings in Rain Forest Soil Microcosms</t>
  </si>
  <si>
    <t>10.1371/journal.pone.0057716</t>
  </si>
  <si>
    <t>Eucalyptus tetrodonta, a co-dominant tree species of tropical, northern Australian savannas, does not invade adjacent monsoon rain forest unless the forest is burnt intensely. Such facilitation by fire of seedling establishment is known as the "ashbed effect." Because the ashbed effect might involve disruption of common mycorrhizal networks, we hypothesized that in the absence of fire, intact rain forest arbuscular mycorrhizal (AM) networks inhibit E. tetrodonta seedlings. Although arbuscular mycorrhizas predominate in the rain forest, common tree species of the northern Australian savannas (including adult E. tetrodonta) host ectomycorrhizas. To test our hypothesis, we grew E. tetrodonta and Ceiba pentandra (an AM-responsive species used to confirm treatments) separately in microcosms of ambient or methyl-bromide fumigated rain forest soil with or without severing potential mycorrhizal fungus connections to an AM nurse plant, Litsea glutinosa. As expected, C. pentandra formed mycorrhizas in all treatments but had the most root colonization and grew fastest in ambient soil. E. tetrodonta seedlings also formed AM in all treatments, but severing hyphae in fumigated soil produced the least colonization and the best growth. Three of ten E. tetrodonta seedlings in ambient soil with intact network hyphae died. Because foliar chlorosis was symptomatic of iron deficiency, after 130 days we began to fertilize half the E. tetrodonta seedlings in ambient soil with an iron solution. Iron fertilization completely remedied chlorosis and stimulated leaf growth. Our microcosm results suggest that in intact rain forest, common AM networks mediate belowground competition and AM fungi may exacerbate iron deficiency, thereby enhancing resistance to E. tetrodonta invasion. Common AM networks-previously unrecognized as contributors to the ashbed effect-probably help to maintain the rain forest-savanna boundary.</t>
  </si>
  <si>
    <t>Schmidt, S; Stewart, GR</t>
  </si>
  <si>
    <t>δ&lt;SUP&gt;15&lt;/SUP&gt;N values of tropical savanna and monsoon forest species reflect root specialisations and soil nitrogen status</t>
  </si>
  <si>
    <t>569</t>
  </si>
  <si>
    <t>577</t>
  </si>
  <si>
    <t>10.1007/s00442-002-1150-y</t>
  </si>
  <si>
    <t>A large number of herbaceous and woody plants from tropical woodland, savanna, and monsoon forest were analysed to determine the impact of environmental factors (nutrient and water availability, fire) and biological factors (microbial associations, systematics) on plant delta(15)N values. Foliar delta(15)N values of herbaceous and woody species were not related to growth form or phenology, but a strong relationship existed between mycorrhizal status and plant delta(15)N. In woodland and savanna, woody species with ectomycorrhizal (ECM) associations and putative N-2-fixing species with ECM/arbuscular (AM) associations had lowest foliar delta(15)N values (1.0-0.6parts per thousand), AM species had mostly intermediate delta(15)N values (average +0.6parts per thousand), while non-mycorrhizal Proteaceae had highest delta(15)N values (+2.9 to +4.1parts per thousand). Similar differences in foliar delta(15)N were observed between AM (average 0.1 and 0.2parts per thousand) and non-mycorrhizal (average +0.8 and +0.3parts per thousand) herbaceous species in woodland and savanna. Leguminous savanna species had significantly higher leaf N contents (1.8-2.5% N) than non-fixing species (0.9-1.2% N) indicating substantial N acquisition via N-2 fixation. Monsoon forest species had similar leaf N contents (average 2.4% N) and positive delta(15)N values (+0.9 to +2.4parts per thousand). Soil nitrification and plant NO3- use was substantially higher in monsoon forest than in woodland or savanna. In the studied communities, higher soil N content and nitrification rates were associated with more positive soil delta(15)N and plant delta(15)N. In support of this notion, Ficus, a high NO3- using taxa associated with NO3- rich sites in the savanna, had the highest delta(15)N values of all AM species in the savanna. delta(15)N of xylem sap was examined as a tool for studying plant delta(15)N relations. delta(15)N of xylem sap varied seasonally and between differently aged Acacia and other savanna species. Plants from annually burnt savanna had significantly higher delta(15)N values compared to plants from less frequently burnt savanna, suggesting that foliar N-15 natural abundance could be used as marker for assessing historic fire regimes. Australian woodland and savanna species had low leaf delta(15)N and N content compared to species from equivalent African communities indicating that Australian biota are the more N depauperate. The largest differences in leaf delta(15)N occurred between the dominant ECM Australian and African savanna (miombo) species, which were depleted and enriched in N-15, respectively. While the depleted delta(15)N of Australian ECM species are similar to those of previous reports on ECM species in natural plant communities, the N-15-enriched delta(15)N of African ECM species represent an anomaly.</t>
  </si>
  <si>
    <t>Brundrett, MC; Ashwath, N; Jasper, DA</t>
  </si>
  <si>
    <t>Mycorrhizas in the Kakadu region of tropical Australia .2. Propagules of mycorrhizal fungi in disturbed habitats</t>
  </si>
  <si>
    <t>173</t>
  </si>
  <si>
    <t>10.1007/BF00029286</t>
  </si>
  <si>
    <t>Bioassays were used to provide estimates of both the distribution and abundance of mycorrhizal fungus propagules in soils from mine sites and natural habitats in tropical Australia. These bioassays measured mycorrhizal formation by bait plants that were grown in intact cores of soil collected along a transect at each site. The mine sites included, had sparse, patchy or dense vegetation cover on waste-rock materials that would initially have been devoid of mycorrhizal fungus propagules. The natural habitats included eucalypt savanna sites which had been subjected to hot annual fires for 4 years or remained unburnt. Propagules of vesicular-arbuscular mycorrhizal (VAM) and ectomycorrhizal (ECM) fungi occurred in all sites, but were sporadically distributed in highly disturbed areas, where they were associated with patches of vegetation. Both the relative abundance and frequency of occurrence of inoculum of VAM and ECM fungi increased with vegetation cover in older disturbed sites. Propagules of VAM fungi were substantially more numerous in some mine site habitats with dense vegetation cover, than in adjacent natural habitats. The presence of substantial amounts of phosphorus, released from weathering rock, in mine waste rock materials may have reduced the requirement of plants for mycorrhizal associations during vegetation establishment in mine sites. In woodland sites, hot annual fires appeared to restrict ECM fungi to infrequent patches in the surface horizon, while ECM fungus inoculum was much more frequently detected in soil from the unburnt site. These fire regimes apparently had less effect on the distribution or quantity of VAM fungus inoculum.</t>
  </si>
  <si>
    <t>Hewitt, R. E.; Taylor, D. L.; Hollingsworth, T. N.; Chapin, F. S., III</t>
  </si>
  <si>
    <t>Resprouting tundra shurbs may act as ectomycorrhizal refugia during wildfire facilitating boreal tree seedling establishment.</t>
  </si>
  <si>
    <t>Boreal forests in a changing world: challenges and needs for actions, Proceedings of the international conference, August 15-21 2011, Krasnoyarsk, Russia</t>
  </si>
  <si>
    <t>129</t>
  </si>
  <si>
    <t>132</t>
  </si>
  <si>
    <t>Soil microbes are key drivers of ecosystem processes, yet their role in regulating landscape-scale vegetation change is not known. Comprehensive studies of treeline position have noted that ectomycorrhizal fungi (EMF) may be an important factor delineating the boundary between forest and tundra. However, these critical plant-fungal symbioses are sensitive to wildfires. We investigated the role of ectomycorhizal tundra shrubs in facilitating boreal tree seedling establishment after fire at treeline through the provision of fungal symbionts and access to common mycorhizal networks.</t>
  </si>
  <si>
    <t>Conference abstract?</t>
  </si>
  <si>
    <t>Dickie, IA; Xu, B; Koide, RT</t>
  </si>
  <si>
    <t>Vertical niche differentiation of ectomycorrhizal hyphae in soil as shown by T-RFLP analysis</t>
  </si>
  <si>
    <t>527</t>
  </si>
  <si>
    <t>10.1046/j.1469-8137.2002.00535.x</t>
  </si>
  <si>
    <t>Niche differentiation for different soil substrates has been proposed as a mechanism contributing to ectomycorrhizal fungal diversity. This hypothesis has been largely untestable because of a lack of techniques to study the in situ distribution of ectomycorrhizal hyphae.We developed a technique involving soil DNA extraction, PCR and terminal restriction fragment length polymorphism (T-RFLP) analysis for species identification to investigate the vertical distribution of fungal hyphae in four distinct layers of the forest floor (lower litter, F-layer, H-layer, and B-horizon) of a Pinus resinosa plantation.Fungal communities differed markedly among the four layers. Cluster analysis suggested six different patterns of resource utilization: litter-layer specialists, litter-layer generalists, F-layer, H-layer, and B-horizon species, and multilayer generalists. Known ectomycorrhizal species were found in all six clusters.This spatial partitioning observed among ectomycorrhizal fungi along a single, relatively simple substrate-resource gradient supports the niche differentiation hypothesis as an important mechanism contributing to ectomycorrhizal fungal diversity.</t>
  </si>
  <si>
    <t>Osburn, Ernest D.; Miniat, Chelcy F.; Elliott, Katherine J.; Barrett, J. E.</t>
  </si>
  <si>
    <t>Effects of Rhododendron removal on soil bacterial and fungal communities in southern Appalachian forests</t>
  </si>
  <si>
    <t>10.1016/j.foreco.2021.119398</t>
  </si>
  <si>
    <t>Rhododendron maximum, a native ericaceous evergreen shrub, is expanding in forests of the southern Appalachian region following eastern hemlock (Tsuga canadensis) mortality due to hemlock woolly adelgid (Adelges tsugae) infestations. The goal of our study was to examine soil microbial community responses to experimental R. maximum removal treatments. The experiment was implemented as a 2 x 2 factorial design, including two R. maximum canopy removal levels (cut vs. not cut) combined with two forest floor removal levels (burned vs. not burned). These treatments were designed as potential management strategies to facilitate hardwood tree establishment in forests that have experienced T. canadensis declines. We sampled soils after removals and characterized bacterial and fungal communities using amplicon sequencing. Shrub removal did not affect bacterial or fungal alpha diversity but did affect both bacterial and fungal community composition. Relative abundances of bacterial phyla and fungal classes exhibited no differences among R. maximum removal treatments. However, specific bacterial and fungal taxa that were responsive to R. maximum removal (i.e., differentially abundant sequences) did exhibit clear patterns at high taxonomic levels. Specifically, taxa that responded negatively to R. maximum removal were found primarily in two bacterial phyla (Proteobacteria and Bacteroidetes) and one fungal class (Archaeorhizomycetes) while positive responders were clustered in several other bacterial phyla (e.g., Actinobacteria, Planctomycetes, Cyanobacteria). Fungal functional guilds also responded to R. maximum removal, including negative responses of ericoid mycorrhizae and positive responses of arbuscular mycorrhizae and wood saprotrophs. Effects of R. maximum removal on soil microbial communities were minor overall, but clear effects on some key functional groups were evident (i.e., mycorrhizal fungi), suggesting that microbial responses to R. maximum removal may influence recovery of forests in the southern Appalachian region.</t>
  </si>
  <si>
    <t>Izzo, A; Canright, M; Bruns, TD</t>
  </si>
  <si>
    <t>The effects of heat treatments on ectomycorrhizal resistant propagules and their ability to colonize bioassay seedlings</t>
  </si>
  <si>
    <t>10.1016/j.mycres.2005.08.010</t>
  </si>
  <si>
    <t>The effect of disturbance on the resistant propagule community (RPC) of ectomycorrhizal fungi has been given relatively little attention. In this study we investigate the effects of heat, one important factor of fire disturbances, on the ability of ectomycorrhizal RPC fungi to colonize Pinus jeffreyi seedlings in greenhouse bioassays. Prior to planting the seed, soils were collected from an old growth mixed-conifer forest in the southern Sierra Nevada, Califomia, USA and then subjected to four heat treatments of none, 45 degrees C, 60 degrees C, and 75 degrees C. After eight months, seedlings were harvested and the ectomycorrhizal fungi colonizing the roots were characterized by molecular methods (PCR-RFLP and DNA sequencing). Rhizopogon species increased in dominance on seedlings grown in soils receiving the 75 degrees C heat treatment. One species significantly increased in frequency, Rhizopogon olivaceotinctus, and two species (Cenococcum geophilum and Wilcoxina sp.) significantly decreased in frequency in the 75 degrees C treatment. The increase of R. olivaceotinctus, coupled with other features of its behavior, suggests that substantial heat disturbances may benefit this species in competing for roots. (c) 2005 The British Mycological Society. Published by Elsevier Ltd. All rights reserved.</t>
  </si>
  <si>
    <t>Borchers, Jeffrey George</t>
  </si>
  <si>
    <t>Physical processes affecting soil biotic and abiotic responses to disturbance in forest ecosystems of southwestern Oregon</t>
  </si>
  <si>
    <t>Martin-Pinto, Pablo; Oria-de-Rueda, Juan Andres; Dejene, Tatek; Mediavilla, Olaya; Hernandez-Rodriguez, Maria; Reque, Jose A.; Sanz-Benito, Ignacio; Santos, Maria; Geml, Jozsef</t>
  </si>
  <si>
    <t>Influence of stand age and site conditions on ectomycorrhizal fungal dynamics in &lt;i&gt;Cistus ladanifer&lt;/i&gt;-dominated scrubland ecosystems</t>
  </si>
  <si>
    <t>10.1016/j.foreco.2022.120340</t>
  </si>
  <si>
    <t>Cistus ladanifer-dominated ecosystems are widely distributed in the Western Mediterranean basin and are affected by recurrent fires. Although these scrublands were traditionally considered unproductive, these systems provide significant ecological benefits via mushroom production, which has increased interest in better understanding these ecosystems to restore and promote productivity. We analyzed 48 plots located in Supra- and MesoMediterranean regions in western Spain to assess the soil fungal community and their ecological drivers using IT52 rDNA Illumina Miseq. The study plots comprised young (early-stage successional stands), middle(middle-stage successional stands), and late-stage stands. Shannon diversity index values for total fungi were higher under a MesoMediterranean than under a SupraMediterranean climate type, whereas the richness values for ectomycorrhizal (EcM) taxa were higher in late-stage stands than in the younger stands. EcM community composition was influenced by stand age, climatic variables and edaphic parameters. These C. ladanifer-dominated ecosystems support diverse fungi, including edible species such as Boletus, Lactarius, and Laccaria, under specific precipitation, temperature, and late-stage stand factor conditions. Although forest management cannot modify temperature and precipitation, management strategies that consider mosaic landscapes to reduce the severity of potential fires and that retain late successional stands could provide suitable habitats for promoting fungal diversity, production, and function in these scrubland systems.</t>
  </si>
  <si>
    <t>Fanin, Nicolas; Clemmensen, Karina E.; Lindahl, Bjoern D.; Farrell, Mark; Nilsson, Marie-Charlotte; Gundale, Michael J.; Kardol, Paul; Wardle, David A.</t>
  </si>
  <si>
    <t>Ericoid shrubs shape fungal communities and suppress organic matter decomposition in boreal forests</t>
  </si>
  <si>
    <t>684</t>
  </si>
  <si>
    <t>697</t>
  </si>
  <si>
    <t>10.1111/nph.18353</t>
  </si>
  <si>
    <t>Mycorrhizal fungi associated with boreal trees and ericaceous shrubs are central actors in organic matter (OM) accumulation through their belowground carbon allocation, their potential capacity to mine organic matter for nitrogen (N) and their ability to suppress saprotrophs. Yet, interactions between co-occurring ectomycorrhizal fungi (EMF), ericoid mycorrhizal fungi (ERI), and saprotrophs are poorly understood. We used a long-term (19 yr) plant functional group manipulation experiment with removals of tree roots, ericaceous shrubs and mosses and analysed the responses of different fungal guilds (assessed by metabarcoding) and their interactions in relation to OM quality (assessed by mid-infrared spectroscopy and nuclear magnetic resonance) and decomposition (litter mesh-bags) across a 5000-yr post-fire boreal forest chronosequence. We found that the removal of ericaceous shrubs and associated ERI changed the composition of EMF communities, with larger effects occurring at earlier stages of the chronosequence. Removal of shrubs was associated with enhanced N availability, litter decomposition and enrichment of the recalcitrant OM fraction. We conclude that increasing abundance of slow-growing ericaceous shrubs and the associated fungi contributes to increasing nutrient limitation, impaired decomposition and progressive OM accumulation in boreal forests, particularly towards later successional stages. These results are indicative of the contrasting roles of EMF and ERI in regulating belowground OM storage.</t>
  </si>
  <si>
    <t>Carrara, Joseph E.</t>
  </si>
  <si>
    <t>Nitrogen Fertilization Decouples Roots and Microbes in Temperate Forests: Impacts on Soil Carbon and Nitrogen Cycling</t>
  </si>
  <si>
    <t>Waldrop, Mark P.; Harden, Jennifer W.</t>
  </si>
  <si>
    <t>Interactive effects of wildfire and permafrost on microbial communities and soil processes in an Alaskan black spruce forest</t>
  </si>
  <si>
    <t>GLOBAL CHANGE BIOLOGY</t>
  </si>
  <si>
    <t>2591</t>
  </si>
  <si>
    <t>2602</t>
  </si>
  <si>
    <t>10.1111/j.1365-2486.2008.01661.x</t>
  </si>
  <si>
    <t>Boreal forests contain significant quantities of soil carbon that may be oxidized to CO2 given future increases in climate warming and wildfire behavior. At the ecosystem scale, decomposition and heterotrophic respiration are strongly controlled by temperature and moisture, but we questioned whether changes in microbial biomass, activity, or community structure induced by fire might also affect these processes. We particularly wanted to understand whether postfire reductions in microbial biomass could affect rates of decomposition. Additionally, we compared the short-term effects of wildfire to the long-term effects of climate warming and permafrost decline. We compared soil microbial communities between control and recently burned soils that were located in areas with and without permafrost near Delta Junction, AK. In addition to soil physical variables, we quantified changes in microbial biomass, fungal biomass, fungal community composition, and C cycling processes (phenol oxidase enzyme activity, lignin decomposition, and microbial respiration). Five years following fire, organic surface horizons had lower microbial biomass, fungal biomass, and dissolved organic carbon (DOC) concentrations compared with control soils. Reductions in soil fungi were associated with reductions in phenol oxidase activity and lignin decomposition. Effects of wildfire on microbial biomass and activity in the mineral soil were minor. Microbial community composition was affected by wildfire, but the effect was greater in nonpermafrost soils. Although the presence of permafrost increased soil moisture contents, effects on microbial biomass and activity were limited to mineral soils that showed lower fungal biomass but higher activity compared with soils without permafrost. Fungal abundance and moisture were strong predictors of phenol oxidase enzyme activity in soil. Phenol oxidase enzyme activity, in turn, was linearly related to both C-13 lignin decomposition and microbial respiration in incubation studies. Taken together, these results indicate that reductions in fungal biomass in postfire soils and lower soil moisture in nonpermafrost soils reduced the potential of soil heterotrophs to decompose soil carbon. Although in the field increased rates of microbial respiration can be observed in postfire soils due to warmer soil conditions, reductions in fungal biomass and activity may limit rates of decomposition.</t>
  </si>
  <si>
    <t>REDDELL, P; MALAJCZUK, N</t>
  </si>
  <si>
    <t>FORMATION OF MYCORRHIZAE BY JARRAH (EUCALYPTUS-MARGINATA DONN EX SMITH) IN LITTER AND SOIL</t>
  </si>
  <si>
    <t>511</t>
  </si>
  <si>
    <t>520</t>
  </si>
  <si>
    <t>10.1071/BT9840511</t>
  </si>
  <si>
    <t>In soils under forest conditions and on seedlings grown under glasshouse conditions jarrah mycorrhizae exhibited strong habitat preferences. Litter on the forest floor was the main site for the formation of the white and brown ectomycorrhizae, and removal of the litter layer by prescribed burning reduced by 90% the numbers of these 2 ectomycorrhizae. Black ectomycorrhizae were dominant in the mineral horizons of soil and were unaffected by the type of surface litter. In glasshouse experiments litter from different plant species significantly influenced formation of ectomycorrhizae by jarrah seedlings. Litter from Acacia pulchella R. Br. was favorable for formation of ectomycorrhizae but ectomycorrhizae were absent from Banksia grandis Wild. litter. Black ectomycorrhizae, Hysterangium-initiated ectomycorrhizae and vesicular arbuscular mycorrhizae formed on jarrah seedlings in the soils used in glasshouse studies. Addition of N and P to these soils influenced the relative abundance of mycorrhizae. It is postulated that inoculum levels, nutrient status of litter and soil, and the presence of compounds inhibitory to fungal growth are critical in determining the abundance of mycorrhizae. Factors affecting formation of mycorrhizae by jarrah and the ecological implications of these results are discussed.</t>
  </si>
  <si>
    <t>Stendell, ER; Horton, TR; Bruns, TD</t>
  </si>
  <si>
    <t>Early effects of prescribed fire on the structure of the ectomycorrhizal fungus community in a Sierra Nevada ponderosa pine forest</t>
  </si>
  <si>
    <t>1353</t>
  </si>
  <si>
    <t>1359</t>
  </si>
  <si>
    <t>10.1017/S0953756299008618</t>
  </si>
  <si>
    <t>The effects of a prescribed fire on the presence of ectomycorrhizal fungi on the root tips of ponderosa pine were investigated one year after a prescribed ground fire. Ectomycorrhizas were sampled within 1 m(2) plots before and one year after the fire, and in nearby control plots that were not burned. The cores were divided into litter/organic, upper mineral, and lower mineral layers. The total ectomycorrhizal biomass in the control plots did not differ between year one and rear two samples for any core layer, while in the fire plots the destruction of the litter/organic layer resulted in an eight-fold reduction in total ectomycorrhizal biomass. Mycorrhizal biomass in the two mineral layers was not significantly reduced by the fire. We used molecular tools to identify fungi directly from the ectomycorrhizas. In unburned plots members of the Russulaceae and Thelephoraceae were among the most frequent and abundant ectomycorrhizal types; species of most other taxa were rare. In the control plots these two families were among the dominant species in both years, but patchiness on a fine spatio-temporal scale caused some major changes in ranking of individual species between sample years. Rhizopogon subcaerulescens was the most pronounced example: its biomass in the control plot samples was seven times greater in year two than in year one because of an exceptionally large cluster of mycorrhizas encountered in a single core. The effect of fire on individual species was difficult to assess because of this patchiness and because all species were low in abundance after the fire. The most abundant pre-fire species were reduced to undetectable post-fire levels, while several less abundant species, including R. subcaerulescens, Cenococcum geophilum, and several unknown types were not substantially reduced by the fire. We speculate that the more abundant species, Martellia sp., thelephoroid 1, and Tomentella sublilacina, were differentially affected because their dominance was most prominent at the litter and organic layers. In any case, a short-term effect of this fire appears to be increased species evenness.</t>
  </si>
  <si>
    <t>Voth, P.; McLaughlin, D. J.; Reich, P. B.</t>
  </si>
  <si>
    <t>Ectomycorrhizal fungal diversity in a native oak savannah: An initial view from below ground</t>
  </si>
  <si>
    <t>S126</t>
  </si>
  <si>
    <t>We have begun to analyze the ectomycorrhizal fungal diversity in a native oak savannah at a Long Term Ecological Research site, Cedar Creek Natural History Area, to compare the fungal community structure in a savannah subject to frequent fires with an unburned woodland. For 35 years plots have been subjected to fires in nine years out of ten, or have been left unburned. Previous studies on these plots have shown that frequent burning affects the soil chemistry by lowering the nitrogen content, decreasing organic matter, and increasing the pH, thus restoring niches that were present before European settlement. Examination of fruiting bodies has revealed high species diversity and species differences between the two plot types. The initial belowground analysis has involved random sampling of ectomycorrhizae from soil cores randomly distributed within a burned and unburned plot. Restriction fragment length polymorphisms of the ITS region were produced using two restriction enzymes and compared with patterns derived from fruiting bodies collected in the same plots. Initial identifications have shown several mushroom families associated with the roots. Comparisons between the aboveground and belowground results will be presented.</t>
  </si>
  <si>
    <t>Talbot, J.; Sayer, E.</t>
  </si>
  <si>
    <t>Special Issue: Forest microbiome.</t>
  </si>
  <si>
    <t>Microbial Ecology</t>
  </si>
  <si>
    <t>723</t>
  </si>
  <si>
    <t>921</t>
  </si>
  <si>
    <t>This special issue contains 18 papers on microorganisms in forests and forest soils. Specifically, the papers cover the following topics: responses of soil fungi to logging and agriculture; effects of fungal communities in litter decomposition; fungal colonization in wood; ectomycorrhizal fungi along forest development stages after mining; microbial responses to soil moisture in a wet tropical forest; rhizosphere bacterial communities; rhizosphere of a Mediterranean forest after a wildfire; forest management practices in temperate beech forests on bacterial and fungal communities involved in leaf litter degradation; and microbiome of tree ectomycorrhizas.</t>
  </si>
  <si>
    <t>Review?</t>
  </si>
  <si>
    <t>Ines Carron, Ayelen; Alejandro Garibaldi, Lucas; Marquez, Sebastian; Fontenla, Sonia</t>
  </si>
  <si>
    <t>The soil soil fungal community of native woodland in Andean Patagonian forest: A case study considering experimental forest management and seasonal effects</t>
  </si>
  <si>
    <t>10.1016/j.foreco.2020.117955</t>
  </si>
  <si>
    <t>Forest management can alter soil fungal communities which are important in the regulation of biogeochemical cycles and other ecosystem services. The current challenge of sustainable management is that management be carried out while preserving the bioecological aspects of ecosystems. Mixed Patagonian woodlands are subject to continuous disturbance (fire, wood extraction, and livestock), with unknown consequences for soil fungal communities. Our objective was to study the fungal community and the effects of an experimental forest management program, which combines harvesting and implantation, on the soil fungal communities in Patagonian woodland, in Argentina; considering contrasting seasons and soil parameters. At site level, the mixed woodlands appear to have greater soil cover with AM plants and soil chemical characteristics similar to other forest environments in the same region, with an intermediate fungal diversity value. When the seasonal effect was analyzed, no changes were observed in the fungal richness and diversity index, whereas modifications were recorded in the class level, in the ecological guilds, and in certain soil parameters; the inversion of phyla should be highlighted. Ascomycota and Basidiomycota were the predominant phyla, and presented a tendency to an inversion between seasons: Ascomycota fungi predominated in autumn, while Basidiomycota were more abundant in summer. The Glomeromycota were not well represented in this study. The most abundant classes were Agaricomycetes, followed by Leotiomycetes, Sordariomycetes, and Tremellomycetes, with some changes in the proportions between the two seasons, which could be related to certain soil characteristics. The most abundant orders in both seasons were Agaricales, Helotiales, Mortierellales, and Filobasidiales, correlated with some soil characteristics. The ordination analysis (NMDS) showed a correlation between taxonomic assignation and some soil characteristics, and only between class seasons. The most abundant ecological guild was saprotrophs (in both seasons: Hygrocybe, Mortierella, Cryptococcus), followed by plant pathogens (Ilyonectria, which increase in autumn); and the ectomycorrhizal symbiont (Hygrocybe in both seasons, while in summer Cortinarius, Clitopilus, and Geoglosswn), all are related to C and N cycle. The only post-management changes observed in soil fungal community and chemical characteristics were in fungal richness (OTUs) and available phosphorus values; all the others (diversity indexes, taxonomy, and ecological guilds) were unaffected by this anthropic disturbance. It should be highlighted that available P and fungal species richness could be proposed as bioindicators. Future studies in native management programs, considering other aspects such as diversity of vegetation uses and system functions of the area will allow us to assess whether some of these changes are early bio-indicators of sustainable use and management.</t>
  </si>
  <si>
    <t>CLARIDGE, AW; TANTON, MT; SEEBECK, JH; CORK, SJ; CUNNINGHAM, RB</t>
  </si>
  <si>
    <t>ESTABLISHMENT OF ECTOMYCORRHIZAE ON THE ROOTS OF 2 SPECIES OF EUCALYPTUS FROM FUNGAL SPORES CONTAINED IN THE FECES OF THE LONG-NOSED POTOROO (POTOROUS-TRIDACTYLUS)</t>
  </si>
  <si>
    <t>AUSTRALIAN JOURNAL OF ECOLOGY</t>
  </si>
  <si>
    <t>217</t>
  </si>
  <si>
    <t>10.1111/j.1442-9993.1992.tb00799.x</t>
  </si>
  <si>
    <t>The long-nosed potoroo (Potorous tridactylus), aa medium-sized, ground-dwelling marsupial, inhabits the foothills and coastal forests of southeastern mainland Australia. Faecal analysis confirmed the mycophagous habit of P. tridactylus at aa eucalypt forest site in East Gippsland, Victoria; in one month, the spores of 33 different fungi were identified. The majority of species (27) were hypogeal or subhypogeal gasteromycetes that form ectomycorrhizae with forest trees and shrubs, and included the widespread and common Mesophellia pachythrix. The possible role of mycophagy in establishment of eucalypt-fungal mycorrhizae was investigated in several ways. Fungal spores were viable after passage through the gut of P. tridactylus; application of spore-bearing faeces to seedlings of Eucalyptus sieberi and Eucalyptus globoidea grown in sterile soil produced ectomycorrhizae. Spores of M. pachythrix were among the most common spores in these faeces and some of the resulting ectomycorrhizae were of the type expected from M. pachythrix. In contrast, direct application of M. pachythrix spores from sporocarp tissue to seedlings produced no ectomycorrhizae. Ectomycorrhizae also were established on seedlings grown in unsterilized forest soil, indicating that soil-borne spores had been conditioned, either by passage through the gut of aa mammal or some other means, for reaction with the roots of eucalypts. Addition of faeces improved root and shoot growth of seedlings, although we could not determine whether this was primarily due to the formation of ectomycorrhizae, the addition of nutrients in the faeces, or aa combination of both. Potorous tridactylus may enhance the re-establishment of mycorrhizal colonies in logged and/or burned forest sites by dispersing in its faeces, the spores of mycorrhizal fungi from sporocarps consumed within the disturbed area, as well as spores from sporocarps eaten in adjacent undisturbed habitat. In performing this function, P. tridactylus may also aid in the recovery of regenerating silvertop ash-stringybark forests.</t>
  </si>
  <si>
    <t>CLARIDGE, AW</t>
  </si>
  <si>
    <t>IS THE RELATIONSHIP AMONG MYCOPHAGOUS MARSUPIALS, MYCORRHIZAL FUNGI AND PLANTS DEPENDENT ON FIRE</t>
  </si>
  <si>
    <t>225</t>
  </si>
  <si>
    <t>10.1111/j.1442-9993.1992.tb00801.x</t>
  </si>
  <si>
    <t>Hughes, Karen W.; Matheny, P. Brandon; Miller, Andrew N.; Petersen, Ronald H.; Iturriaga, Teresa M.; Johnson, Kristine D.; Methven, Andrew S.; Raudabaugh, Daniel B.; Swenie, Rachel A.; Bruns, Thomas D.</t>
  </si>
  <si>
    <t>Pyrophilous fungi detected after wildfires in the Great Smoky Mountains National Park expand known species ranges arid biodiversity estimates</t>
  </si>
  <si>
    <t>677</t>
  </si>
  <si>
    <t>698</t>
  </si>
  <si>
    <t>10.1080/00275514.2020.1740381</t>
  </si>
  <si>
    <t>Following a late fall wildfire in 2016 in the Great Smoky Mountains National Park, pyrophilous fungi in burn zones were documented over a 2-y period with respect to burn severity and phenology. Nuc rDNA internal transcribed spacer (ITS1-5.8S-ITS2 = ITS) barcodes were obtained to confirm morphological evaluations. Forty-one taxa of Ascomycota and Basidiomycota were identified from burn sites and categorized as fruiting only in response to fire or fruiting enhanced by fire. Twenty-two species of Pezizales (Ascomycota) were among the earliest to form ascomata in severe burn zones, only one of which had previously been documented in the Great Smoky Mountains National Park. Nineteen species of Basidiomycota, primarily Agaricales, were also documented. Among these, only five species (Coprinellus angulatus, Gymnopilus decipiens, Lyophyllum anthracophilum, Pholiota carbonicola, and Psathyrella pennata) were considered to be obligate pyrophilous taxa, but fruiting of two additional taxa (Hygrocybe conica and Mycena galericulata) was clearly enhanced by fire. Laccaria trichodermophora was an early colonizer of severe burn sites and persisted through the winter of 2017 and into spring and summer of 2018, often appearing in close association with Pinus pungens seedlings. Fruiting of pyrophilous fungi peaked 4-6 mo post fire then diminished, but some continued to fruit up to 2.5 y after the fire. In all, a total of 27 previously unrecorded taxa were added to the All Taxa Biodiversity Inventory (ATBI) database (similar to 0.9%). Most pyrophilous fungi identified in this study are either cosmopolitan or have a Northern Hemisphere distribution, but cryptic endemic lineages were detected in Anthracobia and Sphaerosporella. One new combination, Hygrocybe spadicea var. spadicea f. odora, is proposed.</t>
  </si>
  <si>
    <t>Fernandez-Guisuraga, Jose Manuel; Marcos, Elena; de Miera, Luis E. Saenz; Ansola, Gemma; Pinto, Rayo; Calvo, Leonor</t>
  </si>
  <si>
    <t>Short-term responses of ecosystem multifunctionality to fire severity are modulated by fire-induced impacts on plant and soil microbial communities</t>
  </si>
  <si>
    <t>10.1016/j.scitotenv.2023.165477</t>
  </si>
  <si>
    <t>This study represents a first attempt to shed light into the mechanisms that modulate the response of ecosystem multifunctionality (EMF) to fire severity in post-fire landscapes. We specifically investigated the role played by fireinduced changes on above and belowground communities in the modulation of EMF responses at short-term after fire. For this purpose, we estimated EMF using an averaging approach from three ecosystem functions (carbon regulation, decomposition and soil fertility) and their standardized functional indicators in field plots burned at low and high fire severity 1-year after a wildfire occurred in a Mediterranean ecosystem in the central region of Spain. Plant taxonomic and functional richness, and the bacterial and fungal taxonomic richness, were measured in the plots as community properties with a potential intermediate control over fire severity effects on EMF. The ecological effects of fire severity on above and belowground communities were important in shaping EMF as evidenced by Structural Equation Modeling (SEM). Indeed, the evidenced shrinkage exerted by high fire severity on EMF at short-term after fire was not direct, but modulated by fire-induced effects on the plant functional richness and the microbial taxonomic richness. However, EMF variation was more strongly modulated by indirect effects of fire severity on the biodiversity of soil microbial communities, than by the effects on the plant communities. Particularly, the fungal community exerted the strongest intermediate control (standardized SEM [3 coefficient = 0.62), which can be linked to the differential response of bacterial ([3 = -0.36) and fungal ([3 = -0.84) communities to fire severity evidenced here. Our findings demonstrate that the effects of fire severity on above and belowground communities are important drivers of shortterm ecosystem functioning. Efforts tailored to secure the provision of multiple functions should be focused on promoting the recovery on soil microbial communities under high-severity scenarios.</t>
  </si>
  <si>
    <t>Andy, JJ; Ogunowo, PO; Akpan, NA; Odigwe, CO; Ekanem, IA; Esin, RA</t>
  </si>
  <si>
    <t>Helminth associated hypereosinophilia and tropical endomyocardial fibrosis (EMF) in Nigeria</t>
  </si>
  <si>
    <t>ACTA TROPICA</t>
  </si>
  <si>
    <t>10.1016/S0001-706X(97)00125-3</t>
  </si>
  <si>
    <t>There should be a recognisable trend between the incidence of hypereosinophilia and the duration of tropical endomyocardial fibrosis (EMF), if the hypothesis, that EMF is the burnt out phase of eosinophil associated heart disease, is correct. We tested this hypothesis in a prospective study of 89 consecutive EMF cases over an 18 year period at two Nigerian locations (Ife in South West and Calabar in South East). We carefully dated the duration of EMF symptoms at first presentation and screened for hypereosinophilia (eosinophilia greater than or equal to 1500/mm(3)), and their causes. When no cause was identified for hypereosinophilia we gave a therapeutic trial with diethylcarbamazine to the patients.An eosinophil count greater than or equal to 1000/mm(3) was recorded in 80% of 24 cases seen within 6 months; 55% of 46 cases seen 0-24 months; 54% of 18 cases seen 25-48 months and 21% of 25 cases seen more than 49 months of onset of symptoms: while the respective distribution of eosinophil count greater than or equal to 1500/mm(3) for similar periods were 66, 44, 27 and 21%. This reflects a highly significant (P &lt; 0.001) inverse relationship between hypereosinophilia and the duration of EMF and strengthens the concept that EMF (without eosinophilia) represents the late stage of eosinophilic heart disease.The localisation of endemic EMF to the low-lying tropical rain forest Zone and its predominant occurrence among rural dwellers and farmers suggest a vector borne etiologic agent. Microfilaria was the most likely cause of hypereosinophilia in the cases presented. (C) 1998 Elsevier Science B.V. All rights reserved.</t>
  </si>
  <si>
    <t>Graham, Robert C.; Egerton-Warburton, Louise M.; Hendrix, Paul F.; Shouse, Peter J.; Johnson-Maynard, Jodi L.; Quideau, Sylvie A.; Sternberg, Paul D.; Jobes, Jack A.; Breiner, Joan M.</t>
  </si>
  <si>
    <t>Wildfire Effects on Soils of a 55-Year-Old Chaparral and Pine Biosequence</t>
  </si>
  <si>
    <t>SOIL SCIENCE SOCIETY OF AMERICA JOURNAL</t>
  </si>
  <si>
    <t>376</t>
  </si>
  <si>
    <t>10.2136/sssaj2015.09.0317</t>
  </si>
  <si>
    <t>A chaparral and pine biosequence established in 1946 was burned in a wildfire in 2002. Thorough studies of the soil environments during the previous two decades established a baseline for comparison of post-fire changes. Aboveground vegetation was reduced to charred stems, and litter layers were combusted to white ash and charred material. Nevertheless, during the first year after the fire, runoff and erosion were minimal because biotically produced macropores maintained high infiltration rates. Loss of cover and plant transpiration made the soil warmer and moister. Combustion of organic matter mineralized constituent cations, increasing base cation concentrations in soil solutions and solid phases within the first few months after the fire. The pH, C, and N also increased in the soil, and the biological environment was extensively altered. Surface-active macrofauna increased, though seasonal patterns of abundance were unchanged. Post-fire fungal communities were distinctly different from pre-fire communities and were more similar to each other than were pre-fire communities. Overall, many of the wildfire impacts appear to be of short duration. Within 6 mo, original species were resprouting or emerging as seedlings, and most soil chemical, physical, and biological properties were either similar to pre-fire conditions or were rapidly returning toward them.</t>
  </si>
  <si>
    <t>Mallik, AU</t>
  </si>
  <si>
    <t>Conifer regeneration problems in boreal and temperate forests with ericaceous understory: Role of disturbance, seedbed limitation, and keytsone species change</t>
  </si>
  <si>
    <t>CRITICAL REVIEWS IN PLANT SCIENCES</t>
  </si>
  <si>
    <t>10.1080/713610860</t>
  </si>
  <si>
    <t>Conifer regeneration failure in the presence of dense ericaceous cover resulting from the removal of canopy trees by forest harvesting observed in boreal and temperate forest has been attributed to allelopathy, competition, and soil nutrient imbalance. Ecosystem-level alleopathic effect has been argued as a cause for conifer regeneration failure by citing examples from a species-poor boreal forest in northern Sweden with ground vegetation dominated by crowberry (Empetrum hermaphroditum, Ericales) and New Zealand dairy pastures invaded by nodding or musk thistle (Carduus nutans). This article aims to explain the phenomenon of vegetation shift from conifer forest to ericaceous heath by extending the argument of ecosystem-level impact of ericaceous plants and linking the disturbance-mediated regeneration strategies of the dominant conifer species and the understory ericaceous species with the quality of seedbed substrate that influence the direction of secondary succession. It has been argued that fire severity plays a pivotal role in controlling seedbed quality and the regeneration mechanisms of conifers, which in turn determines the direction of post-disturbance succession. The post-fire-dominated ericaceous plants and their habitat-modifying effects have been explained from the point of view of keystone species concept and their role as ecosystem engineers. In the absence of high severity natural fires the canopy keystone species (conifer) fails to regenerate successfully mainly due to limitation of favorable seedbed.On the other hand, the understory ericaceous plants regenerate vigorously by vegetative methods from the belowground components that survived the fire. Forest harvesting by clearcutting or selective cutting also create similar vigorous vegetative regrowth of ericaceous plants, but conifer regeneration suffers from the lack of a suitable seedbed. Thus in the absence of successful conifer regeneration, the vigorously growing understory ericaceous plants become the new keystone species. The new keystone ericaceous species bring about a significant long-term habitat change by rapid accumulation of plyphenol-rich humus. Ericaceous phenolic compounds have been found to inhibit seed germination and seedling growth of conifers. By forming protein-phenol complexes they cause a further reduction of available nitrogen of the already nutrient-stressed habitat. A low pH condition in the presence of phenolic compounds causes the leaching of metallic ions and forms hard iron pans that impair soil water movement. The phenolic allelochemicals of ericaceous humus are also inhibitory to many conifer ectomycorrhizae. On the other hand, ericaceous plants perpetuate in the community by their stress-tolerating strategies as well as their ability to acquire nutrients through ericoid mycorrhizae. Three mechanisms working at the ecosystem level can be suggested as the cause of vegetation shift from forest to ericaceous heath. These are (1) the absence of high severity natural fire and the limitation of suitable conifer seedbed in the presence of thick humus, (2) increased competition resulting from the rapid vegetative regeneration of understory ericaceous plants after forest canopy opening by harvesting or nonsevere fire, and (3) habitat degradation by phenolic allelochemicals of ericaceous plants causing a soil nutrient imbalance and iron pan formation. Thus, a shift in keystone species from conifer to ericaceous plant in the post-disturbance habitat may induce a retrogressive succession due to ecosystem-level engineering effects of the new keystone species.Vegetation management in conifer-ericaceous communities depends on land management objectives. If the objective is to produce timber and other forest products then the control of ericaceous plants and site preparation is necessary after forest harvesting. Ploughing and liming followed by conifer planting and repeated N fertilization has been applied successfully to promote afforestation of Calluna heathlands in Britain. However, such practice has not been proven successful in the reforestation of Kalmia-dominated sites in eastern Canada. If, on the other hand, the land management objective is to maintain heathlands for herbivore production or conservation of cultural landscape, as in the case of certain Calluna-dominated heathland in Western Europe, then moderately hot prescribed burning is useful as a management tool.</t>
  </si>
  <si>
    <t>Barry, Karen M.; Janos, David P.; Nichols, Scott; Bowman, David M. J. S.</t>
  </si>
  <si>
    <t>&lt;i&gt;Eucalyptus obliqua&lt;/i&gt; seedling growth in organic vs. mineral soil horizons</t>
  </si>
  <si>
    <t>10.3389/fpls.2015.00097</t>
  </si>
  <si>
    <t>Eucalyptus obliqua, the most widespread timber tree in Tasmania, is a pioneer after fire which can eliminate the organic layer of forest soil, exposing the underlying mineral soil. We compared seedling growth, mycorrhiza formation, and mineral nutrient limitation in organic layer vs. mineral soil. We grew E. obliqua seedlings separately in pots of organic layer and mineral soil in a glasshouse. Additional treatments of organic soil only, involved fully crossed methyl-bromide fumigation and fertilization. Fertilization comprised chelated iron for 121 days after transplant (DAT) followed by soluble phosphorus. At 357 DAT, whole plant dry weight was three times greater in ambient organic than in mineral soil. In organic soil, fumigation halved ectomycorrhiza abundance and reduced seedling growth at 149 DAT, but by 357 DAT when negative effects of fumigation on seedling growth had disappeared, neither fumigation nor fertilization affected mycorrhiza abundance. Iron fertilization diminished seedling growth, but subsequent phosphorus fertilization improved it. E. obliqua seedlings grow much better in organic layer soil than in mineral soil, although phosphorus remains limiting. The prevalent forestry practice of burning to mineral soil after timber harvest exposes a poor growth medium likely only partially compensated by fire-induced mineral soil alterations</t>
  </si>
  <si>
    <t>LAMONT, BB; RALPH, CS; CHRISTENSEN, PES</t>
  </si>
  <si>
    <t>MYCOPHAGOUS MARSUPIALS AS DISPERSAL AGENTS FOR ECTOMYCORRHIZAL FUNGI ON EUCALYPTUS-CALOPHYLLA AND GASTROLOBIUM-BILOBUM</t>
  </si>
  <si>
    <t>651</t>
  </si>
  <si>
    <t>656</t>
  </si>
  <si>
    <t>10.1111/j.1469-8137.1985.tb02870.x</t>
  </si>
  <si>
    <t>The marsupial, Bettongia penicillata (Gray), is the major consumer of hypogeous fungi in eucalypt forest in Perup, Western Australia. The rate of excavation of sporocarps increases after fire. The spores of at least 18 fungi were indicated in faecal pellets, 10 of which could be assigned to hypogeous sporocarps present at the site. Most spores belonged to the ectomycorrhizal genus Mesophellia. Faecal pellets applied to seedlings of Eucalyptus calophylla R. Br. and Gastrolobium bilobum R. Br. in autoclaved soil induced the formation of seven ectomycorrhizal types accompanied by a marked stimulation of growth compared with the controls. Inoculation with fresh spores of two Mesophellia species failed to produce mycorrhizas, suggesting that digestion may be the usual pre-treatment for germination. It is concluded that this mammal is a reliable and efficient dispersal and inoculation agent for ectomycorrhizal fungi via its faeces, and that it plays a key role in re-establishment of vegetation after fire.</t>
  </si>
  <si>
    <t>Peay, Kabir G.; Garbelotto, Matteo; Bruns, Thomas D.</t>
  </si>
  <si>
    <t>Spore heat resistance plays an important role in disturbance-mediated assemblage shift of ectomycorrhizal fungi colonizing &lt;i&gt;Pinus muricata&lt;/i&gt; seedlings</t>
  </si>
  <si>
    <t>537</t>
  </si>
  <si>
    <t>547</t>
  </si>
  <si>
    <t>10.1111/j.1365-2745.2009.01489.x</t>
  </si>
  <si>
    <t>Abiotic disturbance plays an important role in determining assemblage structure and maintaining species richness in many ecosystems. Disturbances events are complex, often affecting multiple environmental parameters simultaneously and causing selective removal of biomass. For this reason, observational studies often fail to elucidate the primary mechanism by which disturbance modifies assembly structure. This is particularly true of microbial systems where reduction in biomass or removal of competitive dominants is not visually obvious.Fire is a major disturbance in pinaceous forests, which are characterized by ectomycorrhizal fungal root associations. To determine the specific mechanisms through which this disturbance affects ectomycorrhizal communities, we experimentally simulated the effects of fire by growing seedlings in field soil exposed to factorial combinations of soil heating and ash addition. Ectomycorrhizal colonists in each of the treatments were then identified from seedling roots using DNA sequences.Both soil heating and ash addition caused changes to the soil chemical environment and altered the fungal assemblages found on seedling roots. The effect on the ectomycorrhizal assembly was most pronounced from soil heating, which caused an overall simplification and increasing dominance by a few taxa with ruderal life-history strategies.We also conducted a follow-up experiment to see whether selective mortality of ectomycorrhizal spores might contribute to these patterns. Heat exposure had strong negative effects on all species tested. However, spore heat tolerance was highest for the species that showed the greatest increase in abundance on seedlings grown in heated soils.Synthesis. Fire alters below-ground communities through changes in soil chemistry and mortality of resident organisms. Our results show that soil heating and selective mortality are key mechanisms determining post-fire assemblage structure of ectomycorrhizal fungi. These disturbances favour competitively inferior species and may help maintain diversity of ectomycorrhizal assemblages at the landscape scale.</t>
  </si>
  <si>
    <t>PILZ, DP; PERRY, DA</t>
  </si>
  <si>
    <t>IMPACT OF CLEARCUTTING AND SLASH BURNING ON ECTOMYCORRHIZAL ASSOCIATIONS OF DOUGLAS-FIR SEEDLINGS</t>
  </si>
  <si>
    <t>100</t>
  </si>
  <si>
    <t>10.1139/x84-018</t>
  </si>
  <si>
    <t>The effect of clear-cutting, with and without slash burning, on ectomycorrhizal formation of Douglas-fir seedlings was studied in field and greenhouse bioassays. Twelve ectomycorrhizal types were found in 3 western Cascade Mountain sites [Oregon, USA] on seedlings planted in soils exchanged among burned and unburned portions of clear-cuts and undisturbed forest. Rhizopogon sp. and an unidentified brown type consistently formed at least 2/3 of the ectomycorrhizal root tip. Regardless of soil origin, more ectomycorrhizae formed in clear-cuts than in undisturbed forest (primarily due to more brown mycorrhizae). Soil origin did not affect total numbers of ectomycorrhizae; however, more different types formed in undisturbed forest soils than in clear-cut soils, irrespective of aboveground environment. More nonmycorrhizal tips occurred in clear-cut soils. Seedlings grown in the same soils formed the same proportions of Rhizopogon and brown types in field and greenhouse, but not the same proportions of less common ectomycorrhizal types. Soil pasteurization increased root-tip numbers. Inoculated soils (1 part nonpasteurized:9 parts pasteurized) produced as many ectomycorrhizae as nonpasteurized field soils and generally fewer tips than pasteurized soils. Formation of major (but not minor) ectomycorrhizal types on all sites was influenced more by aboveground changes that accompany clear-cutting and site preparation than by alterations in soil chemistry or biology.</t>
  </si>
  <si>
    <t>Jeon SungMin, Jeon SungMin; Ka KangHyeon, Ka KangHyeon</t>
  </si>
  <si>
    <t>Korean Tricholoma matsutake strains that promote mycorrhization and growth of Pinus densiflora seedlings.</t>
  </si>
  <si>
    <t>Korean Journal of Mycology</t>
  </si>
  <si>
    <t>165</t>
  </si>
  <si>
    <t>Domestic and international production of Tricholoma matsutake has decreased owing to matsutake forests being left alone, host plant disease, forest fires, climate change, and so on. In order to identify strains that are suitable for the production of T. matsutake-inoculated seedlings, Pinus densiflora seedlings were inoculated with T. matsutake after in vitro rooting and mycorrhization was examined in the roots of T. matsutake-inoculated seedlings after 6 months. The mycorrhization rate was greater than 80% for 5 strains (NIFoS 421, 434, 1681, 1984, and 2001) out of 19 total strains. Seven strains (NIFoS 434, 441, 561, 562, 1016, 1807, and 1812) showed shoot/root ratios of less than 3.0 and had a seedling shoot biomass of 2.0 to 4.8 times higher than that of the root. Eight strains (NIFoS 441, 561, 562, 1016, 1807, 1812, 1984, and 2001) stimulated increases in shoot volume and three stains (NIFoS 441, 562, and 1812) promoted the growth of root biomass by mycorrhizal formation. In conclusion, 4 strains (NIFoS 434, 561, 1984, and 2001) out of 19 total strains tested showed higher mycorrhization rates and seedling growth than those of the other strains. We expect that the use of these four strains may contribute to T. matsutake-inoculated seedling production.</t>
  </si>
  <si>
    <t>Packham, JM; May, TW; Brown, MJ; Wardlaw, TJ; Mills, AK</t>
  </si>
  <si>
    <t>Macrofungal diversity and community ecology in mature and regrowth wet eucalypt forest in Tasmania: A multivariate study</t>
  </si>
  <si>
    <t>10.1046/j.1442-9993.2002.01167.x</t>
  </si>
  <si>
    <t>The biodiversity of macrofungi in mature and young regrowth Tasmanian wet forests is described at the species level and at the community level. The macrofungal communities studied were much more species-rich than their vascular plant counterparts, with the total number of macrofungal taxa outnumbering vascular plants by four to one. This ratio applied in both mature and young regrowth forest sites. Some 242 taxa of macrofungi were recorded, of which 132 were identified to species level, the remainder to species groups or higher taxa. Distinct communities could be discerned from multivariate analysis (ordination and classification) of vascular plant and macrofungal data from the mature and regrowth sites. The two vascular plant communities had different fire histories, and this difference is also assumed to account for the separation of the macrofungal communities of the two forest types. There was generally a high level of congruence between the vascular plant and the macrofungal communities. However, one young regrowth site, which was relatively close to the mature sites in the ordination space for the analysis of vascular plants, was distant from the mature forest sites for the analysis of macrofungi. Another regrowth site, which had experienced wildfire rather than silvicultural regeneration, clustered with mature sites for some analyses of the macrofungal assemblage. Variation in the macrofungal communities was correlated with a different set of the measured environmental variables than was variation in the vascular plant communities. Mature and young regrowth forests were found to have distinctly different macrofungal floras, with approximately 40% of the taxa in each forest type being restricted to that type of site. Suitable indicator taxa (restricted or preferential to particular forest types) for use in further studies are suggested.</t>
  </si>
  <si>
    <t>Cairney, John W. G.; Bastias, Brigitte A.</t>
  </si>
  <si>
    <t>Influences of fire on forest soil fungal communities</t>
  </si>
  <si>
    <t>10.1139/X06-190</t>
  </si>
  <si>
    <t>Wildfires and prescribed burns constitute widespread and potentially destructive disturbances in forest ecosystems. Fire-related effects on aboveground ecosystem components are well established, and it is known that fire can have both a direct and an indirect influence on the edaphic environment, but the effects of fire on soil-dwelling fungi are poorly understood. We review the disparate literature relating to fire effects on soil fungi, with emphasis on forest environments. A variety of effects have been reported, including altered fungal community structure along with increased or decreased mycorrhizal colonization of roots. Such effects, along with their duration, appear to be site- and (or) fire-specific, but are likely to be greater in the upper soil horizons. Where repeated burning occurs, the effects on soil fungal communities appear to be more pronounced with more frequent burning. Although fire may effect structural changes in soil fungal communities, the functional significance of such changes at the ecosystem level remains difficult to assess.</t>
  </si>
  <si>
    <t>A review like mine??</t>
  </si>
  <si>
    <t>INTERACTIONS BETWEEN FIRE, MYCOPHAGOUS MAMMALS, AND DISPERSAL OF ECTROMYCORRHIZAL FUNGI IN EUCALYPTUS FORESTS</t>
  </si>
  <si>
    <t>10.1007/BF00341344</t>
  </si>
  <si>
    <t>Several species of marsupials in Eucalyptus forests in Australia feed predominantly on the sporocarps of hypogeous fungi. This feeding is apparently beneficial to the fungi as it results in dispersal of spores. As these fungi are in almost all cases ectomycorrhiza-forming species, mycophagy by mammals may play an important role in the maintenance of mycorrhizal symbiosis in Eucalyptus forests. Fire is frequent and a dominant ecological factor in these forests, and this study tested the hypothesis that fire triggers both increased sporocarp production by some hypogeous ectomycorrhizal fungi associated with eucalypts, and increased mycophagy by mammals. Three experimental burns were set in E. tenui-ramus forest in southeastern Tasmania. Digging activity (which reflects feeding on hypogeous fungi) by a mycophagous marsupial, the Tasmanian bettong Bettongia gaimardi, increased up to ten-fold after fire, with a peak about 1 month post-fire. This was associated with a similar pattern of increase in sporocarp production, which was due to species in the family Mesophelliaceae (especially Castoreum tasmanicum acid Mesophellia spp.). This family appears to have radiated in association with eucalypts and has an exclusively Australasian distribution, unlike many of the other ectomycorrhizal fungi collected in this study which are cosmopolitan and have broad host ranges. No B. gaimardi were killed by fire, and there was no increase in mortality following fire. Population density increased after fire as a result of immigration of adult males. However, body condition and fecundity of individual B. gaimardi were maintained at pre-fire levels. This suggests that the availability of energy to B. gaimardi increased as a result of fire, and the fact that the contribution of fungus to the diet of B. gaimardi was high on burnt relative to control sites suggests further that this increase in energy availability was provided by hypogeous fungi. Effects of fire on hypogeous fungi and B. gaimardi were short-lived; all measured variables returned to control values about 4 months after fire. The capacity of B. gaimardi to survive fire and to harvest the increased sporocarp production triggered by fire provides a mechanism for the rapid dispersal of spores after fire. This should result in the establishment of ectomycorrhizae very early in post-fire succession. Because only some species of ectomycorrhizal fungi fruited in response to burning, fire probably has a strong influence on community structure among ectomycorrhizal fungi.</t>
  </si>
  <si>
    <t>Geng, Yuqing; Dighton, John; Gray, Dennis</t>
  </si>
  <si>
    <t>The effects of thinning and soil disturbance on enzyme activities under pitch pine soil in New Jersey Pinelands</t>
  </si>
  <si>
    <t>10.1016/j.apsoil.2012.07.001</t>
  </si>
  <si>
    <t>Disturbance is an important factor in changing ecological processes. Forested ecosystems undergo natural disturbances of fire and windthrow and disturbances involved in management (thinning, harvesting, control burning). Using the New Jersey pine barrens as model system for eastern US mixed forests, we have observed that under conditions of repeated physical soil disruption or,control burning, the pine barrens forest understory can change from ericaceous to graminoid species dominance through suppression of the ericaceous plants. In order to predict changes in soil properties and assess the potential to maintain this alternate herbaceous layer community, replicate manipulation plots were established the Franklin Parker Preserve in the New Jersey pine barrens. The manipulations consisted of: intact forest controls (CONT), canopy tree thinning (THIN) and canopy tree thinning plus ercicaceous stem removal and soil tilling (THIN &amp; PLOW). The manipulations were designed to increase sunlight penetration to the forest floor and to encourage graminoid plant species establishment. Soil active carbon, microbial biomass carbon (MBC) and microbial biomass nitrogen (MBN), six hydrolytic enzyme activities and two oxidative enzyme activities under three different treatments were measured. In the 0-10 cm soil depth, we observed that protease and arylsulfatase activity showed a significant decrease in the THIN and THIN &amp; PLOW treatments compared to CONT, the activities of cellulase and phenol oxidase were significantly lower in THIN than CONT and THIN &amp; PLOW, whereas the trend of peroxidase activity was opposite. There were no significant differences between treatments for glucosaminase, glucosidase and acid phosphatase activities. For the 10-20 cm soil depth only acid phosphatase and phenol oxidase activity significantly differed between treatments. We found that all enzyme activities except for peroxidase were significantly lower in the 10-20 cm soil horizon than in the 0-10 cm; peroxidase activity was significantly higher in the lower soil horizon. We demonstrated the activities of cellulase, phenoloxidase, arylsulfatase and protease were significantly and positively related to active C, but peroxidase activity was negatively correlated. Less expected is that only phenol oxidase was related to soil MBC, whereas the correlations between peroxidase, phenol oxidase, arysulfatase, protease activities and soil MBN were obvious. By understanding the relationships between microbial activity (enzyme production) and disturbance, we can determine the beneficial effects of many management practices on the potential nutrient availability for subsequent tree growth, since these enzymes are key to nutrient mineralization and carbon dynamics in soil. (c) 2012 Elsevier B.V. All rights reserved.</t>
  </si>
  <si>
    <t>Lilleskov, EA; Bruns, TD; Horton, TR; Taylor, DL; Grogan, P</t>
  </si>
  <si>
    <t>Detection of forest stand-level spatial structure in ectomycorrhizal fungal communities</t>
  </si>
  <si>
    <t>FEMS MICROBIOLOGY ECOLOGY</t>
  </si>
  <si>
    <t>319</t>
  </si>
  <si>
    <t>332</t>
  </si>
  <si>
    <t>10.1016/j.femsec.2004.04.004</t>
  </si>
  <si>
    <t>Ectomycorrhizal fungal (EMF) communities are highly diverse at the stand level. To begin to understand what might lead to such diversity, and to improve sampling designs, we investigated the spatial Structure of these communities. We used EMF community data from a number of studies carried out in seven mature and one recently fire-initiated forest stand. We applied various measures of spatial pattern to characterize distributions at EMF community and species levels: Mantel tests, Mantel correlograms, variance/mean and standardized variograms. Mantel tests indicated that in four of eight sites community similarity decreased with distance, whereas Mantel correlograms also found spatial autocorrelation in those four plus two additional sites. In all but one of these sites elevated similarity was evident only at relatively small spatial scales (&lt;2.6 m), whereas one exhibited a larger scale pattern (similar to25 m). Evenness of biomass distribution among cores varied widely among taxa. Standardized variograms indicated that most of the dominant taxa showed patchiness at a scale of less than 3 m, with a range from 0 to greater than or equal to17 m. These results have implications for both sampling scale and intensity to achieve maximum efficiency of community sampling. In the systems we examined, cores should be at least 3 in apart to achieve the greatest sampling efficiency for stand-level community analysis. In some cases even this spacing may result in reduced sampling efficiency arising from patterns of spatial autocorrelation. Interpretation of the causes and significance of these patterns requires information on the genetic identity of individuals in the communities. (C) 2004 Federation of European Microbiological Societies. Published by Elsevier B.V. All rights reserved.</t>
  </si>
  <si>
    <t>Smithwick, EAH; Turner, MG; Mack, MC; Chapin, FS</t>
  </si>
  <si>
    <t>Postfire soil N cycling in northern conifer forests affected by severe, stand-replacing wildfires</t>
  </si>
  <si>
    <t>163</t>
  </si>
  <si>
    <t>181</t>
  </si>
  <si>
    <t>10.1007/s10021-004-0097-8</t>
  </si>
  <si>
    <t>Severe, stand-replacing fires affect large areas of northern temperate and boreal forests, potentially modifying ecosystem function for decades after their occurrence. Because these fires occur over large extents, and in areas where plant production is limited by nitrogen (N) availability, the effect of fire on N cycling may be important for long-term ecosystem productivity. In this article, we review what is known about postfire N cycling in northern temperate and boreal forests experiencing stand-replacing fires. We then build upon existing literature to identify the most important mechanisms that control postfire N availability in systems experiencing severe, stand-replacing fires compared with fires of lower severity. These mechanisms include changes in abiotic conditions caused by the opening of the canopy (for example, decreased LAI, increased solar radiation), changes in ground layer quantity and quality (for example, nutrient release, permafrost levels), and postfire plant and microbial adaptations affecting N fixation and N uptake (for example, serotiny, germination cues). Based on the available literature, these mechanisms appear to affect N inputs, internal N cycling, and N outputs in various ways, indicating that severe fire systems are variable across time and space as a result of complex interactions between postfire abiotic and biotic factors. Future experimental work should be focused on understanding these mechanisms and their variability across the landscape.</t>
  </si>
  <si>
    <t>Jones, Melanie D.; Twieg, Brendan D.; Ward, Valerie; Barker, Jason; Durall, Daniel M.; Simard, Suzanne W.</t>
  </si>
  <si>
    <t>Functional complementarity of Douglas-fir ectomycorrhizas for extracellular enzyme activity after wildfire or clearcut logging</t>
  </si>
  <si>
    <t>1139</t>
  </si>
  <si>
    <t>1151</t>
  </si>
  <si>
    <t>10.1111/j.1365-2435.2010.01699.x</t>
  </si>
  <si>
    <t>P&gt;1. Clearcut logging results in major changes in ectomycorrhizal fungal communities, but whether this results in the loss of key functional traits, such as those associated with nutrient acquisition from soil organic matter, is unknown. Furthermore, little is known about the importance of resource partitioning in structuring ectomycorrhizal fungal communities following disturbance because most research on these communities has focussed on life history strategies. By studying functional traits, such as activities of enzymes involved in the catabolism of organic macromolecules in soil, we can determine whether a physiological potential for resource partitioning exists in pioneer ectomycorrhizal communities and whether severe disturbance affects these important ecosystem services.2. We used activities of key hydrolytic enzymes in the ectomycorrhizospheres of Douglas-fir seedlings regenerating at clearcut sites as a functional trait to test whether these differed from those at recent wildfire sites or control forests. We sampled the most abundant types of ectomycorrhizas from 16-month-old seedlings from sites exposed to (i) low or (ii) high severity wildfire, (iii) sites that had been clearcut logged in the same year as the fire and (iv) sites that contained control stands of mature Douglas-fir. We expected differences in activities among ectomycorrhizas sampled from different disturbance treatments and among those formed by different fungal species.3. In spite of large differences in soil chemistry, activities of acid phosphomonoesterase, N-acetylglucosaminidase and beta-glucosidase, when averaged among the ectomycorrhizas sampled per site, were not affected by disturbance agent. However, activities varied up to sixfold among mycorrhizospheres of different fungal species on the same seedling. Multivariate analysis also indicated some consistent differences in enzyme profiles among ectomycorrhizas formed by specific fungal species, independent of treatment.4. The finding that ectomycorrhizal fungal communities exposed to different disturbance agents are functionally similar with respect to the activities of three mycorrhizosphere enzymes supports the conclusion that complementarity exists among ectomycorrhizal fungi. The substantial physiological diversity among ectomycorrhizal fungi at the scale of an individual seedling's root tips, especially at control mature forests, indicates the potential for resource partitioning within the ectomycorrhizal community and access to a wider range of nutrient sources by each seedling.5. Functional similarity among ectomycorrhizal fungal communities across a disturbance severity gradient suggests that dry interior Douglas-fir forests are resilient to severe disturbances such as high severity wildfire and clearcutting with forest floor removal. Moreover, our results suggest that current harvesting practices emulate natural disturbances with respect to site-level mycorrhizosphere enzyme activity. The large variation in activity among fungal species, however, indicates that a substantial simplification of the fungal community through other perturbations, as expected with climate change, has the potential to affect ecosystem function.</t>
  </si>
  <si>
    <t>Trusty, Paul E.; Cripps, Cathy L.</t>
  </si>
  <si>
    <t>Influence of Fire on Mycorrhizal Colonization of Planted and Natural Whitebark Pine Seedlings: Ecology and Management Implications</t>
  </si>
  <si>
    <t>198</t>
  </si>
  <si>
    <t>?</t>
  </si>
  <si>
    <t>KAPS M K; BERLINGERI L; LEE D H</t>
  </si>
  <si>
    <t>Multi-layer portable therapeutic infrared heating            system used for e.g. boosting immunity, comprises            heating wire layer, charcoal layers positioned on            heating wire layer, grounding mechanism, and            multi-layer mixture layer configured to additionally            reduce extremely low frequency radiation</t>
  </si>
  <si>
    <t>NOVELTY - The system (100) comprises: a heating wire layer configured to generate far-infrared radiation (FIR) when the system is connected with an alternating current power supply; two charcoal layers positioned on either side of the heating wire layer and configured to absorb extremely low frequency (ELF) radiation associated with the FIR; grounding mechanism configured to transfer the ELF radiation absorbed by the two charcoal layers to a pin and ground the multi-layer portable therapeutic infrared heating system; and a multi-layer mixture layer configured to at least additionally reduce the ELF radiation. The system is configured to maintain a level of the ELF below 5 mV and low frequency electromagnetic field (EMF) below 2 milligauss. The system further comprises a grid to hold stones and materials of the multi-layer mixture layer together, and multiple volatile organic compounds (VOC) polyurethane (PU) leather layers or portions for water-proof, fire-proof and melt-proof purposes. USE - The system is used for boosting immunity, boosting blood flow and circulation, and boosting mood of a user. ADVANTAGE - The device is safe, effective and portable therapeutic infrared heating system for achieving various therapeutic effects. DETAILED DESCRIPTION - An INDEPENDENT CLAIM is included for a multi-layer portable therapeutic infrared heating blanket. DESCRIPTION Of DRAWING(S) - The drawing shows a schematic view of the multi-layer portable therapeutic infrared heating system.100Multi-layer portable therapeutic infrared heating system106Heating wires202Stone mixture layer206Yellow mud charcoal bonding fabric208, 210Leather polyurethane layers212ELF proof charcoal layer214Sensors216Bimetals218Oxford bonding layer220Layer of compressed non-woven fabric222Layer housing ELF proof charcoal layer</t>
  </si>
  <si>
    <t>BURROWS, CJ; RUSSELL, JB</t>
  </si>
  <si>
    <t>ARANUIAN VEGETATION HISTORY OF THE ARROWSMITH RANGE, CANTERBURY .1. POLLEN DIAGRAMS, PLANT MACROFOSSILS, AND BURIED SOILS FROM PROSPECT HILL</t>
  </si>
  <si>
    <t>345</t>
  </si>
  <si>
    <t>10.1080/0028825X.1990.10412315</t>
  </si>
  <si>
    <t>Two pollen analyses are described from sediments in the mires at Quagmire Tarn and Windy Tarn, on the Prospect Hill plateau, upper Rakaia Valley, Canterbury. The sediments span most of the Aranuian period. Macrofossils from Quagmire Tarn supplement the pollen data. The vegetation sequences from the two sites are generally similar, although the Windy Tarn sequence begins later than that of Quagmire Tarn and differs in some details. The post-Otiran dominant pollen assemblages at Quagmire Tarn are: Poaceae and Coprosma (beginning probably about 13 000 yr B.P.) .fwdarw. Halocarpus (about 10 000 yr B.P.) .fwdarw. Phyllocladus and "Podocarpus" (just after 10 000 yr B.P.) .fwdarw. Nothofagus menziesii and N. fusca-type (about 2000 yr B.P.) .fwdarw. Poaceae, Cyperaceae, Asteraceae, and Apiaceae (beginning about 860 yr B.P.). Changes in the sediments, pollen assemblages, and macrofossils are correlated with the early Aranuian glacial history of the region, with subsequent climatic changes, and with the fire history. The fire history is deduced from approximate ages estimated from depths of charcoal horizons in the Quagmire Tarn sediment column and radiocarbon dates for charcoal from palaeosols on the edge of the Prospect Hill plateau. Fires are thought to have occurred at Prospect Hill about 5800, 3800, 3500, 2600, and 860 yr B.P. Climatic shifts are thought to be the cause of changes from Poaceae, Coprosma (cold, dry) .fwdarw. Halocarpus (cool, moist) .fwdarw. Phyllocladus, "Podocarpus" (evenly mild, moist). The time-transgressive expansion of Nothofagus spp. in the Canterbury mountains requires a more complex explanation which includes the proximity of stands of these species during the Otira Glaciation and slow Aranuian migration, the requirement for infection of seedings by ectomycorrhizas, and possible local shifts across climatic thresholds (towards more variable conditions). The replacement by grassland of most of the woody vegetation of the Prospect Hill plateau and adjacent areas was accomplished after one or more major fires within the last 1000 years.</t>
  </si>
  <si>
    <t>Luoma, D. L.; Eberhart, J.</t>
  </si>
  <si>
    <t>Results from green-tree retention experiments: ectomycorrhizal fungi.</t>
  </si>
  <si>
    <t>General Technical Report - Pacific Northwest Research Station, USDA Forest Service</t>
  </si>
  <si>
    <t>The ecosystem effects of natural disturbances differ dramatically from those engendered by even-aged management practices that emphasize commodity production. Because forest management activities can reduce ectomycorrhizal (EM) fungus diversity and forest regeneration success, management approaches are needed to sustain these essential forests organisms. We present selected results from experiments that test biodiversity assumptions behind current guidelines for ecosystem management. We examine contrasts in structural retention as they affect biodiversity and sporocarp production of EM fungi - a functional guild of organisms well suited as indicators of disturbance effects on below-ground ecosystems. overstorey removal significantly reduced EMF sporocarp production but, in contrast to the initial hypothesis, the effects were not always proportional to basal area retained. The effect of spatial pattern of retention varied between retention levels and mushroom and truffle sporocarp groups. Management implications include the need to address the conservation of rare truffle and mushroom species in a manner that recognizes their different responses to forest disturbance. We also raise the hypothesis that fire suppression may favour mushroom production over truffle production. Because fire seems to be important in the reproductive evolution of EMF, our results also add further impetus to the development of management plans that seek to restore forest health from the effects of decades of fire suppression. Experimental results suggest using dispersed green-tree retention in combination with aggregated retention to maintain sporocarp production. Such a mix ameliorates disturbance effects and may maintain higher levels of sporocarp production in the aggregates by reducing edge effects. It remains unclear how short-term reductions in sporocarp abundance will affect EM fungus populations for future forests. After disturbance, spores are a form of legacy and key to enabling adaptations by other species in the face of environmental change. Long-term silvicultural experiments are essential for monitoring trends in the EM fungus community.</t>
  </si>
  <si>
    <t>Dumas, Pierre-Alexandre; Tremblay, Junior A.; Lowe, Jeovanna; Rompre, Ghislain; Savard, Jean-Pierre L.; Ibarzabal, Jacques</t>
  </si>
  <si>
    <t>Efficiency of enhanced capture methods and age-class structure of dispersing boreal woodpeckers.</t>
  </si>
  <si>
    <t>Journal of Field Ornithology</t>
  </si>
  <si>
    <t>American Three-toed (Picoides dorsalis) and Black-backed Woodpeckers (Picoides arcticus) are irruptive species for which yearly movements and abundance are linked to higher productivity years due to forest fire or large-scale insect outbreaks in boreal forests. Studies have found that, in Black-backed Woodpeckers, younger birds are the main colonizers of recent burns, and thus related to natal dispersion. However, age structure of dispersing boreal woodpeckers in the fall have yet to be studied. The Observatoire d'oiseaux de Tadoussac is a migration monitoring station located at the southern limit of Quebec's boreal forest and where a special effort has been made to count and capture transient boreal woodpeckers in the fall between 2000 and 2006. In this study, we investigated (1) the age structure and sex ratio of dispersing boreal woodpeckers and assessed (2) if the use of enhanced capture methods (ECM) improves their rate of capture and (3) the correlation between capture rates and visual counts. The age structure of Black-backed Woodpecker (1:13.9 (1:4.5-1:64) adult: juveniles ratio) and American Three-toed Woodpecker (1:16.7 (1:4.22-0)) was strongly skewed toward juveniles, and suggests that dispersing individuals were mainly related with post-fledging movements. The use of ECM to capture boreal woodpeckers was an efficient way of capturing these species. This method showed capture rate four times greater than the passive method. Moreover, capture rates were correlated with visual counts. Therefore, our study supports the importance of post-fledging movements in boreal woodpecker population dynamics, and shows that the use of ECM is an efficient method to capture and count these species outside their breeding season.</t>
  </si>
  <si>
    <t>Duran Manual, F.; Geada Lopez, G.; Martinez Becerra, L. W.; Perez Pereda, E.; MassoMatos, J.</t>
  </si>
  <si>
    <t>Diagnose of species of ectomycorrhizal mushrooms in a natural forest of Pinus cubensis Griseb affected for the fire.</t>
  </si>
  <si>
    <t>Revista Cubana de Ciencias Forestales</t>
  </si>
  <si>
    <t>171</t>
  </si>
  <si>
    <t>The investigation was carried out in rodales of a forest of P. cubensis belonging to the Managerial Unit of Base Silvicola of Yateras, EFI Guantanamo, with the objective of quantifying the species of ectomycorrhizal mushrooms in a natural forest of P. cubensis, after the application of you prescribed burns. To determine the effects of this about the diversity of species of ectomycorrhizal mushrooms, 4 rectangular parcels of 5 X rose 150 m. Starting from those analyses, the following results were obtained: starting from the 15 days they began to appear carpoforos of the Suillus sp. and Amanita muscaria, after 60 days the analized species were found before applying the burn (Boletus sp.; Suillus brevipes (Peck) Kuntze; Suillus decipiens (Berk. and M.A. you Harden) Kuntze; Suillus sp; Amanita muscaria subsp. American (Lange) Singer; Lactarius semisanguifluus R. Heim and Leclair; Scleroderma stellatum Berk) y Pisolithus arhizus (Scop.) Rauschert that was not found before you burn them, these results indicate that the use of prescribed burns of half intensity doesn't affect the dynamics of the ectomycorrhizal mushrooms.</t>
  </si>
  <si>
    <t>Tomao, Antonio; Antonio Bonet, Jose; Castano, Carles; de-Miguel, Sergio</t>
  </si>
  <si>
    <t>How does forest management affect fungal diversity and community composition? Current knowledge and future perspectives for the conservation of forest fungi</t>
  </si>
  <si>
    <t>10.1016/j.foreco.2019.117678</t>
  </si>
  <si>
    <t>The influence of forest management on fungal diversity and community composition has been the subject of a wide number of studies over the last two decades. However, the difficulty of studying the complex kingdom of fungi under real forest conditions has led to rather scattered scientific knowledge. Here, we provide the current state of knowledge suggesting future research directions regarding (i) stand structure attributes (age, tree cover, stand density, tree species composition), (ii) management history (managed vs unmanaged), (iii) silvicultural treatments (thinning, clearcutting, shelterwood methods, selective cutting) and (iv) other anthropogenic disturbances (mushroom picking, salvage logging, prescribed burning, fertilization) affecting fungal diversity and community composition. The reviewed studies reported a positive correlation between fungal diversity and stand structure variables such as canopy cover, basal area of the stand and tree species diversity, particularly for mycorrhizal species. Abundance and diversity in size, tree species and decomposition stage of deadwood are reported as positively related to richness of wood-inhabiting fungi. The main findings about the effects of silvicultural practices suggest that the higher is the management intensity the lower is the diversity of ectomycorrhizal and wood-inhabiting species, at least in the short term. We have therefore reported those silvicultural practices which may reduce trade-offs between timber harvesting and fungal diversity conservation. Indeed, fungal diversity can be conserved in managed forests if (i) low impact logging operations are performed; (ii) stand structural complexity and late-successional forest characteristics are enhanced; (iii) deadwood amount and diversity is promoted, (iv) landscape heterogeneity and connectivity is improved or maintained.</t>
  </si>
  <si>
    <t>Sanchez-flores, Marcos; Garcia-jimenez, Jesus; Martinez-gonzalez, CeSAR R.; Ekanayaka, Anusha h.; Raymundo, Tania</t>
  </si>
  <si>
    <t>&lt;i&gt;Geopyxis&lt;/i&gt;&lt;i&gt; carolinae&lt;/i&gt;&lt;i&gt; sp.&lt;/i&gt;&lt;i&gt; nov.&lt;/i&gt; (Pezizomycetes, Ascomycota) from Mexico</t>
  </si>
  <si>
    <t>PHYTOTAXA</t>
  </si>
  <si>
    <t>230</t>
  </si>
  <si>
    <t>10.11646/phytotaxa.655.3.1</t>
  </si>
  <si>
    <t>Geopyxis is an ectomycorrhizal genus found in temperate forests. The members form yellow and orange to brown apothecia that range from 3-25 mm in diameter. Its ascospores are smooth to finely verrucous. The specimen collected from Mount Tlaloc, Texcoco, State of Mexico, was identified as Geopyxis carolinae sp. nov. This species typically forms sessile apothecia, cupuliform to discoid, and its ascospores are the largest [17-23(25) x 10-12 mu m] within the genus. The species was found growing on a burnt ground associated with Abies religiosa. Multi-gene phylogenetic analyses inferred from ITS and LSU sequence data confirmed that Geopyxis carolinae is distinct from other Geopyxis spp. The new species is described, illustrated, and compared with similar taxa based on molecular and morphological data.</t>
  </si>
  <si>
    <t>Milne, Jeremy</t>
  </si>
  <si>
    <t>Post-fire colonization of cistus creticus l seedlings by ectomycorrhizal fungi in aleppo pine forests in central greece</t>
  </si>
  <si>
    <t>PhD thesis</t>
  </si>
  <si>
    <t>Hopkins, A. J. M.; Brace, A. J.; Bruce, J. L.; Hyde, J.; Fontaine, J. B.; Walden, L.; Veber, W.; Ruthrof, K. X.</t>
  </si>
  <si>
    <t>Drought legacy interacts with wildfire to alter soil microbial communities in a Mediterranean climate-type forest</t>
  </si>
  <si>
    <t>10.1016/j.scitotenv.2024.170111</t>
  </si>
  <si>
    <t>Mediterranean forest ecosystems will be increasingly affected by hotter drought and more frequent and severe wildfire events in the future. However, little is known about the longer -term responses of these forests to multiple disturbances and the forests' capacity to maintain ecosystem function. This is particularly so for below -ground organisms, which have received less attention than those above -ground, despite their essential contributions to forest function. We investigated rhizosphere microbial communities in a resprouting Eucalyptus marginata forest, southwestern Australia, that had experienced a severe wildfire four years previously, and a hotter drought eight years previously. Our aim was to understand how microbial communities are affected over longer -term trajectories by hotter drought and wildfire, singularly, and in combination. Fungal and bacterial DNA was extracted from soil samples, amplified, and subjected to high throughput sequencing. Richness, diversity, composition, and putative functional groups were then examined. We found a monotonic decrease in fungal, but not bacterial, richness and diversity with increasing disturbance with the greatest changes resulting from the combination of drought and wildfire. Overall fungal and bacterial community composition reflected a stronger effect of fire than drought, but the combination of both produced the greatest number of indicator taxa for fungi, and a significant negative effect on the abundance of several fungal functional groups. Key mycorrhizal fungi, fungal saprotrophs and fungal pathogens were found at lower proportions in sites affected by drought plus wildfire. Wildfire had a positive effect on bacterial hydrogen and bacterial nitrogen recyclers. Fungal community composition was positively correlated with live tree height. These results suggest that microbial communities, in particular key fungal functional groups, are highly responsive to wildfire following drought. Thus, a legacy of past climate conditions such as hotter drought can be important for mediating the responses of soil microbial communities to subsequent disturbance like wildfire.</t>
  </si>
  <si>
    <t>Napoli, Chiara; Mello, Antonietta; Borra, Ambrogio; Vizzini, Alfredo; Sourzat, Pierre; Bonfante, Paola</t>
  </si>
  <si>
    <t>&lt;i&gt;Tuber melanosporum,&lt;/i&gt; when dominant, affects fungal dynamics in truffle grounds</t>
  </si>
  <si>
    <t>247</t>
  </si>
  <si>
    <t>10.1111/j.1469-8137.2009.03053.x</t>
  </si>
  <si>
    <t>P&gt; The fruiting bodies of the ectomycorrhizal (ECM) fungus Tuber melanosporum are usually collected in an area devoid of vegetation which is defined as a 'burnt area' (brule in French).Here, the soil fungal populations of inside and outside brule were compared in order to understand whether the scanty plant cover was related to a change in fungal biodiversity. Both denaturing gradient gel electrophoresis (DGGE) and molecular cloning of the internal transcribed spacer (ITS) marker were employed on soil DNA to obtain profiles from nine truffle grounds and fungal sequences from one selected truffle ground sampled in two years.Denaturant gradient gel electrophoresis profiles from the two areas formed two distinct clusters while molecular cloning allowed 417 fungal sequences to be identified. T. melanosporum was the dominant fungus within the brule. There were nine new haplotypes, which had never been detected in fruiting bodies. The Basidiomycota ECM fungi decreased within the brule, indicating a competitive effect of T. melanosporum on the other ECM fungi.Among other factors, the dynamics of fungal populations seems to be correlated to brule formation.</t>
  </si>
  <si>
    <t>Lamont, B.B.</t>
  </si>
  <si>
    <t>Interdependence of woody plants, higher fungi and small marsupials in the context of fire.</t>
  </si>
  <si>
    <t>CALM Science Supplement</t>
  </si>
  <si>
    <t>DOSSKEY, MG; BOERSMA, L; LINDERMAN, RG</t>
  </si>
  <si>
    <t>EFFECT OF PHOSPHORUS FERTILIZATION ON WATER-STRESS IN DOUGLAS-FIR SEEDLINGS DURING SOIL DRYING</t>
  </si>
  <si>
    <t>10.1007/BF00779173</t>
  </si>
  <si>
    <t>A growth chamber experiment was conducted to determine if P fertilization to enhance the P nutrition of otherwise N and P deficient Douglas fir [Pseudotsuga menziesii (Mirb.) Franco] seedlings reduces water stress in the seedlings during drought periods. Seedlings were grown in pasteurized mineral soil under well-watered conditions and fertilized periodically with a small amount of nutrient solution containing P at either of three levels: 0, 20, or 50 mg P L-1. By age 6 mo, leaf nutrient analysis indicated that N and P were deficient in control (0 mg P L-1) seedlings. The highest level of P fertilization, which doubled leaf P concentration, did not affect plant biomass, suggesting that N deficiency was limiting growth. When these seedlings were subjected to drought, there was no effect of P fertilization on leaf water potential or osmotic potential. Furthermore, P fertilized seedlings had lower stomatal conductance and net photosynthesis rate. These results indicate that enhanced P nutrition, in the presence of N deficiency, does not reduce water stress in Douglas fir seedlings during drought periods.</t>
  </si>
  <si>
    <t>Taylor, KC; Mayewski, PA; Twickler, MS; Whitlow, SI</t>
  </si>
  <si>
    <t>Biomass burning recorded in the GISP2 ice core: A record from eastern Canada?</t>
  </si>
  <si>
    <t>6</t>
  </si>
  <si>
    <t>10.1177/095968369600600101</t>
  </si>
  <si>
    <t>Combustion byproducts from biomass burning are preserved in annually stratified layers in the Greenland ice sheet. Electrical conductivity (ECM) and ammonium records from the GISP2 ice core in central Greenland have been used to develop a 6000-year record of biomass burning. Although there is some uncertainty regarding tie source area for the combustion byproducts, it is likely that the majority of the material originates in eastern Canada. Time periods of high biomass-burning activity occurred in 0-150 BP, 350-750 BP, and 5000 to &gt;6000 BP. The period 1150-3250 BP is characterized by moderately elevated levels of biomass-buming activity. These periods are associated with drier conditions. The 5000 to &gt;6000 BP period of high biomass-buming activity may also be related to forest successional sequences following the removal of the Laurentide ice sheer. This paper explains how ice cores can be used to develop records oi biomass burning and offers suggestions for future studies.</t>
  </si>
  <si>
    <t>Standaloft, Isaac; Kirkpatrick, Jamie B.</t>
  </si>
  <si>
    <t>Identifying important environmental variables in the niche partitioning of two keystone ecosystem engineers (&lt;i&gt;Bettongia gaimardi&lt;/i&gt; and &lt;i&gt;Potorous tridactylus&lt;/i&gt;) in Tasmania</t>
  </si>
  <si>
    <t>10.1071/WR21110</t>
  </si>
  <si>
    <t>Context. The eastern bettong (Bettongia gaimardi) and the long-nosed potoroo (Potorous tridactylus) are mycophagous marsupials regarded as both keystone species and ecosystem engineers. Despite Tasmania being a refuge for these declining species, their niche partitioning is poorly understood. Aims. Our aim was to identify factors that distinguish the distributions of B. gaimardi and P. tridactylus, and to develop a better explanation of their individual niches. Methods. The Department of Primary Industries, Parks, Water and Environment conducted mammal surveys between 1975 and 2019. We used GIS to analyse these data, and geospatial information to identify relationships between B. gaimardi and P. tridactylus presence/absence and environmental variables. We then developed a model describing the distributions of these species in Tasmania. Key results. Temperature seasonality (s.d. x 100), precipitation of wettest month (mm), precipitation of the driest month (mm), precipitation seasonality (coefficient of variation), the presence of vegetation dominated by Eucalyptus amygdalina and the presence of lowland grassy woodland/forest were the components in the best model for B. gaimardi. Our model broadly predicts that the distribution of B. gaimardi is restricted to the more fertile eastern half of Tasmania. P. tridactylus was associated with very few variables, with the presence of E. amygdalina-Eucalyptus obliqua damp forest being the only component in a very weak model. Transects with P. tridactylus and not B. gaimardi were more associated with rainforest and wet forest communities and areas of higher annual and wettest-month precipitation than were those with B. gaimardi and not P. tridactylus. Conclusions. The importance of infertile sites to B. gaimardi may have been overstated in the literature, with moderate to high fertility being more characteristic of its range. B. gaimardi is adapted to persist in environments of low truffle (food) density, typical of the eastern half of Tasmania, through its ability to adopt a larger home range than for P. tridactylus, which requires dense ground vegetation. Implications. Sites of high fertility in fragmented landscapes should be considered to be potential habitat for B. gaimardi. This challenges previous assumptions that infertile sites are the primary habitat of the species, with fertile sites offering poorer-quality habitat.</t>
  </si>
  <si>
    <t>Bai, Shahla Hosseini; Dempsey, Raymond; Reverchon, Frederique; Blumfield, Timothy J.; Ryan, Sean; Cernusak, Lucas A.</t>
  </si>
  <si>
    <t>Effects of forest thinning on soil-plant carbon and nitrogen dynamics</t>
  </si>
  <si>
    <t>449</t>
  </si>
  <si>
    <t>10.1007/s11104-016-3052-5</t>
  </si>
  <si>
    <t>Corymbia spp. (previously included in the genus Eucalyptus) are common species in sub/tropical Australia and produce high quality timber and round logs. Thinning of native forests helps to preserve native tree species and is more sustainable than replacing native forest stands with mono-species plantations to produce timber. This study aimed to explore the effects of native forest thinning on soil-plant carbon (C) and nitrogen (N) dynamics in two experimental sites, Esk (5 years post-thinning) and Herberton (7 years post-thinning), situated in Queensland, Australia.The two sites had different thinning regimes. The final stocking rates varied between 75 and 200 stems ha(-1) at Esk and between 250 and 400 stems ha(-1) at Herberton. The thinned plots were compared to un-thinned plots. Soil samples were collected to measure labile C and N. Leaf samples were collected from C. variegata and C. citriodora in Esk and Herberton respectively.Thinning did not change soil total C, total N, delta N-15 and inorganic N at either Esk or Herberton. However, at Esk, intensive thinning resulted in decreases in water soluble total N (WSTN). Foliar delta C-13 did not vary with respect to thinning whereas foliar delta N-15 values were more enriched in thinned areas than those of un-thinned plots. The stepwise linear regression indicated that both foliar total N and delta N-15 were explained mainly by soil TN and WSTN.Thinning did not change soil C and N most likely due to the retention of thinned materials on site and their incorporation into soil. Foliar delta C-13 was not thinning-dependent due to homeostatic maintenance of the ratio of intercellular to ambient CO2 concentrations during photosynthesis. In our study, soil N was not a limiting factor for foliar N, however, foliar N was mainly driven by WSTN which may foreshadow a possible N limitation in severely thinned plots in the long term. We conclude that forest thinning does not decrease soil C and N availability in native Corymbia forests for several years post-thinning if the thinned materials are retained on site.</t>
  </si>
  <si>
    <t>Duhamel, Marie; Wan, Joe; Bogar, Laura M.; Segnitz, R. Max; Duncritts, Nora C.; Peay, Kabir G.</t>
  </si>
  <si>
    <t>Plant selection initiates alternative successional trajectories in the soil microbial community after disturbance</t>
  </si>
  <si>
    <t>ECOLOGICAL MONOGRAPHS</t>
  </si>
  <si>
    <t>10.1002/ecm.1367</t>
  </si>
  <si>
    <t>Because interactions between plants and microbial organisms can influence species diversity and rates of nutrient cycling, how plants shape microbial communities is fundamental to understanding the structure of ecosystems. Despite this, the spatial and temporal scales over which plants influence microbial communities is poorly understood, particularly whether past abiotic or biotic legacies strongly constrain microbial community development. We examined biogeochemical cycling and microbial community structure in a coastal landscape where historical patterns of vegetation transition after a large fire in 1995 are well known, allowing us to account for past abiotic and biotic conditions. We found that alternative states in microbial community structure and ecosystem processes emerged under different plant species, regardless of past conditions. Greenhouse studies further demonstrated that these differences arise from direct plant selection of microbes, with selection stronger in roots compared with soils, especially for bacteria. Correlation of microbial community structure with seedling growth rates was also stronger for fungi compared to bacteria. Despite these effects, minimal overlap between seedling and field microbial communities indicates that the effects of initial plant selection are not stable; rather, plant selection initiated alternative successional trajectories after the fire. Using data from a guild where we have abundant natural history information, ectomycorrhizal fungi, we show that greenhouse communities are dominated by ruderal taxa that are also common in the field after the fire and that these ruderal fungi strongly alter spatial patterns in plant-soil feedback, enabling invasion and transformation of soils previously occupied by heterospecific plants, thus potentially acting as keystone mutualists.</t>
  </si>
  <si>
    <t>Beaubien, J; Walsworth, N; Leckie, DG</t>
  </si>
  <si>
    <t>Testing of two date change detection using a modified Enhancement Classification Method</t>
  </si>
  <si>
    <t>2005 INTERNATIONAL WORKSHOP ON THE ANALYSIS ON MULTI-TEMPORAL REMOTE SENSING IMAGES</t>
  </si>
  <si>
    <t>The Enhancement Classification Method (ECM) has demonstrated considerable success in mapping Canada's forests and here is extended to facilitate clustering and labeling within a two-date classification. Central to the method, is an interactive cluster formulation based upon color rendition. A multi-date image enhancement is employed to facilitate an RGB rendition of change and cluster sieving is undertaken through spatial generalization. The remaining core clusters are reapplied via a minimum spectral distance. The method was tested on a 1984 1988 co-registered and normalized Landsat scene pair over a forest harvesting area near Petawawa, Ontario. Clusters (123) were derived and labeled. Results identified forest depletion (clear cuts and partial cuts) fairly well and captured stable forest composition moderately well and pre-change cover type moderately well. Burns, hail, forest blowdown and deforestation events were not recognized individually in single clusters, rather they were generally lumped into clearing classes. Consequently depletion requires a composite of classes to establish an intensity and localized cluster labeling.</t>
  </si>
  <si>
    <t>Korb, Julie Edith</t>
  </si>
  <si>
    <t>Understory plant community dynamics in southwestern ponderosa pine forest restoration</t>
  </si>
  <si>
    <t>Watts, A.</t>
  </si>
  <si>
    <t>River food webs: incorporating nature's invisible fabric into river management.</t>
  </si>
  <si>
    <t>Science Findings - Pacific Northwest Research Station, USDA Forest Service</t>
  </si>
  <si>
    <t>5 pp.</t>
  </si>
  <si>
    <t>Increasing the population of spring Chinook salmon and summer steelhead in Washington state's Methow River is a goal of the Upper Columbia Spring Chinook Salmon and Steelhead Recovery Plan. Spring Chinook salmon and summer steelhead are listed as endangered and threatened, respectively, under the Endangered Species Act. Installing logjams and reconnecting the river to its floodplain are management actions being undertaken to restore salmon habitat. However, researchers with the U.S. Forest Service Pacific Northwest Research Station, the U.S. Geological Survey, and Idaho State University found that focusing solely on physical habitat restoration overlooks the importance of maintaining the food webs supporting all river life. When comparing prey production and habitat structure in the Methow River system, the research team found that complex floodplain landscapes support an array of food webs. Restoration actions may unintentionally alter these food webs, either to the benefit or detriment of juvenile salmon. Restoration efforts designed to protect the processes that create and maintain habitat complexity and sustain diverse food webs may be more beneficial to fish. As part of this holistic approach, the research team developed a model that allows land managers to explore how proposed river restoration projects influence river food webs and fish populations.</t>
  </si>
  <si>
    <t>Cullings, KW; New, MH; Makhija, S; Parker, VT</t>
  </si>
  <si>
    <t>Effects of litter addition on ectomycorrhizal associates of a lodgepole pine (&lt;i&gt;Pinus contorta&lt;/i&gt;) stand in Yellowstone National Park</t>
  </si>
  <si>
    <t>3772</t>
  </si>
  <si>
    <t>3776</t>
  </si>
  <si>
    <t>10.1128/AEM.69.7.3772-3776.2003</t>
  </si>
  <si>
    <t>Increasing soil nutrients through litter manipulation, pollution, or fertilization can adversely affect ectomycorrhizal (EM) communities by inhibiting fungal growth. In this study, we used molecular genetic methods to determine the effects of litter addition on the EM community of a Pinus contorta stand in Yellowstone National Park that regenerated after a stand-replacing fire. Two controls were used; in unmodified control plots nothing was added to the soil, and in perlite plots perlite, a chemically neutral substance, was added to maintain soil moisture and temperature at levels similar to those under litter. We found that (i) species richness did not change significantly following perlite addition (2.6 +/- 0.3 species/core in control plots, compared with 2.3 +/- 0.3 species/core in perlite plots) but decreased significantly (P &lt; 0.05) following litter addition (1.8 +/- 0.3 species/core); (ii) EM infection was not affected by the addition of perlite but increased significantly (P &lt; 0.001) in response to litter addition, and the increase occurred only in the upper soil layer, directly adjacent to the added litter; and (iii) Suillus granulatus, Wilcoxina mikolae, and agaricoid DD were the dominant organisms in controls, but the levels of W. mikolde and agaricoid DD decreased significantly in response to both perlite and litter addition. The relative levels of S. granulatus and a fourth fungus, Cortinariaceae species 2, increased significantly (P &lt; 0.01 and P &lt; 0.05, respectively) following litter addition. Thus, litter addition resulted in some negative effects that may be attributable to moisture-temperature relationships rather than to the increased nutrients associated with litter. Some species respond positively to litter addition, indicating that there are differences in their physiologies. Hence, changes in the EM community induced by litter accumulation also may affect ecosystem function.</t>
  </si>
  <si>
    <t>Matheny, P. Brandon; Swenie, Rachel A.; Miller, Andrew N.; Petersen, Ronald H.; Hughes, Karen W.</t>
  </si>
  <si>
    <t>Revision of pyrophilous taxa of &lt;i&gt;Pholiota&lt;/i&gt; described from North America reveals four species-&lt;i&gt;P-brunnescens, P-castanea, P-highlandensis&lt;/i&gt;, and &lt;i&gt;P-molesta&lt;/i&gt;</t>
  </si>
  <si>
    <t>997</t>
  </si>
  <si>
    <t>1016</t>
  </si>
  <si>
    <t>10.1080/00275514.2018.1516960</t>
  </si>
  <si>
    <t>A systematic reevaluation of North American pyrophilous or "burn-loving" species of Pholiota is presented based on molecular and morphological examination of type and historical collections. Confusion surrounds application of the names P. brunnescens, P. carbonaria, P. castanea, P. fulvozonata, P. highlandensis, P. molesta, and P. subsaponacea, with multiple names applied to a single species and multiple species described more than once. Molecular annotations using nuc rDNA ITS1-5.8S-ITS2 (internal transcribed spacer [ITS] barcode) and RPB2 (RNA polymerase II second largest subunit) are used to aid in application of these names in a phylogenetic context. Based on ITS molecular annotations of 13 types, the following heterotypic synonymies are proposed: P. highlandensis (syn. P. carbonaria and P. fulvozonata); P. molesta (syn. P. subsaponacea); and P. brunnescens (syn. P. luteobadia). In addition, we observed that the species P. castanea, known previously only from the type collection in Tennessee, is found commonly on burned sites near the Gulf Coast and other southeast regions of the United States. Overall, the pyrophilous trait is evolutionarily derived in Pholiota. Endophytic and endolichenic stages were deduced for P. highlandensis, the most widely distributed of the pyrophilous Pholiota. As a result, we introduce the "body snatchers" hypothesis that explains the maintenance of some pyrophilous fungi in ecosystems as endophytes and/or endolichenic fungi. Photographs, taxonomic descriptions, and a dichotomous key to pyrophilous species of Pholiota that occur in North America are presented.</t>
  </si>
  <si>
    <t>AMARANTHUS, MP; TRAPPE, JM</t>
  </si>
  <si>
    <t>EFFECTS OF EROSION ON ECTO-MYCORRHIZAL AND VA-MYCORRHIZAL INOCULUM POTENTIAL OF SOIL FOLLOWING FOREST-FIRE IN SOUTHWEST OREGON</t>
  </si>
  <si>
    <t>41</t>
  </si>
  <si>
    <t>10.1007/BF00779174</t>
  </si>
  <si>
    <t>The Longwood Complex wildfire in the Siskiyou Mountains of southern Oregon in August 1987 created an opportunity to study erosion and its effects on mycorrhizal fungus inoculum potential of a forest soil on steep slopes. As measured by the erosion-bridge method, most erosion occurred in a single, intense storm in December after the fire and amounted to an estimated 2 to 4 cm of surface soil. Captured eroded soil had a higher pH and P and Mg levels than residual soil. Seedlings of Libocedrus decurrens and Pseudotsuga menziesii were planted on eroded plots with additions of captured eroded soil (ET) or pasteurized eroded soil (PET) transferred to the planting holes. After one growing season, Libocedrus seedlings formed nearly 4 times the vesicular-arbuscular mycorrhizae in ET treatments and more than twice as much in PET treatments than in controls. Survival and basal area growth were significantly better in ET than in the other treatments, and both ET and PET produced more seedling shoot growth than did controls. Pseudotsuga seedlings did not differ in measured characteristics between treatments; ectomycorrhiza formation was slight, evidently the result of reduced inoculum potential resulting from the fire.</t>
  </si>
  <si>
    <t>Treseder, KK; Mack, MC; Cross, A</t>
  </si>
  <si>
    <t>Relationships among fires, fungi, and soil dynamics in Alaskan Boreal Forests</t>
  </si>
  <si>
    <t>ECOLOGICAL APPLICATIONS</t>
  </si>
  <si>
    <t>1826</t>
  </si>
  <si>
    <t>1838</t>
  </si>
  <si>
    <t>10.1890/03-5133</t>
  </si>
  <si>
    <t>Fires are critical pathways of carbon loss from boreal forest soils, whereas microbial communities form equally critical controls over carbon accumulation between fires. We used a chronosequence in Alaska to test Read's hypothesis that arbuscular mycorrhizal fungi should dominate ecosystems with low accumulation of surface litter, and ectomycorrhizal fungi should proliferate where organic horizons are well-developed. This pattern is expected because ectomycorrhizal fungi display a greater capacity to mineralize organic compounds than do arbuscular mycorrhizal fungi. The sites were located in upland forests near Delta Junction, Alaska, and represent stages at 3, 15, 45, and 80 years following fire. Soil organic matter accumulated 2.8-fold over time. Fire did not noticeably reduce the abundance of arbuscular mycorrhizal fungi. In contrast, ectomycorrhizal colonization required up to 15 years to return to pre-fire levels. As a result, dominant mycorrhizal groups shifted from arbuscular to ectomycorrhizal fungi as succession progressed. Bacterial functional diversity was greatest in the oldest sites. Altogether, microbes that can mineralize organic compounds (i.e., ectomycorrhizae and bacteria) recovered more slowly than those that cannot (i.e., arbuscular mycorrhizae). Potential net N mineralization and standing pools of ammonium-N were relatively low in the youngest site. In addition, glomalin stocks were positively correlated with arbuscular mycorrhizal hyphal length, peaking early in the chronosequence. Our results indicate that microbial succession may influence soil carbon and nitrogen dynamics in the first several years following fire, by augmenting carbon storage in glomalin while inhibiting mineralization of organic compounds.</t>
  </si>
  <si>
    <t>The mycorrhizal hyphosphere: a key driver of biogeochemical cycles?</t>
  </si>
  <si>
    <t>Atmospheric carbon dioxide (CO2) levels have been rising steadily since the Industrial Revolution mainly as a consequence of human activity. Increased CO2 levels result in more heat absorbed from the sun thus contributing to global warming or 'the greenhouse effect'. This in turn has serious consequences for life on earth with loss of biodiversity, melting glaciers, forest fires and fatal heat waves. One of the major causes of increased CO2 levels is the burning of fossil fuels rapidly releasing carbon that has been stored for centuries back into the atmosphere. In order to cut our use of fossil fuels we can grow crops for energy. The large-scale production of such crops will dramatically alter the agricultural landscape. Energy (or 'biomass') crops are 'carbon neutral'; when burned to generate electricity they only release the same amount of CO2 back into the atmosphere as they fixed. Thus no 'extra' CO2 is released into the atmosphere. Energy crops include tree species such as Willow and Poplar. The roots of these plant species form symbiotic associations with mycorrhizal fungi naturally present in the soil and the term mycorrhizal literally means 'fungus-root'. Of the seven different types of mycorrhizal associations the two most important types are the ectomycorrhizal (ECM) which forms on tree species, and the arbuscular mycorrhizal association (AM), which forms mainly with herbaceous species. While most plants only form one type of association, both Willow and Poplar are unusual in that they can form both ectomycorrhizal or arbuscular mycorrhizal associations. Associations with mycorrhizal fungi can have direct benefits to the plant through increased growth, enhanced nutrient capture and disease suppression. In return, the mycorrhizal fungus obtains a supply of carbon from the host plant which helps it grow and produce an extensive mycelium external to the root. Plants influence the soil immediately surrounding their roots (called the 'rhizosphere') due to the presence of the growing root and as a result of compounds released from the root into the soil. Most of these compounds lost from the root through a passive process called 'exudation', are of low molecular weight and include amino acids, simple sugars and organic acids. These compounds are an ideal substrate for the microbial community; hence microbial populations are always higher in the rhizosphere compared to the bulk soil (i.e. soil not containing roots). Colonisation of roots by mycorrhizal fungi modifies the quantity and quality of compounds released from the roots but it is unknown to what extent the fungus actually contribute to the amount and types of compounds released. Moreover, in mycorrhizal plants, the external phase of the fungus (rather than the root) is the main zone of contact with the soil thus exudation of compounds from the hyphae may also influence microbial activities in the 'hyphosphere'. There is some evidence that ECM fungi can exude simple compounds but much less information on AM fungi although they are believed to improve soil structure by release of compounds from their hyphae. Thus, in this study we will examine to what extent ECM and AM fungi influence their surrounding environment. We will determine how much carbon flows to the fungus from the plant by using the carbon isotopes 14C (which is a radioactive isotope but very sensitive and from which we can obtain images of 14C flow through the plant to the fungus) and 13C (a stable hence non harmful isotope of C). We will also determine what types of compounds are exuded from the fungi by chemical analysis and by using biosensor microorganisms which can report back (via light omission) on the compounds released and the sites of release along the hyphae using a new approach called nanoSIMS. The influence of this hyphal exudation on a key soil process, denitrification, which results in a loss of N and which is also of environmental as well as economic concern will be quantified.</t>
  </si>
  <si>
    <t>Porter, Teresita M.; Smenderovac, Emily; Morris, Dave; Venier, Lisa</t>
  </si>
  <si>
    <t>All boreal forest successional stages needed to maintain the full suite of soil biodiversity, community composition, and function following wildfire</t>
  </si>
  <si>
    <t>10.1038/s41598-023-30732-7</t>
  </si>
  <si>
    <t>Wildfire is a natural disturbance in boreal forest systems that has been predicted to increase in frequency, intensity, and extent due to climate change. Most studies tend to assess the recovery of one component of the community at a time but here we use DNA metabarcoding to simultaneously monitor soil bacteria, fungi, and arthropods along an 85-year chronosequence following wildfire in jack pine-dominated ecosites. We describe soil successional and community assembly processes to better inform sustainable forest management practices. Soil taxa showed different recovery trajectories following wildfire. Bacteria shared a large core community across stand development stages (similar to 95-97% of their unique sequences) and appeared to recover relatively quickly by crown closure. By comparison fungi and arthropods shared smaller core communities (64-77% and 68-69%, respectively) and each stage appeared to support unique biodiversity. We show the importance of maintaining a mosaic ecosystem that represents each stand development stage to maintain the full suite of biodiversity in soils following wildfire, especially for fungi and arthropods. These results will provide a useful baseline for comparison when assessing the effects of human disturbance such as harvest or for assessing the effects of more frequent wildfire events due to climate change.</t>
  </si>
  <si>
    <t>Ammitzboll, Hans; Jordan, Gregory J.; Baker, Susan C.; Freeman, Jules; Bissett, Andrew</t>
  </si>
  <si>
    <t>Diversity and abundance of soil microbial communities decline, and community compositions change with severity of post-logging fire</t>
  </si>
  <si>
    <t>2434</t>
  </si>
  <si>
    <t>2448</t>
  </si>
  <si>
    <t>10.1111/mec.15900</t>
  </si>
  <si>
    <t>Understanding the effects of logging and fire on forest soil communities is integral to our knowledge of forest ecology and effective resource management. The resulting changes in soil biota have substantial impacts on forest succession and associated ecosystem processes. We quantified bacterial and fungal abundance, diversity and community composition across a logging and burn severity gradient, approximately one month after fire, in temperate wet eucalypt forests in Tasmania, Australia. Using amplicon sequencing and real-time quantitative PCR of the bacterial 16S rRNA gene and fungal ITS1 region, we demonstrate that (i) burn severity is a strong driver of soil microbial community composition, (ii) logging and high severity burning substantially reduce the biomass and diversity of soil bacteria and fungi, and (iii) the impacts of logging and burning on soil microbial communities are largely restricted to the top 10 cm of soil, with weak impacts on the subsoil. The impacts of disturbance on microbial community composition are greater than the effects of site-to-site edaphic differences. Fire also drives more divergence in community composition than logging alone. Key microbial taxa driving differences in severely burnt soils include bacterial genera implicated in plant-growth promotion and producing antifungal compounds as well as saprotrophic fungi that are also capable of forming ectomycorrhizal associations. Our research suggests that low-moderate severity burns are important for maintaining diversity and biomass in soil microbial communities but having a range of burn severities across a site contributes to the overall diversity of habitat conditions providing for both microbial and plant diversity.</t>
  </si>
  <si>
    <t>Zhang, Jianwei; Page-Dumroese, Deborah S.; Jurgensen, Martin F.; Busse, Matt; Mattson, Kim G.</t>
  </si>
  <si>
    <t>Coarse Woody Debris and Carbon Stocks in Pine Forests after 50 Years of Recovery from Harvesting in Northeastern California</t>
  </si>
  <si>
    <t>10.3390/f14030623</t>
  </si>
  <si>
    <t>The long-term effects of harvesting on stand carbon (C) pools were assessed in a dry, interior pine-dominated forest at the Blacks Mountain Experimental Forest in northeastern California. Six 8-hectacre plots, established in 1938-1943, were treated as either an uncut control or a heavy-cut harvest (three-quarters of the stand volume removed). Response variables included C pools in overstory tree and shrub, coarse woody debris (CWD), forest floor, mineral soil (to 30 cm depth), cubicle brown root fragments of wood, fine roots, and ectomycorrhizal root tips. CWD was further classified as intact wood or more highly decayed brown rot or white rot types. CWD nutrient stocks (N, P, K, Ca, and Mg) and soil N content were also measured. In 1992, 50 years after harvest, total ecosystem C was 188 and 204 Mg C ha(-1) in the harvest and control treatments or 8% lower (p = 0.02) in the harvest stands. There were changes in the distributions of C pools between the treatments. After 50 years of recovery, most C pools showed statistically non-significant and essentially no change in C pool size from harvests. Notable reductions in C with harvests were declines of 43% in CWD including standing snags (p = 0.09) and a decline of 9% of live tree C (p = 0.35). Increases in C pools after harvest were in a 3-fold build-up of fragmented brown cubicle rot (p = 0.26) and an 11% increase in soil C (p = 0.19). We observed strong evidence of C transfers from CWD to soil C pools with two- to three-fold higher soil C and N concentrations beneath CWD compared to other cover types, and lower CWD pools associated with elevated cubicle brown rot are elevated soil C in the harvests. Our results showed that while harvest effects were subtle after 50 years of regrowth, CWD may play an important role in storing and transferring ecosystem C to soils during recovery from harvesting in these dry, eastside pine forests of California. This poses a tradeoff for managers to choose between keeping CWD for its contribution to C sequestration and its removal as the hazardous fuels.</t>
  </si>
  <si>
    <t>Yang, Teng; Tedersoo, Leho; Lin, Xingwu; Fitzpatrick, Matthew C.; Jia, Yunsheng; Liu, Xu; Ni, Yingying; Shi, Yu; Lu, Pengpeng; Zhu, Jianguo; Chu, Haiyan</t>
  </si>
  <si>
    <t>Distinct fungal successional trajectories following wildfire between soil horizons in a cold-temperate forest</t>
  </si>
  <si>
    <t>572</t>
  </si>
  <si>
    <t>587</t>
  </si>
  <si>
    <t>10.1111/nph.16531</t>
  </si>
  <si>
    <t>Soil fungi represent a major component of below-ground biodiversity that determines the succession and recovery of forests after disturbance. However, their successional trajectories and driving mechanisms following wildfire remain unclear.We examined fungal biomass, richness, composition and enzymes across three soil horizons (Oe, A1 and A2) along a near-complete fire chronosequence (1, 2, 8, 14, 30, 49 and c. 260 yr) in cold-temperate forests of the Great Khingan Mountains, China. The importance of soil properties, spatial distance and tree composition were also tested.Ectomycorrhizal fungal richness and beta-glucosidase activity were strongly reduced by burning and significantly increased with 'time since fire' in the Oe horizon but not in the mineral horizons. Time since fire and soil C : N ratio were the primary drivers of fungal composition in the Oe and A1/A2 horizons, respectively. Ectomycorrhizal fungal composition was remarkably sensitive to fire history in the Oe horizon, while saprotroph community was strongly affected by time since fire in the deeper soil horizon and this effect emerged 18 years after fire in the A2 horizon.Our study demonstrates pronounced horizon-dependent successional trajectories following wildfire and indicates interactive effects of time since fire, soil stoichiometry and spatial distance in the reassembly of below-ground fungal communities in a cold and fire-prone region.</t>
  </si>
  <si>
    <t>Launonen, TM; Ashton, DH; Keane, PJ</t>
  </si>
  <si>
    <t>The effect of regeneration burns on the growth, nutrient acquisition and mycorrhizae of &lt;i&gt;Eucalyptus regnans&lt;/i&gt; F. Muell. (mountain ash) seedlings</t>
  </si>
  <si>
    <t>273</t>
  </si>
  <si>
    <t>283</t>
  </si>
  <si>
    <t>10.1023/A:1004609912315</t>
  </si>
  <si>
    <t>This study was conducted to compare the effects on the growth of Eucalyptus regnans seedlings of unheated soil and soil heated to different extents (as indicated by soil colour-bright red or black) in burnt logging coupes, and to separate the effects of heating of the soil on direct nutrient availability and on morphotypes and effectiveness of ectomycorrhizae. Burnt soils were collected from three logging coupes burnt 2, 14 and 25 months previously and unbumt soil from adjacent regrowth forests.Compared to unburnt soil, the early seedling growth was stimulated in black burnt soil from all coupes (burnt 2, 14 and 25 months previously). Seedling growth was generally poor in red burnt soil, especially in soil collected 2 months after burning. However, the concentration of extractable P was extremely high in red burnt soil, especially in soil collected 2 months after burning. In black burnt soil, extractable P was increased in soil 2 months after burning, but not in the soils collected 14 or 25 months after burning. However, both total P content and concentration in seedlings were increased in all collections of black burnt soil. Frequency of ectomycorrhizae was high in seedlings grown in all black burnt soils, but the mycorrhizal mantles were poorly developed in seedlings in black burnt soil collected 2 months after burning. Seedlings were also ectomycorrhizal in red burnt soil, except in soil collected 2 months after burning. Fine root inocula from seedlings grown in black burnt soils collected 14 and 25 months after burning significantly stimulated both seedling growth and P uptake compared with the uninoculated control, whereas the fine root inocula from the seedlings grown in all the other soils did not. These results suggest that, in black burnt soil, both direct nutritional changes and changes in the ectomycorrhizae may contribute to seedling growth promotion after regeneration burns. The generally poor seedling growth in red burnt soils is likely to have been due to N deficiency as the seedlings in these soils were yellow-green and the tissue concentrations of N were significantly lower than in other treatments.</t>
  </si>
  <si>
    <t>Maser, C.; Claridge, A. W.; Trappe, J. M.</t>
  </si>
  <si>
    <t>Trees, truffles, and beasts: how forests function.</t>
  </si>
  <si>
    <t>Trees, truffles and beasts: how forests function</t>
  </si>
  <si>
    <t>xviii + 280 pp.</t>
  </si>
  <si>
    <t>This book contains 9 chapters providing information on learning the components of ectomycorrhizal forests, mycophagy, nutrient cycles, and forest management. The first two chapters are largely background ecological information on the structure and function of forests within the two major geographical regions explored in great detail within the book - the Pacific Northwest forests of the USA, and southeastern Australia. A detailed introduction to soil development in chapter 2 helps to better characterize the subterranean home of the truffle. Chapter 3 discusses the evolutionary history of mycorrhizal fungi and provides a good primer on the major ecological services provided by fungi in forest ecosystems. This chapter also foreshadows the book's thesis: that much can be learned through examining the co-evolutionary interactions among mycorrhizal truffles, host trees, and animals spore dispersers. Chapters 4 provide examples of obligate, preferential and opportunistic mammalian mycophagists, further review the nutritional characteristics of fungi compared to other foodstuffs, and describe how differences in the digestive anatomy and physiology of mammalian species might help explain the degree to which such foods are utilized in nature. A detailed nutritional evaluation of mycophagy provided in Chapter 5, replete with anecdotal stories about animals dependency on hypogenous fungi for nourishment during part, most, or all of their lives. Chapters 6 and 7 examine the role of fire disturbances on maintaining landscape structure and function, a necessary addition to fully understand the books study sites, but a bit of an uncomfortable transition for the reader. Close attention is paid to how mismanagement in the western US and Australia has quickly created a very different landscape - one that undoubtedly has altered forest functioning and the role of mycorrhizas. Chapter 8 returns to the theme of forest complexity with further examination of detailed case studies for both the USA and Australia. It is here we learn of the intricacies of tripartite interactions. The breadth of animals and fungal taxonomic information is a great source of reference material to trophic, food web, mammalian or mycological ecologists conducting research in the western US or Australian Eucalyptus forests. Chapter 9 concludes with a summary of the book and leaves the reader with a new appreciation of a complex and delicate interdependency that is largely hidden from the casual observer.</t>
  </si>
  <si>
    <t>Jurgensen, MF; Harvey, AE; Graham, RT; PageDumroese, DS; Tonn, JR; Larsen, MJ; Jain, TB</t>
  </si>
  <si>
    <t>Impacts of timber harvesting on soil organic matter, nitrogen, productivity, and health of Inland Northwest forests</t>
  </si>
  <si>
    <t>234</t>
  </si>
  <si>
    <t>Soil organic components are important factors in the health and productivity of Inland Northwest forests, Timber harvesting and extensive site preparation (piling, windrowing, or scalping) reduces the amount of surface organic material (woody residues and forest floor layers) over large areas. Some wildfires and severe prescribed burns can have similar consequences, Such organic matter reductions can have important implications for soil chemical, biological and physical properties. A number of studies have linked substantial reduction in mycorrhizae development and tree growth to high levels of soil disturbance, or removal of organic horizons, Timber harvesting also removes a large percentage of coarse woody debris, which has unknown ramifications on soil productivity. Current woody residue guidelines in this region recommend leaving &lt;10 to 125 Mg ha(-1) on site to replace woody materials lost during harvesting operations. Large amounts of soil nitrogen (&gt;500 hg ha(-1)) can also be lost from timber harvesting and site preparation, especially when using prescribed flue. The time required to replace this lost nitrogen may range from &lt;10 to &gt;275 yr, and depends on the severity of site treatments, presence or absence of nitrogen fixing plants, and amounts of atmospheric deposition. Maintaining adequate amounts of organic matter on some forest sites in the Inland Northwest may temporarily increase the risk of wildfire or favor the activity of certain insects or disease fungi. However, carefully planned prescribed burns and mechanical site preparation can be practiced on most sites with relatively low impacts on soil organic levels, while accomplishing Vie important forest management objectives of fuel reduction, seedbed preparation, and reducing competing vegetation, Organic matter management will be the most difficult on very dry sites, with their historically low soil organic and nitrogen content, and high fire potential, The maintenance of adequate soil organic matter levels is critical for sustaining forest health and productivity under the variable moisture and temperature conditions of this region, Thus, soil organic components will become more important in the future as ecosystem management systems are developed for western forests.</t>
  </si>
  <si>
    <t>Efficiency of enhanced capture methods and age-class structure of dispersing boreal woodpeckers</t>
  </si>
  <si>
    <t>JOURNAL OF FIELD ORNITHOLOGY</t>
  </si>
  <si>
    <t>10.5751/JFO-00428-950110</t>
  </si>
  <si>
    <t>American Three-toed (Picoides dorsalis) and Black-backed Woodpeckers (Picoides arcticus) are irruptive species for which yearly movements and abundance are linked to higher productivity years due to forest fire or large-scale insect outbreaks in boreal forests. Studies have found that, in Black-backed Woodpeckers, younger birds are the main colonizers of recent burns, and thus related to natal dispersion. However, age structure of dispersing boreal woodpeckers in the fall have yet to be studied. The Observatoire d'oiseaux de Tadoussac is a migration monitoring station located at the southern limit of Quebec's boreal forest and where a special effort has been made to count and capture transient boreal woodpeckers in the fall between 2000 and 2006. In this study, we investigated (1) the age structure and sex ratio of dispersing boreal woodpeckers and assessed (2) if the use of enhanced capture methods (ECM) improves their rate of capture and (3) the correlation between capture rates and visual counts. The age structure of Black-backed Woodpecker (1:13.9 [1:4.5-1:64] adult:juveniles ratio) and American Three-toed Woodpecker (1:16.7 [1:4.22-0]) was strongly skewed toward juveniles, and suggests that dispersing individuals were mainly related with post-fledging movements. The use of ECM to capture boreal woodpeckers was an efficient way of capturing these species. This method showed capture rate four times greater than the passive method. Moreover, capture rates were correlated with visual counts. Therefore, our study supports the importance of post-fledging movements in boreal woodpecker population dynamics, and shows that the use of ECM is an efficient method to capture and count these species outside their breeding season.</t>
  </si>
  <si>
    <t>Trimber, Gillian</t>
  </si>
  <si>
    <t>Plant Neighbor Has Stronger Influence on Pinyon Pine Ectomycorrhizal Fungi than Soil History of Fire</t>
  </si>
  <si>
    <t>Garcia-Barreda, Sergi; Reyna, Santiago</t>
  </si>
  <si>
    <t>Cultivation of &lt;i&gt;Tuber melanosporum&lt;/i&gt; in firebreaks: Short-term persistence of the fungus and effect of seedling age and soil treatment</t>
  </si>
  <si>
    <t>783</t>
  </si>
  <si>
    <t>790</t>
  </si>
  <si>
    <t>10.1016/j.funbio.2013.10.001</t>
  </si>
  <si>
    <t>Wildfires are a major threat to Mediterranean forests. Firebreaks are built as a prevention measure, but require a periodic and expensive maintenance. Cultivating the ectomycorrhizal mushroom Tuber melanosporum Vitt. in firebreaks could reduce costs and improve their sustainability. But firebreaks are built on forest soil, considered nonoptimum for T. melanosporum cultivation. A pot experiment was used to study the persistence of T. melanosporum in firebreak soils in the short term, as a first step to assess the viability of these plantations. The influence of seedlings, soil heating, and liming was also tested. During the 2 y after plantation, T. melanosporum mycorrhizas increased their number, showing its ability to proliferate. Percent root colonisation by native fungi importantly increased from month 12 to 22; although T. melanosporum remained dominant, with a colonisation level similar to those in standard truffle plantations. The age of seedlings at the time of planting influenced T. melanosporum proliferation, supporting a key role for nursery seedling quality in the performance of young plantations. Heating the soil before planting reduced the richness of native fungi, suggesting that this could increase plantation success. The results tend to support the viability of T. melanosporum cultivation in firebreaks, and encourage experimental field plantations. (C) 2013 The British Mycological Society. Published by Elsevier Ltd. All rights reserved.</t>
  </si>
  <si>
    <t>Brown, Shawn P.; Callaham, Mac A., Jr.; Oliver, Alena K.; Jumpponen, Ari</t>
  </si>
  <si>
    <t>Deep Ion Torrent sequencing identifies soil fungal community shifts after frequent prescribed fires in a southeastern US forest ecosystem</t>
  </si>
  <si>
    <t>557</t>
  </si>
  <si>
    <t>566</t>
  </si>
  <si>
    <t>10.1111/1574-6941.12181</t>
  </si>
  <si>
    <t>Prescribed burning is a common management tool to control fuel loads, ground vegetation, and facilitate desirable game species. We evaluated soil fungal community responses to long-term prescribed fire treatments in a loblolly pine forest on the Piedmont of Georgia and utilized deep Internal Transcribed Spacer Region 1 (ITS1) amplicon sequencing afforded by the recent Ion Torrent Personal Genome Machine (PGM). These deep sequence data (19000+ reads per sample after subsampling) indicate that frequent fires (3-year fire interval) shift soil fungus communities, whereas infrequent fires (6-year fire interval) permit system resetting to a state similar to that without prescribed fire. Furthermore, in nonmetric multidimensional scaling analyses, primarily ectomycorrhizal taxa were correlated with axes associated with long fire intervals, whereas soil saprobes tended to be correlated with the frequent fire recurrence. We conclude that (1) multiplexed Ion Torrent PGM analyses allow deep cost effective sequencing of fungal communities but may suffer from short read lengths and inconsistent sequence quality adjacent to the sequencing adaptor; (2) frequent prescribed fires elicit a shift in soil fungal communities; and (3) such shifts do not occur when fire intervals are longer. Our results emphasize the general responsiveness of these forests to management, and the importance of fire return intervals in meeting management objectives.</t>
  </si>
  <si>
    <t>Zak, Bratislav; Ho, Iwan</t>
  </si>
  <si>
    <t>Resistance of ectomycorrhizal fungi to rhizina root rot</t>
  </si>
  <si>
    <t>Indian Journal of Mycology and Plant Pathology</t>
  </si>
  <si>
    <t>192</t>
  </si>
  <si>
    <t>195</t>
  </si>
  <si>
    <t>Poor seedling establishment in reforested sites after fire has been mostly attributed to infection by Rhizina undulata. In tests using Leach-tubes, the mycorrhizal fungi uninoculated seedlings showed root rot in less than 30 days. In tests conducted with pure cultures of three species of mycorrhizal fungi in an aseptically controlled environment using 2-liter flasks, Hebeloma crustuliniforme (S-166), Laccaria laccata (S-167), and Thelephora telestris (S-142) showed strong antagonism toward Rhizina. There were fewer dead roots in mycorrhizal fungi inoculated seedlings than the dying control.</t>
  </si>
  <si>
    <t>Huggard, D. J.; Arsenault, A.; Vyse, A.; Klenner, W.</t>
  </si>
  <si>
    <t>The Opax Mountain Silvicultural Systems project: preliminary results for managing complex, dry Interior Douglas-fir forests.</t>
  </si>
  <si>
    <t>Extension Note - British Columbia Ministry of Forests</t>
  </si>
  <si>
    <t>16 pp.</t>
  </si>
  <si>
    <t>The Opax Mountain Silvicultural Systems project explores management options for some of the issues facing managers of complex forests in the dry Interior Douglas-fir (Pseudotsuga menziesii, IDF) biogeoclimatic zone of British Columbia, Canada. The project includes two study areas: one in the IDFxh2 variant and one in the IDFdk2. Each area has six operational-scale harvest treatments: uncut control; 20% removal of merchantable volume using individual tree selection (ITS); 50% ITS; 50% ITS with uncut reserves; 20% removal using a mixture of patch cuts of 0.1, 0.4, and 1.6 ha; and 50% removal with patch cuts of a similar nature as the 20% removal. The project includes studies of: fire history and other natural disturbance agents; regeneration in openings and under partial canopy; edge effects on microclimate, snowmelt, and soils; effects of canopy density, gap sizes, site preparation, and edges on planted seedlings, natural regeneration, and vegetation (including cover layers, individual species, and groups such as forage plants, weeds, soil seedbanks, and ectomycorrhizal hosts); and harvest treatment effects and habitat relationships of wildlife groups, including terrestrial invertebrates, arboreal beetles, small mammals, songbirds, woodpeckers, and ungulates. We summarize results for many of the individual studies at Opax Mountain, dealing with the important management issues of natural disturbance regimes, regeneration, management of vegetation resources, and conservation of biological diversity in managed dry IDF stands. Natural disturbances at the site cover a wide spectrum of sizes, frequencies, severities, and effects on stand structure. Responses of the many study variables show that no one management treatment will maintain all valued components in the IDF forest. Together, these results support the use of a range of management practices broader than the current uneven-aged management widely practiced throughout the dry IDF biogeoclimatic zone. In particular, patch-cut systems with openings &gt;0.1 ha, or extended rotations to permit the development of large live trees, snags, and coarse woody debris would complement individual tree selection systems.</t>
  </si>
  <si>
    <t>McMullan-Fisher, Sapphire J. M.; May, Tom W.; Robinson, Richard M.; Bell, Tina L.; Lebel, Teresa; Catcheside, Pam; York, Alan</t>
  </si>
  <si>
    <t>Fungi and fire in Australian ecosystems: a review of current knowledge, management implications and future directions</t>
  </si>
  <si>
    <t>90</t>
  </si>
  <si>
    <t>10.1071/BT10059</t>
  </si>
  <si>
    <t>Fungi are essential components of all ecosystems in roles including symbiotic partners, decomposers and nutrient cyclers and as a source of food for vertebrates and invertebrates. Fire changes the environment in which fungi live by affecting soil structure, nutrient availability, organic and inorganic substrates and other biotic components with which fungi interact, particularly mycophagous animals. We review the literature on fire and fungi in Australia, collating studies that include sites with different time since fire or different fire regimes. The studies used a variety of methods for survey and identification of fungi and focussed on different groups of fungi, with an emphasis on fruit-bodies of epigeal macrofungi and a lack of studies on microfungi in soil or plant tissues. There was a lack of replication of fire treatment effects in some studies. Nevertheless, most studies reported some consequence of fire on the fungal community. Studies on fire and fungi were concentrated in eucalypt forest in south-west and south-eastern Australia, and were lacking for ecosystems such as grasslands and tropical savannahs. The effects of fire on fungi are highly variable and depend on factors such as soil and vegetation type and variation in fire intensity and history, including the length of time between fires. There is a post-fire flush of fruit-bodies of pyrophilous macrofungi, but there are also fungi that prefer long unburnt vegetation. The few studies that tested the effect of fire regimes in relation to the intervals between burns did not yield consistent results. The functional roles of fungi in ecosystems and the interactions of fire with these functions are explained and discussed. Responses of fungi to fire are reviewed for each fungal trophic group, and also in relation to interactions between fungi and vertebrates and invertebrates. Recommendations are made to include monitoring of fungi in large-scale fire management research programs and to integrate the use of morphological and molecular methods of identification. Preliminary results suggest that fire mosaics promote heterogeneity in the fungal community. Management of substrates could assist in preserving fungal diversity in the absence of specific information on fungi.</t>
  </si>
  <si>
    <t>Fire severity as a key determinant of aboveground and belowground biological community recovery in managed even-aged boreal forests.</t>
  </si>
  <si>
    <t>Ecology and Evolution</t>
  </si>
  <si>
    <t>1. Changes in fire regime of boreal forests in response to climate warming are expected to impact postfire recovery. However, quantitative data on how managed forests sustain and recover from recent fire disturbance are limited. 2. Two years after a large wildfire in managed even- aged boreal forests in Sweden, we investigated how recovery of aboveground and belowground communities, that is, understory vegetation and soil microbial and faunal communities, responded to variation in the severity of soil (i.e., consumption of soil organic matter) and canopy fires ( i.e., tree mortality). 3. While fire overall enhanced diversity of understory vegetation through colonization of fire adapted plant species, it reduced the abundance and diversity of soil biota. We observed contrasting effects of tree and soil related fire severity on survival and recovery of understory vegetation and soil biological communities. Severe fires that killed overstory Pinus sylvestris promoted a successional stage dominated by the mosses Ceratodon purpureus and Polytrichum juniperinum, but reduced regeneration of tree seedlings and disfavored the ericaceous dwarf shrub Vaccinium vitis idaea and the grass Deschampsia flexuosa. Moreover, high tree mortality from fire reduced fungal biomass and changed fungal community composition, in particular that of ectomycorrhizal fungi, and reduced the fungivorous soil Oribatida. In contrast, soil related fire severity had little impact on vegetation composition, fungal communities, and soil animals. Bacterial communities responded to both tree and soil related fire severity. 4. Synthesis: Our results 2 years postfire suggest that a change in fire regime from a historically low severity ground fire regime, with fires that mainly burns into the soil organic layer, to a stand replacing fire regime with a high degree of tree mortality, as may be expected with climate change, is likely to impact the short-term recovery of stand structure and above-and belowground species composition of even-aged P. sylvestris boreal forests.</t>
  </si>
  <si>
    <t>Quinonez Martinez, M.; Garza Ocanas, F.; Sosa Cerecedo, M.; Lebgue Keleng, T.; Lavin Murcio, P.; Bernal Carrillo, S.</t>
  </si>
  <si>
    <t>Indices of diversity and similarity of forest ectomycorrhizal fungi in Bocoyna, Chihuahua, Mexico.</t>
  </si>
  <si>
    <t>Ciencia Forestal en Mexico</t>
  </si>
  <si>
    <t>59</t>
  </si>
  <si>
    <t>Species composition of ectomycorrhizal fungi (HEM) is an indicator of the structure and function of a forest ecosystem. In the Municipality of Bocyna (Mexico), from July to September 2005, four samples were taken to measure the abundance and diversity of species HEM from each of the following zones (i.e. treatments): burned, logging, regeneration and natural forest zones. The Shannon-Wiener, Pielou equitativity as well as the Sorensen diversity indexes were used. A total of 1377 sporomas were obtained that belonged to 39 species. The natural forest zone showed the highest diversity and similarity of fungal species and most species belonged to the genus Amanita. The regeneration zone showed the highest frequency of sporocarps but with less diversity of species and richness due to the high abundance of Laccaria laccata. The burned and logging zones showed the lowest diversity index, however in the burned zone there was a significant abundance of Astraeus hygrometricus. Using the Sorensen's index it was found that most common species are in the natural and regeneration zones due to higher richness and affinity of species. The genera Amanita, Astraeus, Boletus, Inocybe, Lacaria, Lactarius and Russula, presented the highest abundance and richness of all species in all the zones of the study explaining the importance of HEM in the conservation of a pine forest.</t>
  </si>
  <si>
    <t>Alem, Demelash; Dejene, Tatek; Oria-de-Rueda, Juan Andres; Geml, Jozsef; Castano, Carles; Smith, Jane E.; Martin-Pinto, Pablo</t>
  </si>
  <si>
    <t>Soil fungal communities and succession following wildfire in Ethiopian dry Afromontane forests, a highly diverse underexplored ecosystem</t>
  </si>
  <si>
    <t>10.1016/j.foreco.2020.118328</t>
  </si>
  <si>
    <t>Ethiopian dry Afromontane forests are complex ecosystems that have important economic and ecological roles. However, recurrent fire has been a source of disturbance for these forests. We assessed the effect of fire on soil fungal communities in a remnant dry Afromontane forest in Wondo Genet, southern Ethiopia, by analysing soil samples collected from unburned stands and from stands one and ten years after fire using DNA metabarcoding of the ITS2 rDNA. The analysis indicated that the soil fungal community was most diverse soon after a fire disturbance and declined over time. Fungal community composition also differed among stands. Our results also indicated that differences in fungal diversity were stand dependent rather than due to the chronology of the fire history in this forest system. We found higher numbers of mycorrhizal species in burned stands, suggesting that these fungal symbionts could compensate for the effects of nutrient stress caused by fire in these areas. Fungal community composition was also significantly correlated with organic matter content, potassium and magnesium in soil. This work could be considered as a case study since the plots were established in a single stand for each treatment in the dry Afromontane forests of Ethiopia. Thus, we recommend further studies and conclusions regarding other stands need to be taken with caution.</t>
  </si>
  <si>
    <t>Spatial and Temporal Dimensions of the Rhizopogon Spore Bank</t>
  </si>
  <si>
    <t>Ectomycorrhizal (EM )spore banks are a fundamental,but poorly studied&lt;br/&gt;component,of plant-fungal community ecology.EM spore banks can provide&lt;br/&gt;the inoculum necessary for tree recruitment following severe disturbance and&lt;br/&gt;may facilitate tree invasion into bordering non-forested areas.Rhizopogon species&lt;br/&gt;are the most abundant component of spore banks in many western North&lt;br/&gt;American pinaceous ecosystems,and in some forest-border settings they appear&lt;br/&gt;to be virtually the entire spore bank.This proposal is focused on understanding&lt;br/&gt;the spatial and temporal dynamics of Rhizopogon spore banks in the context of&lt;br/&gt;cyclic fire and pine regeneration.A conceptual model for these interactions is&lt;br/&gt;proposed,and five specific hypotheses related to the model are tested.These&lt;br/&gt;hypotheses focus on differences in spore longevity and spore dispersal among&lt;br/&gt;Rhizopogon species,and on differences in mode and frequency of dispersal within&lt;br/&gt;mature-forests and post-fire forests.Measured parameters include:i)spatial&lt;br/&gt;pattern of the spore shadow in forest border zones,ii)current dispersal rates and&lt;br/&gt;modes into these zones,iii)spore longevity of three key Rhizopogon species and&lt;br/&gt;iv)longevity of complex native spore banks.Hypotheses will be tested by&lt;br/&gt;combining the techniques of bioassays,molecular ecology,large-scale spatial&lt;br/&gt;sampling,and seed bank ecology.The work addresses a crucial,but essentially&lt;br/&gt;unstudied,component of community ecology (i.e.,EM spore banks),and&lt;br/&gt;provides an analogous system in which to test ideas developed for plant seed&lt;br/&gt;banks.The broader impacts of this work are its direct relationship to forest&lt;br/&gt;regeneration and expansion;the ability to predict the spatial and temporal extent&lt;br/&gt;of the EM spore banks will provide forest managers with a rational way to assess&lt;br/&gt;the likelihood of EM inoculum in highly disturbed systems.</t>
  </si>
  <si>
    <t>Gundale, Michael J.; Axelsson, E. Petter; Buness, Vincent; Callebaut, Timon; Deluca, Thomas H.; Hupperts, Stefan F.; Ibanez, Theresa S.; Metcalfe, Daniel B.; Nilsson, Marie-Charlotte; Peichl, Matthias; Spitzer, Clydecia M.; Stangl, Zsofia R.; Strengbom, Joachim; Sundqvist, Maja K.; Wardle, David A.; Lindahl, Bjorn D.</t>
  </si>
  <si>
    <t>The biological controls of soil carbon accumulation following wildfire and harvest in boreal forests: A review</t>
  </si>
  <si>
    <t>10.1111/gcb.17276</t>
  </si>
  <si>
    <t>Boreal forests are frequently subjected to disturbances, including wildfire and clear-cutting. While these disturbances can cause soil carbon (C) losses, the long-term accumulation dynamics of soil C stocks during subsequent stand development is controlled by biological processes related to the balance of net primary production (NPP) and outputs via heterotrophic respiration and leaching, many of which remain poorly understood. We review the biological processes suggested to influence soil C accumulation in boreal forests. Our review indicates that median C accumulation rates following wildfire and clear-cutting are similar (0.15 and 0.20 Mg ha(-1) year(-1), respectively), however, variation between studies is extremely high. Further, while many individual studies show linear increases in soil C stocks through time after disturbance, there are indications that C stock recovery is fastest early to mid-succession (e.g. 15-80 years) and then slows as forests mature (e.g. &gt;100 years). We indicate that the rapid build-up of soil C in younger stands appears not only driven by higher plant production, but also by a high rate of mycorrhizal hyphal production, and mycorrhizal suppression of saprotrophs. As stands mature, the balance between reductions in plant and mycorrhizal production, increasing plant litter recalcitrance, and ectomycorrhizal decomposers and saprotrophs have been highlighted as key controls on soil C accumulation rates. While some of these controls appear well understood (e.g. temporal patterns in NPP, changes in aboveground litter quality), many others remain research frontiers. Notably, very little data exists describing and comparing successional patterns of root production, mycorrhizal functional traits, mycorrhizal-saprotroph interactions, or C outputs via heterotrophic respiration and dissolved organic C following different disturbances. We argue that these less frequently described controls require attention, as they will be key not only for understanding ecosystem C balances, but also for representing these dynamics more accurately in soil organic C and Earth system models.</t>
  </si>
  <si>
    <t>Johnson, CN</t>
  </si>
  <si>
    <t>Fire and habitat management for a mycophagous marsupial, the Tasmanian bettong Bettongia gaimardi</t>
  </si>
  <si>
    <t>10.1111/j.1442-9993.1997.tb00645.x</t>
  </si>
  <si>
    <t>The Tasmanian bettong, Bettongia gaimardi, is a mycophagous marsupial that occurs in fire-prone dry sclerophyll forests. Previous studies have demonstrated that some of the hypogeous fungi on which it feeds become abundant soon after fire, and have suggested that it might depend on regular burning of its habitat. The longer-term effects of burning on B. gaimardi and its food supply were evaluated by comparing six sites, matched for soil, vegetation and climate, in southeastern Tasmania that had been left unburnt for periods ranging from 1 to 50 years. At each site, the density of B. gaimardi diggings was measured and sporocarps of hypogeous fungi were surveyed. Abundance of hypogeous sporocarps was low at sites 2 years or less post-fire, but was high at sites 4 years and more postfire. Species richness was similarly low at recently burnt sites, an effect that was due to the absence of many shallow-fruiting taxa. All species (with one exception) present at recently burnt sites were also present in long-unburnt sites. Densities of B. gaimardi diggings were highest at a very recently burnt (&lt;1 year) site and at a site left unburnt for 10 years. These trends suggest that a high frequency of burning may be unfavourable to B. gaimardi in the forest type investigated in this study.</t>
  </si>
  <si>
    <t>Binkley, Daniel; Sisk, Tom; Chambers, Carol; Springer, Judy; Block, William</t>
  </si>
  <si>
    <t>The role of old-growth forests in frequent-fire landscapes</t>
  </si>
  <si>
    <t>ECOLOGY AND SOCIETY</t>
  </si>
  <si>
    <t>Classic ecological concepts and forestry language regarding old growth are not well suited to frequent-fire landscapes. In frequent-fire, old-growth landscapes, there is a symbiotic relationship between the trees, the understory graminoids, and fire that results in a healthy ecosystem. Patches of old growth interspersed with younger growth and open, grassy areas provide a wide variety of habitats for animals, and have a higher level of biodiversity. Fire suppression is detrimental to these forests, and eventually destroys all old growth. The reintroduction of fire into degraded frequent-fire, old-growth forests, accompanied by appropriate thinning, can restore a balance to these ecosystems. Several areas require further research and study: 1) the ability of the understory to respond to restoration treatments, 2) the rate of ecosystem recovery following wildfires whose level of severity is beyond the historic or natural range of variation, 3) the effects of climate change, and 4) the role of the microbial community. In addition, it is important to recognize that much of our knowledge about these old-growth systems comes from a few frequent-fire forest types.</t>
  </si>
  <si>
    <t>Akema, Tamio; Nurhiftisni, Ida; Suciatmih; Simbolon, Herwint</t>
  </si>
  <si>
    <t>The Impact of the 1998 Forest Fire on Ectomycorrhizae of Dipterocarp Trees and their Recovery in Tropical Rain Forests of East Kalimantan, Indonesia</t>
  </si>
  <si>
    <t>JARQ-JAPAN AGRICULTURAL RESEARCH QUARTERLY</t>
  </si>
  <si>
    <t>10.6090/jarq.43.137</t>
  </si>
  <si>
    <t>The impact of forest fire in 1997 and 1998 oil the mycorrhzae was studied at the dipterocarp forest in East Kalimantan, Indonesia. in unaffected forest more than half of total ectomycorrhizae distributed in the organic layer but in the fire-affected forest one and a half years after the fire, total amount of mycorrhizae was smaller and they were found in deeper soil. The number of morphotypes of mycorhizae was also smaller in fire-affected forest. An artificial plantation established after clear cut and prescribed burn had the largest amount of ectomycorrhizae, but the diversity was smaller than the unaffected forest. After four years, mycorrhizae had not yet recovered in fire-affected forest although the organic layer had recovered. Pioneer species of mycorrhizal fungi (early-stage fungi) developed sporocarps around the surviving hosts in severely affected forest and this suggests the start of secondary succession of mycorrhizae. In moderately affected forest, the species composition of mycorrhizal fungi which fruited during the study was similar to those of unaffected forest. This fact suggests that such sites may be the refugia of symbionts and be important in reforestation.</t>
  </si>
  <si>
    <t>Baldrian, Petr</t>
  </si>
  <si>
    <t>Forest microbiome: diversity, complexity and dynamics</t>
  </si>
  <si>
    <t>FEMS MICROBIOLOGY REVIEWS</t>
  </si>
  <si>
    <t>109</t>
  </si>
  <si>
    <t>130</t>
  </si>
  <si>
    <t>10.1093/femsre/fuw040</t>
  </si>
  <si>
    <t>Globally, forests represent highly productive ecosystems that act as carbon sinks where soil organic matter is formed from residuals after biomass decomposition as well as from rhizodeposited carbon. Forests exhibit a high level of spatial heterogeneity and the importance of trees, the dominant primary producers, for their structure and functioning. Fungi, bacteria and archaea inhabit various forest habitats: foliage, the wood of living trees, the bark surface, ground vegetation, roots and the rhizosphere, litter, soil, deadwood, rock surfaces, invertebrates, wetlands or the atmosphere, each of which has its own specific features, such as nutrient availability or temporal dynamicy and specific drivers that affect microbial abundance, the level of dominance of bacteria or fungi as well as the composition of their communities. However, several microorganisms, and in particular fungi, inhabit or even connect multiple habitats, and most ecosystem processes affect multiple habitats. Forests are dynamic on a broad temporal scale with processes ranging from short-term events over seasonal ecosystem dynamics to long-term stand development after disturbances such as fires or insect outbreaks. The understanding of these processes can be only achieved by the exploration of the complex 'ecosystem microbiome' and its functioning using focused, integrative microbiological and ecological research performed across multiple habitats.</t>
  </si>
  <si>
    <t>Grierson, PF; Adams, MA</t>
  </si>
  <si>
    <t>Plant species affect acid phosphatase, ergosterol and microbial P in a Jarrah (&lt;i&gt;Eucalyptus marginata&lt;/i&gt; Donn ex Sm.) forest in south-western Australia</t>
  </si>
  <si>
    <t>1817</t>
  </si>
  <si>
    <t>1827</t>
  </si>
  <si>
    <t>10.1016/S0038-0717(00)00155-3</t>
  </si>
  <si>
    <t>Dry sclerophyll forest dominated by Jarrah (Eucalyptus marginata Donn ex Sm.) covers about 1.6 Mha of south-western Australia and is, relative to other eucalypt forests, low in many nutrients, especially N and P. If fire is excluded from these forests, Banksia grandis Willd. (Proteaceae) often grows in dense thickets as the dominant understorey. Jarrah has an extensive surface (0-20 cm) system of fine lateral roots with ectomycorrhizal associations, while B. grandis produces a mat of cluster (proteoid) roots (0-20 cm) in the late winter and early spring. We measured seasonal changes in acid phosphatase activity and concentrations of ergosterol, microbial P and other P fractions (NaOH-extractable inorganic and organic P, Bray inorganic P) in soil from a forest where B. grandis was either present (Jarrah + Banksia) or absent (Jarrah). Acid phosphatase activity was between 30 and 40 mu mol p-NP g(-1) h(-1) in the moist winter and spring, but declined to less than 10 mu mol p-NP g(-1) h(-1) during the dry summer. Microbial P varied from less than 10 mug g(-1) in the late summer to more than 50 mug g(-1) during the wetter times of the year. Ergosterol also increased about four-fold as soil moisture content increased (P less than or equal to 0.05). Acid phosphatase was significantly and positively related to both ergosterol and microbial P in both Jarrah + Banksia and Jarrah soils, but the intercepts and slopes of the regressions varied seasonally and were not significantly different (P less than or equal to 0.05) between species composition. About 50% of the variation in phosphatase activity in Jarrah soils was explained by variation in fungal biomass (ergosterol), regardless of season, while in Jarrah + Banksia soils, 74% was explained by fungal biomass when soils were dry, decreasing to less than 10% as soil moisture increased. Linear regression models showed that ergosterol and microbial P are good predictors of acid phosphatase activity in soil, but their relative importance is dependent on plant species composition and season. We propose that the relative importance of fungal biomass as a determinant of phosphatase activity in the soil decreases as the seasonal flush of cluster roots dominate in the Jarrah + Banksia soils, while in Jarrah soils the phosphatase flush is primarily due to increased activity of the fungal biomass. Seasonal and spatial heterogeneity in microbial P, ergosterol and in the source of acid phosphatase in the soil are therefore a consequence of plant species composition and root type and will influence nutrient availability at the ecosystem scale. (C) 2000 Elsevier Science Ltd. All rights reserved.</t>
  </si>
  <si>
    <t>Garcia-Carmona, Minerva; Garcia-Orenes, Fuensanta; Mataix-Solera, Jorge; Roldan, Antonio; Pereg, Lily; Caravaca, Fuensanta</t>
  </si>
  <si>
    <t>Salvage logging alters microbial community structure and functioning after a wildfire in a Mediterranean forest</t>
  </si>
  <si>
    <t>10.1016/j.apsoil.2021.104130</t>
  </si>
  <si>
    <t>Salvage logging is one of the most common post-fire management strategies, known for trigger soil degradation processes. Soil compaction, the major disturbance associated with logging operations, could seriously hamper the resilience of soil microorganisms after the perturbation produced by fire. The main objective of this work was to assess the impact of post-fire salvage logging on the composition and structure of soil bacterial and fungi communities, as well as to correlate these findings with the changes in soil physicochemical properties. The management severely affected the soil physicochemical and microbial properties. Whereas an increase of alpha diversity was detected in the treated soils for the microbial community, the microbial functionality registered was lower when compared to control soils. Salvage logging profoundly altered the structure and composition of the microbial communities, being modifications in soil structure the main driver in the microbial community shifts. Soil degradation induced by logging operations resulted in new niches related to anoxic habitats, being Proteobacteria and Firmicutes families, capable of anaerobic respiration, families with high abundance in the affected soils. In addition, the depletion in C and N nutrients as a consequence of the soil erosion reduced the microbial populations sensitive to substrates availability, e.g. Actinomycetales. Ascomycota increased proportionally in managed soils, which might be due to the removal of host plants dependent on ectomycorrhizal fungi. This study demonstrated that physical soil disturbance performed by the post-fire salvage logging profoundly impacted the soil microbial community and associated functions. A deeper understanding of the relationship between disturbances caused by forest management and resilience of soil biodiversity is required.</t>
  </si>
  <si>
    <t>Hopkins, Jacob R.; Semenova-Nelsen, Tatiana; Sikes, Benjamin A.</t>
  </si>
  <si>
    <t>Fungal community structure and seasonal trajectories respond similarly to fire across pyrophilic ecosystems</t>
  </si>
  <si>
    <t>10.1093/femsec/fiaa219</t>
  </si>
  <si>
    <t>YY Fire alters microbial community composition, and is expected to increase in frequency due to climate change. Testing whether microbes in different ecosystems will respond similarly to increased fire disturbance is difficult though, because fires are often unpredictable and hard to manage. Fire recurrent or pyrophilic ecosystems, however, may be useful models for testing the effects of frequent disturbance on microbes. We hypothesized that across pyrophilic ecosystems, fire would drive similar alterations to fungal communities, including altering seasonal community dynamics. We tested fire's effects on fungal communities in two pyrophilic ecosystems, a longleaf pine savanna and tallgrass prairie. Fire caused similar fungal community shifts, including (i) driving immediate changes that favored taxa able to survive fire and take advantage of post-fire environments and (ii) altering seasonal trajectories due to fire-associated changes to soil nutrient availability. This suggests that fire has predictable effects on fungal community structure and intra-annual community dynamics in pyrophilic ecosystems, and that these changes could significantly alter fungal function. Parallel fire responses in these key microbes may also suggest that recurrent fires drive convergent changes across ecosystems, including less fire-frequented systems that may start burning more often due to climate change.</t>
  </si>
  <si>
    <t>CHYLEK, P; JOHNSON, B; DAMIANO, PA; TAYLOR, KC; CLEMENT, P</t>
  </si>
  <si>
    <t>BIOMASS BURNING RECORD AND BLACK CARBON IN THE GISP2 ICE CORE</t>
  </si>
  <si>
    <t>GEOPHYSICAL RESEARCH LETTERS</t>
  </si>
  <si>
    <t>10.1029/94GL02841</t>
  </si>
  <si>
    <t>We have determined the black carbon concentration in three sets of ice core samples from the GISP2 (Greenland Ice Sheet Project 2) ice core. The major peaks in black carbon concentration between 320 and 330 A.D. correlate well with peaks in ammonium concentration and with the dips in electrical conductivity measurements (ECM), which allows us to identify extensive forest fires in this time period. The average black carbon concentration during the 320 to 330 A.D. decade is found to be 2.1 mu g of black carbon per 1 kg of snow melt water. The current snow (1989 and 1990) from the GISP2 site shows an average black carbon concentration of about 2.0 mu/kg suggesting that the rate of black carbon deposition at the GISP2 Greenland site during 1989-1990 was about the same as 1670 years ago.</t>
  </si>
  <si>
    <t>TAO J</t>
  </si>
  <si>
    <t>Masson pine seedlings method, involvers selecting            normal nursery, preparing site and nutrition soil,            utilizing formalin spraying nutrient soil followed by            seed treating, sowing, performing water and fertilizer            management by irrigating</t>
  </si>
  <si>
    <t>NOVELTY - A Masson pine seedlings method involvers selecting sunny, flat, drained sandy loam as a normal nursery, and preparing site. Nutrition soil is prepared. Packaging process is performed by utilizing formalin spraying nutrient soil. Seed treatment is performed before planting the seeds by soaking seeds in a solution of potassium permanganate for 40 minutes, washing with water, and drying seeds standby, followed by sowing, performing water and fertilizer management by irrigating shoots unearthed after 1 week to 5cm height growth of seedlings after fertilization for three times a week. USE - Masson pine seedlings method. ADVANTAGE - The method enables Masson pine seedlings with better quality, and higher survival rate. DETAILED DESCRIPTION - A Masson pine seedlings method involvers selecting sunny, flat, drained sandy loam as a normal nursery, preparing site for nursery reciprocating by crushing soil evenly, applying disinfectants, herbicides on the seedbed nursery floor, above the bed surface covered with a layer of yellow soil, set the tank bag and placing neatly on the bed. Nutrition soil is prepared by mixing evenly yellow core, fire clay, a root soil, humus, peat, vermiculite, stacking for 12 days to give nutrition soil. Packaging process is performed by utilizing formalin spraying nutrient soil for disinfection, mixing nutrient soil with fine sieve sterilized ectomycorrhizal fungi evenly into a container bag and compaction. Seed treatment is performed before planting the seeds by soaking seeds in a solution of potassium permanganate for 40 minutes, washing with water, soaking in water below 30 degrees C for 24 hours, and drying seeds standby, followed by sowing in late March seeds into a container bag, covering with soil, performing water and fertilizer management by irrigating shoots unearthed after 1 week to 5cm height growth of seedlings after fertilization for three times a week.</t>
  </si>
  <si>
    <t>Smith, Jane E.; Kluber, Laurel A.; Jennings, Tara N.; Mckay, Donaraye; Brenner, Greg; Sulzman, Elizabeth W.</t>
  </si>
  <si>
    <t>Does the presence of large down wood at the time of a forest fire impact soil recovery?</t>
  </si>
  <si>
    <t>52</t>
  </si>
  <si>
    <t>62</t>
  </si>
  <si>
    <t>10.1016/j.foreco.2017.02.013</t>
  </si>
  <si>
    <t>Fire may remove or create dead wood aboveground, but it is less clear how high severity burning of soils affects belowground microbial communities and soil processes, and for how long. In this study, we investigated soil fungal and bacterial communities and biogeochemical responses of severely burned "red" soil and less severely burned "black" soil from a burned forest on the eastern slope of the Cascade Range in Oregon. Specifically, we examined the effects of burn severity on soil nutrients and microbial communities for 1-4 years after wildfire. Soil nutrients were significantly reduced in red soils. Soil fungi and bacteria, assessed with molecular methods, steadily colonized both burn severities and soil biodiversity increased throughout the study showing that microbial communities seem to have the capacity to quickly adjust to extreme disturbances. Although richness did not vary by soil type, the fungal and bacterial community compositions varied with burn severity. This difference was greatest in the early time points following the fire and decreased with time. However, nutrient-limited conditions of red soils were detected for four years after the wildfire and raise concern about soil productivity at these sites. Published by Elsevier B.V.</t>
  </si>
  <si>
    <t>Meena, Mukesh; Yadav, Garima; Sonigra, Priyankaraj; Nagda, Adhishree; Mehta, Tushar; Swapnil, Prashant; Harish; Marwal, Avinash; Kumar, Sumit</t>
  </si>
  <si>
    <t>Multifarious Responses of Forest Soil Microbial Community Toward Climate Change</t>
  </si>
  <si>
    <t>10.1007/s00248-022-02051-3</t>
  </si>
  <si>
    <t>Forest soils are a pressing subject of worldwide research owing to the several roles of forests such as carbon sinks. Currently, the living soil ecosystem has become dreadful as a consequence of several anthropogenic activities including climate change. Climate change continues to transform the living soil ecosystem as well as the soil microbiome of planet Earth. The majority of studies have aimed to decipher the role of forest soil bacteria and fungi to understand and predict the impact of climate change on soil microbiome community structure and their ecosystem in the environment. In forest soils, microorganisms live in diverse habitats with specific behavior, comprising bulk soil, rhizosphere, litter, and deadwood habitats, where their communities are influenced by biotic interactions and nutrient accessibility. Soil microbiome also drives multiple crucial steps in the nutrient biogeochemical cycles (carbon, nitrogen, phosphorous, and sulfur cycles). Soil microbes help in the nitrogen cycle through nitrogen fixation during the nitrogen cycle and maintain the concentration of nitrogen in the atmosphere. Soil microorganisms in forest soils respond to various effects of climate change, for instance, global warming, elevated level of CO2, drought, anthropogenic nitrogen deposition, increased precipitation, and flood. As the major burning issue of the globe, researchers are facing the major challenges to study soil microbiome. This review sheds light on the current scenario of knowledge about the effect of climate change on living soil ecosystems in various climate-sensitive soil ecosystems and the consequences for vegetation-soil-climate feedbacks.</t>
  </si>
  <si>
    <t>Glick, Henry B.; Umunay, Peter M.; Makana, Jean-Remy; Thomas, Sean C.; Reuning-Scherer, Jonathan D.; Gregoire, Timothy G.</t>
  </si>
  <si>
    <t>Developmental Dynamics of &lt;i&gt;Gilbertiodendron dewevrei&lt;/i&gt; (Fabaceae) Drive Forest Structure and Biomass in the Eastern Congo Basin</t>
  </si>
  <si>
    <t>10.3390/f12060738</t>
  </si>
  <si>
    <t>Patterns of structural change associated with monodominant tropical forest complexes have remained enigmatic for decades. Here, we extend previous efforts in presenting a longitudinal, local-scale analysis of forest dynamics in central Africa. Using four 10-ha census plots measured across three time periods (959,312 stems &gt;= 1 cm DBH), we analyzed changes in a number of biometrical attributes for four distinct forest types capturing the developmental gradient from mixed species forest to Gilbertiodendron dewevrei-dominated forest. We modeled above-ground biomass (AGB), basal area (BA), and stem density across all species, and diameter at breast height (DBH), recruitment, and mortality for Gilbertiodendron dewevrei. We hypothesized that trends in these attributes are consistent with a slow spread of Gilbertiodendron dewevrei into adjacent mixed species forest. We identified statistically significant increases in AGB and BA across sites and positive, though nonsignificant, increases in AGB and BA for most forest types. DBH and relative recruitment increased significantly for Gilbertiodendron dewevrei stems, while relative mortality did not. When looking from mixed species to transitional to monodominant forest types, we found a statistically significant pattern of developmental aggradation and net expansion of monodominant forest. We do not attribute this to atmospheric forcing but to a combination of (a) landscape-scale recovery or response to widespread disturbance (primarily historical fires), (b) Gilbertiodendron dewevrei's ectomycorrhizal association, and (c) Gilbertiodendron dewevrei's exceptional stress tolerance traits.</t>
  </si>
  <si>
    <t>Tuininga, Amy Renee</t>
  </si>
  <si>
    <t>Fire effects on ectomycorrhizal diversity, community structure, and function in the New Jersey Pine Barrens</t>
  </si>
  <si>
    <t>Thesis?</t>
  </si>
  <si>
    <t>Trappe, James M.; Nicholls, A. O.; Claridge, Andrew W.; Cork, Steven J.</t>
  </si>
  <si>
    <t>Prescribed burning in a &lt;i&gt;Eucalyptus&lt;/i&gt; woodland suppresses fruiting of hypogeous fungi, an important food source for mammals</t>
  </si>
  <si>
    <t>1333</t>
  </si>
  <si>
    <t>1339</t>
  </si>
  <si>
    <t>10.1016/j.mycres.2006.07.018</t>
  </si>
  <si>
    <t>Fruit bodies of hypogeous fungi are an important food source for many small mammals and are consumed by larger mammals as well. A controversial hypothesis that prescribed burning increases fruiting of certain hypogeous fungi based on observations in Tasmania was tested in the Australian Capital Territory to determine if it applied in a quite different habitat. Ten pairs of plots, burnt and nonburnt, were established at each of two sites prescribe-burnt in May 1999. When sampled in early July, after autumn rains had initiated the fungal fruiting season, species richness and numbers of fruit bodies on the burnt plots were extremely low: most plots produced none at all. Both species richness and fruit body numbers were simultaneously high on nonburnt plots. one of the sites was resampled a year after the initial sampling. At that time species richness and fruit body abundance were still significantly less on burnt plots than on nonburnt, but a strong trend towards fungal recovery on the burnt plots was evident. This was particularly so when numbers of fruit bodies of one species, the hypogeous agaric Dermocybe globuliformis, were removed from the analysis. This species strongly dominated the nonburnt plots but was absent from burnt plots in both years. The trend towards recovery of fruit body abundance in the burnt plots one year after the burn was much more pronounced with exclusion of the Dermocybe data. The Tasmanian-based hypothesis was based mostly on the fruiting of two fire-adapted species in the Mesophelliaceae. Neither species occurred on our plots. Accordingly, the results and conclusions of the Tasmanian study cannot be extrapolated to other habitats without extensive additional study. Implications for management of habitat for fungi and the animals that rely on the fungi as a food source are discussed. (c) 2006 The British Mycological Society. Published by Elsevier Ltd. All rights reserved.</t>
  </si>
  <si>
    <t>Trautwig, Adam N.</t>
  </si>
  <si>
    <t>Microbial Communities in Cogongrass (Imperata Cylindrica (L.) Beauv.) Invaded Commercial Loblolly Pine (Pinus Taeda L.) Stands</t>
  </si>
  <si>
    <t>Meyer, MD; North, MP; Kelt, DA</t>
  </si>
  <si>
    <t>Short-term effects of fire and forest thinning on truffle abundance and consumption by &lt;i&gt;Neotamias speciosus&lt;/i&gt; in the Sierra Nevada of California</t>
  </si>
  <si>
    <t>1061</t>
  </si>
  <si>
    <t>1070</t>
  </si>
  <si>
    <t>10.1139/x05-032</t>
  </si>
  <si>
    <t>In many western North American forests, prescribed burning and mechanical thinning are widely used to reduce fuels and restore stand conditions after a century of fire suppression. Few studies have followed the relative impacts of these treatments on the production and consumption of truffles in forest ecosystems, particularly in the Sierra Nevada of California. Using a full-factorial completely randomized design, we examined the short-term impacts of prescribed burning (no burn and burn), mechanical thinning (no thin, light thin, and heavy thin), and combinations of these treatments on the production of truffles and their consumption by lodgepole chipmunks (Neotamias speciosus Merriam) in a mixed-conifer forest of the southern Sierra Nevada of California. Truffle frequency, biomass, and species richness were lower in thinned or burned plots than controls, as was the frequency and generic richness of truffles in the diet of N. speciosus. Truffle frequency, biomass, and species richness, and truffle consumption by N. speciosus were lower in heavily thinned and thinned and burned plots than in those exclusively burned. These results suggest that either thinning or burning can reduce short-term truffle production and consumption, and potentially the dispersal of ectomycorrhizal spores by small mammals. Moreover, truffles decreased with treatment intensity, suggesting heavy thinning and higher burn intensity, particularly when applied together, can significantly affect short-term truffle abundance and small mammal consumption.</t>
  </si>
  <si>
    <t>Trowbridge, J; Jumpponen, A</t>
  </si>
  <si>
    <t>Fungal colonization of shrub willow roots at the forefront of a receding glacier</t>
  </si>
  <si>
    <t>10.1007/s00572-003-0264-3</t>
  </si>
  <si>
    <t>Shrub willows (Salix spp.) form associations with arbuscular mycorrhizal (AM), ectomycorrhizal (EM) and dark septate endophytic (DSE) fungi. Willow root colonization by these three types of fungi was studied on a deglaciated forefront of Lyman Glacier, Washington, USA. Root colonization was low; less than 1% of the root length was colonized by AM and 25.6% by DSE. EM colonized 25% of the root tips and 19.4% of the root length. AM and DSE colonization were not related to distance from the present glacier terminus or to canopy cover. EM colonization increased with distance from the glacier terminus based on gridline intercept data but not on root tip frequency data. Availability of propagules in the substrate was low, but numbers of propagules increased with distance from the glacier terminus. The EM communities were dominated by three ascomycetes showing affinity to Sordariaceae in BLAST analyses. Other frequent taxa on the glacier forefront included species of Cortinariaceae, Pezizaceae, Russulaceae, Thelephoraceae and Tricholomataceae. When occurrence of individual taxa was used as a response variable to canopy cover, distance from the glacier terminus, and their interaction, four different fungal guilds were identified: 1) fungi that did not respond to these environmental variables; 2) fungi that occurred mainly in intercanopy areas and decreased with distance from the glacier terminus; 3) fungi that were insensitive to canopy cover but increased with distance from the glacier terminus; 4) fungi that occurred mainly under willow canopies and increased with distance from the glacier terminus. We suggest that fungal colonization is mainly limited by fungal propagule availability. Environmental conditions may also limit successful establishment of plant-fungus associations. We propose that the four EM guilds partly explain successional dynamics. The initial EM community comprises fungi that tolerate low organic matter and nitrogen environment (first and second guilds above). During later community development, these fungi are replaced by those that benefit from an increased organic matter and nitrogen environment (third and fourth guilds above).</t>
  </si>
  <si>
    <t>Hernandez-Rodriguez, Maria; Andres Oria-de-Rueda, Juan; Martin-Pinto, Pablo</t>
  </si>
  <si>
    <t>Post-fire fungal succession in a Mediterranean ecosystem dominated by &lt;i&gt;Cistus ladanifer&lt;/i&gt; L.</t>
  </si>
  <si>
    <t>48</t>
  </si>
  <si>
    <t>10.1016/j.foreco.2012.10.009</t>
  </si>
  <si>
    <t>Wildfires are the major disturbance in Mediterranean ecosystems affecting both vegetation and fungal communities. After fire, fungal communities follow succession patterns mainly driven by the dynamics of post-fire plant communities. The aim of this study is to analyze post-fire fungal succession in a Mediterranean ecosystem dominated by Cistus ladanifer in northwestern Spain. Sporocarps were collected and identified on a weekly basis during the autumn season from 2003 to 2006 in 100 m(2) plots located in recently burned plots (early stage) and mature stands (late stage). 146 fungal taxa were found during the 4-year sampling (56 late stage only and 23 early stage only). There was a shift in the taxa composition of fungal community during C ladanifer succession. Several taxa such as Coprinus spp. and Pholiota car-bonaria were found in the early stage of the succession, whereas late stage taxa like Lepista spp. or Con-ocybe spp. fruited in the last years of succession. Cistus-specific taxa such as Entoloma cistophilum, Hebeloma cistophilum and Lactarius cistophilus were classified as multi-stage taxa as they were able to fruit in both early and late stages. Furthermore, several mycorrhizal taxa, usually associated with mature forest tree stands, were able to fruit much earlier in C. ladanifer scrublands. According to the results of this study, these ecosystems, traditionally considered ecologically and economically unproductive, seem to exhibit significant levels of fungal richness and can play an important role in diversity conservation as well as acting as a bridge for mycorrhizal inoculum in the recovery of forest stands after fire. (C) 2012 Elsevier B.V. All rights reserved.</t>
  </si>
  <si>
    <t>Pekin, Burak K.; Wittkuhn, Roy S.; Boer, Matthias M.; Macfarlane, Craig; Grierson, Pauline F.</t>
  </si>
  <si>
    <t>Plant functional traits along environmental gradients in seasonally dry and fire-prone ecosystem</t>
  </si>
  <si>
    <t>JOURNAL OF VEGETATION SCIENCE</t>
  </si>
  <si>
    <t>1009</t>
  </si>
  <si>
    <t>1020</t>
  </si>
  <si>
    <t>10.1111/j.1654-1103.2011.01323.x</t>
  </si>
  <si>
    <t>Questions: How does the abundance and richness of plant assemblages with different functional (regeneration and nutrient acquisition) traits vary with fire regime, moisture availability and substrate fertility? What is the role of different functional traits in maintaining plant diversity under changing environmental conditions in seasonally dry and fire-prone environments?Location: Southwest Western Australia.Methods: Plant species abundance and soil nutrients were determined at 16 forest sites with variable fire histories across an aridity gradient. All plant species were classified based on their functional traits as (1) perennial or annual, (2) ectomycorrhizal, arbuscular mycorrhizal, ericoid mycorrhizal, orchid mycorrhizal, proteoid or other non-mycorrhizal, (3) resprouters or seeder, and (4) nitrogen fixer or non-fixer. We used a multivariate (fourth-corner) technique to simultaneously test the significance and direction of the relationship between each of these traits and fire frequency, fire interval length, aridity, and soil N, P and C fractions.Results: The functional response of the vegetation to fire regime was minor and restricted to annual species, which comprised only similar to 4% of taxa. Proteoid and ectomycorrhizal species dominated over species with arbuscular and orchid mycorrhizal roots, N-fixers dominated over non-fixers, and seeders dominated over resprouters when N fertility was low but organic labile P was high. Further, proteoid and ectomycorrhizal species richness increased with aridity, while arbuscular mycorrhizal species richness decreased.Conclusions: While the functional composition of southwest Australian vegetation is largely insensitive to changes in fire regime, nutrient acquisition and, to a lesser extent, regeneration traits provide mechanisms for the vegetation community to adjust to changes in resource availability. Thus, diversity responses to environmental change in seasonally dry and fire-prone ecosystems are likely to be primarily mediated by the composition of nutrient acquisition traits in the vegetation community.</t>
  </si>
  <si>
    <t>Ondik, Mercedes M.; Bennell, Michael; Davies, Richard J-P; Ooi, Mark K. J.; Munoz-Rojas, Miriam</t>
  </si>
  <si>
    <t>Fire and land use impact soil properties in a Mediterranean dry sclerophyll woodland</t>
  </si>
  <si>
    <t>JOURNAL OF ENVIRONMENTAL MANAGEMENT</t>
  </si>
  <si>
    <t>10.1016/j.jenvman.2022.116245</t>
  </si>
  <si>
    <t>Fire directly impacts soil properties responsible for soil function and can result in soil degradation. Across the globe, climate change-induced droughts and elevated temperatures are exacerbating fire regime severity, breadth, and frequency, thus posing a threat to soil function and dependent ecosystem services. In Australia, the 2019-2020 fire season consumed nearly 50% of Kangaroo Island, South Australia, burning both dry sclerophyll woodland and adjacent historically cleared and grazed pastureland. Due to exacerbated fire regime elements, e. g., intensity and area affected, and interactions with historical land use, post-fire recovery of soil function was uncertain. This study assessed the impacts of a) the 2019-2020 fire event in Western River, Kangaroo Island on dry sclerophyll woodland and b) the interaction between this fire event and historical clearing and grazing on post-fire function of the soil. To do so, the following physicochemical and biological soil properties were analysed: labile active carbon, total carbon, total nitrogen, carbon to nitrogen ratio (C/N), pH, electrical conductivity, soil water repellency, aggregate stability, microbial community composition, and microbial diversity. Our results showed that the fire was of high severity, causing a reduction in nutrient content, an extreme rise in pH, and significant modifications to fungal communities in burnt compared to unburnt dry sclerophyll woodland. Furthermore, clearing and grazing raised post-fire soil nutrient levels and soil microbial diversity but reduced soil C/N and the abundance of ectomycorrhizal fungi in burnt pastureland compared to burnt woodland soils. This study highlights the role of management and fire severity in post-fire outcomes and emphasizes the need for comprehensive soil function assessments to evaluate the impacts of disturbance on soil. Taking direct measure of soil properties, as done here, will improve future assessments of fire season impacts and post-fire recovery in fireprone landscapes.</t>
  </si>
  <si>
    <t>Fox, Sam; Sikes, Benjamin A.; Brown, Shawn P.; Cripps, Cathy L.; Glassman, Sydney, I; Hughes, Karen; Semenova-Nelsen, Tatiana; Jumpponen, Ari</t>
  </si>
  <si>
    <t>Fire as a driver of fungal diversity - A synthesis of current knowledge</t>
  </si>
  <si>
    <t>241</t>
  </si>
  <si>
    <t>10.1080/00275514.2021.2024422</t>
  </si>
  <si>
    <t>Fires occur in most terrestrial ecosystems where they drive changes in the traits, composition, and diversity of fungal communities. Fires range from rare, stand-replacing wildfires to frequent, prescribed fires used to mimic natural fire regimes. Fire regime factors, including burn severity, fire intensity, and timing, vary widely and likely determine how fungi respond to fires. Despite the importance of fungi to post-fire plant communities and ecosystem functioning, attempts to identify common fungal responses and their major drivers are lacking. This synthesis addresses this knowledge gap and ranges from fire adaptations of specific fungi to succession and assembly fungal communities as they respond to spatially heterogenous burning within the landscape. Fires impact fungi directly and indirectly through their effects on fungal survival, substrate and habitat modifications, changes in environmental conditions, and/or physiological responses of the hosts with which fungi interact. Some specific pyrophilous, or "fire-loving," fungi often appear after fire. Our synthesis explores whether such taxa can be considered cosmopolitan, and whether they are truly fire-adapted or simply opportunists adapted to rapidly occupy substrates and habitats made available by fires. We also discuss the possible inoculum sources of post-fire fungi and explore existing conceptual models and ecological frameworks that may be useful in generalizing fungal fire responses. We conclude with identifying research gaps and areas that may best transform the current knowledge and understanding of fungal responses to fire.</t>
  </si>
  <si>
    <t>Dove, Nicholas C.; Hart, Stephen C.</t>
  </si>
  <si>
    <t>FIRE REDUCES FUNGAL SPECIES RICHNESS AND &lt;i&gt;IN SITU&lt;/i&gt; MYCORRHIZAL COLONIZATION: A META-ANALYSIS</t>
  </si>
  <si>
    <t>37</t>
  </si>
  <si>
    <t>10.4996/fireecology.130237746</t>
  </si>
  <si>
    <t>Soil fungal communities perform many functions that help plants meet their nutritional demands. However, overall trends for fungal response to fire, which can be especially critical in a post-fire context, have been difficult to elucidate. We used meta-analytical techniques to investigate fungal response to fire across studies, ecosystems, and fire types. Change in fungal species richness and mycorrhizal colonization were used as the effect size metrics in random effects models. When different types of methods for assessing fungal species richness and mycorrhizal colonization were considered together, there was an average reduction of 28 % in fungal species richness post fire, but no significant response in mycorrhizal colonization. In contrast, there was a 41 % reduction in fungal species richness post fire when assessed by sporocarp surveys, but fungal species richness was not significantly affected when assessed by molecular methods. Measured in situ, fire reduced mycorrhizal colonization by 21 %, yet no significant response occurred when assessed by ex situ bioassays. These findings suggest that the putative magnitude of fire effects on soil fungal communities may be dependent on the approach and assessment method used. Furthermore, biome, but not fire type (i.e., wildfire versus prescribed fire) was a significant moderator of our categorical models, suggesting that biome might be a more useful predictor of fungal species richness response to fire than fire type. Reductions in fungal species richness and in situ mycorrhizal colonization post fire declined logarithmically and approached zero (i.e., no effect) at 22 and 11 years, respectively. We concluded that fire reduces fungal species richness and in situ mycorrhizal colonization, but if conditions allow communities to recover (e.g., without subsequent disturbance, favorable growing conditions), soil fungi are resilient on decadal time scales; the resiliency of soil fungi likely contributes to the overall rapid ecosystem recovery following fire.</t>
  </si>
  <si>
    <t>Meta-analysis</t>
  </si>
  <si>
    <t>Castillo, Buck Tanner</t>
  </si>
  <si>
    <t>Fungal Community Structural and Functional Responses to Disturbances in a North Temperate Forest</t>
  </si>
  <si>
    <t>Hernandez-Rodriguez, Maria; Andres Oria-de-Rueda, Juan; Pando, Valentin; Martin-Pinto, Pablo</t>
  </si>
  <si>
    <t>Impact of fuel reduction treatments on fungal sporocarp production and diversity associated with &lt;i&gt;Cistus&lt;/i&gt; &lt;i&gt;ladanifer&lt;/i&gt; L. ecosystems</t>
  </si>
  <si>
    <t>10.1016/j.foreco.2015.05.007</t>
  </si>
  <si>
    <t>Mediterranean Cistus ladanifer scrublands can provide an important fungal production, often in high demand. However, due to the pyrophytic characteristics of this species, forest fires are the main threat to these ecosystems. The aim of the study is to analyze the effects of different fuel reduction treatments on C. ladanifer scrublands on production and diversity of fungal communities in order to enhance mushroom production and diversity and prevent forest fires. Sporocarp sampling was carried out on a weekly basis during autumnal production periods between 2010 and 2013. Twenty-seven plots (100 m(2)) were established in scrublands of different age and origin: (a) a middle-age scrubland (8 years old) whose origin was a forest fire, (b) a middle-age scrubland (8 years old) whose origin was the total clearing of the previous stand, and (c) a senescent scrubland (20 years old). Considered fuel reduction treatments were total clearing, 50% clearing and controlled burning. All the sporocarps were identified and fresh and dry weighed. A total of 63,436 sporocarps belonging to 157 taxa within 64 genera were collected during the four years' sampling. Higher total fungal fresh weight production was found in middle-aged compared with senescent scrublands. After the 50% clearing, production, diversity and species composition of fungal communities were very similar to the control plots in which no treatment was performed. It seemed to be the most appropriate treatment for the production of edible species, especially Boletus edulis and this treatment may also reduce fire intensity and severity. Furthermore, total clearing favors the fructification of new species, especially saprotrophic ones. Therefore, in this study, the rejuvenation of senescent scrublands and the alternation of different fuel reduction treatments in middle-aged stands seemed to be the best management guidelines for the sustainable management of this resource. (C) 2015 Elsevier B.V. All rights reserved.</t>
  </si>
  <si>
    <t>Anderson, Ian C.; Bastias, Brigitte A.; Genney, David R.; Parkin, Pamela I.; Cairney, John W. G.</t>
  </si>
  <si>
    <t>Basidiomycete fungal communities in Australian sclerophyll forest soil are altered by repeated prescribed burning</t>
  </si>
  <si>
    <t>486</t>
  </si>
  <si>
    <t>10.1016/j.mycres.2007.02.006</t>
  </si>
  <si>
    <t>Soil basidiomycetes play key roles in forest nutrient and carbon cycling processes, yet the diversity and structure of below ground basidiomycete communities remain poorly understood. Prescribed burning is a commonly used forest management practice and there is evidence that single fire events can have an impact on soil fungal communities but little is known about the effects of repeated prescribed burning. We have used internal transcribed spacer (ITS) terminal restriction fragment length polymorphism (T-RFLP) analysis to investigate the impacts of repeated prescribed burning every two or four years over a period of 30 years on soil basidiomycete communities in an Australian wet sclerophyll forest. Detrended correspondence analysis of ITST-RFLP profiles separated basidiomycete communities in unburned control plots from those in burned plots, with those burned every two years being the most different from controls. Burning had no effect on basidiomycete species richness, thus these differences appear to be due to changes in community structure. Basidiomycete communities in the unburned control plots were vertically stratified in the upper 20 cm of soil, but no evidence was found for stratification in the burned plots, suggesting that repeated prescribed burning results in more uniform basidiomycete communities. Overall, the results demonstrate that repeated prescribed burning alters soil basidiomycete communities, with the effect being greater with more frequent burning. (C) 2007 The British Mycological Society. Published by Elsevier Ltd. All rights reserved.</t>
  </si>
  <si>
    <t>Brundrett, Mark C.</t>
  </si>
  <si>
    <t>Distribution and Evolution of Mycorrhizal Types and Other Specialised Roots in Australia</t>
  </si>
  <si>
    <t>Biogeography of Mycorrhizal Symbiosis</t>
  </si>
  <si>
    <t>10.1007/978-3-319-56363-3_17</t>
  </si>
  <si>
    <t>Claridge, AW; Barry, SC; Cork, SJ; Trappe, JM</t>
  </si>
  <si>
    <t>Diversity and habitat relationships of hypogeous fungi. II. Factors influencing the occurrence and number of taxa</t>
  </si>
  <si>
    <t>BIODIVERSITY AND CONSERVATION</t>
  </si>
  <si>
    <t>175</t>
  </si>
  <si>
    <t>199</t>
  </si>
  <si>
    <t>10.1023/A:1008962711138</t>
  </si>
  <si>
    <t>Fruit-bodies of hypogeous fungi were sampled over two seasons across 136 forested study sites representing a stratified sample of the climatic, geological and topographic features of far south-eastern mainland Australia. Two hundred and nine species, over three-quarters being undescribed, were recorded. Statistical models based on various environmental attributes measured for each site were developed for the occurrence of several common taxa. At a landscape scale, climatic factors such as mean minimum temperature of the coldest month and annual mean moisture index were important explanatory variables for most taxa examined, but the type of response varied. More locally, topographic position, soil fertility, time since last fire and micro-habitat structures such as the leaf litter layer and number of large fallen trees also influenced the distribution of taxa in different ways. A model was then developed for the number of fungal species occurring at each site. Important explanatory variables were type of substrate, topography and diversity of potential host eucalypt species. The utility of each model constructed needs evaluation by further sampling of hypogeous fungi. Possible implications of our findings for forest management are discussed. Further analyses of our existing data are also identified.</t>
  </si>
  <si>
    <t>Nelson, Amelia R.; Fegel, Timothy S.; Danczak, Robert E.; Caiafa, Marcos, V; Roth, Holly K.; Dunn, Oliver, I; Turvold, Cosette A.; Borch, Thomas; Glassman, Sydney, I; Barnes, Rebecca T.; Rhoades, Charles C.; Wilkins, Michael J.</t>
  </si>
  <si>
    <t>Soil microbiome feedbacks during disturbance-driven forest ecosystem conversion</t>
  </si>
  <si>
    <t>10.1093/ismejo/wrae047</t>
  </si>
  <si>
    <t>Disturbances cause rapid changes to forests, with different disturbance types and severities creating unique ecosystem trajectories that can impact the underlying soil microbiome. Pile burning-the combustion of logging residue on the forest floor-is a common fuel reduction practice that can have impacts on forest soils analogous to those following high-severity wildfire. Further, pile burning following clear-cut harvesting can create persistent openings dominated by nonwoody plants surrounded by dense regenerating conifer forest. A paired 60-year chronosequence of burn scar openings and surrounding regenerating forest after clear-cut harvesting provides a unique opportunity to assess whether belowground microbial processes mirror aboveground vegetation during disturbance-induced ecosystem shifts. Soil ectomycorrhizal fungal diversity was reduced the first decade after pile burning, which could explain poor tree seedling establishment and subsequent persistence of herbaceous species within the openings. Fine-scale changes in the soil microbiome mirrored aboveground shifts in vegetation, with short-term changes to microbial carbon cycling functions resembling a postfire microbiome (e.g. enrichment of aromatic degradation genes) and respiration in burn scars decoupled from substrate quantity and quality. Broadly, however, soil microbiome composition and function within burn scar soils converged with that of the surrounding regenerating forest six decades after the disturbances, indicating potential microbial resilience that was disconnected from aboveground vegetation shifts. This work begins to unravel the belowground microbial processes that underlie disturbance-induced ecosystem changes, which are increasing in frequency tied to climate change.</t>
  </si>
  <si>
    <t>The accumulation of carbon in forest soils and forest succession status</t>
  </si>
  <si>
    <t>Development of the concept of biogeochemical cycles of carbon among the most important scientific problems having fundamental character and have great practical significance. The recent Paris Climate Conference, the results of which, after two weeks of negotiations, delegations of 196 countries unanimously adopted the new agreement the UN Framework Convention on Climate Change (Adoption of the Paris agreement, 2015) confirms the very high relevance of evaluation of contribution of forests to the carbon cycle regulation. However, there are still many uncertainties in the estimates of the parameters of the carbon cycle, including soil carbon in forests at different stages of succession. Russia accounts for 22% of the world's forest resources and more than half of the world's boreal forests. The whole mosaic of successional stages of the boreal forest is presented in Russia. However, research results on the basis of which it is possible to draw certain conclusions about the relationships between the forest succession status of the different forest types and soil organic carbon accumulation and dynamics are not sufficient. Since the proportion of the soil organic carbon out of all carbon pool in the old-growth forests could achieve 90% (Johnsson et al, 2010), these issues would make a significant contribution to the assessment of the role of forest soils in regulating climate and development of sustainable forest management. The project aims to assess the links between the soil carbon reserve and successional status of forests, role of mycorrhizal fungi in soil carbon stock of forests in different stages of succession of coniferous-deciduous forests&lt; and leaching of dissolved organic carbons from the soil of coniferous and coniferous- deciduous forests at the different stages of successions. There are three main objectives: 1- evaluation of carbon stocks in forest soils of different types at different stages of development and successional dynamics model predictions of carbon stocks in the post-fire and post-plowing successions of forests; 2- assess the role of mycorrhizal fungi in soil carbon stock of forests in different stages of succession; 3- evaluation of leaching and losses of the dissolved organic carbon, including black carbon, with soil waters. Scientific novelty lem is in assessment of the relationships between the successional status of forests and soil carbon accumulation and dynamics in forests at the northern tree line, in northern, middle taiga and mixed coniferous-deciduous forests, taking into account vertical (within the profile) and horizontal (within- the- biogeocoensis, between the biogeocoenoses, landscape) variability. The contribution of ectomycorrhizal fungi into the soil carbon stock in lowland coniferous-deciduous forests at different stages of post-fire successions will be evaluated. The long-term (over 20 years) assessment of the dynamics of leaching of dissolved organic carbon from the soil in forests at the northern tree line on the different stages of successions will be given. The model forecast of the dynamics of carbon stock in forest soils of different types at different stages of post-fire and post-plowing successions, taking into account different scenarios of climate change, will be done.</t>
  </si>
  <si>
    <t>Whitman, Thea; Whitman, Ellen; Woolet, Jamie; Flannigan, Mike D.; Thompson, Dan K.; Parisien, Marc-Andre</t>
  </si>
  <si>
    <t>Soil bacterial and fungal response to wildfires in the Canadian boreal forest across a burn severity gradient</t>
  </si>
  <si>
    <t>10.1016/j.soilbio.2019.107571</t>
  </si>
  <si>
    <t>Global fire regimes are changing, with increases in wildfire frequency and severity expected for many North American forests over the next 100 years. Fires can result in dramatic changes to carbon (C) stocks and can restructure plant and microbial communities, with long-lasting effects on ecosystem functions. We investigated wildfire effects on soil microbial communities (bacteria and fungi) in an extreme fire season in the northwestern Canadian boreal forest, using field surveys, remote sensing, and high-throughput amplicon sequencing in upland and wetland sites. We hypothesized that vegetation community and soil pH would be the most important determinants of microbial community composition, while the effect of fire might not be significant, and found that fire occurrence, along with vegetation community, moisture regime, pH, total carbon, and soil texture are all significant predictors of soil microbial community composition. Burned communities become increasingly dissimilar to unburned communities with increasingly severe burns, and the burn severity index (an index of the fractional area of consumed organic soils and exposed mineral soils) best predicted total bacterial community composition, while whether a site was burned or not was the best predictor for fungi. Globally abundant taxa were identified as significant positive fire responders in this system, including the bacteria Massilia sp. (64 x more abundant with fire) and Arthrobacter sp. (35 x), and the fungi Penicillium sp. (22 x) and Fusicladium sp. (12 x). Bacterial and fungal co-occurrence network modules were characterized by fire responsiveness as well as pH and moisture regime. Building on the efforts of previous studies, our results consider a particularly wide range of soils, vegetation, and burn severities, and we identify specific fire-responsive microbial taxa and suggest that accounting for burn severity improves our understanding of microbial response to fires.</t>
  </si>
  <si>
    <t>Day, Nicola J.; Dunfield, Kari E.; Johnstone, Jill F.; Mack, Michelle C.; Turetsky, Merritt R.; Walker, Xanthe J.; White, Alison L.; Baltzer, Jennifer L.</t>
  </si>
  <si>
    <t>Wildfire severity reduces richness and alters composition of soil fungal communities in boreal forests of western Canada</t>
  </si>
  <si>
    <t>2310</t>
  </si>
  <si>
    <t>2324</t>
  </si>
  <si>
    <t>10.1111/gcb.14641</t>
  </si>
  <si>
    <t>Wildfire is the dominant disturbance in boreal forests and fire activity is increasing in these regions. Soil fungal communities are important for plant growth and nutrient cycling postfire but there is little understanding of how fires impact fungal communities across landscapes, fire severity gradients, and stand types in boreal forests. Understanding relationships between fungal community composition, particularly mycorrhizas, and understory plant composition is therefore important in predicting how future fire regimes may affect vegetation. We used an extreme wildfire event in boreal forests of Canada's Northwest Territories to test drivers of fungal communities and assess relationships with plant communities. We sampled soils from 39 plots 1 year after fire and 8 unburned plots. High-throughput sequencing (MiSeq, ITS) revealed 2,034 fungal operational taxonomic units. We found soil pH and fire severity (proportion soil organic layer combusted), and interactions between these drivers were important for fungal community structure (composition, richness, diversity, functional groups). Where fire severity was low, samples with low pH had higher total fungal, mycorrhizal, and saprotroph richness compared to where severity was high. Increased fire severity caused declines in richness of total fungi, mycorrhizas, and saprotrophs, and declines in diversity of total fungi and mycorrhizas. The importance of stand age (a surrogate for fire return interval) for fungal composition suggests we could detect long-term successional patterns even after fire. Mycorrhizal and plant community composition, richness, and diversity were weakly but significantly correlated. These weak relationships and the distribution of fungi across plots suggest that the underlying driver of fungal community structure is pH, which is modified by fire severity. This study shows the importance of edaphic factors in determining fungal community structure at large scales, but suggests these patterns are mediated by interactions between fire and forest stand composition.</t>
  </si>
  <si>
    <t>Dundas, Shannon J.; Hopkins, Anna J. M.; Ruthrof, Katinka X.; Tay, Natasha E.; Burgess, Treena, I; Hardy, Giles E. St J.; Fleming, Patricia A.</t>
  </si>
  <si>
    <t>Digging mammals contribute to rhizosphere fungal community composition and seedling growth</t>
  </si>
  <si>
    <t>3071</t>
  </si>
  <si>
    <t>3086</t>
  </si>
  <si>
    <t>10.1007/s10531-018-1575-1</t>
  </si>
  <si>
    <t>Bioturbation is an important ecosystem process, and the loss of native digging mammals due to introduced predators and habitat loss may have detrimental consequences for ecosystem health. The mycophagous woylie (Bettongia penicillata ogilbyi) was once widespread across the Australian continent and currently exists in a greatly reduced range, while the omnivorous quenda (Isoodon fusciventer), which once occurred across the southern part of Western Australia (WA), remains common in south west WA over a reduced range. Populations of these two digging marsupials are currently maintained within sanctuaries where they can reach high densities. To assess the influence these digging marsupials have on fungal assemblages, we investigated fungal root associations among seedlings of a key mycorrhizal forest canopy species, Corymbia calophylla, R. Br. K. D. Hill and L. A. S. Johnson. Seedlings were grown in soil collected from inside (heavily-dug soil) and outside (minimally-dug soil) two predator-proof sanctuaries. Our results showed that above-ground seedling biomass was significantly greater for seedlings grown in soil collected from inside the sanctuaries. There were no differences in the diversity or species richness of rhizosphere fungal communities isolated from these seedlings; however, the community composition was significantly different. This was most obvious for the predator-proof enclosure that had been in place for 20 years (Karakamia Sanctuary) compared with the more recently-installed Perup Sanctuary (fenced in 2010; 4 years before this study). At Karakamia, there were greater numbers of putatively hypogeous ectomycorrhizal fungi inside the enclosure and four times the number of operational taxonomic units of arbuscular mycorrhizal fungi outside the enclosure. The differences in fungal communities suggest that digging mammals play a pivotal role in ecosystem functioning by influencing the rhizosphere of this key forest canopy species, which has implications for maintaining the health and persistence of forests.</t>
  </si>
  <si>
    <t>Pellegrini, Adam F. A.; Refsland, Tyler; Averill, Colin; Terrer, Cesar; Staver, A. Carla; Brockway, Dale G.; Caprio, Anthony; Clatterbuck, Wayne; Coetsee, Corli; Haywood, James D.; Hobbie, Sarah E.; Hoffmann, William A.; Kush, John; Lewis, Tom; Moser, W. Keith; Overby, Steven T.; Patterson, William A., III; Peay, Kabir G.; Reich, Peter B.; Ryan, Casey; Sayer, Mary Anne S.; Scharenbroch, Bryant C.; Schoennagel, Tania; Smith, Gabriel Reuben; Stephan, Kirsten; Swanston, Chris; Turner, Monica G.; Varner, J. Morgan; Jackson, Robert B.</t>
  </si>
  <si>
    <t>Decadal changes in fire frequencies shift tree communities and functional traits</t>
  </si>
  <si>
    <t>NATURE ECOLOGY &amp; EVOLUTION</t>
  </si>
  <si>
    <t>+</t>
  </si>
  <si>
    <t>10.1038/s41559-021-01401-7</t>
  </si>
  <si>
    <t>Global change has resulted in chronic shifts in fire regimes. Variability in the sensitivity of tree communities to multi-decadal changes in fire regimes is critical to anticipating shifts in ecosystem structure and function, yet remains poorly understood. Here, we address the overall effects of fire on tree communities and the factors controlling their sensitivity in 29 sites that experienced multi-decadal alterations in fire frequencies in savanna and forest ecosystems across tropical and temperate regions. Fire had a strong overall effect on tree communities, with an average fire frequency (one fire every three years) reducing stem density by 48% and basal area by 53% after 50 years, relative to unburned plots. The largest changes occurred in savanna ecosystems and in sites with strong wet seasons or strong dry seasons, pointing to fire characteristics and species composition as important. Analyses of functional traits highlighted the impact of fire-driven changes in soil nutrients because frequent burning favoured trees with low biomass nitrogen and phosphorus content, and with more efficient nitrogen acquisition through ectomycorrhizal symbioses. Taken together, the response of trees to altered fire frequencies depends both on climatic and vegetation determinants of fire behaviour and tree growth, and the coupling between fire-driven nutrient losses and plant traits.Using tree community data from 29 tropical and temperate sites that have experienced multi-decadal alterations in fire frequency, the authors show repeated burning generally reduces stem density and basal area, with most pronounced effects in savanna ecosystems and in sites with strong wet seasons or strong dry seasons.</t>
  </si>
  <si>
    <t>Zhang, Yue-mei; Qu, Zhao-lei; Sietio, Outi-Maaria; Zhou, Xuan; Heinonsalo, Jussi; Koster, Kajar; Berninger, Frank; Pumpanen, Jukka; Sun, Hui</t>
  </si>
  <si>
    <t>The temporal and spatial response of soil fungal community composition and potential function to wildfire in a permafrost region in Canada</t>
  </si>
  <si>
    <t>10.1111/1365-2435.14194</t>
  </si>
  <si>
    <t>The permafrost regions of the boreal forest store a large amount of carbon, which can be affected by ecological disturbance, especially the interference of forest fires. Understanding the dynamic responses of the post-fire soil fungal community is essential for predicting soil carbon dynamics. We used a post-fire chronosequence (areas with 3, 25, 46 and &gt;100 years post fire [ypf]) in Canadian boreal forests with continuous permafrost to examine the responses of fungal communities and fungal genes associated with biogeochemical cycling to fire in the surface and near-surface permafrost layers (0-5, 5-10 and 10-30 cm depth). We hypothesized that as the forest recovers from fire, the fungal communities and functional genes associated with biogeochemical cycling will also recover temporally and spatially, which will in turn affect soil carbon storage. Our results demonstrate that the fire has long-term effects on fungal communities and functions in the surface and near-surface soils. The fungal species richness in the 0-5 and 5-10 cm soil layers increased with time since fire, which required at least 46 years to recover to pre-fire levels. Ascomycota in each of the soil layers in the recently burned area (3 ypf) and ericoid mycorrhizas Oidiodendron maius in the 10-30 cm soil layer in the control area were recognized as indicator taxa. The examination of functional genes revealed that the diversity of potential genes and the expression of genes related to carbon degradation (e.g. chitinase, cellobiase, exoglucanase and endoglucanase) in recently burned area increased in the surface soil, whereas, decreased in the deep soil, suggesting the fire affect the loss of carbon differently in the surface and deep soils in the early stages after fire. In conclusion, the fires significantly altered the fungal communities and functional genes related to carbon storage along the soil vertical gradients and along the post-fire chronosequence. Read the free Plain Language Summary for this article on the Journal blog.</t>
  </si>
  <si>
    <t>Rigal, KynaAnne</t>
  </si>
  <si>
    <t>The effects of prescribed burning on mycorrhizal fungi in a Pinus banksiana stand</t>
  </si>
  <si>
    <t>Allison, Steven D.; Treseder, Kathleen K.</t>
  </si>
  <si>
    <t>Climate change feedbacks to microbial decomposition in boreal soils</t>
  </si>
  <si>
    <t>374</t>
  </si>
  <si>
    <t>10.1016/j.funeco.2011.01.003</t>
  </si>
  <si>
    <t>Boreal ecosystems store 10-20% of global soil carbon and may warm by 4-7 degrees C over the next century. Higher temperatures could increase the activity of boreal decomposers and indirectly affect decomposition through other ecosystem feedbacks. For example, permafrost melting will likely alleviate constraints on microbial decomposition and lead to greater soil CO2 emissions. However, wet boreal ecosystems underlain by permafrost are often CH4 sources, and permafrost thaw could ultimately result in drier soils that consume CH4, thereby offsetting some of the greenhouse warming potential of soil CO2 emissions. Climate change is also likely to increase winter precipitation and snow depth in boreal regions, which may stimulate decomposition by moderating soil temperatures under the snowpack. As temperatures and evapotranspiration increase in the boreal zone, fires may become more frequent, leading to additional permafrost loss from burned ecosystems. Although post-fire decomposition could also increase due to higher soil temperatures, reductions in microbial biomass and activity may attenuate this response. Other feedbacks such as soil drying, increased nutrient mineralization, and plant species shifts are either weak or uncertain. We conclude that strong positive feedbacks to decomposition will likely depend on permafrost thaw, and that climate feedbacks will probably be weak or negative in boreal ecosystems without permafrost. However, warming manipulations should be conducted in a broader range of boreal systems to validate these predictions. (C) 2011 Elsevier Ltd and The British Mycological Society. All rights reserved.</t>
  </si>
  <si>
    <t>Hobbie, Erik A.; Rice, Samuel F.; Weber, Nancy S.; Smith, Jane E.</t>
  </si>
  <si>
    <t>Isotopic evidence indicates saprotrophy in post-fire Morchella in Oregon and Alaska</t>
  </si>
  <si>
    <t>638</t>
  </si>
  <si>
    <t>645</t>
  </si>
  <si>
    <t>10.3852/15-281</t>
  </si>
  <si>
    <t>We assessed the nutritional strategy of true morels (genus Morchella) collected in 2003 and 2004 in Oregon and Alaska, 1 or 2 y after forest fires. We hypothesized that the patterns of stable isotopes (delta C-13 and delta N-15) in the sporocarps would match those of saprotrophic fungi and that radiocarbon (Delta C-14) analyses would indicate that Morchella was assimilating old carbon not current-year photosynthate. We compared radiocarbon and stable isotopes in Morchella with values from concurrently collected foliage, the ectomycorrhizal Geopyxis carbonaria (Alb. &amp; Schwein.) Sacc., the saprotrophic Plicaria endocarpoides (Berk.) Rifai, and with literature to determine isotopic values for ectomycorrhizal or saprotrophic fungi. Geopyxis, Plicaria and Morchella, respectively, were 3 parts per thousand, 5 parts per thousand and 6 parts per thousand higher in C-13 than foliage and 5 parts per thousand, 7 parts per thousand and 7 parts per thousand higher in N-15. High N-15 enrichment in Morchella indicated that recent litter was not the primary source for Morchella nitrogen, and similar C-13 and N-15 enrichments to Plicaria suggest that Morchella assimilates its carbon and nitrogen from the same source pool as this saprotrophic fungus. From radiocarbon analyses Morchella averaged 11 +/- 6 y old (n = 19), Plicaria averaged 17 +/- 5 y old (n = 3), foliage averaged 1 +/- 2 y old (n = 8) and Geopyxis (n = 1) resembled foliage in Delta C-14. We conclude that morels fruiting in post-fire environments in our study assimilated old carbon and were saprotrophic.</t>
  </si>
  <si>
    <t>Nelson, Amelia Rose</t>
  </si>
  <si>
    <t>Tracking the Impact of Wildfire on the Soil Microbiome Across Temporal Scales</t>
  </si>
  <si>
    <t>Nelson, Amelia R.; Narrowe, Adrienne B.; Rhoades, Charles C.; Fegel, Timothy S.; Daly, Rebecca A.; Roth, Holly K.; Chu, Rosalie K.; Amundson, Kaela K.; Young, Robert B.; Steindorff, Andrei S.; Mondo, Stephen J.; Grigoriev, Igor, V; Salamov, Asaf; Borch, Thomas; Wilkins, Michael J.</t>
  </si>
  <si>
    <t>Wildfire-dependent changes in soil microbiome diversity and function</t>
  </si>
  <si>
    <t>NATURE MICROBIOLOGY</t>
  </si>
  <si>
    <t>1419</t>
  </si>
  <si>
    <t>10.1038/s41564-022-01203-y</t>
  </si>
  <si>
    <t>Wildfires have unknown impacts on soil microbes and biogeochemistry. Using metagenomics across forest burn gradients, here the authors show severity-dependent losses in microbiome diversity and functional shifts that underpin post-fire survival.Forest soil microbiomes have crucial roles in carbon storage, biogeochemical cycling and rhizosphere processes. Wildfire season length, and the frequency and size of severe fires have increased owing to climate change. Fires affect ecosystem recovery and modify soil microbiomes and microbially mediated biogeochemical processes. To study wildfire-dependent changes in soil microbiomes, we characterized functional shifts in the soil microbiota (bacteria, fungi and viruses) across burn severity gradients (low, moderate and high severity) 1 yr post fire in coniferous forests in Colorado and Wyoming, USA. We found severity-dependent increases of Actinobacteria encoding genes for heat resistance, fast growth, and pyrogenic carbon utilization that might enhance post-fire survival. We report that increased burn severity led to the loss of ectomycorrhizal fungi and less tolerant microbial taxa. Viruses remained active in post-fire soils and probably influenced carbon cycling and biogeochemistry via turnover of biomass and ecosystem-relevant auxiliary metabolic genes. Our genome-resolved analyses link post-fire soil microbial taxonomy to functions and reveal the complexity of post-fire soil microbiome activity.</t>
  </si>
  <si>
    <t>de Roman Martinez, Miriam</t>
  </si>
  <si>
    <t>Las ectomicorrizas de &lt;i&gt;Quercus ilex&lt;/i&gt; subsp. &lt;i&gt; ballota&lt;/i&gt; y su dinámica post-incendio en una zona potencialmente trufera</t>
  </si>
  <si>
    <t>Lamont, Byron B.; He, Tianhua; Yan, Zhaogui</t>
  </si>
  <si>
    <t>Fire as a pre-emptive evolutionary trigger among seed plants</t>
  </si>
  <si>
    <t>PERSPECTIVES IN PLANT ECOLOGY EVOLUTION AND SYSTEMATICS</t>
  </si>
  <si>
    <t>13</t>
  </si>
  <si>
    <t>23</t>
  </si>
  <si>
    <t>10.1016/j.ppees.2018.12.001</t>
  </si>
  <si>
    <t>There is mounting evidence that much of the world's vegetation has been fire-prone since the Upper Cretaceous, taking precedence over Cenozoic drought as a key agent of selection in the evolution of specialized traits adaptive to environmental stresses that otherwise result in species extinction. This raises the question of when the advent of surface fires occurred compared with the introduction of other critical selective agents, such as frost, seasonal drought, crown fire, nutrient-impoverished soils, new habitat types, and novel pollinators, herbivores and dispersal agents. Of particular interest is the relative time of origin of traits associated with fire-free habitats that traditionally have been viewed as ancestral. We collated 47 paired time sequences for a wide range of clades most of whose species are fire-prone. The objective was to determine the order of origin of fire-related traits relative to the origin of other fire-related traits associated with different fire regimes or non-fire-related traits in response to selective agents unrelated to fire. The results show that the initiation of fire-related traits in response to moderate fires (trigger 1) preceded either a) other fire-related traits that represent responses to an increase in the intensity or frequency of fire (trigger 2) (10 comparisons), b) traits associated with fire-free habitats (12 comparisons), or c) novel traits associated with selective agents unlinked to fire, with the fire-related traits now stabilized (25 comparisons). The only exception was the presence of ectomycorrhizas among pines, which are diagnostic for Pinaceae, suggesting that adaptations to poor soils occurred before this highly fire-prone genus evolved. For some early traits, there was confounding with several possible key selective agents apparently acting concurrently, although fire was always present, and these await further clarification. We conclude that fire has had a pre-emptive role in shaping many specialized traits fundamental to plant survival among fire-prone clades and that other selective agents, such as summer drought, have had a secondary role in promoting the evolution of additional novel traits that increased fitness in more recent times.</t>
  </si>
  <si>
    <t xml:space="preserve">Interesante de cara a entender la evolución </t>
  </si>
  <si>
    <t>Martin-Pinto, Pablo; Fernandez, Cristina; Santos, Maria; Fonturbel, Teresa; Oria-de-Rueda, Juan Andres; Vazquez-Veloso, Aitor; Stadler, Tim; Mediavilla, Olaya; Sanz-Benito, Ignacio</t>
  </si>
  <si>
    <t>Unaltered fungal community after fire prevention treatments over widespread Mediterranean rockroses (&lt;i&gt;Halimium lasianthum)&lt;/i&gt;</t>
  </si>
  <si>
    <t>10.1038/s41598-023-27945-1</t>
  </si>
  <si>
    <t>Mediterranean ecosystems are frequently invaded by pyrophytic scrubs such as Halimium lasianthum that colonize areas traditionally used by livestock. A diverse fungal community is associated with this kind of vegetation, playing an important ecological role in these ecosystems. However, uncontrolled expansion of these shrubs considerably increases the risk of wildfires in these stands and, hence, fire-prevention treatments are needed. To investigate the long-term effects of two different forest-fire-prevention treatments on the soil fungal community, we analyzed these communities 9 years after prescribed burning or mechanical shredding were carried out in scrubland dominated by H. lasianthum. Neither of the fire-prevention treatments had a negative long-term effect on the abundance or richness of ectomycorrhizal fungi. However, saprotrophs and lichenized fungi experienced negative effects. Soil fertility significantly affected the distribution of fungi according to their functional groups, and pH was the most influential variable in terms of the distribution of edible species. Our findings indicate that forest management practices to prevent forest fires does not negatively affect the fungal community in the long-term, but for lichens and decomposers. Moreover, prescribed burning is suggested as a more economical way of reducing the risk of wildfires without affecting the ecology of the fungal community.</t>
  </si>
  <si>
    <t>Claridge, Andrew W.; Trappe, James M.; Mills, Douglas J.; Claridge, Debbie L.</t>
  </si>
  <si>
    <t>Diversity and habitat relationships of hypogeous fungi. III. Factors influencing the occurrence of fire-adapted species</t>
  </si>
  <si>
    <t>801</t>
  </si>
  <si>
    <t>10.1016/j.mycres.2009.02.014</t>
  </si>
  <si>
    <t>Among the huge array of hypogeous ectomycorrhizal fungi so far documented from Australia, six genera and more than 30 species occur within the family Mesophelliaceae, all of which show various adaptations for surviving in fire-prone landscapes. These mostly endemic fungi are critical to postfire reestablishment of regenerating vegetation, and their fruit-bodies provide essential food resources for diverse ground-dwelling fauna. We developed habitat models for five common representatives of the mesophelliaceae based on repeat collections of their fruit-bodies from 136 study plots situated along a series of environmental gradients across the south-eastern mainland of Australia. At a meso- or landscape scale, temperature influenced the occurrence of Castoreum radicatum, Mesophellia clelandii and Nothocastoreum cretaceum, with the type of response varying. Below a threshold, C. radicatum preferred sites with cooler mean annual temperatures. In contrast, M. clelandii and N. cretaceum had optimal ranges of temperature, above and below which the probability of detecting them dropped. Also at a landscape scale, C. radicatum was more likely to be detected at sites with lower levels of precipitation during the driest quarter of the year. At a micro-site scale, M. clelandii and N. cretaceum were more likely to occur in stands with an intermediate number of host eucalypt stems, likely relating to successional age of the stand. Sites with a higher number of large fallen trees were more likely to have N. cretaceum, while sites with intermediate litter depths were more likely to have C. radicatum and M. clelandii. Mesophellia glauca and M. trabalis showed no consistent patterns. They are apparently the most broadly adaptable in terms of the independent variables tested. Although fire has been previously suggested to be heavily implicated in the life cycle of several members of the Mesophelliaceae, we found no relationship between time since disturbance by fire and other factors and likelihood of occurrence. Instead, other habitat attributes appeared to be more important in explaining their distribution. The complex and differing responses of the species of Mesophelliaceae studied here, to features of their environment, reinforce the need to manage multiple-use forest landscapes across the region for a diversity of attributes. (C) 2009 The British Mycological Society. Published by Elsevier Ltd. All rights reserved.</t>
  </si>
  <si>
    <t>Special issue on Sierran mixed-conifer research.</t>
  </si>
  <si>
    <t>Forest Science</t>
  </si>
  <si>
    <t>185</t>
  </si>
  <si>
    <t>275</t>
  </si>
  <si>
    <t>This special issue contains a collection of papers on the connections between forest structure and composition, and the ecological processes that define mixed-conifer forests in Sierra Nevada, California, USA. Individual papers include: Influence of fire and El Nino on tree recruitment varies by species in Sierran mixed conifer; Stand conditions associated with tree regeneration in Sierran mixed-conifer forests; Effects of vegetation patches on soil nutrient pools and fluxes within a mixed-conifer forest; Biophysical controls on soil respiration in the dominant patch types of an old-growth, mixed-conifer forest; Canopy arthropod assemblages in four overstorey and three understorey plant species in a mixed-conifer old-growth forest in California; Hypogeous ectomycorrhizal fungal species on roots and in small mammal diet in a mixed-conifer forest; Soil arthropod responses to different patch types in a mixed-conifer forest of the Sierra Nevada; and Patterns of mortality in an old-growth mixed-conifer forest of the southern Sierra Nevada, California.</t>
  </si>
  <si>
    <t>Moreira, Milene; Baretta, Dilmar; Tsai, Siu Mui; Bran Nogueira Cardoso, Elke Jurandy</t>
  </si>
  <si>
    <t>Spore density and root colonization by arbuscular mycorrhizal fungi in preserved or disturbed &lt;i&gt;Araucaria angustifolia&lt;/i&gt; (Bert.) O. Ktze. ecosystems</t>
  </si>
  <si>
    <t>SCIENTIA AGRICOLA</t>
  </si>
  <si>
    <t>380</t>
  </si>
  <si>
    <t>10.1590/S0103-90162006000400009</t>
  </si>
  <si>
    <t>Araucaria angustifolia (Bert.) O. Ktze., a native forest tree from Brazil, is under extinction risk. This tree depends on arbuscular mycorrhizal fungi for growth and development, especially in tropical low-P soils but, despite being a conifer, Araucaria does not form ectomycorrhiza, but only the arbuscular endomycorrhiza. This study aimed at surveying data on the spore density and root colonization (CR) by arbuscular mycorrhizal fungi (AMF) in Araucaria angustifolia forest ecosystems, in order to discriminate natural, implemented, and anthropic action-impacted ecosystems, by means of Canonical Discriminant Analysis (CDA). Three ecosystems representative of the Campos do Jordao (SP, Brazil) region were selected: 1. a native forest (FN); 2. a replanted Araucaria forest (R); and 3. a replanted Araucaria forest, submitted to accidental fire (RF). Rhizosphere soil and roots were sampled in May and October, 2002, for root colonization, AMF identification, and spores counts. Root percent colonization rates at first collection date were relatively low and did not differ amongst ecosystems. At the second period, FN presented higher colonization than the other two areas, with much higher figures than during the first period, for all areas. Spore density was lower in FN than in the other areas. A total of 26 AMF species were identified. The percent root colonization and spore numbers were inversely related to each other in all ecosystems. CDA indicated that there is spatial distinction among the three ecosystems in regard to the evaluated parameters.</t>
  </si>
  <si>
    <t>Krishnambika, Natalya; Chandra, Girish; Thiyaharajan, Muthuprasad; Dimri, Brij Mohan</t>
  </si>
  <si>
    <t>Can Forest Fire Cognizance Garner Community Support for Fire Prevention? Evidence from the Sal Forest of Northern India</t>
  </si>
  <si>
    <t>HUMAN ECOLOGY</t>
  </si>
  <si>
    <t>579</t>
  </si>
  <si>
    <t>589</t>
  </si>
  <si>
    <t>10.1007/s10745-024-00518-0</t>
  </si>
  <si>
    <t>Our study of forest fires in the fringe villages of the sal forest in Dehradun district of Northern India assesses the local communities' awareness of forest fires and willingness to pay for fire prevention measures. We also examined the effect of fire on the regeneration of sal. Our results indicate that the number of sal recruits in frequently burnt areas was significantly lower than in unburnt areas. Community perceptions revealed that around 80% of participants believed that fires were intentionally set to collect ectomycorrhizal fungi, thinking it would enhance the production of Astraeus hygrometricus. Furthermore, approximately 70.45% attributed the cause of fires to recreational activities of young people. All respondents acknowledged the negative consequences of forest fires, including loss of fauna (100%), adverse effects on air quality, and human-wildlife conflict (81.2%). A maximum likelihood estimator based multi-normal logit method was used to estimate WTP. Communities were aware of the consequences of forest fire and expressed a willingness to contribute ((sic) 63.78 per month for 10 years) towards forest fire prevention efforts. These findings emphasize the importance of raising awareness and involving local communities in effective forest fire prevention strategies.</t>
  </si>
  <si>
    <t>Marin, Cesar; Kohout, Petr</t>
  </si>
  <si>
    <t>Response of soil fungal ecological guilds to global changes</t>
  </si>
  <si>
    <t>658</t>
  </si>
  <si>
    <t>10.1111/nph.17054</t>
  </si>
  <si>
    <t>Wiensczyk, A. M.; Gamiet, S.; Durall, D. M.; Jones, M. D.; Simard, S. W.</t>
  </si>
  <si>
    <t>Ectomycorrhizae and forestry in British Columbia: a summary of current research and conservation strategies.</t>
  </si>
  <si>
    <t>28</t>
  </si>
  <si>
    <t>Ectomycorrhizae are fungus-root associations that comprise the feeder roots of most commercially important conifers in British Columbia, Canada. A large body of research has been conducted on ectomycorrhizae as they relate to forestry in the province; however, much of this information is scattered and is generally of a highly technical nature. This extension note summarizes the latest research on ectomycorrhizae, including information on the role that ectomycorrhizal fungi play in forest ecosystems. The authors discuss several helpful forest management practices that can maintain a diverse community of ectomycorrhizal fungi across the landscape. These include: retaining refuge plants, mature trees, and old-growth forests; retaining the forest floor during harvest and mechanical site preparation; avoiding high-intensity broadcast burns; minimizing the effects of species shifts, particularly following grass seeding; maintaining the edge-to-area ratio of harvested areas within certain limits; planting a mixture of tree species soon after harvest; retaining coarse woody debris; and managing for the fruiting bodies formed by ectomycorrhizal fungi, including edible mushrooms and truffles, fungi species used by wildlife, and rare and endemic species.</t>
  </si>
  <si>
    <t>Martin-Pinto, Pablo; Dejene, Tatek; Benucci, Gian Maria Niccolo; Mediavilla, Olaya; Hernandez-Rodriguez, Maria; Geml, Jozsef; Baldrian, Petr; Sanz-Benito, Ignacio; Olaizola, Jaime; Bonito, Gregory; Oria-de-Rueda, Juan Andres</t>
  </si>
  <si>
    <t>Co-responses of bacterial and fungal communities to fire management treatments in Mediterranean pyrophytic ecosystems</t>
  </si>
  <si>
    <t>10.1016/j.scitotenv.2023.162676</t>
  </si>
  <si>
    <t>Cistus scrublands are pyrophytic ecosystems and occur widely across Mediterranean regions. Management of these scrublands is critical to prevent major disturbances, such as recurring wildfires. This is because management appears to compromise the synergies necessary for forest health and the provision of ecosystem services. Furthermore, it sup-ports high microbial diversity, opening questions of how forest management practices impact belowground associated diversity as research related to this issue is scarce. This study aims to investigate the effects of different fire prevention treatments and site history on bacterial and fungi co-response and co-occurrence patterns over a fire-risky scrubland ecosystem. Two different site histories were studied by applying three different fire prevention treatments and samples were analyzed by amplification and sequencing of ITS2 and 16S rDNA for fungi and bacteria, respectively. The data revealed that site history, especially regarding fire occurrence, strongly influenced the microbial community. Young burnt areas tended to have a more homogeneous and lower microbial diversity, suggesting environmental filtering to a heat-resistant community. In comparison, young clearing history also showed a significant impact on the fungal community but not on the bacteria. Some bacteria genera were efficient predictors of fungal diversity and richness.</t>
  </si>
  <si>
    <t>Priadjati, A.</t>
  </si>
  <si>
    <t>Dipterocarpaceae: forest fires and forest recovery.</t>
  </si>
  <si>
    <t>Dipterocarpaceae: forest fires and forest recovery</t>
  </si>
  <si>
    <t>214 pp.</t>
  </si>
  <si>
    <t>This thesis is a synthesis of several years of work in forest restoration in Indonesia and deals with forest fires. It aims to investigate the role of forest fires in the natural regeneration of a dipterocarp forest ecosystem, especially the relationship between natural regeneration, environmental conditions and time, and to examine the role of forest restoration after fires in relationship with the population genetics of planting material, light, soil and ectomycorrhizas. Microclimatic conditions change considerably after forest fires. After the fires, the natural dynamics of forest, in terms of regeneration of plants and butterfly communities was set back to an earlier development phase where there were no more trees, only 2.5% of saplings survived and all saplings shorter than 5 m died. The butterfly community in the burned area had high densities of pioneer species associated with disturbed habitats. The species richness, density and height of seedlings were significantly greater in unburned forest but their growth was significantly greater in burned forest. Cuttings grown in sandy loam showed a stronger and faster growth than the cuttings in sandy clay loam and loam. Pasteurized soil media increased the growth of seedlings in the nursery. Shorea leprosula proved to be very homogenous as expressed from the similarities in frequencies of the band patterns. In the established dipterocarp nursery, the spores of mycorrhizal fungi inoculated seedlings easily and freely. In 15 months in the greenhouse, all seedlings were colonized by mycorrhizal weed fungi dominated by Laccaria sp. Even though the growth of S. leprosula seedlings in the nursery was supported by initial inoculation, in the field, no initial inoculation seedlings showed a stronger growth because they benefited more from the late stage fungi infecting plants at the location. Within almost three years, S. leprosula saplings in a closed stand and in a semi-open area reached a height of 281 to 283 cm and a diameter of 33 to 34 mm, whereas in the open area and under the semi-closed canopy of Peronema canescens, they were only 165 to 193 cm high 22 to 27 mm in diameter. This thesis is based on 5 papers (chapters 2 to 6), which are also included, and additional authors are recognized in chapters 2 and 6.</t>
  </si>
  <si>
    <t>Book</t>
  </si>
  <si>
    <t>Gartner, Tracy B.; Treseder, Kathleen K.; Malcolm, Glenna M.; Sinsabaugh, Robert L.</t>
  </si>
  <si>
    <t>Extracellular enzyme activity in the mycorrhizospheres of a boreal fire chronosequence</t>
  </si>
  <si>
    <t>121</t>
  </si>
  <si>
    <t>10.1016/j.pedobi.2011.12.003</t>
  </si>
  <si>
    <t>Saprotrophic microbes are typically credited with producing extracellular enzymes that recycle organic matter, though roots and mycorrhizal fungi also can contribute and may compete with the saprotrophs. We examined extracellular enzyme activity associated with the mycorrhizospheres of arbuscular mycorrhizal, ectomycorrhizal, dual-colonized (arbuscular and ectomycorrhizal), and ericoid mycorrhizal plants in a fire chronosequence in Alaska. Bulk soil and soil from beneath host plants were gathered in July 2004 and assayed for five enzymes that target organic C, P, and N substrates. Compared to bulk soil, activities of the C-targeting enzymes beta-1,4-glucosidase and peroxidase were lower in arbuscular mycorrhizospheres and ericoid mycorrhizospheres, respectively. Moreover, extracellular enzyme activity varied among mycorrhizosphere types. Specifically, N-targeting leucine aminopeptidase was highest in arbuscular mycorrhizospheres, followed by ericoid and ectomycorrhizal/dual-colonized mycorrhizospheres; beta-1,4-glucosidase had the reverse pattern. In addition, enzymatic stoichiometry suggested that extracellular enzyme producers invested more in C-acquisition than in N-acquisition in recent lire scars compared to mature forests. These data extend previous findings that roots and mycorrhizal fungi compete with saprotrophs by showing that the strength of this effect varies by mycorrhizal host. As a result the community composition of mycorrhizal host plants might mediate enzymatic activity in boreal soils. (c) 2011 Elsevier GmbH. All rights reserved.</t>
  </si>
  <si>
    <t>Powell, Jeff R.; Riley, Rohan C.; Cornwell, Will</t>
  </si>
  <si>
    <t>Relationships between mycorrhizal type and leaf flammability in the Australian flora</t>
  </si>
  <si>
    <t>10.1016/j.pedobi.2017.07.001</t>
  </si>
  <si>
    <t>Mycorrhizal fungi have been linked to fire processes in natural ecosystems via their effects on litter decomposability but, to our knowledge, relationships between mycorrhizal fungi and leaf traits directly associated with aspects of flammability have not been studied. Here, we assessed the relationships among leaf traits and host mycorrhizal type for 77 species of Australian trees and shrubs to determine whether mycorrhizal type can explain variation in three aspects of leaf flammability (ignitability, fire duration, and smoulder duration). Several associations were observed between mycorrhizal type and leaf traits directly linked to flammability measures, including specific leaf area, leaf mass, leaf moisture content, and leaf chemistry. The observed patterns suggest that interactions between mycorrhizal fungi and their host plants during the growth and senescence of leaves may have subsequent effects on fire processes. However, further work is necessary to evaluate the importance of these effects in real ecosystems, including whether plants or fungi are responsible for these patterns, and we propose four questions that will further progress in this area.</t>
  </si>
  <si>
    <t>Hewitt, Rebecca E.; Hollingsworth, Teresa N.; Chapin, F. Stuart, III; Taylor, D. Lee</t>
  </si>
  <si>
    <t>Fire-severity effects on plant-fungal interactions after a novel tundra wildfire disturbance: implications for arctic shrub and tree migration</t>
  </si>
  <si>
    <t>BMC ECOLOGY</t>
  </si>
  <si>
    <t>10.1186/s12898-016-0075-y</t>
  </si>
  <si>
    <t>Background: Vegetation change in high latitude tundra ecosystems is expected to accelerate due to increased wildfire activity. High-severity fires increase the availability of mineral soil seedbeds, which facilitates recruitment, yet fire also alters soil microbial composition, which could significantly impact seedling establishment.Results: We investigated the effects of fire severity on soil biota and associated effects on plant performance for two plant species predicted to expand into Arctic tundra. We inoculated seedlings in a growth chamber experiment with soils collected from the largest tundra fire recorded in the Arctic and used molecular tools to characterize root-associated fungal communities. Seedling biomass was significantly related to the composition of fungal inoculum. Biomass decreased as fire severity increased and the proportion of pathogenic fungi increased.Conclusions: Our results suggest that effects of fire severity on soil biota reduces seedling performance and thus we hypothesize that in certain ecological contexts fire-severity effects on plant-fungal interactions may dampen the expected increases in tree and shrub establishment after tundra fire.</t>
  </si>
  <si>
    <t>Ucitel, D; Christian, DP; Graham, JM</t>
  </si>
  <si>
    <t>Vole use of coarse woody debris and implications for habitat and fuel management</t>
  </si>
  <si>
    <t>10.2307/3803062</t>
  </si>
  <si>
    <t>Woody debris is an increasing management focus in forests, representing multiple and sometimes conflicting values. Fuel management may prioritize removal of coarse woody debris (CWD) to minimize wildfire occurrence, intensity, or both. Conversely, management for wildlife habitat or other ecological values often focuses on retention of CWD. We modeled and quantified CWD use by red-backed voles (Clethrionomys gapperi), tested whether voles move selectively in portions of forest stands with greater CWD, and correlated stand-level measures of CWD as habitat to fuel loads, providing a basis of comparison for CWD. quantitative guidelines. Voles used CWD at a greater rate than expected based on availability and traveled in portions of stands with greater CWD coverage (21-27 trails made by individual voles in each of 5 forest stands). A strong correlation between stand-measure CWD coverage and fuel-load measure (r = +0.96) provides a basis for comparing CWD guidelines. We concluded that current guidelines from different research fields disagree. Only 2 of the 5 stands we sampled fit with guidelines for fuel management and ectomycorrhizae in the northern Rocky Mountains. Coarse woody debris coverage in all of our stands was well below recommendations for small mammals in coastal forests.</t>
  </si>
  <si>
    <t>Vernes, Karl; Jarman, Peter</t>
  </si>
  <si>
    <t>Long-nosed potoroo (Potorous tridactylus) behaviour and handling times when foraging for buried truffles</t>
  </si>
  <si>
    <t>AUSTRALIAN MAMMALOGY</t>
  </si>
  <si>
    <t>10.1071/AM13037</t>
  </si>
  <si>
    <t>Truffles represent an important food resource for many small mammals, but because most mycophagous mammals are difficult to observe in the wild, behavioural observations of mammals handling and consuming truffles are almost non-existent. Using camera traps, we observed the behaviour of long-nosed potoroos (Potorous tridactylus) foraging for buried truffles, and recorded the rate at which truffles were excavated and consumed. Potoroos excavated buried truffles rapidly (2.4 +/- 0.2s) with synchronous drawing strokes of their forepaws, then gathered the excavated truffles with forepaws and/or mouth and cleaned away adherent debris before consuming the truffle. When potoroos were unsuccessful at recovering a truffle, they spent significantly more time digging (4.8 +/- 0.6s) before giving up. Potoroos were successful at recovering a truffle in 76% of digging attempts, and once they had located a cache of buried truffles, achieved a rate of recovery of similar to 2.4 truffles per minute.</t>
  </si>
  <si>
    <t>Espinosa, Juncal; Dejene, Tatek; Guijarro, Mercedes; Cerda, Xim; Madrigal, Javier; Martin-Pinto, Pablo</t>
  </si>
  <si>
    <t>Fungal diversity and community composition responses to the reintroduction of fire in a non-managed Mediterranean shrubland ecosystem</t>
  </si>
  <si>
    <t>FOREST ECOSYSTEMS</t>
  </si>
  <si>
    <t>10.1016/j.fecs.2023.100110</t>
  </si>
  <si>
    <t>Background: More than a decade of fire suppression has changed the structure of fire-adapted shrubland ecosystems in Spain's National Parks, which are now at extreme risk of uncontrolled wildfires. Prescribed burning can mitigate the risk of wildfires by reducing the fuel load but prescribed burning may also alter the soil properties and reduce microbial and fungal activity, causing changes in the availability of nutrients deep in the soil layer. Although fungal communities are a vital part of post-fire restoration, some fire effects remain unclear. To examine the short-term effects of prescribed burning on soil fungal communities in Donana Biological Reserve (SW Spain), we collected soil samples pre-burn and 1 day, 6 and 12 months post-burn from burned plots to perform physicochemical and metabarcode DNA analyses.Results: Prescribed burning had no significant effect on the total fungal operational taxonomic unit richness and abundance. However, changes in soil pH, nitrogen and potassium content post-burn affected fungal community composition. Small non-significant changes in pH and phosphorous affected the composition of ectomycorrhizal fungi.Conclusions: The ectomycorrhizal fungal community appears to be resilient to the effects of low-to moderate-in-tensity fires and saprotrophic taxa may benefit from this kind of fire. This finding revealed that prescribed burning is a potentially valuable management tool for reducing fire hazards in shrublands that has little effect on the total richness and abundance of fungal communities.</t>
  </si>
  <si>
    <t>Nurjanto, H. H.; Suhardi, Suhardi</t>
  </si>
  <si>
    <t>Mycorrhizal fungal population in an over-burned tropical rain forest in East Kalimantan.</t>
  </si>
  <si>
    <t>International Conference on In situ and Ex situ Conservation of Commercial Tropical Trees, Yogyakarta, Indonesia, 11-13 June 2001</t>
  </si>
  <si>
    <t>Dipterocarp species are the most important tree species of tropical rain forests in Southeast Asia. Mycorrhizal fungi affect growth and establishment of these species. When the tropical rain forests are destroyed by fire, the population of mycorrhizal fungi might change drastically. Populations of mycorrhizal fungi in an over-burned tropical rain forest in East Kalimantan, in which the latest fire occurred in mid-1998, were assessed in February 2001. Observations were conducted on three permanent plots that represented unburnt (Control), lightly burnt (LB) and severely burnt (SB) sites. At the time of this study, the SB site was occupied mainly by ferns and macarangas. Ferns and macarangas also occupied part of LB site, while the unburnt Control remained occupied by dipterocarp trees. Observations of fruiting bodies and ectomycorrhizal roots revealed that the ectomycorrhizal fungi were present only on the unburnt site and on that part of the LB site where the host trees remained. None were found on the SB site. Two genera, namely Russula and Hydnum, were found on the unburnt site, while Boletus and Hydnum were on the LB site. In contrast to ectomycorrhizal fungi, endomycorrhizal fungi were found on all sites. The spore numbers of endomycorrhizal fungi were similar on all sites, while levels of endomycorrhizal infection varied. Greatest infection level was on the control site, with a lesser level on LB and the lowest on the SB site. The absence of ectomycorrhizal fungi on the SB site might inhibit efforts to revegetate this area with dipterocarps. However, this needs to be investigated further as the soil might contain wind-blown spores originating from the neighbouring dipterocarp trees. The inoculum potential of this soil is being assessed in the Faculty of Forestry, Gadjah Mada University, using a baiting experiment.</t>
  </si>
  <si>
    <t>Hernandez-Rodriguez, Maria; de-Miguel, Sergio; Pukkala, Timo; Andres Oria-de-Rueda, Juan; Martin-Pinto, Pablo</t>
  </si>
  <si>
    <t>Climate-sensitive models for mushroom yields and diversity in &lt;i&gt;Cistus&lt;/i&gt; &lt;i&gt;ladanifer&lt;/i&gt; scrublands</t>
  </si>
  <si>
    <t>182</t>
  </si>
  <si>
    <t>10.1016/j.agrformet.2015.07.001</t>
  </si>
  <si>
    <t>Cistus species are pyrophytic scrubs widely distributed around the Mediterranean basin. Cistus scrublands provide high yields of edible mushroom species, such as Boletus edulis. A proper management of these areas may contribute to decreasing fire risk and increasing economic benefits derived from mushroom production. The aim of this study was to develop predictive models for mushroom yield and diversity in order to better understand the ecology of Cistus ladanifer scrublands and provide tools for their management. Measurements were conducted in permanent sample plots which consisted of 2 m x 50 m transects. The models for annual production and species diversity (Shannon index) were developed by fitting separate equations for mycorrhizal and saprotrophic fungi. B. edulis production was modelled separately due its high economic importance. Predictors accounting for the treatment (i.e. cutting or burning the scrub vegetation), time after treatment,.structural characteristics of the vegetation and climatic variables were considered in modelling. Mean height and canopy cover of C. ladanifer scrublands were also modelled as a function of treatment and time after treatment. The mean minimum temperature of the autumn was the most significant climatic variable that affected fungal fructification. Regarding the vegetation characteristics, mean height of the scrub vegetation was the most significant predictor of mushroom production and diversity. B. edulis yield is expected to start 5 years after treatment and the peak of production is reached after 14 years. The effect of treatment on fungal diversity showed an opposite trend as compared to the effect on mushroom Production. Fungal diversity was higher after burning than after clearing, whereas mushroom production was higher after total clearing. (C) 2015 Elsevier B.V. All rights reserved.</t>
  </si>
  <si>
    <t>Mardji, D.</t>
  </si>
  <si>
    <t>Diversity and dominance of ectomycorrhizal fungi on after burned and unburned forests in Kutai National Park (Indonesia).</t>
  </si>
  <si>
    <t>International Journal of Innovation and Applied Studies</t>
  </si>
  <si>
    <t>344</t>
  </si>
  <si>
    <t>Ectomycorrhizal fungi has long been known as benefit microorganism for plants, because the fungi supply nutrients and water from soil to their hosts. But ectomycorrhizal fungi are very sensitive to environmental change of their habitat, thus can be used as bioindicator. One of the change that influence on their presence is forest fire that kill the trees as their hosts. Forest fire is almost occur every year in the dry season in Indonesia, not exception Kutai National Park (KNP), where the fire comes from the society gardens surrounding it. This study aimed to determine species diversity and dominance of ectomycorrhizal fungi on the after burned (Prevab) and unburned forests (Sangkimah). The results showed that the number of species of ectomycorrhizal fungi at Prevab were 12 species and 37 individuals, while at Sangkimah there were found 34 species of 87 individuals, this meant that the numbers of species and individuals of fungi at Sangkimah were more than at Prevab. However, based on biodiversity index, at both locations were low (H′&lt;1), respectively was 0.51528 at Prevab and 0.50233 at Sangkimah. At Prevab, species of fungus with high levels of dominance was Clavulina sp., moderate level of dominance were Mycena pura, Coprinus atramentaria, C. comatus and Russula decolorans, whereas other species were in the level of low dominance. At Sangkimah, fungi with a high level of dominance was Clitocybe sp4, moderate level of dominance were Leucocoprinus flos-sulfuris and Cantharellus sp3, whereas other species were in the level of low dominance.</t>
  </si>
  <si>
    <t>Meyer, Marc D.; North, Malcolm; Kelt, Douglas A.</t>
  </si>
  <si>
    <t>Forests, fungi, and small mammals: The impact of fire and thinning on truffle production and consumption.</t>
  </si>
  <si>
    <t>349</t>
  </si>
  <si>
    <t>Stevens, V.</t>
  </si>
  <si>
    <t>The ecological role of coarse woody debris: An overview of the ecological importance of CWD in BC forests.</t>
  </si>
  <si>
    <t>Working Paper - Ministry of Forests Research Program, British Columbia</t>
  </si>
  <si>
    <t>vi</t>
  </si>
  <si>
    <t>26 pp. + vi</t>
  </si>
  <si>
    <t>The ecological roles of coarse woody debris (defined as sound and rotting logs and stumps that provide habitat for plants, animals and insects and a source of nutrients for soil development), in the living and decaying processes in the forest are reviewed. Topics covered include nitrogen fixation, ectomycorrhizal root tip associations, habitat provision, soil and stream geomorphology, soil biology, fire ecology, wildlife tree management and simulation modelling.</t>
  </si>
  <si>
    <t>Lou, Hu; Cai, Huiying; Fu, Rao; Guo, Chao; Fan, Baozhen; Hu, Haiqing; Zhang, Jie; Sun, Long</t>
  </si>
  <si>
    <t>Effects of wildfire disturbance on forest soil microbes and colonization of ericoid mycorrhizal fungi in northern China</t>
  </si>
  <si>
    <t>ENVIRONMENTAL RESEARCH</t>
  </si>
  <si>
    <t>10.1016/j.envres.2023.116220</t>
  </si>
  <si>
    <t>Wildfires affect forest succession and restoration by changing the community structure of soil microorganisms. Mycorrhizal formation is essential for plant growth and development. However, the driving mechanism of their natural succession after wildfire is still unclear. In this study, we examined the community structure of soil bacteria and fungi along a time series of natural recovery after wildfires in the Greater Khingan Range of China (2020 fires, 2017 fires, 2012 fires, 2004 fires, 1991 fires, and unburned). By exploring the effects of wildfire on plant traits, fruit nutrition, colonization of mycorrhizal fungi and its influencing mechanism. The results show that natural succession after wildfires significantly changed the community composition of bacteria and fungi, with &amp; beta; diversity having a greater impact but less impact on the &amp; alpha; diversity of microorganisms. Wildfires significantly changed plant traits and fruit nutrient content. The changes in colonization rate and customization intensity of mycorrhizal fungi were caused by increased MDA content and soluble sugar content and increased MADS-box gene and DREB1 gene expression in lingonberry (Vaccinium vitis-idaea L.). Our results showed that the soil bacterial and fungal communities in the boreal forest ecosystem changed significantly during wildfire recovery and changed the colonization rate of lingonberry mycorrhizal fungi. This study provides a theoretical basis for the restoration of forest ecosystems after wildfires.</t>
  </si>
  <si>
    <t>Bowd, Elle J.; Banks, Sam C.; Bissett, Andrew; May, Tom W.; Lindenmayer, David B.</t>
  </si>
  <si>
    <t>Disturbance alters the forest soil microbiome</t>
  </si>
  <si>
    <t>419</t>
  </si>
  <si>
    <t>435</t>
  </si>
  <si>
    <t>10.1111/mec.16242</t>
  </si>
  <si>
    <t>Billions of microorganisms perform critical below-ground functions in all terrestrial ecosystems. While largely invisible to the naked eye, they support all higher lifeforms, form symbiotic relationships with similar to 90% of terrestrial plant species, stabilize soils, and facilitate biogeochemical cycles. Global increases in the frequency of disturbances are driving major changes in the structure and function of forests. However, despite their functional significance, the disturbance responses of forest microbial communities are poorly understood. Here, we explore the influence of disturbance on the soil microbiome (archaea, fungi and bacteria) of some of the world's tallest and most carbon-dense forests, the Mountain Ash forests of south-eastern Australia. From 80 sites, we identified 23,277 and 19,056 microbial operational taxonomic units from the 0-10 cm and 20-30 cm depths of soil respectively. From this extensive data set, we found the diversity and composition of these often cryptic communities has been altered by human and natural disturbance events. For instance, the diversity of ectomycorrhizal fungi declined with clearcut logging, the diversity of archaea declined with salvage logging, and bacterial diversity and overall microbial diversity declined with the number of fires. Moreover, we identified key associations between edaphic (soil properties), environmental (slope, elevation) and spatial variables and the composition of all microbial communities. Specifically, we found that soil pH, manganese, magnesium, phosphorus, iron and nitrate were associated with the composition of all microbial communities. In a period of widespread degradation of global forest ecosystems, our findings provide an important and timely insight into the disturbance responses of soil microbial communities, which may influence key ecological functions.</t>
  </si>
  <si>
    <t>Goodman, D. M.; Trofymow, J. A.</t>
  </si>
  <si>
    <t>Canadian Journal of Forest Research</t>
  </si>
  <si>
    <t>10.1139/cjfr-28-4-574</t>
  </si>
  <si>
    <t>An old-growth and a mature stand, each of fire origin and similar in drainage, slope, and exposure, were selected at each of two sites. Soil cores were collected in spring and fall for 2 years in each stand. Ectomycorrhizae were separated into types based on detailed examination of morphology and anatomy. All root tips were separated and counted. Sixty-nine morphological types were distinguished. Nineteen accounted for &gt;1% of the 17 500 root tips examined, and 14 types were found in &gt;5% of the 120 soil cores. Only three types were found in &gt;20% of the cores. Total richness was approximately 100 fungi. Nine codominant mycosymbionts each colonized 2.8-24% of all tips and together colonized 67% of all tips. Cenococcum geophilum Fr. was the most abundant, followed by a Rhizopogon vinicolor Fr.-like species, an unidentified Piloderma-like species, Lactarius rubrilacteus Hesler and Smith, Piloderma fallax (Libert) Stalpers, and four unidentified species. Old-growth and mature stands had similar richness and diversity of ectomycorrhizal types. There was no evidence that any types were more abundant or frequent in one age-class than in the other.</t>
  </si>
  <si>
    <t>DISSERTATION RESEARCH: Changes in Ectomycorrhizal Fungal Communities Along a Nitrogen Deposition Gradient and Their Consequences for Host Tree Performance</t>
  </si>
  <si>
    <t>Ectomycorrhizal fungi are abundant, diverse, and ecologically important microorganisms in forest soils throughout the world. Through intimate connections they form with tree roots, they trade essential nutrients obtained from the soil for carbon acquired by trees through photosynthesis. Tree growth in nutrient limited forests can be greatly enhanced in this manner, making the ectomycorrhizal fungal community an important determinant of forest productivity. Increasing amounts of nitrogen produced by the burning of fossil fuels are being deposited in forests of the northeastern U.S. The resulting increases in acidity, aluminum mobility, and N concentration in soil are all factors that can potentially influence ectomycorrhizal fungal communities and their tree hosts. Field research will identify species using DNA-based molecular techniques and measure changes in their abundance and distribution in response to nitrogen pollution. Laboratory experiments will be conducted to examine consequences for tree performance. This will lead to a better understand of the dynamics and consequences of changes in the ectomycorrhizal fungal communities of northeastern forests.</t>
  </si>
  <si>
    <t>Harvey, A. E.; Larsen, M. J.; Jurgensen, M. F.</t>
  </si>
  <si>
    <t>Fire -- decay: interactive roles regulating wood accumulation and soil development in the Northern Rocky Mountains.</t>
  </si>
  <si>
    <t>USDA Forest Service Research Note INT</t>
  </si>
  <si>
    <t>4 pp.</t>
  </si>
  <si>
    <t>Volumes of decayed wood in forest soils are substantial, estimates of ground cover ranging from 14 to 30% of the surface area. Decay and fire play interactive roles in recycling wood and other organic materials in forest ecosystems, and contribute to the development of high quality soils in the Northern Rocky Mountains. Decayed wood, charcoal and other decomposed organic matter are the principal media for ectomycorrhizal and nonsymbiotic nitrogen fixing micro-organisms, whose activities are critical to the growth of forest trees. These materials have a high cation exchange capacity, and thus act as an important site of nutrient retention. The balance between decay and fire depends on the climate, and by affecting the amount, distribution and type of organic matter, controls the ability of forest soils to support the growth of trees.</t>
  </si>
  <si>
    <t>Warcup, J. H.</t>
  </si>
  <si>
    <t>Pyrophilous Ascomycetes as ectomycorrhizal fungi.</t>
  </si>
  <si>
    <t>Biennial Report of the Waite Agricultural Research Institute, 1984-85.</t>
  </si>
  <si>
    <t>148</t>
  </si>
  <si>
    <t>Slightly more spp. were recorded in the 2nd year than in the 1st after a forest fire though the number of ascocarps was much higher following the fire. Few ascomycetes were found in the 3rd year, possibly owing to very low rainfall in early winter. Ten of the spp. formed mycorrhizas.</t>
  </si>
  <si>
    <t>Report</t>
  </si>
  <si>
    <t>Calvert, J.; McTaggart, A.; Carvalhais, L. C.; Drenth, A.; Shivas, R.</t>
  </si>
  <si>
    <t>Communities of tropical soil fungi differ between burned and unburned forest, with corresponding changes in plant community composition, litter and soil chemistry</t>
  </si>
  <si>
    <t>bioRxiv</t>
  </si>
  <si>
    <t>10.1101/2021.08.22.457293</t>
  </si>
  <si>
    <t>Fire is predicted to be more severe and frequent in forests of the Australian Monsoon Tropics over the coming decades. The way in which groups of ecologically important soil fungi respond to disturbance caused by fire has not been studied in Australian tropical forest ecosystems. Ectomycorrhizal (EM) fungi are important tree symbionts and saprotrophic fungi drive soil nutrient cycles. We analysed both publicly-available environmental DNA sequence data as well as soil chemistry data to test a hypothesis that burned areas in a contiguous tropical forest have different community composition and diversity of EM and saprotrophic soil fungi relative to nearby unburned sites. We tested this hypothesis by measuring community-level taxonomic composition, fungal diversity, species richness and evenness. We determined whether changes in fungal communities were associated with fire-altered soil chemical/physical properties, vegetation types, or the direct effect of fire. Soil fungi differed in abundance and community phylogenetic structure between forest sites that had experienced fire, and sites dominated by unburned forest. EM community composition differed between unburned and burned sites, which had more mycorrhizal hosts including Corymbia intermedia, Acacia flavescens and Acacia midgleyi. Lower diversity of saprotrophic fungi was correlated with lower soil nutrient levels and different litter composition at burned sites. Pyrophilic, truffle-like EM fungi that rely on mycophagous mammals&amp;nbsp;for dispersal were abundant at recently burned sites. We conclude that EM fungi show different patterns of diversity in burned tropical forest, likely driven by changing plant communities, whereas differences in saprotrophic fungal communities of burned sites may be driven by by reduced soil nutrient levels and altered litter composition.[GRAPHICAL]</t>
  </si>
  <si>
    <t>Fire - decay: interactive roles regulating wood accumulation and soil development in the northern Rocky Mountains.</t>
  </si>
  <si>
    <t>Research Note, Intermountain Forest and Range Experiment Station, USDA Forest Service</t>
  </si>
  <si>
    <t>A brief review of the role of wood as a source of soil organic matter for non-symbiotic N-fixers and ectomycorrhizae, and its incorporation through a combination of biological (decay) and physical (fire) forces. The need is stressed for the conservation of (especially large) woody materials on the forest floor where this does not involve unacceptable fire risk. Slash should be distributed to give a mosaic of fuel for prescribed burning, and large waste should be well scattered.</t>
  </si>
  <si>
    <t>Meyer, M. D.; North, M. P.; Roberts, S. L.</t>
  </si>
  <si>
    <t>Truffle abundance in recently prescribed burned and unburned forests in Yosemite National Park: implications for mycophagous mammals.</t>
  </si>
  <si>
    <t>Fire Ecology</t>
  </si>
  <si>
    <t>Truffles are an important food resource for wildlife in North American forests, but decades of fire exclusion have altered the availability of this resource. In Yosemite National Park, resource management policies seek to restore essential forest processes such as fire while minimizing adverse ecological impacts that may result from burning decades of accumulated fuels. Burning can impact truffles through heat stress, elimination of soil organic layers, and damage to tree hosts, but these effects may be dependent on time lags between fires and fire frequency. We examined truffle abundance, and species diversity and composition in four paired burned and unburned sites (8 sites total) in Yosemite to determine the short-term effect of fire on truffles and its implications for truffle-consuming mammals. Burned and unburned sites had similar truffle biomass and species richness, but truffle frequency was greater in unburned than burned sites. Truffle species composition was distinctively different between burned and unburned sites, although seven species were found exclusively in both burned and unburned sites. Truffles were positively associated with litter depth in burned and unburned sites, although this association was stronger in burned sites. Prescribed burning may enhance the regional diversity of truffles for mycophagous mammals across the forest landscape without impacting total abundance in Yosemite National Park.</t>
  </si>
  <si>
    <t>Claridge, AW; Trappe, JM; Claridge, DL</t>
  </si>
  <si>
    <t>Mycophagy by the swamp wallaby (&lt;i&gt;Wallabia bicolor&lt;/i&gt;)</t>
  </si>
  <si>
    <t>643</t>
  </si>
  <si>
    <t>10.1071/WR00105</t>
  </si>
  <si>
    <t>Microscopic analysis of the scats of swamp wallabies (Wallabia bicolor), collected from a variety of forested sites in south-eastern mainland Australia, indicates that the species consumes a diversity of species of hypogeous (underground-fruiting) fungi. The mycophagous (fungus-feeding) dietary behaviour seemingly extends to habitats recently burned by fire, implying that W. bicolor may be critical in dispersing fungal spores and perhaps in re-establishing mycorrhizal associations of these fungi with forest trees and shrubs. Such an interrelationship has been previously demonstrated only for more heavily mycophagous species of ground-dwelling mammal.</t>
  </si>
  <si>
    <t>Lopez-Quintero, Carlos A.; Straatsma, Gerben; Esperanza Franco-Molano, A.; Boekhout, Teun</t>
  </si>
  <si>
    <t>Macrofungal diversity in Colombian Amazon forests varies with regions and regimes of disturbance</t>
  </si>
  <si>
    <t>2221</t>
  </si>
  <si>
    <t>2243</t>
  </si>
  <si>
    <t>10.1007/s10531-012-0280-8</t>
  </si>
  <si>
    <t>Here we present the results of fungal biodiversity studies from some selected Colombian Amazon forests in relationship to plant biodiversity and successional stages after slash and burn agriculture. Macrofungal diversity was found to differ between forests occurring in two regions (Araracuara vs Amacayacu) as well as between flooded forests and terra firme forests in the Amacayacu region. Macrofungal biodiversity differed between regeneration states of different age in the Araracuara region. Suitable substrates, especially dead wood that occurred as a result of recent slash and burn agriculture, resulted in the formation of many sporocarps of wood-inhabiting species. Putative ectomycorrhizal species were found in a dipterocarp forest. Fifty two percent of the macrofungal species could not be identified to the species level, but could be assigned to a genus, and it is likely that a significant portion of these represent species new to science. Long term studies are needed to obtain a comprehensive and complete understanding of the diversity and functioning of mycobiota in Amazon forest ecosystems.</t>
  </si>
  <si>
    <t>Vernes, K; Johnson, CN; Castellano, MA</t>
  </si>
  <si>
    <t>Fire-related changes in biomass of hypogeous sporocarps at foraging points used by a tropical mycophagous marsupial</t>
  </si>
  <si>
    <t>1438</t>
  </si>
  <si>
    <t>1446</t>
  </si>
  <si>
    <t>10.1017/S0953756204000048</t>
  </si>
  <si>
    <t>Changes in pre- and post-fire biomass of hypogeous fungal sporocarps remaining at locations where an endangered mycophagous marsupial, the northern bettong (Bettongia tropica), had foraged, were assessed in fire-prone sclerophyll forest in northeastern Australia. Low to medium intensity experimental fires were set during the late dry season in 1995 and 1996 and post-foraging biomass of sporocarps (expressed as biomass of sporocarps remaining at recent B. tropica diggings) was measured at unburnt and burnt sites at approximately six-week intervals for a period of 14 months. Post-foraging biomass was significantly higher at burnt sites immediately following fire compared with control sites, solely due to increased biomass of hypogeous species belonging to the family Mesophelliaceae. Several months after fire, post-foraging biomass was significantly higher on unburnt sites compared with very low biomass on burnt sites. Twelve months after fire, the biomass on burnt and unburnt sites was not significantly different, having returned to biomass observed pre-fire. All evidence points toward mesophellioid fungi being greatly more available to bettongs on recently burnt ground, but fire may make several other sporocarp taxa considerably less available several months following fire.</t>
  </si>
  <si>
    <t>Kunes, Petr; Odgaard, Bent Vad; Gaillard, Marie-Jose</t>
  </si>
  <si>
    <t>Soil phosphorus as a control of productivity and openness in temperate interglacial forest ecosystems</t>
  </si>
  <si>
    <t>JOURNAL OF BIOGEOGRAPHY</t>
  </si>
  <si>
    <t>2150</t>
  </si>
  <si>
    <t>2164</t>
  </si>
  <si>
    <t>10.1111/j.1365-2699.2011.02557.x</t>
  </si>
  <si>
    <t>Aim Observations of long chronosequences in forest ecosystems show that, after some millennia of build-up, biomass declines in relation to the slow depletion of soil phosphorus. Plants that dominate during this period of soil impoverishment have specialized strategies for P acquisition, including ectomycorrhiza or root clusters. We use quantitative, pollen-based reconstructions of regional vegetation in four Quaternary warm stages (Holocene, Eemian, Holsteinian, Harreskovian) to test whether inferred forest cover and productivity changes are consistent with long-term modification of soil nutrient pools.Location Southern Scandinavia (Denmark, southern Sweden).Methods The REVEALS model was used to estimate regional vegetation abundances of 25 pollen-type-equivalent taxa from pollen records of large sedimentary basins in southernmost Scandinavia. Based on the estimated regional vegetation, we then calculated time-series of Ellenberg indicator values for L (light), R (soil reaction) and N (a productivity proxy). We classified the vegetation records into distinct phases and compared these phases and the samples using hierarchical clustering and ordination.Results All three interglacials developed coniferous or mixed forests. However, pure deciduous forests were never reached during the Holsteinian, while pure coniferous forests never developed in the Holocene. Above-ground productivity was inferred to be low initially, peaking in the first third of the warm stages and then slowly declining (except during the Holocene). Dominant trees of the post-peak phases all had ectomycorrhiza as a strategy for P acquisition, indicating that easily accessible P pools had become depleted. Increases in fire regimes may have amplified the inferred final drop in productivity. Mid/late Holocene productivity changes were much influenced by agricultural activities.Main conclusions REVEALS vegetation estimates combined with Ellenberg indicator values suggest a consistent pattern in warm stages of initially rising productivity, followed by a long and slow decline. The P-acquisition strategies of dominant trees indicate that the decline reflects increasing P depletion of soils.</t>
  </si>
  <si>
    <t>Cheng, Zhichao; Wu, Song; Pan, Hong; Lu, Xinming; Liu, Yongzhi; Yang, Libin</t>
  </si>
  <si>
    <t>&lt;i&gt;Cortinarius&lt;/i&gt; and &lt;i&gt;Tomentella&lt;/i&gt; Fungi Become Dominant Taxa in Taiga Soil after Fire Disturbance</t>
  </si>
  <si>
    <t>10.3390/jof9111113</t>
  </si>
  <si>
    <t>Fungi have important ecological functions in the soil of forests, where they decompose organic matter, provide plants with nutrients, increase plant water uptake, and improve plant resistance to adversity, disease, and disturbance. A forest fire presents a serious disturbance of the local ecosystem and can be considered an important component affecting the function of ecosystem biomes; however, the response of soil fungi to fire disturbance is largely unknown. To investigate the effects of fire disturbance on the community composition and diversity of soil fungi in a taiga forest, we collected soil from plots that had undergone a light, moderate, and heavy fire 10 years previously, with the inclusion of a fire-free control. The present soil fungi were characterized using Illumina MiSeq technology, and the sequences were analyzed to identify differences in the community composition and diversity in response to the changed soil physicochemical properties. The results showed that the Chao1 index, which characterizes the alpha diversity of the fungi, did not change significantly. In contrast, the Shannon index increased significantly (p &lt; 0.05) and the Simpson index decreased significantly (p &lt; 0.05) following a light or heavy fire disturbance compared to the control. The relative abundance of Basidiomycota was significantly higher in the soil of the fire sites than that in the control (p &lt; 0.01), and the relative abundance of Ascomycota was significantly lower (p &lt; 0.01). The results of principal coordinates analyses (PCoAs) showed that fire disturbance highly significantly affected the beta diversity of soil fungi (p &lt; 0.001), while the results of canonical correlation analysis (CCA) indicated that the available nitrogen (AN), moisture content (MC), pH, available potassium (AK), and total nitrogen (TN) contents of the soil significantly affected the compositional structure and diversity of the soil fungal communities. The results of functional prediction showed that the majority of the detected soil fungi were symbiotrophs, followed by saprotrophs and saprotroph-symbiotrophs, with ectomycorrhiza being the dominant functional taxon. Fire disturbance significantly reduced the relative abundance of ectomycorrhiza (p &lt; 0.05). This study illustrates that fire disturbance alters the structural composition, diversity, dominance, and relative abundance of the guilds of soil fungal communities in taiga forest, and strongly affected the beta diversity of soil fungi, with AN, MC, pH, AK, and TN being the most important factors affecting their community structure. The results may provide a useful reference for the restoration and rehabilitation of taiga forests after fire disturbance.</t>
  </si>
  <si>
    <t>McGlone, M. S.; Buitenwerf, R.; Richardson, S. J.</t>
  </si>
  <si>
    <t>The formation of the oceanic temperate forests of New Zealand</t>
  </si>
  <si>
    <t>10.1080/0028825X.2016.1158196</t>
  </si>
  <si>
    <t>The pre-clearance New Zealand lowlands were largely in complex, liana-rich, multi-layered conifer-angiosperm forest. Here it is designated oceanic temperate forest (OTF), its climatic envelope is defined, global distribution is assessed and origin is reviewed. Often described as Gondwanan or relic, tree genera characteristic of the OTF are more likely to be shared with tropical regions to the north than with temperate fragments of Gondwana (southern Australia, southern South America). The OTF arose out of the warm temperate to subtropical forests of Zealandia that formed during the Palaeogene. Warm, fire-prone environments in the middle Miocene permitted an influx of Australian taxa. During the Pliocene/Pleistocene increasingly cool climates, less fire and loss of old, leached soils, reduced floristic diversity. Many low-nutrient specialists and arid-adapted Australian-origin taxa were lost, along with many now exclusively tropical genera. Reduction in ectomycorrhizal tall tree genera left only Nothofagaceae and myrtaceous Kunzea and thus OTF formations are largely arbuscular mycorrhizal. Lack of fast-growing, ectomycorrhizal cold-tolerant trees is a key reason for the marked physiognomic differences between northern temperate broadleaved forests and those of the New Zealand OTF. The pronounced oscillations in extent of dry, cool habitats and warm, moist habitats in this isolated archipelago during the Pleistocene had a profound effect on the composition and distribution of the OTF. We suggest two drivers have strongly modified both geographic and trait distribution in the flora. First, glacial-interglacial asymmetry'trees adapted to harsh glacial climates have more difficulty persisting in the face of strong biotic competition in warm, wet interglacial landscapes than trees adapted to interglacials do in persisting in climatically protected sites in cold, dry glacial landscapes. And second, the Pleistocene ratchet'the propensity of many forest species that lose range during a glacial (or interglacial) to fail to recover it entirely during the subsequent interglacial (glacial).</t>
  </si>
  <si>
    <t>Lafon, S.; Olivier, J. M.; Savignac, J. C.</t>
  </si>
  <si>
    <t>Truffle culture and sustainable regional planning: a first reflection for innovative experimentation.</t>
  </si>
  <si>
    <t>Courrier de l'Environnement de l'INRA</t>
  </si>
  <si>
    <t>103</t>
  </si>
  <si>
    <t>The truffle, Tuber melanosporum, agricultural or forest product, is behind a wealth of practice. This paper aims to show how this practice can contribute to diversity of environmental issues and challenges to enable sustainable regional planning. Truffles being both a forest and an agricultural product, analysis shows the respective advantages of both types of practices in this perspective. Through a coordinated approach, considerable resources can be highlighted through regional coordination. Three instruments for multiple use were investigated to propose innovative experiments: a defence of the forest against fire, an agri-environment measure and an innovative Natura 2000 contract.</t>
  </si>
  <si>
    <t>Spake, Rebecca; Ezard, Thomas H. G.; Martin, Philip A.; Newton, Adrian C.; Doncaster, C. Patrick</t>
  </si>
  <si>
    <t>A meta-analysis of functional group responses to forest recovery outside of the tropics</t>
  </si>
  <si>
    <t>CONSERVATION BIOLOGY</t>
  </si>
  <si>
    <t>1695</t>
  </si>
  <si>
    <t>10.1111/cobi.12548</t>
  </si>
  <si>
    <t>Both active and passive forest restoration schemes are used in degraded landscapes across the world to enhance biodiversity and ecosystem service provision. Restoration is increasingly also being implemented in biodiversity offset schemes as compensation for loss of natural habitat to anthropogenic development. This has raised concerns about the value of replacing old-growth forest with plantations, motivating research on biodiversity recovery as forest stands age. Functional diversity is now advocated as a keymetric for restoration success, yet it has received little analytical attention to date. We conducted a meta-analysis of 90 studies that measured differences in species richness for functional groups of fungi, lichens, and beetles between old-growth control and planted or secondary treatment forests in temperate, boreal, and Mediterranean regions. We identified functional-group-specific relationships in the response of species richness to stand age after forest disturbance. Ectomycorrhizal fungi averaged 90 years for recovery to old-growth values (between 45 years and unrecoverable at 95% prediction limits), and epiphytic lichens took 180 years to reach 90% of old-growth values (between 140 years and never for recovery to old-growth values at 95% prediction limits). Non-saproxylic beetle richness, in contrast, decreased as stand age of broadleaved forests increased. The slow recovery by some functional groups essential to ecosystem functioning makes old-growth forest an effectively irreplaceable biodiversity resource that should be exempt from biodiversity offsetting initiatives.</t>
  </si>
  <si>
    <t>Bowd, Elle J. J.; Egidi, Eleonora; Lindenmayer, David B. B.; Wardle, David A. A.; Kardol, Paul; Foster, Claire</t>
  </si>
  <si>
    <t>Temporal dynamics of soil fungi in a pyrodiverse dry-sclerophyll forest</t>
  </si>
  <si>
    <t>4181</t>
  </si>
  <si>
    <t>4198</t>
  </si>
  <si>
    <t>10.1111/mec.17036</t>
  </si>
  <si>
    <t>Fire is a major evolutionary and ecological driver that shapes biodiversity in forests. While above-ground community responses to fire have been well-documented, those below-ground are much less understood. However, below-ground communities, including fungi, play key roles in forests and facilitate the recovery of other organisms after fire. Here, we used internal transcribed spacer (ITS) meta-barcoding data from forests with three different times since fire [short (3 years), medium (13-19 years) and long (&gt;26 years)] to characterize the temporal responses of soil fungal communities across functional groups, ectomycorrhizal exploration strategies and inter-guild associations. Our findings indicate that fire effects on fungal communities are strongest in the short to medium term, with clear distinctions between communities in forests with a short time (3 years) since fire, a medium time (13-19 years) and a long time (&gt;26 years) since fire. Ectomycorrhizal fungi were disproportionately impacted by fire relative to saprotrophs, but the direction of the response varied depending on morphological structures and exploration strategies. For instance, short-distance ectomycorrhizal fungi increased with recent fire, while medium-distance (fringe) ectomycorrhizal fungi decreased. Further, we detected strong, negative inter-guild associations between ectomycorrhizal and saprotrophic fungi but only at medium and long times since fire. Given the functional significance of fungi, the temporal changes in fungal composition, inter-guild associations and functional groups after fire demonstrated in our study may have functional implications that require adaptive management to curtail.</t>
  </si>
  <si>
    <t>Mediavilla, Olaya; Hernandez-Rodriguez, Maria; Olaizola, Jaime; Santos-del-Blanco, Luis; Andres Oria-de-Rueda, Juan; Martin-Pinto, Pablo</t>
  </si>
  <si>
    <t>Insights into the dynamics of &lt;i&gt;Boletus edulis&lt;/i&gt; mycelium and fruiting after fire prevention management</t>
  </si>
  <si>
    <t>10.1016/j.foreco.2017.08.031</t>
  </si>
  <si>
    <t>Boletus edulis Bull. is among the most valuable mushroom species worldwide. Cistus ladanifer L. scrublands host an extraordinarily high production of this profitable fungus. Its fructification varies greatly among years depending on factors such as stand age and density along with climatic variables. Important information is missing, however, on the dynamics of this species, particularly at the below-ground level and its correlation with sporocarp production. We sought to improve understanding of the ecology of this species that could allow prediction of B. edulis production using faster and less expensive procedures under forest management scenarios.Under the hypothesis that fire prevention management influences the presence of Boletus edulis mycelium and thus, the production of sporocarps, different management treatments were performed. These consisted of different levels of fuel reduction: (controlled burning, total clearing, 50% clearing, and uncleared), established in scrublands of different ages/origins (young-fire, young-cleared and senescent). To analyse B. edulis mycelium in the soil, soil samples were taken at three different times during the year, quantifying B. edulis DNA by real-time PCR using specific primers and Taq-man probes. To analyse B. edulis production, all sporocarps were collected and weighed on a weekly basis during the autumn season.Our results confirmed that management significantly influence quantities of B. edulis mycelium in soil and sporocarp yields that were highest in the uncleared plots and lowest in total clearing plots. Fifty percent clearing plots showed a significant recovery for both mycelium quantity and B. edulis yields after three years.Concerning the origin of the stand, young-fire plots had the highest amounts of B. edulis mycelium in the soil. A positive correlation was detected between B. edulis fresh weight production and the amount of mycelium in the soil suggesting the ability to predict B. edulis yields using faster and less costly methods than weekly inventories carried out for several autumn seasons.</t>
  </si>
  <si>
    <t>Mulyani, R. B.; Sastrahidayat, I. R.; Abadi, A. L.; Djauhari, S.</t>
  </si>
  <si>
    <t>Exploring ectomycorrhiza in peat swamp forest of Nyaru Menteng Palangka Raya Central Borneo.</t>
  </si>
  <si>
    <t>Journal of Biodiversity and Environmental Sciences (JBES)</t>
  </si>
  <si>
    <t>133</t>
  </si>
  <si>
    <t>The ecosystem of peat swamp forest was found unique and stable in regulating the balance in water system as well as maintaining diversity of flora, fauna and microbes. Peat swamp forest destruction due to fire, illegal logging, or forest conversion into industrial and agricultural areas would spoil balance in biological ecosystem in the forest. This research, therefore, aimed to obtain information on fungi as ectomycorrhiza in peat swamp forest. This research is categorized as explorative observation using surveying method delivered in peat swamp forest of Nyaru Menteng, Palangka Raya, Central Borneo. Samples were obtained randomly from under a forest stand planted on 35 sample points. The results of the observation revealed that there were 15 species of fungi which were potential to be ectomycorrhiza, such as Russula sp.1, Russula sp.2, Russula sp.3, Russula sp.4, Russula sp.5, Russula aeruginea, Russula minutula, Hygrocybe sp.1, dan Hygrocybe sp.2, Scleroderma sp. Amanita sp., Collybia sp., Lycoperdon sp., Lepiota sp., dan Laccaria sp. Of those kinds, 48.04% were dominated by Russulaceae family. Basidiocarp was found to be associated with a stand of Angiospermae, more like the kind of belangiran (Shorea balangeran, Dipterocarpaceae), nyatoh (Palaquiumsp., Sapotaceae), guava (Syzygiumsp., Myrtaceae), geronggang (Cratoxylum arborescens, Hypericaceae), wood charcoal (Diospyros spp., Ebenaceae), rubber (Hevea brasiliensis, Euphorbiaceae), or trees of Gymnospermae such as melinjo (Gnetum gnemon, Gnetaceae). The abundance of basidiocarp Russulaceae presumably related to the nutrient content of the soil in the form of organic C and P very high element.</t>
  </si>
  <si>
    <t>Fitz Axen, Ada J.</t>
  </si>
  <si>
    <t>Fire-Associated Shifts in the Soil Microbiome in Western Conifer Forests: Implications for Armillaria Root Disease Biocontrol and Management</t>
  </si>
  <si>
    <t>Gates, G. M.; Ratkowsky, D. A.; Grove, S. J.</t>
  </si>
  <si>
    <t>Aggregated retention and macrofungi: a case study from the Warra LTER site, Tasmania.</t>
  </si>
  <si>
    <t>The macrofungi of an aggregated retention coupe harvested and burnt in April 2004 at the Warra long-term ecological research (LTER) site were documented at approximately fortnightly intervals over a period of 16 months between February 2005 and June 2006. In transects of approximately 400 m total length, 167 macrofungal species were recorded in the unharvested aggregates compared to 125 species in the regenerating harvested area, with 63 species common to both. The regenerating area was a source of many saprotrophic fungi and also contained many species that are characteristically opportunistic, appearing after disturbance or fire but not generally seen in forests that have progressed beyond the earliest stage of regeneration. The regenerating area also contained a few species normally associated with mature forest, the presence of which may be attributed to the proximity of mature forest retained in the aggregates. Comparison of the aggregates with an unharvested control coupe sampled at the same intensity and over the same time period indicated lower species richness in the aggregates. This suggests that there are factors present, such as effects of the initial site preparation, opening up of the canopy, and proximity of the surrounding harvested areas, which tend to suppress the full development of the mycota in the aggregates. Nevertheless, the majority of ectomycorrhizal species in the aggregated retention coupe were found only in the unharvested aggregates, indicating that the latter are important reservoirs of ectomycorrhizal fungal diversity, and that they may be expected to show an increased species richness at a later stage of regeneration of the surrounding forest.</t>
  </si>
  <si>
    <t>Jonsson, L.</t>
  </si>
  <si>
    <t>Community structure of ectomycorrhizal fungi in Swedish boreal forests.</t>
  </si>
  <si>
    <t>Acta Universitatis Agriculturae Sueciae - Silvestria</t>
  </si>
  <si>
    <t>122 pp.</t>
  </si>
  <si>
    <t>The main aim of this thesis has been to elucidate the species composition and community structure of ectomycorrhizal fungi associated with mature trees and naturally regenerated seedlings in natural boreal forests in Sweden. Further, the effects of disturbances, such as wildfire and nitrogen inputs, were studied. The thesis is based on 5 research papers, 2 published (Canadian Journal of Botany (1997) 75 (2) 1323-1335; New Phytologist (1997) 136 (2) 313-325) and 3 in manuscript form, all in collaboration with other authors; these are included. Sporocarp surveys, morphological stratification and DNA-based analyses of mycorrhizas were used to describe the mycorrhizal fungal communities. In addition, an ITS (Internal Transcribed Spacer region of rDNA)-RFLP (Restriction Fragment Length Polymorphism) reference database useful for identifying individual mycorrhizas was developed based on DNA analyses of sporocarp tissue. Overall, the species richness of ectomycorrhizal fungi was at least 30-40 times higher than that of their host trees. Naturally regenerated seedlings were colonized by the ectomycorrhizal fungal species present in the mycelial network of the old trees, indicating that the species composition will remain about the same provided that the host does not disappear. Wildfire, disturbing the fungal continuum, caused a shift in the frequencies of ectomycorrhizal fungi rather than a change in species composition. Nitrogen addition did not have any detectable effect on the abundance or species richness of mycorrhizas, but led to a decrease in sporocarp production. In all the studies, there was little resemblance between the species composition of sporocarps and that of mycorrhizas. The ITS-RFLP reference database was very useful in identifying single mycorrhizas, and proved to be a powerful tool for species identification of unknown mycorrhizas.</t>
  </si>
  <si>
    <t>Metcalfe, Daniel B.; Rocha, Wanderley; Balch, Jennifer K.; Brando, Paulo M.; Doughty, Christopher E.; Malhi, Yadvinder</t>
  </si>
  <si>
    <t>Impacts of fire on sources of soil CO&lt;sub&gt;2&lt;/sub&gt; efflux in a dry Amazon rain forest</t>
  </si>
  <si>
    <t>3629</t>
  </si>
  <si>
    <t>3641</t>
  </si>
  <si>
    <t>10.1111/gcb.14305</t>
  </si>
  <si>
    <t>Fire at the dry southern margin of the Amazon rainforest could have major consequences for regional soil carbon (C) storage and ecosystem carbon dioxide (CO2) emissions, but relatively little information exists about impacts of fire on soil C cycling within this sensitive ecotone. We measured CO2 effluxes from different soil components (ground surface litter, roots, mycorrhizae, soil organic matter) at a large-scale burn experiment designed to simulate a severe but realistic potential future scenario for the region (Fire plot) in Mato Grosso, Brazil, over 1year, and compared these measurements to replicated data from a nearby, unmodified Control plot. After four burns over 5 years, soil CO2 efflux (R-s) was similar to 5.5 t C ha(-1) year(-1) lower on the Fire plot compared to the Control. Most of the Fire plot R-s reduction was specifically due to lower ground surface litter and root respiration. Mycorrhizal respiration on both plots was around similar to 20% of R-s. Soil surface temperature appeared to be more important than moisture as a driver of seasonal patterns in R-s at the site. Regular fire events decreased the seasonality of R-s at the study site, due to apparent differences in environmental sensitivities among biotic and abiotic soil components. These findings may contribute toward improved predictions of the amount and temporal pattern of C emissions across the large areas of tropical forest facing increasing fire disturbances associated with climate change and human activities.</t>
  </si>
  <si>
    <t>Vernes, Karl; Dunn, Linda</t>
  </si>
  <si>
    <t>Mammal mycophagy and fungal spore dispersal across a steep environmental gradient in eastern Australia</t>
  </si>
  <si>
    <t>10.1111/j.1442-9993.2008.01883.x</t>
  </si>
  <si>
    <t>We examined changes in the types of fungi consumed by six species of small mammals across a habitat gradient in north-eastern New South Wales that graded from swamp, to woodland, to open forest and then to rainforest. All mammals ate some fungus, but only bush rats (Rattus fuscipes) regularly did so, and their diet included most of the fungal taxa that we identified across all mammals in the study. The composition of bush rat diet changed significantly with each change in habitat from woodland, to forest, to rainforest. In particular, there was a significant difference in the diets of rats caught either side of the open forest-rainforest ecotone, which marks the change in fungal community from one dominated by ectomycorrhizal fungi, to a community dominated by arbuscular mycorrhizal fungi. Movement patterns of bush rats living around the open forest-rainforest ecotone suggest that they transport fungal spores between these contrasting fungal communities. Therefore, bush rats have the potential, by way of spore dispersal, to influence the structure of vegetation communities.</t>
  </si>
  <si>
    <t>Clinton, P.; Phillips, C.; Coker, R.</t>
  </si>
  <si>
    <t>Redwoods - what have we been waiting for?</t>
  </si>
  <si>
    <t>New Zealand Tree Grower</t>
  </si>
  <si>
    <t>15</t>
  </si>
  <si>
    <t>These 7 feature papers focus on the redwoods. The coast redwoods are planted in eroding soils of New Zealand, this is supported by their ability to coppice, long lived nature and valuable timber. The use of redwood as a carbon store than other tree species is covered in two articles. The planting of coast redwood, Sequoia sempervirens, in gaining momentum in New Zealand as a viable forestry species due to its high value timber. A case study is presented describing how coast redwood can be used to minimize risk and increase returns for current post-1989 forest owners opting into the Emissions Trading Scheme. An article is also included, showing that timber from redwood planted in New Zealand over 70 years ago proves to be a winner in Californian market. The status of redwoods planted in Ashley Gorge in the foothills of Oxford in North Canterbury, is also presented. Information about the two important mycorrhizas in New Zealand, ectomycorrhizas and arbuscular mycorrhizas, is also presented. The establishment of a 950 ha redwood forest in the King Country is presented, in which around 800 ha of manuka and kanuka were sprayed and burned.</t>
  </si>
  <si>
    <t>Hasselquist, Niles Jacob</t>
  </si>
  <si>
    <t>Mycorrhizae, water, and a changing climate: How do trees survive in a seasonally dry tropical forest?</t>
  </si>
  <si>
    <t>Wardani, Gusti Agung Ayu Kusuma; Jawi, I. Made; Senapathi, Tjok Gde Agung; Sanjaya, Dwi Arymbhi; Antari, Ni Putu Udayana; Adrianta, Ketut Agus; Suena, Ni Made Dharma Shantini</t>
  </si>
  <si>
    <t>The effect of Xylocarpus granatum J. Koenig seed extract cream on the number of fibroblast and re-epithelialization in IIA degree burn wound healing.</t>
  </si>
  <si>
    <t>Indonesian Journal of Pharmacy</t>
  </si>
  <si>
    <t>653</t>
  </si>
  <si>
    <t>665</t>
  </si>
  <si>
    <t>10.22146/ijp.3461</t>
  </si>
  <si>
    <t>Burns require a recovery process that multiplies complex biological mechanisms including anti-inflammatory, proliferation, and tissue remodeling. X. granatum J. Koenig (XG) is a popular plant that grows in the mangrove forest Bali. Traditionally, this plant is used mainly for antiinflammation, dysentery, fever, skin emolliating, wound treatment, and abdominal problems. Flavonoids, tannins and saponins are active metabolites of this plant, which has antiinflammation, antioxidant and wound healing effects. IL-1beta, IL-6 and TNF-alpha are pro-inflammatory cytokines that are involved in the pathophysiology of wound. Fibroblasts support granulation tissue synthesis, ECM production, and collagen synthesis. Re-epithelialization plays a role in wound closure. The aim of present study to evaluate the effectiveness XG extract seeds cream on burn wound grade IIA in mice. XG extract was evaluated for antioxidant activity by DPPH method. The two cream formulations were measured for physical quality for organoleptic, homogeneity, and pH. The wound healing activity of XG creams were evaluated from wound contraction, histological analysis of fibroblast proliferation and re-epithelialization in mice. Statistical analyses were performed with post hoc Tukey using analysis of variance and were analyzed using Statistical Package for the Social Science (SPSS, Version 26). XG extract has a very strong antioxidant activity with an IC50 value of 7,939 ppm. The preparation of XG extract cream has homogeneous and pH of 6,5. The treatment with XGC 15% promote significant increases in wound contraction rate, proliferation of fibroblasts and re-epithelialization with SSD (p &gt; 0,05). These results suggest that XGC 15% is effective in wound healing in mice by increasing wound contraction rate, proliferation of fibroblasts and re-epithelialization.</t>
  </si>
  <si>
    <t>Harvey, A. E.; Jurgensen, M. F.; Larsen, M. J.; Schlieter, J. A.</t>
  </si>
  <si>
    <t>Distribution of active ectomycorrhizal short roots in forest soils of the inland northwest: effects of site and disturbance.</t>
  </si>
  <si>
    <t>Research Paper, Intermountain Research Station, USDA Forest Service</t>
  </si>
  <si>
    <t>8pp.</t>
  </si>
  <si>
    <t>The quantity and distribution of soil organic components and of active ectomycorrhizal root tips were determined in cores taken from 8 undisturbed stands in a wide range of mature ecosystems in W. Montana, N. Idaho, NW Wyoming and E. Washington and from a range of disturbance types in 6 stands within a local area in Montana. In general, the old-growth stands had more ectomycorrhizal roots than the second-growth stands, but in both stand types approx. 75% of ectomycorrhizal activities occurred in shallow organic horizons representing the first 4 cm of soil depth. On 2 sites where this did not occur, the forest floor was thin and root tips were most numerous in the surface mineral layer that was relatively rich in organic matter. It is concluded that management methods likely to affect soil surfaces, especially mechanical site preparation or broadcast burning, should be applied with caution in order to minimize the loss or disruption of surface soil horizons.</t>
  </si>
  <si>
    <t>Wardani, I. Gusti Agung Ayu Kusuma; Sanjaya, Dwi Arymbhi; Suena, Ni Made Dharma Shantini; Antari, Ni Putu Udayana</t>
  </si>
  <si>
    <t>The Effect of &lt;i&gt;Xylocarpus granatum&lt;/i&gt; J. Koenig Seed Extract Cream on the Number of Fibroblast and Re-Epithelialization in IIA Degree Burn Wound Healing</t>
  </si>
  <si>
    <t>INDONESIAN JOURNAL OF PHARMACY</t>
  </si>
  <si>
    <t>654</t>
  </si>
  <si>
    <t>Xylocarpus granatum J. Koenig (XG) is a popular plant that grows in the mangrove forest of Bali. Flavonoids, saponins, phenolics and tannins are active metabolites of this plant, which have antiinflammation, antioxidant and wound healing effects. IL-1 beta, IL-6 and TNF-alpha are pro-inflammatory cytokines involved in the pathophysiology of the wound. Flavonoids trigger increased wound contraction and reduced the period of re-epithelialization. Re-epithelialization plays a role in wound closure. Saponins increase fibroblast migration and proliferation as indicated by the amount of high cell density. Fibroblasts support granulation tissue synthesis, ECM production, and collagen synthesis, thereby accelerating wound healing. Tannins have antibacterial activity and increase the angiogenesis. Phenolics can stimulate wound contraction, migration of fibroblasts, and re-epithelialization processes in wound healing. The present study aims to evaluate the effectiveness of XG extract seeds cream on burn wound grade IIA in mice. XG extract was evaluated for antioxidant activity using the DPPH method. The wound healing activity of XG creams (10% and 15% concentration) were evaluated from wound contraction, histological analysis of fibroblast proliferation and re-epithelialization in mice. Statistical analyses were performed with post hoc Tukey using analysis of variance and were analyzed using SPSS, Version 26. XG extract has a very strong antioxidant activity (IC50=7.939 ppm). The treatment with XGC 15% promotes significant increases in wound contraction rate (74.91%), proliferation of fibroblasts (p value = 0.521) and re-epithelialization (p value = 0.521) with SSD. These results suggest that XGC 15% is effective in wound healing in mice by increasing the wound contraction rate, proliferation of fibroblasts and re-epithelialization.</t>
  </si>
  <si>
    <t>Haskins, Kristin Elizabeth</t>
  </si>
  <si>
    <t>Mycorrhizal responses to host plant competition, facilitation and disturbance in pinyon -juniper woodlands</t>
  </si>
  <si>
    <t>Treseder, KK; Allen, MF</t>
  </si>
  <si>
    <t>Mycorrhizal fungi have a potential role in soil carbon storage under elevated CO&lt;sub&gt;2&lt;/sub&gt; and nitrogen deposition</t>
  </si>
  <si>
    <t>200</t>
  </si>
  <si>
    <t>10.1046/j.1469-8137.2000.00690.x</t>
  </si>
  <si>
    <t>In this review, we discuss the potential for mycorrhizal fungi to act as a source or sink for carbon (C) under elevated CO2 and nitrogen deposition. Mycorrhizal tissue has been estimated to comprise a significant fraction of soil organic matter and below-ground biomass in a range of systems. The current body of literature indicates that in many systems exposed to elevated CO2, mycorrhizal fungi might sequester increased amounts of C in living, dead and residual hyphal biomass in the soil. Through this process, the fungi might serve as a negative feedback on the rise in atmospheric CO2 levels caused by fossil fuel burning and deforestation. By contrast, a few preliminary studies suggest that N deposition might increase turnover rates of fungal tissue and negate CO2 effects on hyphal biomass. If these latter responses are consistent among ecosystems, C storage in hyphae might decline in habitats surrounding agricultural and urban areas. When N additions occur without CO2 enrichment, effects on mycorrhizal growth are inconsistent. We note that analyses of hyphal decomposition under elevated CO2 and N additions are extremely sparse but are critical in our understanding of the impact of global change on the cycling of mycorrhizal C. Finally, shifts in the community composition of arbuscular and ectomycorrhizal fungi with increasing CO2 or N availability are frequently documented. Since mycorrhizal groups vary in growth rate and tissue quality, these changes in species assemblages could produce unforeseeable impacts on the productivity, survivorship, or decomposition of mycorrhizal biomass.</t>
  </si>
  <si>
    <t>Jo, Insu; Fei, Songlin; Oswalt, Christopher M.; Domke, Grant M.; Phillips, Richard P.</t>
  </si>
  <si>
    <t>Shifts in dominant tree mycorrhizal associations in response to anthropogenic impacts</t>
  </si>
  <si>
    <t>SCIENCE ADVANCES</t>
  </si>
  <si>
    <t>10.1126/sciadv.aav6358</t>
  </si>
  <si>
    <t>Plant-fungal symbioses play critical roles in vegetation dynamics and nutrient cycling, modulating the impacts of global changes on ecosystem functioning. Here, we used forest inventory data consisting of more than 3 million trees to develop a spatially resolved "mycorrhizal tree map" of the contiguous United States. We show that abundances of the two dominant mycorrhizal tree groups-arbuscular mycorrhizal (AM) and ectomycorrhizal trees-are associated primarily with climate. Further, we show that anthropogenic influences, primarily nitrogen (N) deposition and fire suppression, in concert with climate change, have increased AM tree dominance during the past three decades in the eastern United States. Given that most AM-dominated forests in this region are underlain by soils with high N availability, our results suggest that the increasing abundance of AM trees has the potential to induce nutrient acceleration, with critical consequences for forest productivity, ecosystem carbon and nutrient retention, and feedbacks to climate change.</t>
  </si>
  <si>
    <t>HOGBERG, P</t>
  </si>
  <si>
    <t>MYCORRHIZAL ASSOCIATIONS IN SOME WOODLAND AND FOREST TREES AND SHRUBS IN TANZANIA</t>
  </si>
  <si>
    <t>415</t>
  </si>
  <si>
    <t>10.1111/j.1469-8137.1982.tb03398.x</t>
  </si>
  <si>
    <t>The mycorrhizal associations in 47 indigenous Tanzanian trees and shrubs, mainly from less humid areas, were studied. Forty species were endomycorrhizal. One, Uapaca kirkiana Mull. Arg. (Euphorbiaceae) was ectendomycorrhizal while size, 4 Brachystegia spp., Julbernardia globiflora (Benth.) Troup. (Caesalpiniaceae) and Monotes elegans Gilg. (Dipterocarpaceae), were ectomycorrhizal. The results demonstrated a dominance of endomycorrhizal species, which is typical for the tropics and is further reinforced by taxonomic considerations. However, in the Miombo (Brachystegia-Julbernardia) woodlands, a major ecosystem in East and South Central Africa, ectomycorrhizal trees predominate in volume. In 3 other ecosystems studied, a Combretum woodland, a groundwater forest and a semi-evergreen forest, ectomycorrhizal species were absent or almost absent. Nodulated leguminous species appeared to be more common in the fire-induced woodlands than in the closed forests.</t>
  </si>
  <si>
    <t>Al Aanbagi, RajaaAbdulrazzaq Abbas</t>
  </si>
  <si>
    <t>A Comparative Taxonomic and Diversity Study of Litter-Associated Fungi in Northwest Arkansas Forests</t>
  </si>
  <si>
    <t>Claridge, AW; Barry, SC</t>
  </si>
  <si>
    <t>Factors influencing the distribution of medium-sized ground-dwelling mammals in southeastern mainland Australia</t>
  </si>
  <si>
    <t>676</t>
  </si>
  <si>
    <t>688</t>
  </si>
  <si>
    <t>10.1046/j.1442-9993.2000.01068.x</t>
  </si>
  <si>
    <t>The forage diggings of medium-sized ground-dwelling mammals (bandicoots and potoroos) were recorded over two seasons across 136 forested study sites, representing a stratified sample of the climatic, geological and topographic features of far south-eastern mainland Australia. Diggings, presumably left by bandicoots, were recorded at a total of 42 sites, and those of potoroos at 27 sites. Statistical models were developed for the occurrence of these diggings, based on environmental attributes measured for each site. At a landscape scale, mean minimum temperature of the coldest month was an important explanatory variable for both groups of animals, with likelihood of their occurrence increasing with increasing temperature during that period. More locally, soil fertility and time since last fire also influenced the occurrence of bandicoot and potoroo diggings, while density of ground cover was additionally important in explaining the occurrence of bandicoot diggings. Bandicoot and potoroo diggings were more likely to occur with decreasing soil fertility and increasing time since fire, while occurrence of bandicoot diggings also increased with increasing density of ground cover. The possible management implications of our findings for conservation of medium-sized ground-dwelling mammals in multiple-use forests are discussed.</t>
  </si>
  <si>
    <t>Godoy, Roberto; Acuna, Luis; Silva-Flores, Patricia; Aguilera, Paula; Marin, Cesar</t>
  </si>
  <si>
    <t>Native Arbuscular Mycorrhizal Fungi Improved Araucaria araucana Growth over Commercial Inoculum Under Greenhouse and Field Conditions</t>
  </si>
  <si>
    <t>JOURNAL OF SOIL SCIENCE AND PLANT NUTRITION</t>
  </si>
  <si>
    <t>6459</t>
  </si>
  <si>
    <t>6468</t>
  </si>
  <si>
    <t>10.1007/s42729-023-01501-2</t>
  </si>
  <si>
    <t>Araucaria araucana forests in the Coastal Mountain range of Chile are highly endangered due to their population isolation, wildfires, and land-use change. Mycorrhizas constitute a potential restoration tool for this species. Firstly, in a greenhouse we tested A. araucana growth responses to single/mixed commercial and native arbuscular mycorrhizal fungi (AMF) inoculum. Secondly, in plantations under contrasting tree covers we compared the growth responses of greenhouse-grown A. araucana seedlings with and without native AMF inoculum. Four treatments were established under greenhouse conditions (25 A. araucana seedlings per treatment): T0, non-mycorrhizal control; T1, single AMF species commercial inoculum; T2, four AMF species commercial inoculum; and T3, 17 AMF species native inoculum. Seedlings were grown for 1.5 years, after which, seven growth traits and the Ritchie plant quality index were recorded. After this, in Nahuelbuta National Park (native inoculum and seeds' site), a total of 80 seedlings were sown for 13 months: 40 from T0 and 40 from T3, in two contrasting plots regarding their tree mycorrhizal dominance (ectomycorrhizal vs. arbuscular mycorrhizal). Under greenhouse conditions, native AMF inoculum, over one and four species' commercial inoculum, increased A. araucana seedlings' fresh and dry weight of shoots and roots. In situ, the sympatric combination of native seedlings and AMF inoculum growing under original soil conditions, resulted in higher plant growth and quality. Functional complementarity among AMF species probably explains our greenhouse results, as inoculum complexity is a good predictor of plant performance. Local adaptation of AMF and seedlings to soil biotic/abiotic conditions might explain our plantation results.</t>
  </si>
  <si>
    <t>MOLECULAR ECOLOGICAL INVESTIGATIONS OF FUNGI IN KEY NATURAL AND HUMAN CREATED ENVIRONMENTS</t>
  </si>
  <si>
    <t>The work outlined in this proposal is focused on obtaining a better understanding of fungal behavior, growth, and ecology in key environments. Part of the work targets the ectomycorrhizal fungi; these are mutualistic fungi that are essential for the survival and growth of forest trees. The work on these fungi will employ modern DNA sequencing methods to explore their population and community structure and will look for traits that have recently experienced strong natural selection. Part of this work involves characterizing the fungi involved in post-fire recovery of forests, and the results from this work may help us understand and improve the regeneration of forests following large catastrophic fires. Fungi also grow in our offices and homes and can have adverse effects on our health in extreme cases. Work outlined in this proposal will investigate the ways that fungi are able to grow in normal,  healthy  buildings, and this work will contribute to our understanding of the indoor enviroment. Finally fungi are becoming important in production of biofuels where their enzyme activity is used to breakdown plant material and convert it through fermentation into liquid fuels. We propose to investigate the genetics of yeasts that have the ability to grow at high temperature in order to understand how they tolerate these conditions and ferment. The results of this later work will help us engineer these fungi for improve efficiency in biofuels production.</t>
  </si>
  <si>
    <t>Stefani, Franck O. P.; Sokolski, Serge; Wurtz, Trish L.; Piche, Yves; Hamelin, Richard C.; Fortin, J. Andre; Berube, Jean A.</t>
  </si>
  <si>
    <t>&lt;i&gt;Morchella tomentosa&lt;/i&gt;: a unique belowground structure and a new clade of morels</t>
  </si>
  <si>
    <t>1082</t>
  </si>
  <si>
    <t>1088</t>
  </si>
  <si>
    <t>10.3852/09-294</t>
  </si>
  <si>
    <t>Mechanisms involved in post-fire morel fructification remain unclear. A new undescribed belowground vegetative structure of Morchella tomentosa in a burned boreal forest was investigated north of Fairbanks, Alaska. The name "radiscisclerotium" is proposed to define this peculiar and elaborate belowground vegetative structure of M. tomentosa. Bayesian and maximum parsimony analyses based on ITS rRNA regions and nLSU gene strongly supported a new clade composed of M. tomentosa within the genus Morchella.</t>
  </si>
  <si>
    <t>Claridge, Andrew W.; Trappe, James M.; Hansen, Karen</t>
  </si>
  <si>
    <t>Do fungi have a role as soil stabilizers and remediators after forest fire?</t>
  </si>
  <si>
    <t>1063</t>
  </si>
  <si>
    <t>10.1016/j.foreco.2008.11.011</t>
  </si>
  <si>
    <t>The functional roles of fungi in recovery of forest ecosystems after fire remain poorly documented. We observed macrofungi soon after fire at two widely separated sites, one in the Pacific Northwest United States and the other in southeastern mainland Australia. The range of species on-site was compared against macrofungi reported after the volcanic eruption at Mount St. Helens, also in the Pacific Northwest. Each of the three sites shared species, particularly representatives of the genus Anthracobia. Soon after disturbance, we noted extensive mycelial mats and masses of fruit-bodies of this genus, particularly at heavily impacted microsites. The mycelial mats appeared to play an important functional role on-site, possibly aggregating soil particles in otherwise highly erodable landscapes. We hypothesise that fungi such as Anthrocobia are pivotal species in early system recovery after disturbance, helping minimize the movement of soil in the absence of plant roots. As plant root systems recover, the importance of these fungi in soil stabilization may diminish. Other functional roles of early postfire fungi might include nutrient acquisition, leading to the reestablishment of vegetation. These potential roles need to be experimentally tested and relevant findings incorporated into programs aimed at restoring forest ecosystems after disturbance. (C) 2008 Elsevier B.V. All rights reserved.</t>
  </si>
  <si>
    <t>Raudabaugh, Daniel B.; Matheny, P. Brandon; Hughes, Karen W.; Iturriaga, Teresa; Sargent, Malcolm; Miller, Andrew N.</t>
  </si>
  <si>
    <t>Where are they hiding? Testing the body snatchers hypothesis in pyrophilous fungi</t>
  </si>
  <si>
    <t>10.1016/j.funeco.2019.100870</t>
  </si>
  <si>
    <t>Pyrophilous fungi produce sporocarps after a fire but little is known about their ecology prior to or after a fire event. Recently, the body snatchers hypothesis was proposed that suggests some post-fire fungi form endophytic and/or endolichenic relationships with plants and lichens. To test the body snatchers hypothesis, bryophyte, lichen, club moss, and soil samples were collected from unburned and mixed-intensity burned areas 1-2y after a 2016 wildfire in the Great Smoky Mountains National Park, and from unburned areas in four states outside the park. Samples were examined for the presence of pyrophilous fungi occurring as endophytes or in lichens using culture-dependent and culture-independent techniques. Culture-dependent methods isolated Pholiota highlandensis, a known pyrophilous fungus, from five bryophyte samples. Culture-independent methods identified 22 pyrophilous taxa from bryophyte, club moss, lichen, and soil samples across a range of geographical localities. The 'body snatchers' hypothesis is supported since many bryophyte, lichen, and club moss samples contained pyrophilous taxa suggesting that these fungi occur as endophytes and/or endolichenic fungi until a fire event triggers them to produce sporocarps. (C) 2019 Elsevier Ltd and British Mycological Society. All rights reserved.</t>
  </si>
  <si>
    <t>Castano, Carles; Hernandez-Rodriguez, Maria; Geml, Jozsef; Eberhart, Joyce; Olaizola, Jaime; Andres Oria-de-Rueda, Juan; Martin-Pinto, Pablo</t>
  </si>
  <si>
    <t>Resistance of the soil fungal communities to medium-intensity fire prevention treatments in a Mediterranean scrubland</t>
  </si>
  <si>
    <t>10.1016/j.foreco.2020.118217</t>
  </si>
  <si>
    <t>Cistus ladanifer scrublands are widely distributed in the Mediterranean basin and represent an early stage of secondary succession following major disturbances (e.g., fire). This vegetation type often establishes on disturbed and poor soils, thereby improving soil stability in stress-prone environments. Fire prevention treatments in these scrublands are often recommended to decrease the risk of wildfires, but the effect of these treatments on associated soil fungi is not known. We studied the effect of distinct fire prevention treatments on soil fungal communities associated with C. ladanifer scrublands soils. We used Illumina MiSeq sequencing of the ITS1 region on soil samples taken after distinct fire prevention treatments that were performed in 27 plots belonging to a long-term experiment. Recent fire prevention treatments did not affect overall fungal community composition nor fungal diversity; however, when analyzing the community according to the functional guilds, the relative abundance of ectomycorrhizal species was significantly lower in burned and 100% cleared plots, compared with control and 50% cleared plots. In contrast, site history affected fungal community composition and richness to a greater extent than the fire prevention treatments. Our results show a higher susceptibility of ectomycorrhizal species to recent high-intensity fire prevention treatments, whereas fire prevention treatments of medium intensity may reduce the risk of wildfire and maintain the soil fungal community.</t>
  </si>
  <si>
    <t>Laurance, WF</t>
  </si>
  <si>
    <t>A distributional survey and habitat model for the endangered northern Bettong Bettongia tropica in tropical Queensland</t>
  </si>
  <si>
    <t>60</t>
  </si>
  <si>
    <t>10.1016/S0006-3207(96)00164-4</t>
  </si>
  <si>
    <t>The northern bettong Bettongia tropica is an endangered rat-kangaroo that occurs only in certain dry and mesic forests in tropical Queensland, Australia. In 1994 and 1995 I conducted a live-trapping survey at 152 sires throughout its potential geographic range. Detailed floristic, physiognomic, topographic and geology data from each site were used to develop a predictive model of bettong habitat requirements, using generalized linear modeling. Data from 62 spotlighting censuses and opportunistic observations were also used to assess potential threats to northern bettongs posed by introduced foxes Vulpes vulpes, while trapping and habitat data were employed to evaluate possible effects of rooting-damage from feral pigs and competition from rufous bettongs Aepyprymnus rufescens on northern bettong populations. The northern bettong was detected in only one area, the Lamb Range, where it was present at nearly half (33/70) of the sites surveyed. Sparse populations recorded previously at several other localities in north Queensland may have declined or disappeared. A multiple Poisson regression model indicated that northern bettongs were strongly associated with certain types of wet and mesic sclerophyll forests and woodlands, while rainforest and rainforest-invaded wet sclerophyll forests were avoided. Northern bettongs occurred only on infertile metamorphic and granitic substrates, and were never detected on richer basaltic or alluvial soils. This probably occurs because fruit-bodies of ectomycorrhizal fungi, which are a key food resource of northern bettongs, are most abundant on infertile soils. Foxes were never detected during the survey, and are unlikely to threaten northern bettong populations at present. Circumstantial evidence suggests that interspecific competition from rufous bettongs is also of minimal importance. Rooting damage by feral pigs, however, may be more significant; northern bettongs were rarely detected at sites with heavy pig damage, and this may be because pigs are also feeding on fungal fruit-bodies. At present, the greatest threat to northern bettongs is probably encroaching land development, especially in the crucial Lamb Range area. Northern Queensland is experiencing rapid population growth, and local shires are attempting to shunt residential development onto areas with infertile soils to avoid the lass of productive agricultural land. While normally a laudable practice, this is precisely the wrong policy in this specific region. A re-evaluation of the strategic development plans of local shires is urgently needed to protect remaining habitats of the northern bettong. Habitat management, especially regular burning, is also required in key bettong habitats. Burning will prevent further invasion of wet sclerophyll forests by rainforest vegetation, which renders the habitat unsuitable for bettongs, and also is likely to promote the local production of fungal fruit-bodies upon which the northern bettong is highly dependent. (C) 1997 Elsevier Science Ltd.</t>
  </si>
  <si>
    <t>Munyanziza, Esron</t>
  </si>
  <si>
    <t>Miombo Trees and Mycorrhizae : Ecological Strategies, A Basis for Afforestation</t>
  </si>
  <si>
    <t>Greeshma, A. A.; Sridhar, K. R.; Pavithra, M.</t>
  </si>
  <si>
    <t>MACROFUNGI IN THE LATERITIC SCRUB JUNGLES OF SOUTHWESTERN INDIA</t>
  </si>
  <si>
    <t>Journal of Threatened Taxa</t>
  </si>
  <si>
    <t>7812</t>
  </si>
  <si>
    <t>7820</t>
  </si>
  <si>
    <t>A pilot study on macrofungi in scrub jungles (with and without fire-impact) in lateritic region of southwestern coast of India was carried out. Out of 11 species in 10 genera recovered, six and five species were confined to scrub jungle and fire-impacted scrub jungle, respectively. An ectomycorrhizal Amanita sp. was the most frequent in scrub jungle associated with exotic (Acacia auriculiformis and A. mangium) and plantation (Anacardium occidentale) trees. Based on traditional knowledge, it is a highly edible and nutritional delicacy in the coastal regions. Astraeus odoratus was another common ectomycorrhizal fungus in native trees Hopea ponga, which was recovered from the fire-impacted scrub jungle and is possibly edible. Edible termite mound mushroom Termitomyces striatus was also common in the fire-impacted scrub jungle. Chlorophyllum molybdites was the most frequent mushroom in the fire-impacted scrub jungle.</t>
  </si>
  <si>
    <t>Lin, Qiang; Dini-Andreote, Francisco; Li, Lingjuan; Umari, Ruma; Novotny, Vojtech; Kukla, Jaroslav; Hedenec, Petr; Frouz, Jan</t>
  </si>
  <si>
    <t>Soil microbial interconnections along ecological restoration gradients of lowland forests after slash-and-burn agriculture</t>
  </si>
  <si>
    <t>10.1093/femsec/fiab063</t>
  </si>
  <si>
    <t>Microbial interconnections in soil are pivotal to ecosystem services and restoration. However, little is known about how soil microbial interconnections respond to slash-and-bum agriculture and to the subsequent ecosystem restoration after the practice. Here, we used amplicon sequencing and co-occurrence network analyses to explore the interconnections within soil bacterial and fungal communities in response to slash-and-bum practice and a spontaneous restoration (spanning ca. 60 years) of tropical forests after the practice, in Papua New Guinea. We found significantly higher complexity and greater variations in fungal networks than in those of bacteria, despite no significant changes observed in bacterial or fungal networks across successional stages. Within most successional stages, bacterial core co-occurrences (co-occurrences consistently present across all sub-networks in a stage) were more frequent than those of fungi, indicating higher stability of interconnections between bacteria along succession. The stable interconnections occurred frequently between bacterial taxa (i.e. Sporosarcina, Acidimiaobiale and Bacillaceae) and between ectomycorrhizal fungi (Boletaceae and Russuia ochroleuca), implying important ecological roles of these taxa in the ecosystem restoration. Collectively, our results provide new insight into microbial interconnections in response to slash-and-bum agriculture and the subsequent ecosystem restoration, thus promoting a better understanding of microbial roles in ecosystem services and restoration.</t>
  </si>
  <si>
    <t>HOGBERG, P; PIEARCE, GD</t>
  </si>
  <si>
    <t>MYCORRHIZAS IN ZAMBIAN TREES IN RELATION TO HOST TAXONOMY, VEGETATION TYPE AND SUCCESSIONAL PATTERNS</t>
  </si>
  <si>
    <t>775</t>
  </si>
  <si>
    <t>785</t>
  </si>
  <si>
    <t>10.2307/2260397</t>
  </si>
  <si>
    <t>(1) Thirteen species of common Zambian trees were found to be ectomycorrhizal and ten endomycorrhizal. (2) Observations of ectomycorrhizas in Brachystegia, Julbernardia (both Caesalpiniaceae), Monotes (Dipterocarpaceae) and Uapaca (Euphorbiaceae) confirmed earlier reports, while ectomycorrhizas in Faurea (Proteaceae), Isoberlinia (Caesalpiniaceae), Marquesia (Dipterocarpaceae) and Pericopsis (Papilionaceae) are reported for the first time. (3) Thee genera constituted about 70% of the basal area in a representative miombo (Brachystegia-Isoberlinia-Julbernardia) woodland stand.sbd.a high proportion for a diverse tropical ecosystem. (4) Associated species in the miombo were endomycorrhizal as were principal species of the Zambian Kalahari sand vegetation, namely species of Baikiaea, Erythrophleum, Guibourtia (all Caesalpiniaceae) and Pterocarpus (Papilionaceae). Colophospermum mopane (Caesalpiniaceae), a species often forming pure stands, was also endomycorrhizal. (5) The ecological groups of species suggested by Lawton (1978) as typical of the successional stages from open fire-degraded chipya woodland to closed dry evergreen mateshi forest via miombo woodland, show differences in the occurrence of mycorrhizas. In the chipya group, endomycorrhizal tree species predominate and ectomycorrhizal species are sparse. Ectomycorrhizal Uapaca spp. invade chipya woodland, and later provide cover for the regeneration of ectomycorrhizal genera forming the miombo group.sbd.Brachystegia, Isoberlinia, Julbernardia and Monotes.sbd.and for ectomycorrhizal Marquesia of the mateshi group. In the mateshi forest group, there is a mixture of ecto- and endomycorrhizal tree species.</t>
  </si>
  <si>
    <t>Diversity of Nitrogen-Cycling Microorganisms at the H.J. Andrews LTER</t>
  </si>
  <si>
    <t>This Microbial Observatory is dedicated to the study of bacteria and fungi central to biogeochemical processes of coniferous forest ecosystems associated with the H.J. Andrews Experimental Forest, located in the Cascade Mountains of Central Oregon. The research focuses on the functional diversity of microorganisms that perform nitrogen cycle processes because N is the most limiting nutrient to tree growth in this ecosystem.  Concentration is primarily on the processes that produce and consume NO3 - because of their pivotal role in supplying N for plant growth and because of the environmental importance of N losses to ground and surface waters as NO3 - or to the atmosphere as N2 O.  The functional diversity of specific enzymes that produce and consume NO3 - in soils located at specific sites at the Andrews where aspects of N-cycling have been shown to change in response to the influence of man (timber harvest, burning) or to natural successional events (actinorhizal to coniferous species transitions) will be examined.  The following objectives are being pursued: (1) To determine how the functional diversity of key N-cycling microorganisms changes during secondary succession following the clear cutting of old-growth coniferous forest; (2) To determine the influence of grassland meadow and coniferous vegetation on the functional diversity of key N- cycling microorganisms; (3) To determine how naturally high inputs of N from actinorhizal N2 -fixing symbioses affect the functional diversity of key N cycling microorganisms; and (4) To examine how the presence of ectomycorrhizal mats affects the functional diversity of key N cycling microorganisms.  The diversity of key N cycling microorganisms is being determined using methods based on the polymerase chain reaction (PCR).  PCR primers will be selected that are  specific to genes that code for selected N cycling enzymes, concentrating on those processes that produce or consume NO3 -, such as NH3 monooxygenase, assimilatory NO3 - reductase, and dissimilatory NO2 - reductase. The diversity of the PCR products will be determined by separating them by size using gel electrophoresis either with terminal restriction fragment length polymorphism (TRFLP-PCR) or without (length heterogeneity or LH-PCR) digestion with restriction enzymes. These measures of functional diversity will be related to measurements of their respective process rates to examine whether there is a link between the types of functional enzymes and their functioning in the&lt;br/&gt;ecosystem.  If meaningful relationships among the process rates and the diversity of the enzyme systems that carry out these functions are found,  attempts will be made to sequence these genes, isolate the microorganisms representative of these functional groups, and characterize them by 16S rDNA sequencing.  Any isolates obtained will be maintained locally and made available to others by request. Sequences generated by this research will be deposited in GenBank.  Historically, creative cutting-edge research and educational activities conducted at the Andrews have played a major role in increasing  understanding of how temperate coniferous forest ecosystems function. Furthermore, these activities have been used to drive the&lt;br/&gt;development and acceptance of more sophisticated land-use policies for managing this productive ecosystem. This project will introduce molecular ecology to this ecosystem and use it to further an understanding of how disturbance and plant succession influence the microbial communities that drive the biogeochemical processes.&lt;br/&gt;</t>
  </si>
  <si>
    <t>Mori, Shigeta; Marjenah</t>
  </si>
  <si>
    <t>A convenient method for inoculating dipterocarp seedlings with the ectomycorrhizal fungus, Scleroderma columnare</t>
  </si>
  <si>
    <t>Ecological Studies; Rainforest ecosystems of East Kalimantan: El Nino, drought, fire and human impacts</t>
  </si>
  <si>
    <t>Ectomycorrhizal fungi on degraded land in Asia : key players in successful reforestation</t>
  </si>
  <si>
    <t>Ectomycorrhizal fungi symbiotically colonize tree roots and facilitate hosts' nutrient acquisition, playing critical roles in growth and establishment of host trees. In fire-affected dipterocarp forests in Indonesia and saline-alkaline deserts in northeastern China, we have characterized ectomycorrhizal fungal communities during early stages of natural tree establishment using molecular identification techniques.</t>
  </si>
  <si>
    <t>Pavithra, M.; Greeshma, A. A.; Karun, N. C.; Sridhar, K. R.</t>
  </si>
  <si>
    <t>Observations on the &lt;i&gt;Astraeus&lt;/i&gt; spp. of Southwestern India</t>
  </si>
  <si>
    <t>MYCOSPHERE</t>
  </si>
  <si>
    <t>421</t>
  </si>
  <si>
    <t>432</t>
  </si>
  <si>
    <t>10.5943/mycosphere/6/4/4</t>
  </si>
  <si>
    <t>Astraeus is a widespread genus of gasteromycete in tropical, sub-tropical and temperate regions. During mycological survey, two distinct species of Astraeus were recovered from the Southwestern India. Astraeus hygrometricus was frequent in forests of foothill region of the Western Ghats. In fire affected scrub jungles of the west coast, Astraeus odoratus was common and represents second report from the Indian Subcontinent. Astraeus spp. recovered were ectomycorrhizal in a variety of native and exotic tree species growing in sandy loam/gravel/pebble-rich lateritic soils. Tender A. hygrometricus occurring in forests of foothill region of the Western Ghats serve as traditional nutritional delicacy and sold in local markets during rainy season.</t>
  </si>
  <si>
    <t>Irino, KO; Kang, YM; Tanaka, K; Hattori, D; Ishizuka, S; Ninomiya, I; Iwasaki, K; Kendawang, JJ; Sakurai, K</t>
  </si>
  <si>
    <t>Performance of pot-grown seedlings of the Dipterocarp &lt;i&gt;Dryobalanops lanceolata&lt;/i&gt; with controlled-release fertilizer after transplantation to the shifting cultivation land in Sarawak, Malaysia</t>
  </si>
  <si>
    <t>SOIL SCIENCE AND PLANT NUTRITION</t>
  </si>
  <si>
    <t>377</t>
  </si>
  <si>
    <t>10.1111/j.1747-0765.2005.tb00042.x</t>
  </si>
  <si>
    <t>In the present study, the focus was placed on the survival, growth, nutrient status, and ectomycorrhizal formation of pot-grown dipterocarps treated with a controlled-release fertilizer or a chemical fertilizer when transplanted to abandoned shifting cultivation land. Either a chemical fertilizer (CF) or a 700-day controlled-release fertilizer (CRF) had been applied to Dryobalanops lanceolata seedlings at the rates of 0, 2, 5, and 10 g fertilizers per pot in the nursery of the Forest Research Station Niah (FRSN), Miri, Sarawak, Malaysia. The seedlings were cultivated for 18 months in the nursery, and then transplanted to abandoned shifting cultivation land around the FRSN. At 16 months after transplantation, the plants in the CRF treatments showed a good performance in terms of growth and survival ability, because of the sufficient amounts of nutrients accumulated in plants with a sound shoot form and high photosynthetic activity at the nursery stage. On the other hand, many saplings in the CF treatments at the rates of 5 g and 10 g died in the field due to their spindly shoot form and low photosynthetic activity in the nursery, even though the saplings that survived showed on adequate growth. Therefore, the application of slow-release type CRF in the nursery was considered to be feasible and suitable for successful establishment of a dipterocarp plantation in the field. Ectomycorrhizal fungus present in the nursery would sustain and be correlated with P uptake of the saplings after transplantation.</t>
  </si>
  <si>
    <t>Bougher, NL; Lebel, T</t>
  </si>
  <si>
    <t>Sequestrate (truffle-like) fungi of Australia and New Zealand</t>
  </si>
  <si>
    <t>AUSTRALIAN SYSTEMATIC BOTANY</t>
  </si>
  <si>
    <t>439</t>
  </si>
  <si>
    <t>10.1071/SB00002</t>
  </si>
  <si>
    <t>Sequestrate fungi are a polyphyletic, diverse group of macrofungi with truffle-like, underground (hypogeous) or emergent fruit bodies, which are well represented in Australia and New Zealand. The first species in the region were described in 1844, but sequestrate fungi have been poorly documented until recent times. Regional diversity of sequestrate fungi is high in comparison to other parts of the world: for ascomycetes and basidiomycetes 83 genera and 294 species are currently known in Australia and 32 genera and 58 species in New Zealand. Only an estimated 12-23% of species are known for Australia and 25-30% for New Zealand. On that basis, between 1278-2450 species may occur in Australia and 193-232 in New Zealand. Centres of diversity for some groups of sequestrate fungi occur in the region, e.g. Russulaceae (five known genera, 68 species) and Cortinariaceae (eight genera, 33 species). Some other groups are less diverse than in the northern hemisphere, e.g. sequestrate Boletaceae (seven genera, 25 species). More than 35% of Australian sequestrate genera and 95% of species are endemic; for New Zealand about 45% of sequestrate genera and 80% of species are endemic. Australia and New Zealand share similarities in sequestrate fungi at generic level (11% of total) but do not share many of the same species (4% of total). Knowledge of biogeographical distributions is limited by incomplete taxonomic knowledge and insufficient collections. Some Gondwanan, Australasian and widespread/cosmopolitan patterns are evident. Some exotic sequestrate fungi have been recently introduced and some fungi indigenous to the region occur world-wide as exotics with eucalypt plantings. Within Australia and New Zealand, there is evidence that characteristic suites of fungi co-occur in different climatic and vegetation types. Mycorrhizas of Australian and New Zealand taxa have a range of morphological and physiological attributes relating to their effect on plants and broader roles in ecosystem nutrient cycling and health. Spores of sequestrate fungi are dispersed by a range of fauna. There are tripartite inter-dependent interactions between mycorrhizal plants, sequestrate fungi and native mammals and birds that use the fungi as food. Major environmental influences affecting the distribution, diversity and abundance of sequestrate fungi include climate, topography, soil, vegetation and animals. Imposed upon such influences are a range of natural and human-induced disturbance factors which alter habitat heterogeneity, e.g. fire, fragmentation and replacement of native vegetation and exotic organisms. Rare and endangered sequestrate fungi are likely to occur in Australia and New Zealand, but for most taxa there is insufficient data to determine rarity or commonality. In the face of poor knowledge, assemblage-based and habitat-based approaches are the most appropriate for conservation and management of sequestrate fungi. Habitat heterogeneity may be important for the fungi at scales ranging from different climatic and vegetation types to local topographic-related variations.</t>
  </si>
  <si>
    <t>Thomas, Paul; Buntgen, Ulf</t>
  </si>
  <si>
    <t>A risk assessment of Europe's black truffle sector under predicted climate change</t>
  </si>
  <si>
    <t>10.1016/j.scitotenv.2018.11.252</t>
  </si>
  <si>
    <t>The black truffle (Tubermelanosporum) is a highly revered culinary icon species that grows symbioticallywith its host trees across several parts of southern Europe. Where harvested under natural or cultivated conditions, truffles can have a significant socioeconomic impact and may even form a key component of cultural identity. Although some aspects of truffle biology and ecology have been elucidated recently, the role of abiotic, environmental and climatic factors in the production andmaturation of their fruitbodies is still largely unknown. Based on 36-year-long, continuous records of Mediterranean truffle yield, we demonstrate that decreased summer precipitation together with increased summer temperatures significantly reduce the fungus' subsequent winter harvest. Using state-of-the-art climate model projections, we predict that a significant decline of 78-100% in southern European truffle production is likely to occur between 2071 and 2100. The additional threats of forecasted heatwaves, forest fires, pest and disease outbreaks are discussed along with socioeconomic and ecological consequences of a warmer and dryer future climate. Our results emphasize the need for unravelling the direct and indirect effects of climate change on Europe's truffle sector and underline the importance of conservation initiatives at local to international scales. Crown Copyright (c) 2018 Published by Elsevier B. V. All rights reserved.</t>
  </si>
  <si>
    <t>Pulido-Chavez, M. Fabiola; Randolph, James W. J.; Zalman, Cassandra; Larios, Loralee; Homyak, Peter M. M.; Glassman, Sydney I. I.</t>
  </si>
  <si>
    <t>Rapid bacterial and fungal successional dynamics in first year after chaparral wildfire</t>
  </si>
  <si>
    <t>1685</t>
  </si>
  <si>
    <t>1707</t>
  </si>
  <si>
    <t>10.1111/mec.16835</t>
  </si>
  <si>
    <t>The rise in wildfire frequency and severity across the globe has increased interest in secondary succession. However, despite the role of soil microbial communities in controlling biogeochemical cycling and their role in the regeneration of post-fire vegetation, the lack of measurements immediately post-fire and at high temporal resolution has limited understanding of microbial secondary succession. To fill this knowledge gap, we sampled soils at 17, 25, 34, 67, 95, 131, 187, 286, and 376 days after a southern California wildfire in fire-adapted chaparral shrublands. We assessed bacterial and fungal biomass with qPCR of 16S and 18S and richness and composition with Illumina MiSeq sequencing of 16S and ITS2 amplicons. Fire severely reduced bacterial biomass by 47%, bacterial richness by 46%, fungal biomass by 86%, and fungal richness by 68%. The burned bacterial and fungal communities experienced rapid succession, with 5-6 compositional turnover periods. Analogous to plants, turnover was driven by "fire-loving" pyrophilous microbes, many of which have been previously found in forests worldwide and changed markedly in abundance over time. Fungal secondary succession was initiated by the Basidiomycete yeast Geminibasidium, which traded off against the filamentous Ascomycetes Pyronema, Aspergillus, and Penicillium. For bacteria, the Proteobacteria Massilia dominated all year, but the Firmicute Bacillus and Proteobacteria Noviherbaspirillum increased in abundance over time. Our high-resolution temporal sampling allowed us to capture post-fire microbial secondary successional dynamics and suggest that putative tradeoffs in thermotolerance, colonization, and competition among dominant pyrophilous microbes control microbial succession with possible implications for ecosystem function.</t>
  </si>
  <si>
    <t>Pinheiro, Alexandra Queirós</t>
  </si>
  <si>
    <t>The Effects of Fire on Soil Plant Dynamics in Forests, a Review</t>
  </si>
  <si>
    <t>Cowan, Jacob A.</t>
  </si>
  <si>
    <t>Interactions Among Plant Species Influence Microbial Communities in a Tropical and an Arid Ecosystem</t>
  </si>
  <si>
    <t>MILLER, SL; TORRES, P; MCCLEAN, TM</t>
  </si>
  <si>
    <t>PERSISTENCE OF BASIDIOSPORES AND SCLEROTIA OF ECTOMYCORRHIZAL FUNGI AND MORCHELLA IN SOIL</t>
  </si>
  <si>
    <t>10.2307/3760722</t>
  </si>
  <si>
    <t>Locations of epigeous basidiocarps of five common ectomycorrhizal fungi with substantial spore deposits beneath them and of two hypogeous species were marked in the fall. Subsamples of the litter and mineral soil at 0- to 3- and 3- to 6-cm depths were subsequently taken with a soil corer from locations marked for epigeous basidiocarps, and extracted in the fall and again following snowmelt with a procedure developed to enumerate propagules of ectomycorrhizal fungi from the soil. Spores of most epigeous species were plentiful in the litter layer in the fall but were much less abundant in the spring. Spores of Suillus brevipes, Suillus tomentosus and Lactarius scrobiculatus were still present at the 0- to 3-cm depth in the spring. No spores of any of the epigeous fungi were found at the 3- to 6-cm depth in the spring. Subsamples of mineral soil were also taken in the spring at locations marked for the hypogeous fungi. Spores of both Rhizopogon subcaerulescens and Rhizopogon rubescens were present in high numbers in the lowermost soil fractions after snowmelt. In a second study sclerotia of two species of fungi were extracted from soil in a burned area and a nearby unburned forest for 2 years following fire. Sclerotia of Cenococcum geophilum and a species of Morchella were more numerous in the burn than in the unburned forest in both years. Both basidiospores and sclerotia persisted in the soil for at least 2 years. Basidiospores of hypogeous fungi appear to persist in the soil for longer periods than those of epigeous fungi due to in situ dispersion deeper into the soil profile. Although maximum longevity of spores in the soil has not been determined, observed differential persistence of spores from epigeous and hypogeous ectomycorrhizal fungi could play a role in soil mycorrhiza-forming potential and population dynamics of ectomycorrhizal fungi.</t>
  </si>
  <si>
    <t>Tuininga, Amy R.; Dighton, John</t>
  </si>
  <si>
    <t>Temporal relationships between ectomycorrhizal diversity and functional responses to disturbance by fire</t>
  </si>
  <si>
    <t>285</t>
  </si>
  <si>
    <t>Abstract?</t>
  </si>
  <si>
    <t>Hawksworth, DL</t>
  </si>
  <si>
    <t>Mycological Research News</t>
  </si>
  <si>
    <t>513</t>
  </si>
  <si>
    <t>514</t>
  </si>
  <si>
    <t>10.1017/S0953756202216214</t>
  </si>
  <si>
    <t>Savard, Martine M.; Begin, Christian; Laganiere, Jerome; Martineau, Christine; Marion, Joelle; Stefani, Franck O. P.; Seguin, Armand; Smirnoff, Anna; Bergeron, Jade; Morency, Marie-Josee; Pare, David</t>
  </si>
  <si>
    <t>Anthropogenic N - A global issue examined at regional scale from soils, to fungi, roots and tree rings</t>
  </si>
  <si>
    <t>16TH INTERNATIONAL SYMPOSIUM ON WATER-ROCK INTERACTION (WRI-16) AND 13TH INTERNATIONAL SYMPOSIUM ON APPLIED ISOTOPE GEOCHEMISTRY (1ST IAGC INTERNATIONAL CONFERENCE)</t>
  </si>
  <si>
    <t>10.1051/e3sconf/20199813001</t>
  </si>
  <si>
    <t>Globally increasing anthropogenic airborne emissions of reactive nitrogen (N) generate several environmental issues that require investigating how N accumulation modifies the N cycle. Tree-ring delta N-15 series may help understanding past and current perturbations in the forest N cycle. Although several studies have addressed this issue, most of them were of local scale or based on short delta N-15 series. The development of this environmental indicator however would benefit from examining, at the regional scale, the relationships of long tree-ring series with soil N biogeochemical processes. Here we explore these links for tree stands of the oil-sands region in northern Alberta, and the coal-fired power plants region in central Alberta, Canada. We characterize the tree-ring delta N-15 trends, the N modification rates and bacterial and fungal communities of soil samples collected in the immediate surrounding of the characterized trees. The dataset suggests that specific soil pH, and N-cycling bacterial and fungal communities influence tree-ring delta N-15 responses to anthropogenic emissions, correlating either directly or inversely. Overall, tree-ring delta N-15 series may record changes in the forest-N cycle, but their interpretation requires understanding key soil biogeochemical processes. "In nature nothing exists alone", Rachel Carson.</t>
  </si>
  <si>
    <t>de Farias, A. R. Gomes; Yasanthika, W. A. E.; Monkai, J.</t>
  </si>
  <si>
    <t>Insights into the profile of soil fungal diversity in Thailand</t>
  </si>
  <si>
    <t>Asian Journal of Mycology</t>
  </si>
  <si>
    <t>10.5943/ajom/6/2/11</t>
  </si>
  <si>
    <t>Soil fungi are diverse and abundant organisms. However, our knowledge of the global diversity and distribution of soil fungi is limited. This study uses the Global Soil Mycobiome Consortium (GSMc) dataset to explore the assortment of soil fungi in Thailand. The study aimed to evaluate the diversity and richness of soil fungi in Thailand, identify the dominant fungal taxa and functional groups present in Thai soils, and examine the impact of land use and fire on the diversity of soil fungi in Thailand. We identified 18,209 OTUs, of which Ascomycota and Basidiomycota were the most abundant in all land conditions. We also found that ectomycorrhizal and soil saprotrophs were primary lifestyles, accounting for around 20%. Our results provide novel insights into the diversity and distribution of soil fungi in Thailand and contribute to understanding soil fungal ecology in tropical regions. The paper also invites collaboration to explore this ecosystem further.</t>
  </si>
  <si>
    <t>STEWART, GR; PATE, JS; UNKOVICH, M</t>
  </si>
  <si>
    <t>CHARACTERISTICS OF INORGANIC NITROGEN ASSIMILATION OF PLANTS IN FIRE-PRONE MEDITERRANEAN-TYPE VEGETATION</t>
  </si>
  <si>
    <t>PLANT CELL AND ENVIRONMENT</t>
  </si>
  <si>
    <t>351</t>
  </si>
  <si>
    <t>363</t>
  </si>
  <si>
    <t>10.1111/j.1365-3040.1993.tb00881.x</t>
  </si>
  <si>
    <t>A range of approaches was used to investigate how species within a fire-prone Banksia woodland in South West Australia exploited inorganic soil nitrogen sources and how this changes through the development of the fire chrono-sequence. Nitrate and ammonium were present in soil solution throughout the chronosequence but nitrate predominated in recently burnt sites. Mean shoot nitrate reductase activities were high for all species in recently burnt sites and showed little increase when nitrate was supplied via the transpiration stream. Nitrate reductase of shoots of most species was low at sites not burnt for several years, but following transpirational induction with nitrate, developed activities similar to those at recently burnt sites. The principal amino compounds transported in the xylem were species specific, including asparagine, glutamine and citrulline-dominated species, and changed little in relative composition across the chronosequence. Species most active in leaf nitrate reduction transported the largest amounts of nitrate in their xylem sap and proportional amounts of nitrate in xylem tended to be greatest in recently burnt sites. Most of the species examined appeared to be shoot rather than root nitrate assimilators, but marked differences were recorded in potential of leafy shoots of different species to reduce nitrate. As a general rule, shallow-rooted herbaceous, non-mycorrhizal or VAM-positive species had the highest capacity to reduce nitrate, whereas woody species with ericoid mycorrhizae or combined vesicular arbuscular/ectomycorrhizal associations exhibited little capacity to reduce nitrate in roots or shoots. It seems likely that this latter group utilize ammonium or even organic forms of nitrogen rather than nitrate. Some putative nitrogen-fixing species were active in reducing and transporting nitrate, others were virtually inactive in these respects.</t>
  </si>
  <si>
    <t>Jung,, Jin-Chul; Jang, Seog-Ki; 김홍진; 장규관</t>
  </si>
  <si>
    <t>Distribution of Ectomycorrhizal Fruit Bodies According to Forest Fire Area.</t>
  </si>
  <si>
    <t>Korean Journal of Ecology and Environment</t>
  </si>
  <si>
    <t>This study was conducted to investigate the diversity of ectomycorrhizal fungi by surveying sites from June 2010 to October 2011. The obtained results from investigation were as follows. The total of 2 Kingdom 3 Phylum 6 classes 15 orders 34 families 59 genera and 107 species including saprophytic and ectomycorrhizal fungi was investigate . A total of 10 families 17 genera 49 species (801 ea.) of ectomycorrhizal mushroom wa investigated. The mushrooms are classified into 28 families 51 genera and 99 species in Basidiomycota, 5 families 7 genera and 7 species in Ascomycota and 1 families 1 genera and 1 species in Amoebozoa. Dorminant species were Amanitaceae (14 species) followed by Russulaceae (12 species) and Boletaceae (11 species). The populaion ectomycorrhizal mushroom was highest in sites 1 and 2, and sites 4 and 5 occurrence rarely. The mushroom occurrence of ectomycorrhizal fungi was closely related to climatic conditions such as high air temperature and lots of rainfall from July to August. The environment factors which have a favorable influence of mushroom occurrence were soil pH, organic matter content of soil and air temperature of climatic environment.</t>
  </si>
  <si>
    <t>IN KOREAN</t>
  </si>
  <si>
    <t>Lorden, Elizabeth Rose</t>
  </si>
  <si>
    <t>Bioengineered Approaches to Prevent Hypertrophic Scar Contraction</t>
  </si>
  <si>
    <t>Johnston, Mitchell T.; Miller, Adam D.; Holland, Owen J.; Clark, Zach; Wevill, Tricia</t>
  </si>
  <si>
    <t>Impacts of planned burning on the fungal diversity and vascular plants in a heathy woodland</t>
  </si>
  <si>
    <t>10.1016/j.foreco.2024.121958</t>
  </si>
  <si>
    <t>Planned burns are an important management tool, primarily to reduce fuel loads in landscapes threatened by wildfire. Preventing fundamental changes in the composition and abundance of species within an ecosystem is also a fundamental objective of planned burns, yet the effects of planned burns (i.e. frequency, severity, season of burn and patchiness), on vascular plants and soil fungi remain poorly understood. This study uses a combination of floristic surveys and fungal DNA metabarcoding to evaluate the effects of burn frequency on the diversity of vascular plants and soil fungi in a heathland in south-eastern Australia. Our study showed planned burn frequency impacted the composition of vascular plants and vegetation post-fire successional trajectories but did not have a significant effect on belowground fungal diversity. These findings suggest that while aboveground vegetation is directly consumed by fire, the heat associated with planned burns may not be adequate to result in fungal mortality and shifts in community composition, or that effects may be relatively short-lived. Findings suggest that soil fungi in our study area, like many plants, possess adaptations to fire, which is consistent with the fire prone nature of heathlands ecosystems. Overall, this study provides a resource for understanding the impacts of planned burns on both above- and belowground biodiversity in fire prone ecosystems.</t>
  </si>
  <si>
    <t>Jonsson, Lena</t>
  </si>
  <si>
    <t>Community structure of ectomycorrhizal fungi in Swedish boreal forests</t>
  </si>
  <si>
    <t>Lu, Mingzhen</t>
  </si>
  <si>
    <t>Belowground Plant Strategies and Plant-nutrient Feedbacks: Ecosystem Properties, Biome Patterns, and Global Change</t>
  </si>
  <si>
    <t>Munyanziza, E; Oldeman, RAA</t>
  </si>
  <si>
    <t>Miombo trees: Ecological strategies, silviculture and management</t>
  </si>
  <si>
    <t>AMBIO</t>
  </si>
  <si>
    <t>454</t>
  </si>
  <si>
    <t>The main miombo trees in Morogoro, Tanzania, were studied in the nursery and in the field to determine the ecological strategies by which they survive in the miombo woodland, i.e. in a hostile climate, bush fires and low soil fertility, Aspects studied included seed production, seed germination, nursery techniques, symbiosis and seedling growth characteristics, Miombo trees are known to produce huge amounts of seeds germinating immediately in most species studied, or have dormancy arresting germination until conditions are favorable, The tree's big seeds feed the seedlings in the initial establishment process, Miombo seedlings develop a strong taproot as a sure source of food and energy, Pruning this taproot proved to negatively affect seedling growth, Miombo trees were shown to form ectomycorrhizae with a wide range of fungi, Seedlings are colonized before epigeal germination is completed. Many strategies interact in complex ways to ensure tree regeneration and survival.</t>
  </si>
  <si>
    <t>Phillips, Michala L.; Aronson, Emma L.; Maltz, Mia R.; Allen, Edith B.</t>
  </si>
  <si>
    <t>Native and invasive inoculation sources modify fungal community assembly and biomass production of a chaparral shrub</t>
  </si>
  <si>
    <t>10.1016/j.apsoil.2019.103370</t>
  </si>
  <si>
    <t>Feedbacks between plants and surrounding soil microbes can contribute to the establishment and persistence of invasive annual grasses as well as limit the success of restoration efforts. In this study, we aim to understand how three sources of soil inocula - native, invasive (from under Bromus diandrus) and sterile - affect the growth response and fungal community composition in the roots of a chaparral shrub, Adenostoma fasciculatum. We grew A. fasciculatum from seed in a greenhouse with each inoculum source and harvested at six months. We measured above- and below-ground biomass, arbuscular mycorrhizal fungal (AMF) colonization and conducted targeted-amplicon sequencing of the 18S and ITS2 loci to characterize AMF and general fungal community composition, respectively. Native inoculum resulted in roots with richer communities of some groups of AMF and non-AMF symbionts, when compared to roots grown with invasive or sterile inoculum. Seedlings grown with invasive and native inoculum did not have different growth responses, but both produced more biomass than a sterile control. These findings suggest that inoculation with soil from native species can increase the diversity of multiple groups of fungal symbionts and inoculation with live soil (invasive or native) can increase seedling biomass. Moreover, future work would benefit from assessing if a more diverse community of fungal symbionts increases seedling survival when planted in field restoration sites.</t>
  </si>
  <si>
    <t>Frostegard, Asa Helena</t>
  </si>
  <si>
    <t>Phospholipid fatty acid analysis to detect changes in soil microbial community structure</t>
  </si>
  <si>
    <t>Fleming, Patricia A.; Anderson, Hannah; Prendergast, Amy S.; Bretz, Michael R.; Valentine, Leonie E.; Hardy, Giles E. StJ.</t>
  </si>
  <si>
    <t>Is the loss of Australian digging mammals contributing to a deterioration in ecosystem function?</t>
  </si>
  <si>
    <t>MAMMAL REVIEW</t>
  </si>
  <si>
    <t>10.1111/mam.12014</t>
  </si>
  <si>
    <t>Despite once being described as common, digging mammal species have been lost from the Australian landscape over the last 200 years. Around half of digging mammal species are now extinct or under conservation threat, and the majority of extant species have undergone marked range contractions. Our aim is to identify the role of digging mammals in ecosystem processes throughout Australia. We highlight how the actions of digging mammals are vital for maintaining ecosystem functioning and how their extirpation has led to loss of ecosystem functions. A review of the literature indicates that many aspects of the influence of bioturbation on ecosystem functioning have been studied. The role of digging mammals in arid and semi-arid zones has been previously established. We collate and review a broader scope of studies, including those carried out in the mesic woodlands and forests of Australia. We identify roles of digging mammals in the context of ecosystem functioning and conservation management. Bioturbation significantly alters soil processes, increasing soil turnover and altering the chemical and structural properties of soil. Greater water infiltration and decreased surface run-off and erosion alter soil hydrophobicity and increase soil moisture. Diggings capture organic matter, provide habitat for a diversity of microscopic and macroscopic organisms, and increase nutrient cycling. Mycophagous mammals disperse fungi (e.g. mycorrhizae), while all diggings can create suitable sites for fungal growth. Diggings also capture plant seeds, increasing seedling germination, recruitment and plant growth. The overall effect of mammal diggings is therefore increased plant vigour and resilience, increased biodiversity and consequently improved ecosystem functioning. We propose that the loss of digging mammals has contributed to the deterioration of ecosystems in Australia. Recognising the roles of digging mammals will inform potential management options such as species translocations or reintroductions.</t>
  </si>
  <si>
    <t>Bruns, T. D.; Lilleskov, E. A.; Bidartondo, M. I.; Horton, T. R.</t>
  </si>
  <si>
    <t>Patterns in ectomycorrhizal community structure in pinaceous ecosystems</t>
  </si>
  <si>
    <t>S163</t>
  </si>
  <si>
    <t>S164</t>
  </si>
  <si>
    <t>In the last six years below-ground studies have begun to yield a more detailed understanding of the taxonomic, genetic, and spatial structure of fungal ectomycorrhizal communities. Across site comparisons of mature pinaceous forests show that members of the Russulaceae, Thelephoraceae, and various non-thelephoroid resupinate taxa are often dominant. While in fire-disturbed communities Ascomycetes and Suilloid taxa are the typical dominants. There is good evidence that many of the latter are present in soil spore banks prior to disturbance. Within individual sites, species-level community composition varies at all spatial scales, and correlates with distance only at scales below two meters. Individual species can exhibit clumped or nearly random distributions. Genet mapping of species in the Russulaceae, Amanitaceae, and Thelephoraceae, reveal that individuals are spatially restricted, and that even in undisturbed forest settings spore colonization must be an important ongoing process. The fact that patterns are often seen at higher taxonomic levels, could lead one to conclude that many species are substitutable or "redundant". However, the one to one correspondence between many non-photosynthetic mycoheterotrophic plants and various fungal species, shows that individual fungal species may often have subtle, but direct, effects on plant community composition.</t>
  </si>
  <si>
    <t>Bruns, TD; Read, DJ</t>
  </si>
  <si>
    <t>In vitro germination of nonphotosynthetic, myco-heterotrophic plants stimulated by fungi isolated from the adult plants</t>
  </si>
  <si>
    <t>335</t>
  </si>
  <si>
    <t>342</t>
  </si>
  <si>
    <t>10.1046/j.1469-8137.2000.00766.x</t>
  </si>
  <si>
    <t>Sarcodes sanguinea and Pterospora andromedea (Ericaceae, Monotropoideae) are nonphotosynthetic mycoheterotrophic plants. Recent studies have shown that the roots of the adult plants are always associated with closely related but exclusive sets of Rhizopogon species (Basidiomycota, Boletales) from section Amylopogon. We have isolated Rhizopogon species that were associated with the adult plants and used them to germinate seeds under gnotobiotic conditions. All Rhizopogon species isolated from either plant species were capable of stimulating seed germination in both Sarcodes and Pterospora. Under the primary conditions used, germination varied from 9 to 73%, in the case of Sarcodes and 0 to 13% in that of Pterospora. The single Rhizopogon strain that failed to elicit germination in Pterospora under these conditions did stimulate germination under slightly different conditions. By contrast, seeds failed to germinate on all media which lacked these Rhizopogon species, or in the presence of six other genera of basidiomycetes. Seed germination could be stimulated either through cellophane or at the edge of fungal colonies without direct fungus-seed contact. These results suggest that a diffusible or volatile compound that is unique to Rhizopogon stimulates germination of these plant seeds. Seed lots of Sarcodes from two successive years had similar germination levels. Sarcodes seeds that had overwintered under natural conditions were also stimulated to germinate. These results demonstrate the potential for long-term dormancy. We suggest that a combination of dormancy and the use of specific germination cues might increase the opportunities of these plants for recruitment. In addition, the specific germination response explains at least a part of the specialized associations observed in the adult plants. Nevertheless, the seeds respond to a slightly broader range of Rhizopogon species than has been observed to be associated with the adult plants; thus other factors must also be involved with specificity under natural conditions.</t>
  </si>
  <si>
    <t>Comandini, O.; Contu, M.; Rinaldi, A. C.</t>
  </si>
  <si>
    <t>An overview of &lt;i&gt;Cistus&lt;/i&gt; ectomycorrhizal fungi</t>
  </si>
  <si>
    <t>381</t>
  </si>
  <si>
    <t>395</t>
  </si>
  <si>
    <t>10.1007/s00572-006-0047-8</t>
  </si>
  <si>
    <t>The genus Cistus comprises a group of about 20 shrub species found in wide areas throughout the whole Mediterranean region to the Caucasus. Being one of the main constituents of the Mediterranean-type maquis, this plant genus is peculiar in that it has developed a range of specific adaptations to resist summer drought and frequent disturbance events, such as fire and grazing. In addition, it can form both ectomycorrhizas and arbuscular mycorrhizas. In this paper, we review the information available on the ectomycorrhizal fungi of Cistus across its entire geographic range, as gathered and critically sifted from both published literature sources and personal observations. Although the resulting data matrix was based primarily on accounts of sporocarp inventories in the field, existing knowledge on the features of Cistus natural and synthesized ectomycorrhizas was also included and discussed. In total, more than 200 fungal species belonging to 40 genera have been reported so far to be associated with Cistus. An analysis of the pattern of ectomycorrhizal diversity and host specificity revealed that members of the Cortinariaceae and Russulaceae make the most of both Cistus-aspecific and Cistus-specific mycobionts. Further studies are needed to expand our preliminary knowledge of the mycorrhizal ecology and biology of Cistus and its fungal associates, focusing on topics such as mycobiont diversity, host specificity, fungal succession, mycorrhizal influence on stress tolerance, and impact of disturbances, while comparing the findings with those from other ecosystems.</t>
  </si>
  <si>
    <t>Upadhyay, Ramesh Chandra; Singh, Manjit</t>
  </si>
  <si>
    <t>Production of Edible Mushrooms</t>
  </si>
  <si>
    <t>Mycota: Industrial Applications, Vol 10, Second Edition</t>
  </si>
  <si>
    <t>Erland, Susanne; Taylor, Andy F. S.</t>
  </si>
  <si>
    <t>Diversity of ecto-mycorrhizal fungal communities in relation to the abiotic environment</t>
  </si>
  <si>
    <t>Ecological Studies. Mycorrhizal ecology</t>
  </si>
  <si>
    <t>Gomes, Amandio L.; Revermann, Rasmus; Meller, Paulina; Goncalves, Francisco M. P.; Aidar, Marcos P. M.; Lages, Fernanda; Finckh, Manfred</t>
  </si>
  <si>
    <t>Functional traits and symbiotic associations of geoxyles and trees explain the dominance of detarioid legumes in miombo ecosystems</t>
  </si>
  <si>
    <t>510</t>
  </si>
  <si>
    <t>10.1111/nph.17168</t>
  </si>
  <si>
    <t>The miombo region in Africa is covered by a mosaic of woodlands and geoxylic grasslands and is subject to disturbances such as fires, frost and drought, and low nutrient availability. The dominance of Fabaceae Detarioideae species in miombo ecosystems is remarkable but little understood. We therefore compared plant functional traits (PFTs) of common woody species of the Angolan plateau, grouped by life form (trees, geoxyles), lineage (Fabaceae: Detarioideae, non-Detarioideae) and symbiont association (ectomycorrhiza, rhizobia).PFTs reflect group-specific adaptations to prevalent environmental conditions. To analyse the impact of environmental drivers, we selected PFTs reflecting ecophysiological aspects of leaf morphology, nutrient content and water transport. Traits were measured following standardized protocols.We found differences in key PFTs between trees and geoxyles reflecting both life form-specific adaptations to environmental conditions and lineage-specific strategies to cope with environmental stresses. We interpret higher leaf thickness and higher wood density of geoxyles as responses to harsher open environments. Fabaceae in general and ectomycorrhizal species showed better nutrient status.Symbiotic associations of detarioid legumes with ectomycorrhiza show specific advantages for phosphorous uptake as compared to Rhizobia-associated Fabaceae and to non-Fabaceae and thus may be crucial for the stunning dominance of Detarioideae in miombo landscapes.</t>
  </si>
  <si>
    <t>Perez-Valera, Eduardo; Verdu, Miguel; Antonio Navarro-Cano, Jose; Goberna, Marta</t>
  </si>
  <si>
    <t>Resilience to fire of phylogenetic diversity across biological domains</t>
  </si>
  <si>
    <t>2896</t>
  </si>
  <si>
    <t>2908</t>
  </si>
  <si>
    <t>10.1111/mec.14729</t>
  </si>
  <si>
    <t>Fire alters the structure and composition of above- and belowground communities with concurrent shifts in phylogenetic diversity. The inspection of postfire trends in the diversity of ecological communities incorporating phylogenetic information allows to better understand the mechanisms driving fire resilience. While fire reduces plant phylogenetic diversity based on the recruitment of evolutionarily related species with postfire seed persistence, it increases that of soil microbes by limiting soil resources and changing the dominance of competing microbes. Thus, during postfire community reassembly, plant and soil microbes might experience opposing temporal trends in their phylogenetic diversity that are linked through changes in the soil conditions. We tested this hypothesis by investigating the postfire evolution of plant and soil microbial (fungi, bacteria and archaea) communities across three 20-year chronosequences. Plant phylogenetic diversity increased with time since fire as pioneer seeders facilitate the establishment of distantly related late-successional shrubs. The postfire increase in plant phylogenetic diversity fostered plant productivity, eventually recovering soil organic matter. These shifts over time in the soil conditions explained the postfire restoration of fungal and bacterial phylogenetic diversity, which decreased to prefire levels, suggesting that evolutionarily related taxa with high relative fitness recover their competitive superiority during community reassembly. The resilience to fire of phylogenetic diversity across biological domains helps preserve the evolutionary history stored in our ecosystems.</t>
  </si>
  <si>
    <t>Joseph, Grant S.; Seymour, Colleen L.; Cumming, Graeme S.; Cumming, David H. M.; Mahlangu, Zacheus</t>
  </si>
  <si>
    <t>Termite Mounds Increase Functional Diversity of Woody Plants in African Savannas</t>
  </si>
  <si>
    <t>808</t>
  </si>
  <si>
    <t>819</t>
  </si>
  <si>
    <t>10.1007/s10021-014-9761-9</t>
  </si>
  <si>
    <t>Fine-scale spatial heterogeneity influences biodiversity and ecosystem productivity at many scales. In savanna systems, Macrotermes termites, through forming spatially explicit mounds with unique woody plant assemblages, emerge as important sources of such heterogeneity. Despite a growing consensus regarding the importance of functional diversity (FD) to ecosystem processes, no study has quantified how termite mounds affect woody plant FD. We address whether termite mounds alter the distribution of functional traits, and increase FD of woody plant communities within Africa's largest savanna woodland, the 2.7 million km(2) miombo system. Using plant traits that change according to soil resources (for example, water and nutrients), and disturbance (for example, fire and elephant herbivory), we identified response functional groups and compared relative representation of these groups between mound and matrix habitats. We also asked whether mound and matrix habitats differed in their contribution to FD within the system. Although species representing most functional groups were found in both mound and matrix habitats, relative abundance of functional groups differed between mound and matrix. Mound plant assemblages had greater response diversity to soil resources than matrix plots, but there was no difference in response diversity to disturbance. High trait values on mounds included tree height, leaf nitrogen, phosphorus, and palatability. Species with root ectomycorrhizae dominated the matrix. In conclusion, these small patches of nutrient-enriched substrate emerge as drivers of FD in above-ground woody plant communities.</t>
  </si>
  <si>
    <t>Vernes, K; Castellano, M; Johnson, CN</t>
  </si>
  <si>
    <t>Effects of season and fire on the diversity of hypogeous fungi consumed by a tropical mycophagous marsupial</t>
  </si>
  <si>
    <t>JOURNAL OF ANIMAL ECOLOGY</t>
  </si>
  <si>
    <t>945</t>
  </si>
  <si>
    <t>954</t>
  </si>
  <si>
    <t>10.1046/j.0021-8790.2001.00564.x</t>
  </si>
  <si>
    <t>1. Despite the importance of fire in many natural systems, knowledge of how fire affects the relationship between hypogeous fungi and mycophagous mammals in fire-prone environments is limited. Using experimental fires, we examined consumption of hypogeous ectomycorrhizal fruit-bodies by an endangered tropical mycophagist, the northern bettong Bettongia tropica Wakefield, in north-eastern Australia.2. Fungus was the major dietary component (56%) throughout all seasons, both before and after fire. At least 35 hypogeous taxa were consumed. Number of taxa consumed during different seasons was similar, but was significantly higher on unburnt sites than on burnt sites. Similarly, diversity of taxa per faecal sample was significantly greater on unburnt sites, but also increased irrespective of fire from wet season to dry season.3. Cluster and principal component analyses were used to examine patterns in consumption of fungal taxa. The greatest differences in dietary composition were between the period immediately after fire on burnt sites (early wet season) and all other season and treatment combinations. This difference was due to increased consumption of taxa in the fire-adapted family Mesophelliaceae and reduced consumption of the genus Elaphomyces. Principal component analysis revealed two major gradients in consumption. The first accounted for 32% of total variance and described change in consumption of taxa with season. The second accounted for 24% of total variance and described change in consumption of taxa before and after fire.4. Despite taxon-specific changes in consumption of hypogeous fungi, the body condition of bettongs did not change significantly between seasons or in relation to fire, suggesting that bettongs were never compromised in their optimal fungal intake.5. Our data show that the northern bettong has a flexible response to fire and could be best thought of as a fire-adapted marsupial. We therefore propose a precautionary approach to fire management of bettong habitat; at the present time this would include maintaining the recent fire regime of low to moderately intense fires every 3-4 years.</t>
  </si>
  <si>
    <t>Greenwood, Leanne; Nimmo, Dale G.; Egidi, Eleonora; Price, Jodi N.; McIntosh, Rachel; Frew, Adam</t>
  </si>
  <si>
    <t>Fire shapes fungal guild diversity and composition through direct and indirect pathways</t>
  </si>
  <si>
    <t>4921</t>
  </si>
  <si>
    <t>4939</t>
  </si>
  <si>
    <t>10.1111/mec.17068</t>
  </si>
  <si>
    <t>Fire has shaped global ecosystems for millennia by directly killing organisms and indirectly altering habitats and resources. All terrestrial ecosystems, including fire-prone ecosystems, rely on soil-inhabiting fungi, where they play vital roles in ecological processes. Yet our understanding of how fire regimes influence soil fungi remains limited and our knowledge of these interactions in semiarid landscapes is virtually absent. We collected soil samples and vegetation measurements from sites across a gradient in time-since-fire ages (0-75 years-since-fire) and fire frequency (burnt 0-5 times during the recent 29-year period) in a semiarid heathland of south-eastern Australia. We characterized fungal communities using ITS amplicon-sequencing and assigned fungi taxonomically to trophic guilds. We used structural equation models to examine direct, indirect and total effects of time-since-fire and fire frequency on total fungal, ectomycorrhizal, saprotrophic and pathogenic richness. We used multivariate analyses to investigate how total fungal, ectomycorrhizal, saprotrophic and pathogenic species composition differed between post-fire successional stages and fire frequency classes. Time-since-fire was an important driver of saprotrophic richness; directly, saprotrophic richness increased with time-since-fire, and indirectly, saprotrophic richness declined with time-since-fire (resulting in a positive total effect), mediated through the impact of fire on substrates. Frequently burnt sites had lower numbers of saprotrophic and pathogenic species. Post-fire successional stages and fire frequency classes were characterized by distinct fungal communities, with large differences in ectomycorrhizal species composition. Understanding the complex responses of fungal communities to fire can be improved by exploring how the effects of fire flow through ecosystems. Diverse fire histories may be important for maintaining the functional diversity of fungi in semiarid regions.</t>
  </si>
  <si>
    <t>Li, Xiao-Qiang; Kang, Rong; Huo, Jun-Cheng; Xie, Yan-Hua; Wang, Si-Wang; Cao, Wei</t>
  </si>
  <si>
    <t>Wound-healing activity of &lt;i&gt;Zanthoxylum bungeanum&lt;/i&gt; maxim seed oil on experimentally burned rats</t>
  </si>
  <si>
    <t>PHARMACOGNOSY MAGAZINE</t>
  </si>
  <si>
    <t>371</t>
  </si>
  <si>
    <t>10.4103/pm.pm_211_16</t>
  </si>
  <si>
    <t>Background: The seed oil of Zanthoxylum bungeanum Maxim (ZBSO) is considered to be rich source of fatty acids, mainly oleic and linoleic acids, and has been used for the treatment of burns in Chinese medicine. Objective: We evaluated the healing efficacy of ZBSO and explored its possible mechanism on scalded rats. Materials and Methods: Sprague-Dawley rat models with deep second-degree burns were set up, and ZBSO (500 and 1000 mu l/wound) was topically applied twice daily for 7 days and then once daily until wound healing. The therapeutic effects of ZBSO were evaluated by observing wound closure time, decrustation time, wound-healing ratio, and pathological changes. Collagen type-III, matrix metalloproteinase-2 (MMP-2), MMP-9, phospho-nuclear factor-kappa B (p-NF-kappa B) p65, inhibitor of NF-kappa B subunit a p-I kappa alpha, and inhibitor of NF-kappa B subunit a (I kappa B alpha) expression were determined using Western blotting. Results: The ZBSO-treated group showed a higher wound-healing ratio and shorter decrustation and wound closure times than the untreated group. The topical application of ZBSO increased collagen synthesis as evidenced by an increase in hydroxyproline level and upregulated expression of collagen type-III on days 7, 14, and 21 posttreatment. A reduction in MMP-2 and MMP-9 expressions also confirmed the collagen formation efficacy of ZBSO. Furthermore, there was a significant increase in superoxide dismutase levels and a decrease in malondialdehyde levels in ZBSO-treated wounds. ZBSO also decreased tumor necrosis factor alpha, interleukin-1 (IL-1) beta, and IL-6 levels in serum, upregulated I kappa B alpha, and downregulated p-NF-kappa B p65 and p-I kappa B alpha expression in vivo, indicating the anti-inflammatory action of ZBSO. Conclusion: ZBSO has significant potential to treat burn wounds by accelerating collagen synthesis and the anti-inflammatory cascade of the healing process.</t>
  </si>
  <si>
    <t>Ondik, Mercedes M.; Ooi, Mark K. J.; Munoz-Rojas, Miriam</t>
  </si>
  <si>
    <t>Soil microbial community composition and functions are disrupted by fire and land use in a Mediterranean woodland</t>
  </si>
  <si>
    <t>10.1016/j.scitotenv.2023.165088</t>
  </si>
  <si>
    <t>The intersection of fire, land use transformations, and climate change is putting Mediterranean climate-type ecosys-tems at risk of soil degradation and loss of ecosystem services. Ondik et al. (2022b) showed that in a Mediterranean dry sclerophyll woodland of South Australia, high severity fire and clearing and grazing practices impacted both phys-icochemical and biological soil quality indicators. Building upon the work of Ondik et al. (2022b) this study aims to 1) identify soil physicochemical properties impacted by fire and land management that are indirect drivers of changes to soil microbial community composition and 2) determine whether the observed changes to soil microbial community composition affect soil microbial functions. Via a redundancy analysis, we identified fire and management-induced changes to pH, soil water repellency, nutrient stoichiometry, and total nutrient content as significant drivers of the composition of soil microbial communities. We then measured basal respiration, substrate induced respiration, and the carbon mineralisation quotient, and calculated functional trait distributions among microbial communities by linking 16S and 18S rRNA sequences to respiration modes and functional guilds, respectively. We found that fire re-duced soil microbial respiration and the relative abundance (RA) of microbial symbionts, anaerobic bacteria, and microaerophilic bacteria, while increasing the RA of aerobic bacteria. Furthermore, management increased the RA of post-fire ectomycorrhizal fungi and may have reduced pathogenic load, microbial efficiency, and wood saprotrophs, while increasing litter, soil, and other saprotrophic species that are adapted to grasslands. This study shows that, through changes to microbial community composition, high severity wildfire and land management affected soil res-piration rates, bacterial modes of respiration, prevalence of symbiotic bacteria and fungi, and microbial substrate pref-erence. Having identified the main physicochemical drivers of changes to microbial community composition, we provide valuable insights into how fire and land management can impact soils in Mediterranean woodland.</t>
  </si>
  <si>
    <t>Smith, Gabriel Reuben</t>
  </si>
  <si>
    <t>Patterns in Fungal Community Composition and Decomposition</t>
  </si>
  <si>
    <t>MRI/RUI: Acquisition of Instrumentation for Nutrient Analyses in Ecological Research</t>
  </si>
  <si>
    <t>A grant has been awarded to Grinnell College under the direction of Dr. Peter Jacobson to purchase a suite of three instruments with a common focus: to elucidate the influences of nutrient dynamics on ecological systems. This equipment - a Nitrogen/Carbon Analyzer, an Automated Ion Analyzer and a Combustion Analyzer -- will be used in collaborative student/faculty research projects spanning the breadth of ecology, from ecophysiological studies of plants to large-scale ecosystem impacts of hydrologic change. The instruments' ability to automate many time-consuming procedures will make these investigations more efficient and more effective learning tools for students, who will be able to spend more of their time exploring appropriate modes of analysis and understanding the applications of their data.  &lt;br/&gt;&lt;br/&gt;Specifically, the equipment will enable investigations of: (1) the mechanisms by which fire and grazing affect prairie arthropod communities; (2) the nutrient-sensitivity of resource trade-offs in plant reproduction; (3) the environmental factors that shape arbuscular and ectomycorrhizal fungal communities; and (4) the influence of flood pulses on nutrient dynamics and production in riparian forests. In addition to these studies, the instrumentation will significantly increase the range of investigations available to students in the laboratory and field while providing them with invaluable experience using state-of-the-art analytical techniques in ecological studies. &lt;br/&gt;&lt;br/&gt;The proposed activities have a number of broader impacts. Grinnell College's dedication to integrating research and undergraduate education makes automated, user-friendly instruments essential. The proposed activities would allow students to understand both the principles and applications of nutrient analysis techniques, while involving them in authentic research with faculty. These activities will contribute in diverse ways to our understanding of nutrient dynamics in ecological systems, while significantly enhancing the College's infrastructure by providing sophisticated tools for ecological research and education. As with other instrumentation at Grinnell College, this new equipment will be integrated into the curriculum at all levels, enriching the research training and learning of a broad cross-section of students. &lt;br/&gt;</t>
  </si>
  <si>
    <t>Ramalho, Cristina E.; Laliberte, Etienne; Poot, Pieter; Hobbs, Richard</t>
  </si>
  <si>
    <t>Effects of fragmentation on the plant functional composition and diversity of remnant woodlands in a young and rapidly expanding city</t>
  </si>
  <si>
    <t>10.1111/jvs.12615</t>
  </si>
  <si>
    <t>Questions: How do plant functional trait abundance and diversity in urban remnants of a rapidly urbanizing city change with fragmentation? Is there a delayed functional response to fragmentation?Location: Thirty remnant Banksia woodlands, Perth, Australia.Methods: We used GLMM to examine the effects of remnant age and area, and their interaction, on the relative abundance and functional diversity (FD) of five plant functional traits: growth form, pollination, seed dispersal, nutrient acquisition and regeneration strategies. We then used fourth-corner analysis to examine the influence of a wider set of fragmentation-related factors on trait abundances.Results: The functional composition and diversity of Banksia woodlands changed with remnant age, particularly in the smaller remnants. Plants more prone to decline with remnant age were the growth form shrubs, root-clustered trees, herbaceous obligate seeders and understorey species that are insect-pollinated, have seeds dispersal internally by animals and have arbuscular or ericoid mycorrhizas. In contrast, plants more prone to persist were growth forms trees, sedges and rushes, ectomycorrhizal trees, herbaceous resprouters, wind-pollinated and root-clustered understorey species. FD increased with remnant age in the growth forms and overstorey, but declined among the herbaceous and shrub pollination and nutrient acquisition traits.Conclusions: Functional traits that consistently signalled the plant community response to fragmentation were growth form, pollination and dispersal. This functional response was largely delayed, suggesting a functional extinction debt, which will lead to a further decline of plants with vulnerable trait states in the future, especially in the small- and medium-sized remnants. Our study illustrates the vulnerability of small remnants to changes in community assembly and ecosystem function due to fragmentation. Furthermore, it exemplifies how a functional trait approach is valuable to understand the impacts of urbanization on remnant plant communities, before local extinctions may occur. Finally, the study shows how cities' fragmentation history and biogeographic settings provide an important context influencing plant functional responses to urbanization-related processes.</t>
  </si>
  <si>
    <t>Demenois, Julien; Merino-Martin, Luis; Nunez, Nicolas; Stokes, Alexia; Carriconde, Fabian</t>
  </si>
  <si>
    <t>Do diversity of plants, soil fungi and bacteria influence aggregate stability on ultramafic Ferralsols? A metagenomic approach in a tropical hotspot of biodiversity</t>
  </si>
  <si>
    <t>213</t>
  </si>
  <si>
    <t>229</t>
  </si>
  <si>
    <t>10.1007/s11104-019-04364-8</t>
  </si>
  <si>
    <t>Aims Understanding how soil aggregate stability (MWD) is influenced by microbial diversity and abundance can be crucial for ecological restoration in severely disturbed areas. We investigated the relationships between plant and soil microbial diversity and MWD of an ultramafic Ferralsol along a vegetational succession gradient in New Caledonia, where wildfires and extensive nickel mining have degraded the landscape. Methods Five plant communities were studied. For each one, MWD, soil physicochemical parameters (e.g. soil organic carbon (SOC)), plant root traits and fungal abundance were measured. The diversity and structure of plant and microbial communities were respectively assessed via botanical inventories and a metagenomic approach. A generalized linear model (GLM) was used to assess the influence of diversity indexes on MWD. Constrained ordinations (CCA) were performed to assess the influence of communities' structures on MWD. Results GLM highlighted the linkage between SOC and MWD but did not identify any significant influence of diversity indexes on MWD. CCA revealed a significant influence of communities' structures, especially the abundance of saprotrophic fungi, on MWD. Conclusions We showed that the structure, but not species richness and diversity of plants, soil fungi and bacteria influence aggregate stability on Ferralsols.</t>
  </si>
  <si>
    <t>Elliott, Todd F.; Townley, Sally; Johnstone, Charmaine; Meek, Paul; Gynther, Ian; Vernes, Karl</t>
  </si>
  <si>
    <t>The endangered Hastings River mouse (&lt;i&gt;Pseudomys oralis&lt;/i&gt;) as a disperser of ectomycorrhizal fungi in eastern Australia</t>
  </si>
  <si>
    <t>1075</t>
  </si>
  <si>
    <t>1085</t>
  </si>
  <si>
    <t>10.1080/00275514.2020.1777383</t>
  </si>
  <si>
    <t>Rodents are the most widespread and diverse order of vertebrate mycophagists and are key to the dispersal of mycorrhizal fungi. Rodents consume and subsequently disperse fungi through their feces on every continent except Antarctica. This study examines the fungal taxa consumed by the Hastings River mouse (Pseudomys oralis), an endangered Australian endemic rodent from the family Muridae. We analyzed 251 fecal samples collected over a 19-year period between 1993 and 2012 at sites throughout the distribution of the animal in New South Wales and Queensland. We show that at least 16 genera of mycorrhizal fungi are eaten by this species and that it is therefore playing an important role as a vector of ectomycorrhizal truffle-like fungi in eastern Australia. Similar to the fungal diets of other mammals in eastern Australia, seasonal fungal consumption was greatest in autumn and winter. The dietary diversity ofP. oralisalso appeared to follow a geographic trend from south to north; samples collected at sites in the southern part of the species' range had greater diversity than those from sites in the northern part of the range, and overall, diets from southern sites yielded more fungal taxa than did northern sites. This study provides novel insights into the diet ofP. oralisand highlights the importance of previously overlooked ecosystem services this species provides through its dispersal of mycorrhizal fungi.</t>
  </si>
  <si>
    <t>Vetrovsky, Tomas; Morais, Daniel; Kohout, Petr; Lepinay, Clementine; Algora, Camelia; Holla, Sandra Awokunle; Bahnmann, Barbara Doreen; Bilohneda, Kveta; Brabcova, Vendula; D'Alo, Federica; Human, Zander Rainier; Jomura, Mayuko; Kolarik, Miroslav; Kvasnickova, Jana; Llado, Salvador; Lopez-Mondejar, Ruben; Martinovic, Tijana; Masinova, Tereza; Meszarosova, Lenka; Michalcikova, Lenka; Michalova, Tereza; Mundra, Sunil; Navratilova, Diana; Odriozola, Inaki; Piche-Choquette, Sarah; Stursova, Martina; Svec, Karel; Tlaskal, Vojtech; Urbanova, Michaela; Vlk, Lukas; Voriskova, Jana; Zifcakova, Lucia; Baldrian, Petr</t>
  </si>
  <si>
    <t>GlobalFungi, a global database of fungal occurrences from high-throughput-sequencing metabarcoding studies</t>
  </si>
  <si>
    <t>SCIENTIFIC DATA</t>
  </si>
  <si>
    <t>10.1038/s41597-020-0567-7</t>
  </si>
  <si>
    <t>Fungi are key players in vital ecosystem services, spanning carbon cycling, decomposition, symbiotic associations with cultivated and wild plants and pathogenicity. The high importance of fungi in ecosystem processes contrasts with the incompleteness of our understanding of the patterns of fungal biogeography and the environmental factors that drive those patterns. To reduce this gap of knowledge, we collected and validated data published on the composition of soil fungal communities in terrestrial environments including soil and plant-associated habitats and made them publicly accessible through a user interface at https://globalfungi.com. The GlobalFungi database contains over 600 million observations of fungal sequences across&gt;17 000 samples with geographical locations and additional metadata contained in 178 original studies with millions of unique nucleotide sequences (sequence variants) of the fungal internal transcribed spacers (ITS) 1 and 2 representing fungal species and genera. The study represents the most comprehensive atlas of global fungal distribution, and it is framed in such a way that third-party data addition is possible.</t>
  </si>
  <si>
    <t>Queralt, Mikel; Parlade, Javier; Pera, Joan; Maria De Miguel, Ana</t>
  </si>
  <si>
    <t>Seasonal dynamics of extraradical mycelium and mycorrhizas in a black truffle (&lt;i&gt;Tuber melanosporum&lt;/i&gt;) plantation</t>
  </si>
  <si>
    <t>565</t>
  </si>
  <si>
    <t>576</t>
  </si>
  <si>
    <t>10.1007/s00572-017-0780-1</t>
  </si>
  <si>
    <t>Seasonal dynamics of black truffle (Tuber melanosporum) extraradical mycelium as well as the associated mycorrhizal community have been evaluated in a 16-year-old plantation with productive and non-productive trees. Mycelium biomass was seasonally quantified by real-time PCR over two consecutive years and the correlation with environmental variables explored. Extraradical mycelium biomass varied seasonally and between the two consecutive years, being correlated with the precipitation that occurred 1 month before sampling. In addition, productive trees had more mycelium in the brA &gt;&gt; l, area than non-productive trees did. The ectomycorrhizal community composition inside the burnt areas was seasonally evaluated during a year. Ten mycorrhizal morphotypes were detected; T. melanosporum was the most abundant in productive and non-productive trees. Black truffle mycorrhizas were more abundant (mycorrhizal tips per unit of soil volume) in productive trees, and no seasonal variation was observed. The occurrence of black truffle mycorrhizas was significantly and positively correlated with the biomass of extraradical mycelium. The mycorrhizal community within the brA &gt;&gt; l, areas was significantly different between productive and non-productive trees, and no variation was detected between seasons. The assessment of the fungal vegetative structures in a mature plantation is of paramount importance to develop trufficulture methods based on the knowledge of the biological cycle of the fungus and its relationships with the associated ectomycorrhizal communities.</t>
  </si>
  <si>
    <t>Waterlogging and fire impacts on nitrogen availability and utilization in a subtropical wet heathland (wallum)</t>
  </si>
  <si>
    <t>1231</t>
  </si>
  <si>
    <t>1241</t>
  </si>
  <si>
    <t>10.1046/j.1365-3040.1997.d01-20.x</t>
  </si>
  <si>
    <t>Protein, amino acids and ammonium were the main forms of soluble soil nitrogen in the soil solution of a subtropical heathland (wallum). After fire, soil ammonium and nitrate increased 90- and 60-fold, respectively. Despite this increase in nitrate availability after fire, wallum species exhibited uniformly low nitrate reductase activities and low leaf and xylem nitrate, During waterlogging soil amino acids increased, particularly gamma-aminobutyric acid (GABA) which accounted for over 50% of amino nitrogen. Non-mycorrhizal wallum species were significantly (P &lt; 0.05) N-15-enriched (0.3-4.3 parts per thousand) compared to species with mycorrhizal associations (ericoid-type, ecto-, va-mycorrhizal) which were strongly depleted in N-15 (-6.3 to -1.8 parts per thousand). Lignotubers and roots had delta(15)N signatures similar to that of the leaves of respective species. The exceptions were fine roots of ecto-, ecto/va-, and ericoid type mycorrhizal species which were enriched in N-15 (0.1-2 4 parts per thousand). The delta(15)N signatures of delta(15)N(total soil N) and delta(15)N(soil NH4+) were in the range 3.7-4.5 parts per thousand, whereas delta(15)N(soil NO3-) was significantly (P &lt; 0.05) more enriched in N-15 (9.2-9.8 parts per thousand). It is proposed that there is discrimination against N-15 during transfer of nitrogen from fungal to plant partner. Roots of selected species incorporated nitrogen sources in the order of preference: ammonium &gt; glycine &gt; nitrate. The exception were proteoid roots of Hakea (Proteaceae) which incorporated equal amounts of glycine and ammonium.</t>
  </si>
  <si>
    <t>Vrålstad, T; Myhre, E; Schumacher, T</t>
  </si>
  <si>
    <t>Molecular diversity and phylogenetic affinities of symbiotic root-associated ascomycetes of the Helotiales in burnt and metal polluted habitats</t>
  </si>
  <si>
    <t>10.1046/j.1469-8137.2002.00444.x</t>
  </si>
  <si>
    <t>The diversity and phylogenetic affinities of symbiotic root-associated ascomycetes of the Helotiales are reported here based on ITS1-5.8S-ITS2 (internal transcribed spacer, ITS) nrDNA sequences.Mycobionts were obtained from roots of ericoid plants and grasses and from Piceirhiza bicolorata ectomycorrhizas (pbECM) on conifers and hardwoods, predominantly in burnt and metal-polluted habitats. The mycobionts were sequenced through the ITS and compared with sequences of known helotialean taxa.We recognized 132 fungal ITS-sequences with affinity to the Helotiales, of which 75% (54 different ITS-genotypes) grouped within the Hymenoscyphus ericae aggregate including Phialophora finlandia. This aggregate showed stronger affinity to members of the Hyaloscyphaceae and Dermateaceae than to Hymenoscyphus fructigenus (genus-type species; Helotiaceae). Most of the pbECM mycobionts grouped with P. finlandia, although some grouped with H. ericae. Two genotypes co-occurred in ericoid and ectomycorrhizal roots.The H. ericae aggregate may be referable to a generic unit, and includes a diverse group of closely related, more or less darkly pigmented, root-associated ascomycetes where the borders between intra- and interspecific ITS-sequence variation, as well as different mycorrhizal and nonmycorrhizal root-symbioses, remains unclear.</t>
  </si>
  <si>
    <t>Authors</t>
  </si>
  <si>
    <t>Territory</t>
  </si>
  <si>
    <t>Latitude</t>
  </si>
  <si>
    <t>Longitude</t>
  </si>
  <si>
    <t>Fire_type</t>
  </si>
  <si>
    <t>Fire_severity</t>
  </si>
  <si>
    <t>Year_of_fire</t>
  </si>
  <si>
    <t>Time_since_fire_years</t>
  </si>
  <si>
    <t>Size_fire_ha</t>
  </si>
  <si>
    <t>Method_ECM_measurement</t>
  </si>
  <si>
    <t>Sequencing_type</t>
  </si>
  <si>
    <t>Amplicon</t>
  </si>
  <si>
    <t>NO INFO</t>
  </si>
  <si>
    <t>DOWNLOADED</t>
  </si>
  <si>
    <t>Note?</t>
  </si>
  <si>
    <t>SIMILAR STUDY BY SAME AUTHOR DOWNLOADED</t>
  </si>
  <si>
    <t>https://www.cabidigitallibrary.org/doi/full/10.5555/19950615784</t>
  </si>
  <si>
    <t>NOT FOUND</t>
  </si>
  <si>
    <t>NOT FOUND. LOOKED THROUGH ALL ISSUES OF PHYTOPATHOLOGY VOL91</t>
  </si>
  <si>
    <t>NO PUBLICATION FOUND</t>
  </si>
  <si>
    <t>ONLY CONFERENCE ABSTRACT (unavailable)</t>
  </si>
  <si>
    <t>ONLY CONFERENCE ABSTRACT</t>
  </si>
  <si>
    <t>Notes</t>
  </si>
  <si>
    <t>Research_type</t>
  </si>
  <si>
    <t>Descriptive</t>
  </si>
  <si>
    <t>Wildfire</t>
  </si>
  <si>
    <t>Sample_type</t>
  </si>
  <si>
    <t>Soil_properties_measured</t>
  </si>
  <si>
    <t>INCLUSION3</t>
  </si>
  <si>
    <t>WHY1</t>
  </si>
  <si>
    <t>WHY3</t>
  </si>
  <si>
    <t>Did not approach ECM community parameters</t>
  </si>
  <si>
    <t>Field_experiment</t>
  </si>
  <si>
    <t>Influence of soil nutrients</t>
  </si>
  <si>
    <t>Study_ID</t>
  </si>
  <si>
    <t>Did not approach directly wildfires as a cause of declining forests</t>
  </si>
  <si>
    <t>Bioassay</t>
  </si>
  <si>
    <t>Portugal</t>
  </si>
  <si>
    <t>Unburnt</t>
  </si>
  <si>
    <t>Soil_samples_depth_cm</t>
  </si>
  <si>
    <t>Last fire event more than 100 years ago</t>
  </si>
  <si>
    <t>Sampling design not clear. There are no replicates. Comparisions among different "treatments" are cofounded by trees age</t>
  </si>
  <si>
    <t>Contacted the authors</t>
  </si>
  <si>
    <t>FULL ARTICLE IN POLISH</t>
  </si>
  <si>
    <t>Study_Year</t>
  </si>
  <si>
    <t>Australia</t>
  </si>
  <si>
    <t>Soil</t>
  </si>
  <si>
    <t>DNA</t>
  </si>
  <si>
    <t>Illumina MiSeq</t>
  </si>
  <si>
    <t>ITS</t>
  </si>
  <si>
    <t>Chronosequence of fires and some plots plus logging and clearcutting. We are JUST KEEPING the UB control and the BURNED 3-TIMES plots (more severity)</t>
  </si>
  <si>
    <t>Sampling_year</t>
  </si>
  <si>
    <t>ITS2</t>
  </si>
  <si>
    <t>Chronosequence of fires. We are JUST KEEPING the UB control and the BURNED LAST-YEAR plots (more severity)</t>
  </si>
  <si>
    <t>Picea</t>
  </si>
  <si>
    <t>N_control_samples</t>
  </si>
  <si>
    <t>N_burned_samples</t>
  </si>
  <si>
    <t>Talks only about 1 SPECIES</t>
  </si>
  <si>
    <t>2001;2002</t>
  </si>
  <si>
    <t>0-10</t>
  </si>
  <si>
    <t>Root_colonization</t>
  </si>
  <si>
    <t>Only approaches ECM root colonization. Also number of samples is not clear. Probably will be discarded</t>
  </si>
  <si>
    <t>Biome</t>
  </si>
  <si>
    <t>Mediterranean</t>
  </si>
  <si>
    <t>Illumina</t>
  </si>
  <si>
    <t>ITS1</t>
  </si>
  <si>
    <t>Eucalyptus</t>
  </si>
  <si>
    <t>Sporocarp_survey</t>
  </si>
  <si>
    <t>Sporocarps</t>
  </si>
  <si>
    <t>2017; 2018; 2019</t>
  </si>
  <si>
    <t>Prefire</t>
  </si>
  <si>
    <t>PCR?</t>
  </si>
  <si>
    <t>1998; 2002</t>
  </si>
  <si>
    <t>Sweden</t>
  </si>
  <si>
    <t>Boreal</t>
  </si>
  <si>
    <t>Control_type</t>
  </si>
  <si>
    <t>Does not approach wildfires as a treatment</t>
  </si>
  <si>
    <t>0-5</t>
  </si>
  <si>
    <t>rRNA</t>
  </si>
  <si>
    <t>Semiarid</t>
  </si>
  <si>
    <t>1995; 1996</t>
  </si>
  <si>
    <t>Spain</t>
  </si>
  <si>
    <t>Caution!! They talk about fungal communities in general, not just ECM</t>
  </si>
  <si>
    <t>Prescribed_fire</t>
  </si>
  <si>
    <t>1; 2</t>
  </si>
  <si>
    <t>Sclerotia</t>
  </si>
  <si>
    <t>Sampling design layout unclear</t>
  </si>
  <si>
    <t>&lt;1</t>
  </si>
  <si>
    <t>None of the treatments approaches our question. The ones that are burned are agricultural fields, and forest have been undisturbed for more than 60 years</t>
  </si>
  <si>
    <t>Sampling design does not meet the necessary criteria</t>
  </si>
  <si>
    <t>0-20</t>
  </si>
  <si>
    <t>Guild_studied</t>
  </si>
  <si>
    <t>Is a discussion article</t>
  </si>
  <si>
    <t>Sites afected by wildfires are more than 30 y-old. Only one stand burned 15 years ago</t>
  </si>
  <si>
    <t>2013; 2014</t>
  </si>
  <si>
    <t>Perfect</t>
  </si>
  <si>
    <t>Tropical</t>
  </si>
  <si>
    <t>Hypogeous</t>
  </si>
  <si>
    <t>Low-medium</t>
  </si>
  <si>
    <t>&gt;1000</t>
  </si>
  <si>
    <t>Only 1 UB site. Samples from potoro feces (only hypogeous fungi)</t>
  </si>
  <si>
    <t>Last fire event in 1970 (more than 45 years ago)</t>
  </si>
  <si>
    <t>Indonesia</t>
  </si>
  <si>
    <t>Macrosporocarps</t>
  </si>
  <si>
    <t>Dipterocarpus</t>
  </si>
  <si>
    <t>1997; 1998</t>
  </si>
  <si>
    <t>All_fungi</t>
  </si>
  <si>
    <t>Does not approach the topic. They only classify tree species as ECM-AM…</t>
  </si>
  <si>
    <t>Does not approach the topic. They only measure enzymes not fungal characterization</t>
  </si>
  <si>
    <t>No_replicates</t>
  </si>
  <si>
    <t>Off_topic</t>
  </si>
  <si>
    <t>Fire_time</t>
  </si>
  <si>
    <t>Halimium</t>
  </si>
  <si>
    <t>0-5; 5-10</t>
  </si>
  <si>
    <t>Off topic. Also no sampling in unburnt/control sites</t>
  </si>
  <si>
    <t>2.85M ha</t>
  </si>
  <si>
    <t>Same fire as in Day 2019</t>
  </si>
  <si>
    <t>Interesting but the results cannot fit in the meta-analysis</t>
  </si>
  <si>
    <t>High_severity</t>
  </si>
  <si>
    <t>2.1M ha</t>
  </si>
  <si>
    <t>0_5</t>
  </si>
  <si>
    <t>18S</t>
  </si>
  <si>
    <t>1999; 2000</t>
  </si>
  <si>
    <t>No control. They compare red vs black soils, all burned</t>
  </si>
  <si>
    <t>0_2.5</t>
  </si>
  <si>
    <t>Insufficient</t>
  </si>
  <si>
    <t>3?</t>
  </si>
  <si>
    <t>0_10</t>
  </si>
  <si>
    <t>Bioassay. Results only report % of colonization and morfotypes. Probably will be discarded</t>
  </si>
  <si>
    <t>Root_tips</t>
  </si>
  <si>
    <t>Chronosequence. Only 1 replica per time series</t>
  </si>
  <si>
    <t>continental?</t>
  </si>
  <si>
    <t>Only truffle survey. Hypogeous fungi</t>
  </si>
  <si>
    <t>They talk about a "truffle burnt" which has nothing to do with fires</t>
  </si>
  <si>
    <t>They don't present enough information about the methodology…</t>
  </si>
  <si>
    <t>1990; 1991</t>
  </si>
  <si>
    <t>Mycorrhizal</t>
  </si>
  <si>
    <t>It is centered on the age of stands not the fire effect itself. No UB control</t>
  </si>
  <si>
    <t>The sampling design is not clear and they don't report numbers or strong results</t>
  </si>
  <si>
    <t>Insufficient_methods</t>
  </si>
  <si>
    <t>Methods based on DGGE</t>
  </si>
  <si>
    <t>They don't have an UB control. We could use the 10-20 years since last fire as a control?</t>
  </si>
  <si>
    <t>No_control</t>
  </si>
  <si>
    <t>Also the methods are insufficient for our study</t>
  </si>
  <si>
    <t>They don't report community data. Also, the sampling design is not clear, seems insufficient for our study</t>
  </si>
  <si>
    <t>2006; 2007</t>
  </si>
  <si>
    <t>Results only refered to one pyrophilus genus</t>
  </si>
  <si>
    <t>Lithuania</t>
  </si>
  <si>
    <t>2007; 2009</t>
  </si>
  <si>
    <t>Fire is not a treatment itself</t>
  </si>
  <si>
    <t>Response_type</t>
  </si>
  <si>
    <t>UB_value</t>
  </si>
  <si>
    <t>Burnt_value</t>
  </si>
  <si>
    <t>2016; 2017</t>
  </si>
  <si>
    <t>Subtropical</t>
  </si>
  <si>
    <t>&lt; 1 (6months)</t>
  </si>
  <si>
    <t>Only report relative abundances of fungal genera. Fire caused a decrease in ECM and the proliferation of plant pathogens</t>
  </si>
  <si>
    <t>Relative_abundance</t>
  </si>
  <si>
    <t>Single_species</t>
  </si>
  <si>
    <t>They only focus on Astraeus</t>
  </si>
  <si>
    <t>USA</t>
  </si>
  <si>
    <t>They sample seedlings from burnt sites only</t>
  </si>
  <si>
    <t>Sequencher 4.2</t>
  </si>
  <si>
    <t>Species_richness</t>
  </si>
  <si>
    <t>Eveness</t>
  </si>
  <si>
    <t>Time_since_fire</t>
  </si>
  <si>
    <t>Chaotic sampling design. Just one soil sample of the UB… Maybe Off topic</t>
  </si>
  <si>
    <t>1998; 2001</t>
  </si>
  <si>
    <t>Low_severity</t>
  </si>
  <si>
    <t>0_20</t>
  </si>
  <si>
    <t>Morphotypes</t>
  </si>
  <si>
    <t>Shannon_diversity</t>
  </si>
  <si>
    <t>3-year consecutive data</t>
  </si>
  <si>
    <t>Bioassay with burnt soils but no UB soils</t>
  </si>
  <si>
    <t>Insufficient_results</t>
  </si>
  <si>
    <t>Results only refered to colonization of active root tips</t>
  </si>
  <si>
    <t>Authors_contacted</t>
  </si>
  <si>
    <t>Treatments considered are only UB and B since those were the only sites were Pinus pinaster was found.</t>
  </si>
  <si>
    <t>There isn't a treatment considerind fire itself</t>
  </si>
  <si>
    <t>This research uses the same database as in Smith 2021. However, this one has a different research question that does not fit in our meta-analysis</t>
  </si>
  <si>
    <t>Mycorrhizal_richness</t>
  </si>
  <si>
    <t>Saprotroph_richness</t>
  </si>
  <si>
    <t>&lt; 1 (2months)</t>
  </si>
  <si>
    <t>Canada</t>
  </si>
  <si>
    <t>Although the burnt and UB are just two treatments among 10 others and maybe results are a bit scarce</t>
  </si>
  <si>
    <t>Results only report active ectomycorrhizal tips plus the only statistic behind is t-students</t>
  </si>
  <si>
    <t>Finland</t>
  </si>
  <si>
    <t>Interesting study but they did not take ECM samples</t>
  </si>
  <si>
    <t>Included although they don't report any community results…</t>
  </si>
  <si>
    <t>0_15</t>
  </si>
  <si>
    <t>2.12M ha</t>
  </si>
  <si>
    <t>&lt; 1</t>
  </si>
  <si>
    <t>&lt; 1 (1 week)</t>
  </si>
  <si>
    <t>Sanger</t>
  </si>
  <si>
    <t>Continental</t>
  </si>
  <si>
    <t>Same dataset as in Beck 2020</t>
  </si>
  <si>
    <t>The study is not about wildfire impacts on fungal communities</t>
  </si>
  <si>
    <t>EMF standing for Ecosystem Multifunctionality!</t>
  </si>
  <si>
    <t>They don't have a treatment that considers fire alone as a treatment</t>
  </si>
  <si>
    <t>ABI 3130 genetic analyzer</t>
  </si>
  <si>
    <t>Chronosequence in which the oldest plot is just 18y since fire</t>
  </si>
  <si>
    <t>Poland</t>
  </si>
  <si>
    <t>ITS1;ITS2</t>
  </si>
  <si>
    <t>Temperate</t>
  </si>
  <si>
    <t>&lt; 1 (3 months)</t>
  </si>
  <si>
    <t>Interesting report but they do not provide any numbers in the results</t>
  </si>
  <si>
    <t>They only provide results on root colonization plus they did not have fire as a treatment itself</t>
  </si>
  <si>
    <t>None of the results refer to the ECM community or anything close (just root lenght, etc)</t>
  </si>
  <si>
    <t>Rusia</t>
  </si>
  <si>
    <t>0_30</t>
  </si>
  <si>
    <t>NO REPLICATES</t>
  </si>
  <si>
    <t>Argentina</t>
  </si>
  <si>
    <t>2005; 2006</t>
  </si>
  <si>
    <t>6_10</t>
  </si>
  <si>
    <t>Although they sampled three sites with different fire histories</t>
  </si>
  <si>
    <t>Morphotype_diversity</t>
  </si>
  <si>
    <t>They do not present results about ECM communities</t>
  </si>
  <si>
    <t>Unclear cumbersome methods, no maps or schemes.</t>
  </si>
  <si>
    <t>They don't have a treatment that approaches fire itself</t>
  </si>
  <si>
    <t>&lt; 1 (8 months)</t>
  </si>
  <si>
    <t>Subartic</t>
  </si>
  <si>
    <t>Estonia</t>
  </si>
  <si>
    <t>Hemiboreal</t>
  </si>
  <si>
    <t>&gt; 200</t>
  </si>
  <si>
    <t>Language</t>
  </si>
  <si>
    <t>The paper is in chinese although the figures are in english…</t>
  </si>
  <si>
    <t>Written in chinese… Abstract and figures in english</t>
  </si>
  <si>
    <t>Forest_genus</t>
  </si>
  <si>
    <t>Forest_species</t>
  </si>
  <si>
    <t>&lt; 1 (less than a month)</t>
  </si>
  <si>
    <t>Youngest plot 72 years since fire. Also, insufficient methods</t>
  </si>
  <si>
    <t>Larix</t>
  </si>
  <si>
    <t>gmelinii</t>
  </si>
  <si>
    <t>Pseudotsuga</t>
  </si>
  <si>
    <t>menziesii</t>
  </si>
  <si>
    <t>Pinus</t>
  </si>
  <si>
    <t>pinaster</t>
  </si>
  <si>
    <t>Quercus</t>
  </si>
  <si>
    <t>suber</t>
  </si>
  <si>
    <t>regnans</t>
  </si>
  <si>
    <t>diversicolor</t>
  </si>
  <si>
    <t>sylvestris</t>
  </si>
  <si>
    <t>garryana</t>
  </si>
  <si>
    <t>Cistus</t>
  </si>
  <si>
    <t>ladanifer</t>
  </si>
  <si>
    <t>Alnus</t>
  </si>
  <si>
    <t>viridis</t>
  </si>
  <si>
    <t>contorta</t>
  </si>
  <si>
    <t>mariana</t>
  </si>
  <si>
    <t>pilularis</t>
  </si>
  <si>
    <t>palustris</t>
  </si>
  <si>
    <t>banksiana</t>
  </si>
  <si>
    <t>nigra</t>
  </si>
  <si>
    <t>ponderosa</t>
  </si>
  <si>
    <t>mugo</t>
  </si>
  <si>
    <t>ilex</t>
  </si>
  <si>
    <t>glauca</t>
  </si>
  <si>
    <t>koraiensis</t>
  </si>
  <si>
    <t>Nothofagus</t>
  </si>
  <si>
    <t>pumilio</t>
  </si>
  <si>
    <t>pungens</t>
  </si>
  <si>
    <t>rigida</t>
  </si>
  <si>
    <t>Scarce methods… And results. I took out the 2002 Spain fire because it was already included in a previous study (Mediavilla, 2004)</t>
  </si>
  <si>
    <t>Cuba</t>
  </si>
  <si>
    <t>cubensis</t>
  </si>
  <si>
    <t>UK</t>
  </si>
  <si>
    <t>Sampling design does not contemplate fire as a treatment</t>
  </si>
  <si>
    <t>No UB control</t>
  </si>
  <si>
    <t>Sequencing_device</t>
  </si>
  <si>
    <t>NGS</t>
  </si>
  <si>
    <t>ABI 3730xl DNA Analyzer</t>
  </si>
  <si>
    <t>No UB</t>
  </si>
  <si>
    <t>Although same daataset as in Buscardo (2012). Included under de same ID??</t>
  </si>
  <si>
    <t>Although same dataset as in Bastias 2006!!</t>
  </si>
  <si>
    <t>Root</t>
  </si>
  <si>
    <t>NO UB control (control in this study means not removal of ash)</t>
  </si>
  <si>
    <t>1975; 1976</t>
  </si>
  <si>
    <t>Not sure if we'll be able to use the resulted reports though</t>
  </si>
  <si>
    <t> -3.699135</t>
  </si>
  <si>
    <t xml:space="preserve">They do not provide results on the ECM community! </t>
  </si>
  <si>
    <t>They do not have a treatment that approaches fire itself!</t>
  </si>
  <si>
    <t>Chile</t>
  </si>
  <si>
    <t>Rhizosphere</t>
  </si>
  <si>
    <t>Scarce methods…</t>
  </si>
  <si>
    <t>Although they do not provide results about the fungal community</t>
  </si>
  <si>
    <t>taeda</t>
  </si>
  <si>
    <t> -117.645071</t>
  </si>
  <si>
    <t>2003; 2004</t>
  </si>
  <si>
    <t>alpina</t>
  </si>
  <si>
    <t>DUPLICATED DATASET?</t>
  </si>
  <si>
    <t>There's not a treatment that addresses fire only</t>
  </si>
  <si>
    <t>halepensis</t>
  </si>
  <si>
    <t>Sclerotia_survey</t>
  </si>
  <si>
    <t>The article does not approach fire effects on the fungal community</t>
  </si>
  <si>
    <t>Betula</t>
  </si>
  <si>
    <t>nana</t>
  </si>
  <si>
    <t>Moderate_severity</t>
  </si>
  <si>
    <t xml:space="preserve">Spain </t>
  </si>
  <si>
    <t>Abies</t>
  </si>
  <si>
    <t>concolor</t>
  </si>
  <si>
    <t>DUPLICATED DATASET¿</t>
  </si>
  <si>
    <t xml:space="preserve">Off_topic </t>
  </si>
  <si>
    <t>"even UB patches had burned within the last 1-3 yr"</t>
  </si>
  <si>
    <t>Single_taxa</t>
  </si>
  <si>
    <t>NO UB control</t>
  </si>
  <si>
    <t>Interesting but the results cannot fit in the meta-analysis??</t>
  </si>
  <si>
    <t>echinata</t>
  </si>
  <si>
    <t>&lt; 1 (2 weeks)</t>
  </si>
  <si>
    <t>ABI377</t>
  </si>
  <si>
    <t>Microbial communities do not address fungal community</t>
  </si>
  <si>
    <t>Not a treatment that approaches fire itself</t>
  </si>
  <si>
    <t>No control</t>
  </si>
  <si>
    <t>Results do not refer to fungal communities, it is more focused on enzymes</t>
  </si>
  <si>
    <t>Prefire; Unburnt</t>
  </si>
  <si>
    <t>tenuiramus</t>
  </si>
  <si>
    <t>albicaulis</t>
  </si>
  <si>
    <t>Complete information may be found in Trusty's masterr thesis</t>
  </si>
  <si>
    <t>Study design is not sufficiently specifyied. Is the 2022 study just a more complete verion of this one?</t>
  </si>
  <si>
    <t>China</t>
  </si>
  <si>
    <t>Ion torrent sequencing. Coordinates of the study site are wrong (the ones they provide refer to Mississippi, no Georgia)</t>
  </si>
  <si>
    <t>No_info</t>
  </si>
  <si>
    <t>They do not provide any information about the fire</t>
  </si>
  <si>
    <t>Shorea</t>
  </si>
  <si>
    <t>laevis</t>
  </si>
  <si>
    <t xml:space="preserve"> NO UB control. </t>
  </si>
  <si>
    <t>Very scarce results</t>
  </si>
  <si>
    <t>Fire is not a treatment itself (all treatments were first clear-cut)</t>
  </si>
  <si>
    <t>They DON'T report results</t>
  </si>
  <si>
    <t xml:space="preserve">&lt; 5 </t>
  </si>
  <si>
    <t>Focused in boletis edulis ONLY. Also only one site but many sampling plots.</t>
  </si>
  <si>
    <t>2017; 2018</t>
  </si>
  <si>
    <t>They do not consider fire as a single treatment</t>
  </si>
  <si>
    <t>The MPB attack that the forest suffered before the fire can cofound the effects</t>
  </si>
  <si>
    <t>We cannot separate the effects of fire from those of the severe drought?</t>
  </si>
  <si>
    <t>Their study is restricted to AMF dominated ecosystem</t>
  </si>
  <si>
    <t>2010; 2013</t>
  </si>
  <si>
    <t>lasianthum</t>
  </si>
  <si>
    <t>Arctostaphyllos</t>
  </si>
  <si>
    <t>glandulosa</t>
  </si>
  <si>
    <t>1989; 1990</t>
  </si>
  <si>
    <t>We lack information about the fire (YEARs?)</t>
  </si>
  <si>
    <t>muricata</t>
  </si>
  <si>
    <t>Not a treatment that approached fire itself</t>
  </si>
  <si>
    <t>Artificial heating of soils (oven)</t>
  </si>
  <si>
    <t>They do not report results of the fungal community (only root lenght and biomass)</t>
  </si>
  <si>
    <t>10_20</t>
  </si>
  <si>
    <t>RFLP</t>
  </si>
  <si>
    <t>Very scarce results!!</t>
  </si>
  <si>
    <t>Richness</t>
  </si>
  <si>
    <t>Sandbag</t>
  </si>
  <si>
    <t>DGGE</t>
  </si>
  <si>
    <t>velutina</t>
  </si>
  <si>
    <t>They also conducted a bioassay but only to test seedling survival and growth. We are NOT including it in the metanalysis</t>
  </si>
  <si>
    <t>Although they also measure "medium" time since fire, we are not including it in the study bc we do not know the exact date of these fires</t>
  </si>
  <si>
    <t>Temperate_subtropical</t>
  </si>
  <si>
    <t>Ion_torrent</t>
  </si>
  <si>
    <t>454_pyrosequencing</t>
  </si>
  <si>
    <t>The lodgepole pine-dominated forests we sampled experienced a severe mountain pine beetle outbreak with 75% average overstory tree mor­tality prior to burning</t>
  </si>
  <si>
    <t>5_15</t>
  </si>
  <si>
    <t>In a forest stand that was thinned from below (two
years prior) to a residual tree density approximating 75% of the
maximum recommended stocking level,</t>
  </si>
  <si>
    <t>Unburnt; prefire</t>
  </si>
  <si>
    <t>0_41</t>
  </si>
  <si>
    <t>0_74</t>
  </si>
  <si>
    <t>0_6</t>
  </si>
  <si>
    <t>0_36</t>
  </si>
  <si>
    <t>0_42</t>
  </si>
  <si>
    <t>0_51</t>
  </si>
  <si>
    <t>0_52</t>
  </si>
  <si>
    <t>0_56</t>
  </si>
  <si>
    <t>0_45</t>
  </si>
  <si>
    <t>0_72</t>
  </si>
  <si>
    <t>9_9</t>
  </si>
  <si>
    <t>0_08</t>
  </si>
  <si>
    <t>9_04</t>
  </si>
  <si>
    <t>0_80</t>
  </si>
  <si>
    <t>0_57</t>
  </si>
  <si>
    <t>0_67</t>
  </si>
  <si>
    <t>0_09</t>
  </si>
  <si>
    <t>0_38</t>
  </si>
  <si>
    <t>0_88</t>
  </si>
  <si>
    <t>0_34</t>
  </si>
  <si>
    <t>9_37</t>
  </si>
  <si>
    <t>0_37</t>
  </si>
  <si>
    <t>0_21</t>
  </si>
  <si>
    <t>0_79</t>
  </si>
  <si>
    <t>0_07</t>
  </si>
  <si>
    <t>0_99</t>
  </si>
  <si>
    <t>0_3</t>
  </si>
  <si>
    <t>0_25</t>
  </si>
  <si>
    <t>0_39</t>
  </si>
  <si>
    <t>0_94</t>
  </si>
  <si>
    <t>0_13</t>
  </si>
  <si>
    <t>0_95</t>
  </si>
  <si>
    <t>0_55</t>
  </si>
  <si>
    <t>9_50</t>
  </si>
  <si>
    <t>0_11</t>
  </si>
  <si>
    <t>9_45</t>
  </si>
  <si>
    <t>0_32</t>
  </si>
  <si>
    <t>0_73</t>
  </si>
  <si>
    <t>0_</t>
  </si>
  <si>
    <t>0_92</t>
  </si>
  <si>
    <t>9_56</t>
  </si>
  <si>
    <t>9_54</t>
  </si>
  <si>
    <t>7 previous fires between 1843 and 1970</t>
  </si>
  <si>
    <t>Culture</t>
  </si>
  <si>
    <t>Fire_recurrency_fires_year</t>
  </si>
  <si>
    <t>I think I'll have to discard it beacuse I can't find the date of the last fire plus the fire history goes from 1964 to 1974????</t>
  </si>
  <si>
    <t>Comparisons between different types of vegetation caused by a fire 20 years ago…</t>
  </si>
  <si>
    <t>annual</t>
  </si>
  <si>
    <t>every 2 years</t>
  </si>
  <si>
    <t>every 4 years</t>
  </si>
  <si>
    <t>Did I understand the sampling design correctly? In terms of fire frequency</t>
  </si>
  <si>
    <t>&lt; 1 (1 month)</t>
  </si>
  <si>
    <t>2003; 2006</t>
  </si>
  <si>
    <t>One of these two studies is going OUT since the dataset is THE SAME</t>
  </si>
  <si>
    <t>Only study involving lysimeters…</t>
  </si>
  <si>
    <t>They do not report when was the last fire event!</t>
  </si>
  <si>
    <t>5_10</t>
  </si>
  <si>
    <t>10_30</t>
  </si>
  <si>
    <t>Country</t>
  </si>
  <si>
    <t>Ethiopia</t>
  </si>
  <si>
    <t>Italy</t>
  </si>
  <si>
    <t>New Caledonia</t>
  </si>
  <si>
    <t>France</t>
  </si>
  <si>
    <t>Thailand</t>
  </si>
  <si>
    <t>India</t>
  </si>
  <si>
    <t>Switzerland</t>
  </si>
  <si>
    <t>Argelia</t>
  </si>
  <si>
    <t>Israel</t>
  </si>
  <si>
    <t>Papua New Guinea</t>
  </si>
  <si>
    <t>Colombia</t>
  </si>
  <si>
    <t>Russia</t>
  </si>
  <si>
    <t>Slovenia</t>
  </si>
  <si>
    <t>Mexico</t>
  </si>
  <si>
    <t>Slovakia</t>
  </si>
  <si>
    <t>Norway</t>
  </si>
  <si>
    <t>Native_non_native</t>
  </si>
  <si>
    <t>Forest_type</t>
  </si>
  <si>
    <t>Conifer</t>
  </si>
  <si>
    <t>Broad_leaves</t>
  </si>
  <si>
    <t>Native</t>
  </si>
  <si>
    <t>Aidar, Marcos P.M.; Carrenho, Rosilaine; Joly, Carlos A.</t>
  </si>
  <si>
    <t>Aspects of arbuscular mycorrhizal fungi in an atlantic forest chronosequence parque estadual turístico do Alto Ribeira (petar), SP</t>
  </si>
  <si>
    <t>Biota Neotropica</t>
  </si>
  <si>
    <t>Mycorrhizal colonization was assessed in roots of trees within an Atlantic Forest chronosequence, located in the southeastern of São Paulo State, Brazil, inside Tourist State Park of the High Ribeira Valley (PETAR). The phytosociological survey was carried out in three adjacent areas, all on calcareous soil, which correspond to different time intervals during which they have been left abandoned following a slash-and-burn agricultural perturbation. Early Phase (EP) with 15 years; Mid Phase (MP) with 25 years; and Late Phase (LP) with more than 36 years without clear-cut. The inventory indicated a continuum of tree species substitution, which is dominated by species of Leguminosae, especially Piptadenia gonoacantha (Mart.) J.F. Macbr. (Mimosoideae) in the earlier successional phases. Mycorrhizal colonization, estimated by the occurrence of the mycorrhizal structures in the tree species roots, diminished during the season with less rain (winter), and showed no significant differences between successional phases in the wet season (summer). Rather, the mycorrhizal colonization was correlated with occurrence of the tree’s successional status: being positively correlated with occurrence of pioneer species, and negatively correlated with late secondary species. Mycorrhizal colonization was also correlated negatively with soil organic matter and base saturation. Twenty five species of arbuscular mycorrhizal fungi belonging to four genera were identified. Six species were only identified to generic level. The species Glomus etunicatum Becker &amp; Gerd. represented 10% of the total number of spores and occurred in all phases and seasons, while the genus Glomus represented 57% of the total of spores found in the rhizosphere. The diversity indices evaluated for the mycohrriza community were: H’ = 2.3, J’ = 0.97 and R = 4.12. These results are a contribution to the knowledge of The Atlantic Forest biodiversity and may have implications to support programs regarding rehabilitation of degraded vegetation in one of the World’s most threatened Biomes.</t>
  </si>
  <si>
    <t>Database_year</t>
  </si>
  <si>
    <t>Aleixo, Adriana Pereira; Kaschuk, Glaciela; Alberton, Odair</t>
  </si>
  <si>
    <t>Soil fungal and bacterial biomass determined by epifluorescence microscopy and mycorrhizal spore density in different sugarcane managements</t>
  </si>
  <si>
    <t>CIENCIA RURAL</t>
  </si>
  <si>
    <t>10.1590/S0103-84782014000400002</t>
  </si>
  <si>
    <t>Crop productivity and sustainability have often been related to soil organic matter and soil microbial biomass, especially because of their role in soil nutrient cycling. This study aimed at measuring fungal and bacterial biomass by epifluorescence microscopy and arbuscular mycorrhizal fungal (AMF) spore density in sugarcane (Saccharum officinarum L.) fields under different managements. We collected soil samples of sugarcane fields managed with or without burning, with or without mechanized harvest, with or without application of vinasse and from nearby riparian native forest. The soil samples were collected at 10cm depth and storage at 4 degrees C until analysis. Fungal biomass varied from 25 to 37 mu g C g(-1) dry soil and bacterial from 178 to 263 mu g C g(-1) dry soil. The average fungal/bacterial ratio of fields was 0.14. The AMF spore density varied from 9 to 13 spores g(-1) dry soil. The different sugarcane managements did not affect AMF spore density. In general, there were no significant changes of microbial biomass with crop management and riparian forest. However, the sum of fungal and bacterial biomass measured by epifluorescence microscopy (i.e. 208-301 mu g C g(-1) dry soil) was very close to values of total soil microbial biomass observed in other studies with traditional techniques (e.g. fumigation-extraction). Therefore, determination of fungal/bacterial ratios by epifluorescence microscopy, associated with other parameters, appears to be a promising methodology to understand microbial functionality and nutrient cycling under different soil and crop managements.</t>
  </si>
  <si>
    <t>Alvito, João Afonso da Silva Alfaro Marreiros</t>
  </si>
  <si>
    <t>Structural Behavior of Connections in Cement Bonded Particle Boards</t>
  </si>
  <si>
    <t>Ashley, Katherine A.</t>
  </si>
  <si>
    <t>Population Structure and Reproductive Biology of Monilinia Vaccinii-Corymbosi (Reade) Honey in Lowbush Blueberry in Maine</t>
  </si>
  <si>
    <t>AU B L</t>
  </si>
  <si>
    <t>Manufacture of fire-resistant panel involves forming panel composition having exothermic curing process into panel, arranging panels so that heat released by panels during curing process is adequate to cure panels with no additional heating</t>
  </si>
  <si>
    <t>NOVELTY - A fire-resistant panel is manufactured by preparing a panel composition having an exothermic curing process; forming the panel composition into a panel; arranging panels so that the heat released by the panels during the exothermic curing process is adequate to cure the panels with no additional heating. USE - The inventive method is used for manufacturing a fire-resistant panel (claimed) configured for use in fire-resistant construction. The fire-resistant panel can be used in offices, banks, shopping malls, department stores, supermarkets, restaurants, hotels, cinemas, theaters, opera houses, karaoke, night clubs, jewelry shops, convention centers, exhibition halls, schools, churches, hospitals, clinics, dormitories, gymnasiums, recreation and sports centers, car parks, and hi-rise residential buildings. It is used for partitions, ceilings, interior walls, drywalls, fire walls, hoarding, fire doors, soffits, air-conditioning duct liners, EM (sic) services enclosures, electric conduit liners, plenum ceilings, cores for raised floors, lining panels for elevators; wall coverings for elevator shafts, stairwells, garages; roof-decks, generator-covers, sound-insulating walls, and thermal barriers. It can also be used as ceramic tile underlayment in wet environments. It may be used in fire protective walls, flooring and body for all types of vehicles, including but not limited to cars, buses, trams, trucks, trailers, tourist coaches, mobile homes, school buses, ambulances, trains, cargo trains, MTR/light railcars, MTR/railway stations, terminals, multi-story car parks, gas stations, garages, and cargo handling areas. It may offer particular utility in the transport of materials that exhibit a combustion hazard, e.g. oil trucks and flammable goods trucks. It is well-suited for lightweight and sound-insulating panels, partitions of cabins for all kinds of vessels, especially cruise ships, yachts, hydrofoils, ferries, oil tankers, liquefied petroleum gas (LPG) carriers and naval ships, among others. It is well-suited for industrial wall coverings, partitions, ceilings, electric conduit liners, air conditioning duct covering; oil, flammable goods storage, fire doors, fire exits, fire separation barriers for factories, warehouses, electric sub-stations, and noise silencers. ADVANTAGE - The inventive method manufactures an eco-friendly fire-resistant panel that offers the world's highest-rated fire resistance of 5 hours, high flexural strength, low density, durability and effective water-resistance. The manufactured fire-resistant panel is not only fire-resistant, but is also water-resistant, light in weight, rigid, strong, and durable. For the protection of public health, it is preferably free of toxic materials, e.g. formaldehyde and arsenic, and carcinogenic substances, e.g. asbestos and crystalline silica. It is particularly advantageous in that it is non-combustible, decay-resistant, water-resistant, weather-resistant, heat-insulating, sound-insulating, impact-resistant, termite-repellent, and fungi-repellent. It may provide effective fire prevention and up to 5 hours of fire protection, and is particularly valuable when permitting the safe evacuation of human lives and assets, particularly in disasters like residential, commercial, or forest fires. It offers advantageous properties wherever fire protection is required including, but not limited to, offices, banks, shopping malls, department stores, supermarkets, restaurants, hotels, cinemas, theaters, opera houses, karaoke, night clubs, jewelry shops, convention centers, exhibition halls, schools, churches, hospitals, clinics, dormitories, gymnasiums, recreation and sports centers, car parks, and hi-rise residential buildings. It is most effective in fire protection for plane cabins and cargo holds; ceilings, partitions, wall coverings, fire doors, fire exits, fire separation barriers, air-conditioning duct coverings, EM services enclosures for airports, air cargo terminals, air caterers, hangars, fuel storage, passengers waiting rooms, corridors, and boarding gates. In particular, it offers advantages in the construction of fire protective walls, lift shafts, and stairwell liners for industrial buildings. DETAILED DESCRIPTION - INDEPENDENT CLAIMS are also included for:a suspended ceiling system, that comprises the above fire-resistant panel and that is capable of achieving a fire rating of 5 hours integrity at ∼ 1200°C in accordance with the British Standard 476: Part 22: 1987;a non-load bearing partition system, that comprises the above fire-resistant panel 19-24 and that is capable of achieving a fire-rating of 4 hours integrity and insulation at ∼ 1200°C in accordance with the British Standard 476: Part 22: 1987;a steel stud hoarding system, that comprises the above fire-resistant panel and that is capable of achieving a fire-rating of 4 hours integrity at ∼ 1200°C in accordance with the British Standard 476: Part 22: 1987; andan electrical and mechanical services enclosure system, that comprises the above fire-resistant panel and that is capable of achieving a fire-rating of 2 hours integrity and insulation at ∼ 1050°C in accordance with the British Standard 476: Part 20: 1987. DESCRIPTION Of DRAWING(S) - The figure is a partial cross-sectional view of a fire-resistant panel.10Fireproof or fire-resistant panel material12Core material14Fire-resistant layers16Fire-resistant glass fiber18Fire-resistant fabric</t>
  </si>
  <si>
    <t>Axen, Ada J. Fitz; Kim, Mee-Sook; Klopfenstein, Ned B.; Ashiglar, Sara; Hanna, John W.; Bennett, Patrick; Stewart, Jane E.</t>
  </si>
  <si>
    <t>Fire-associated microbial shifts in soils of western conifer forests with Armillaria root disease</t>
  </si>
  <si>
    <t>10.1128/aem.01312-24</t>
  </si>
  <si>
    <t>Fires in coniferous forests throughout the northern United States alter ecosystem processes and ecological communities, including the diversity and composition of microbial communities living in the soil. In addition to its influence on ecosystem processes and functions, the soil microbiome can interact with soilborne pathogens to facilitate or suppress plant disease development. Altering the microbiome composition to promote taxa that inhibit pathogenic activity has been suggested as a management strategy for forest diseases, including Armillaria root disease caused by Armillaria solidipes, which causes growth loss and mortality of conifers. These forest ecosystems are experiencing increased wildfire burn severity that could influenceA. solidipes activity and interactions of the soil microbiome with Armillaria root disease. In this research, we examine changes to the soil microbiome following three levels of burn severity in a coniferous forest in northern Idaho, United States, where Armillaria root disease is prevalent. We further determine how these changes correspond to the soil microbiomes associated with the pathogen A. solidipes, and a putatively beneficial species, A. altimontana. At 15-months post-fire, we found significant differences in richness and diversity between bacterial communities associated with unburned and burned areas, yet no significant changes to these metrics were found in fungal communities following fire. However, both bacterial and fungal communities showed compositional changes associated with burn severity, including microbial taxa with altered relative abundance. Further, significant differences in the relative abundance of certain microbial taxa in communities associated with the three burn severity levels overlapped with taxa associated with various Armillaria spp. Following severe burn, we observed a decreased relative abundance of beneficial ectomycorrhizal fungi associated with the microbial communities of A. altimontana, which may contribute to the antagonistic activity of this soil microbial community. Additionally, A. solidipes and associated microbial taxa were found to dominate following high-severity burns, suggesting that severe fires provide suitable environmental conditions for these species. Overall, our results suggest that shifts in the soil microbiome and an associated increase in the activity of A. solidipes following high-severity burns in similar conifer forests may result in priority areas for monitoring and proactive management of Armillaria root disease.</t>
  </si>
  <si>
    <t>Barbosa, Reinaldo Imbrozio; Ferreira, Carlos Alberto Cid</t>
  </si>
  <si>
    <t>Biomassa acima do solo de um ecossistema de campina em Roraima, norte da Amazônia brasileira</t>
  </si>
  <si>
    <t>Acta Amazonica</t>
  </si>
  <si>
    <t>The aboveground biomass of a campina ecosystem was estimated in Roraima, in the northern portion of Brazilian Amazonia. The biomass was determined from a phytosociological inventory (1 ha) and distributed between two categories: (1) grassy-woody, composed of herbs+lichens (Poaceae, Cyperaceae, Eriocaulaceae, Cladonia spp), Bromeliaceae, seedlings, fine and coarse litter and, (2) woody, composed of trees and bushes. The grassy-woody category was estimated by the direct method (cutting and weighing) in 10 1-m² plots, taking advantage of transects of the inventory. The category woody was estimated by the indirect method cutting 98 individuals of different species and diameters. A model was generated to express the relationship among total dry above-ground biomass (kg), base circumference (cm) and total height (m) for the individuals in this category. The equation was applied to the 3,966 ind.ha-1 observed in the inventory. The total biomass was estimated at 15.91 t.ha-1, of which 2.20 ± 0.23 t.ha-1 (13.8%) was in the grassy-woody category and 13.70 ± 7.13 t.ha-1 (86.2%) in woody category. The tree species with the highest biomass was Humiria balsamifera (Aubl.) St. Hill. (8.43 t.ha-1), followed by Pagamea guianensis Aubl. (1.14 t.ha-1). These results are important for refining the calculations of greenhouse-gas emissions from burning and decomposition of above-ground biomass in campina ecosystems in the Amazon region.</t>
  </si>
  <si>
    <t>Barnard, David M.; Mahood, Adam L.; Macdonald, Jacob A.; Amundson, Kaela K.; Fegel, Timothy S.; Gleason, Sean M.; Guimond, Madeline; Kaiser, Sophie; Sparks, Kya; Wilkins, Michael J.; Rhoades, Charles C.</t>
  </si>
  <si>
    <t>Indirect effects of soil amendments on plant traits and the microbiome in post-wildfire forest recovery</t>
  </si>
  <si>
    <t>10.1016/j.foreco.2025.122953</t>
  </si>
  <si>
    <t>As wildfires intensify across the western United States, understanding long-term ecosystem recovery is increasingly critical. Post-fire soil amendments, such as woody mulch or biochar, are commonly used to stabilize soils and promote vegetation recovery, yet their effects on plant functional strategies and plant-microbe interactions remain poorly understood. Thirteen years after a high-severity wildfire in Colorado, we evaluated the impacts of these treatments on soil properties, microbial communities, and plant functional traits, including plant height, specific leaf area (SLA), and leaf dry matter content (LDMC). While statistical means comparisons showed limited treatment effects on vegetation composition or plant traits, random forest and exploratory mediation models revealed complex, non-linear, and indirect relationships among soil chemistry, microbial community composition, and plant responses. Notably, microbial community shifts and soil nutrient changes, especially in nitrogen form, emerged as key drivers of plant trait variation. Vaccinium scoparium responded more strongly to NH4+ and ectomycorrhizal fungi, while Oreochrysum parryi was associated with NO3 - and bacterial/archaeal diversity. Biochar increased soil carbon and microbial diversity, whereas mulch enhanced soil moisture and reduced NO3 - availability, leading to contrasting effects on microbial and plant responses. These findings demonstrate that post-fire soil amendments can have meaningful yet indirect impacts on plant resource use strategies and microbial dynamics, which may not be captured using conventional analyses. Our results highlight the value of trait-based approaches and integrative modeling for guiding restoration strategies aimed at enhancing ecosystem function and resilience in fire-affected landscapes.</t>
  </si>
  <si>
    <t>Barou, Vasiliki; Zabal-Aguirre, Mario; Parlade, Javier; Rincon, Ana</t>
  </si>
  <si>
    <t>Tuber melanosporum Vittad. abundance and specific soil parameters predict soil enzymatic activity in wild and managed truffle producing systems</t>
  </si>
  <si>
    <t>10.1016/j.apsoil.2025.105872</t>
  </si>
  <si>
    <t>Soil microorganisms are able to produce extracellular enzymes and are crucial for ecosystem processes like decomposition and nutrient cycling. The black truffle ( Tuber melanosporum Vittad.) is a highly valued ectomycorrhizal edible fungus. It exerts a strong allelopathic effect, creating a burnt area around the host tree that impacts soil biotic and abiotic properties, and likely affects soil functioning as well. This study investigated the influence of black truffle abundance on soil functions, at different seasons and truffle-producing systems. A regional field design was set up in black truffle productive plantations and forests across the natural distribution area of this fungus in Spain. Physico-chemical soil properties, potential soil enzymatic activities related with carbon, phosphorus and nitrogen cycling, and soil fungal richness and abundance were determined. Black truffle- producing forests generally exhibited lower enzymatic activity compared to plantations, except for chitinase. Besides greater soil enzymatic activity -mainly related with rapid carbon and nitrogen turnover- was observed in late spring than autumn, independently of the type of truffle producing system. Our findings revealed a significant negative impact of black truffle abundance on soil enzymatic activities, and particularly on those involved in carbon and nitrogen mobilisation. Besides the strong local site effect, other biotic and abiotic factors differently impacted soil functioning in truffle forests (Mg) and plantations (Ascomycetes richness, CaCO3, Na). These results offer insights into the ecology and functionality of host-truffle-soil interactions and provide valuable information for optimising management practices in black truffle plantations.</t>
  </si>
  <si>
    <t>Bigaton, Daisa; Arruda Bacchi, Lilian Maria; Nazari Formagio, Anelise Samara; Gavassoni, Walber Luiz; Zanella, Claudia de Souza</t>
  </si>
  <si>
    <t>Evaluation of the fungicidal activity of extracts and essential oils on Asian soybean rust</t>
  </si>
  <si>
    <t>REVISTA CIENCIA AGRONOMICA</t>
  </si>
  <si>
    <t>10.1590/S1806-66902013000400012</t>
  </si>
  <si>
    <t>Extracts and essential oils from plants have a great potential to control phytopathogens due to their direct fungitoxic action, inhibiting mycelial growth and spore germination, and their ability to induce the accumulation of phytoalexins in plants. The objective of this work was to evaluate the effect of different methanol extracts and essential oils on Asian soybean rust (Phakopsora pachyrhizi). The experiment was carried out in a green house and incubator. A completely randomized experimental design of seven treatments and ten replications was used. The soybean cultivar was BRS 245RR; the treatments consisted of essential oils and methanol extracts of the genus Schinus terebinthifolius (Brazilian pepper tree) and Trichilia silvatica (quebra-machado, catigua-vermelho), the surfactant, Tween 80 (1% v/v), and water, as a control. The plants were sprayed with their respective treatments, and then artificially inoculated with the fungus about 24 hours later. The characteristics analysed were: number of leaflets per plot; chlorophyll index, plant height, intensity of the Asian soybean rust, number of leaflets with rust, number of leaflets with a burnt appearance. The plants sprayed with 5% (m/v) Schinus extract, and 1% (v/v) Schinus oil showed greater intensity of the disease compared to those sprayed with water. These two treatments and 1% Trichilia oil caused an increased incidence of burned leaflets, indicating phytotoxicity to the crop.</t>
  </si>
  <si>
    <t>Brundrett, Mark C.; Grierson, Pauline F.; Bennett, Lauren T.; Weston, Christopher J.</t>
  </si>
  <si>
    <t>Soils and the Below-ground Interactions that Shape Australian Vegetation</t>
  </si>
  <si>
    <t>AUSTRALIAN VEGETATION, 3RD EDITION</t>
  </si>
  <si>
    <t>Vegetation and plant diversity patterns are strongly linked to soil properties, such as fertility, texture and depth in all parts of Australia. This results because many parts of Australia have relatively old and highly weathered soil profiles compared to most other regions. However, interactions between soils and vegetation are very complex because soils result from weathering processes that are determined by substrate type, topography, climate and vegetation, as well as the relocation of materials by wind and water. In a global context, Australian soils in many habitats are highly infertile, with low availability of phosphorus, nitrogen and trace elements. These infertile soils are often linked to shrub-dominated ecosystems, where it is assumed that soil fertility is insufficient to support tree growth, but plant productivity is also severely limited by water availability in many habitats. Low soil nutrient supply is counteracted by plant adaptations to growth in infertile soils, as well as efficient nutrient cycling, especially after fire. In Australia the majority of plants have mycorrhizal associations that assist in nutrient uptake and this includes an exceptionally high diversity of plants with ectomycorrhizal associations, as well as plants with nitrogen fixing symbioses. However, nonmycorrhizal plants are also exceptionally diverse in many Australian vegetation types and include many species with specialised means of nutrition, including carnivores, parasites and cluster-rooted species.</t>
  </si>
  <si>
    <t>Burrill, Haley M.; Ralston, Ellen B.; Dawson, Heather A.; Roy, Bitty A.</t>
  </si>
  <si>
    <t>Litter Decomposition in Pacific Northwest Prairies Depends on Fire, with Differential Responses of Saprotrophic and Pyrophilous Fungi</t>
  </si>
  <si>
    <t>MICROORGANISMS</t>
  </si>
  <si>
    <t>10.3390/microorganisms13081834</t>
  </si>
  <si>
    <t>Fungi contribute to ecosystem function through nutrient cycling and decomposition but may be affected by major disturbances such as fire. Some ecosystems are fire-adapted, such as prairies which require cyclical burning to mitigate woody plant encroachment and reduce litter. While fire suppresses fire-sensitive fungi, pyrophilous fungi may continue providing ecosystem functions. Using litter bags, we measured the litter decomposition at three prairies with unburned and burned sections, and we used Illumina sequencing to examine litter communities. We hypothesized that (H1) decomposition would be higher at unburned sites than burned, (H2) increased decomposition at unburned sites would be correlated with higher overall saprotroph diversity, with a lower diversity in autoclaved samples, and (H3) pyrophilous fungal diversity would be higher at burned sites and overall higher in autoclaved samples. H1 was not supported; decomposition was unaffected by burn treatments. H2 and H3 were somewhat supported; saprotroph diversity was lowest in autoclaved litter at burned sites, but pyrophilous fungal diversity was the highest. Pyrophilous fungal diversity significantly contributed to litter decomposition rates, while saprotroph diversity did not. Our findings indicate that fire-adapted prairies host a suite of pyrophilous saprotrophic fungi, and that these fungi play a primary role in litter decomposition post-fire when other fire-sensitive fungal saprotrophs are less abundant.</t>
  </si>
  <si>
    <t>Caiafa, Marcos V.; Grazziotti, Paulo H.; Karlsen-Ayala, Elena; Jusino, Michelle A.; Healy, Rosanne; Reynolds, Nicole K.; Whitten, W. Mark; Smith, Matthew E.</t>
  </si>
  <si>
    <t>Ectomycorrhizal fungal communities associated with Crocanthemum and Lechea (Cistaceae) in subtropical Florida sandhill habitats</t>
  </si>
  <si>
    <t>10.1007/s00572-024-01172-6</t>
  </si>
  <si>
    <t>Cistaceae are shrubs, subshrubs and herbs that often occur in stressful, fire-prone or disturbed environments and form ectomycorrhizal (ECM) associations with symbiotic fungi. Although some Cistaceae are long-lived shrubs that grow to significant size, others are herbaceous annuals or short-lived plants. Thus, Cistaceae are atypical ECM hosts that are fundamentally different in their biology from trees that are the more typically studied ECM hosts. The Mediterranean region is the center of diversity for Cistaceae and the ectomycorrhizal fungi associated with Cistaceae hosts have primarily been studied in Europe, North Africa, and the Middle East. Mediterranean Cistaceae often host diverse communities of ECM fungi, but they also act as hosts for some ECM fungi that putatively show host-specificity or strong host preference for Cistaceae (including species of Delastria, Hebeloma, Terfezia, and Tirmania). The ECM associations of Cistaceae in North America, however, remain highly understudied. Here we use fungal DNA metabarcoding to document the ectomycorrhizal fungal communities associated with Crocanthemum and Lechea (Cistaceae) in open, fire-prone sandhill habitats in north Florida. At each site we also sampled nearby Pinus to determine whether small, herbaceous Cistaceae have specialized ECM fungi or whether they share their ECM fungal community with nearby pines. The ECM communities of Florida Cistaceae are dominated by Cenococcum (Ascomycota) and Russula (Basidiomycota) species but were also significantly associated with Delastria, an understudied genus of mostly truffle-like Pezizales (Ascomycota). Although many Cistaceae ECM fungi were shared with neighboring pines, the ECM communities with Cistaceae were nonetheless significantly different than those of pines.</t>
  </si>
  <si>
    <t>Cancelli, Rodrigo Rodrigues; de Souza, Paulo Alves; Pereira das Neves, Paulo Cesar</t>
  </si>
  <si>
    <t>Fungi, cryptogams and other palynomorphs in the Holocene sediments of the South Coastal Plain of Santa Catarina, Brazil</t>
  </si>
  <si>
    <t>ACTA BOTANICA BRASILICA</t>
  </si>
  <si>
    <t>10.1590/S0102-33062012000100004</t>
  </si>
  <si>
    <t>(Fungi, cryptogams and other palynomorphs in the Holocene sediments of the South Coastal Plain of Santa Catarina, Brazil). This paper presents the results of a palynological analysis carried out on two cores taken from the south Coastal Plain of the Santa Rosa do Sul and Sao Joao do Sul municipalities, in the state of Santa Catarina. A basal sample from the Santa Rosa do Sul core furnished a C-14 age of 7908 +/- 33 yr BP, from the Lower Holocene. Palynological analysis of the material allowed for taxonomic identifications, and resulted in descriptions and illustrations of 54 palynomorphs related to fungi (21), algae (5), acritarchs (1), incertae sedis (1), bryophytes (2), ferns (15), gymnosperm pollen (2) and other palynomorphs (1 bryophyte capsule, 4 invertebrate fragments, and 2 indeterminate palynoforaminifers), which express different ecological patterns. This work aimed to contribute to the knowledge of the plant and fungal fossils remains, and related taxa, recorded from the Coastal Plain of Santa Catarina for the Holocene. Additional palynological analyses will contribute to paleoclimate and paleoenvironmental interpretations of this portion of the Brazilian coast.</t>
  </si>
  <si>
    <t>Dames, Joanna Felicity</t>
  </si>
  <si>
    <t>Litter Accumulation in Pinus patula Plantations and the Role of Ectomycorrhizal Fungi in a Forest Ecosystem</t>
  </si>
  <si>
    <t>de Sousa, Rosangela Ribeiro; Leao, Evelynne Urzedo; Veloso, Ronice Alves; Giongo, Marcos; dos Santos, Gil Rodrigues</t>
  </si>
  <si>
    <t>Impact of burning vegetation on the Cerrado fungi soil</t>
  </si>
  <si>
    <t>CIENCIA FLORESTAL</t>
  </si>
  <si>
    <t>10.5902/1980509822614</t>
  </si>
  <si>
    <t>There are few studies related to the impact of burnings on soil fungi present in the cerrado. The aim of this work was identify the mycoflora in cerrado soil samples before and after burning process at two depths; observing the interference of this process in the fungi soil inhabitants population. The samples were collected in area, in the municipality of Jail do Tocantins, State of Tocantins. Bioassays were installed in a completely randomized experimental design, with four replicates and five treatments, represented by different concentrations of soil solution. The identification of the fungi was made at the genus level according to their morphological structures formed in culture medium through optical microscope observations. In the before burning area we observed greatest diversity of genera and fungi colonies. The opposite was found in the area subsequently submitted to the burning process, showing minor fungal colonies. Among the genera identified, Aspergillus, Penicillium, Cladosporium, Fusarium, Mucor, Pythium and Trichodenna were the most representative colonies. We observed a reduction of 45% approximately in the population of antagonistic fungi. It was found that the use of fire in vegetation negatively influenced microbial populations present in the surface layers of cerrado soil.</t>
  </si>
  <si>
    <t>Desjardins, NadiaMahiout</t>
  </si>
  <si>
    <t>Biological Control Trials Against the Beech Mealybug (Cryptococcus fagisuga Lind.), an Insect Precursor of Beech Bark Disease (BCD)</t>
  </si>
  <si>
    <t>Dinis, Daniela Filipa Pereira</t>
  </si>
  <si>
    <t>Medronheiro e fungos micorrízicos: parceria para o futuroStrawberry Tree and Mycorrhizal Fungi: Partnership for the Future</t>
  </si>
  <si>
    <t>Dinkins, HannahE.</t>
  </si>
  <si>
    <t>Photosynthesis, Water Use, and Biomass Allocation of Princess Tree (Paulownia Tomentosa) and Tulip Poplar (Liriodendron Tulipifera) First Year Seedlings across Light and Prescribed Fire Conditions</t>
  </si>
  <si>
    <t>Doolittle, Cole J.</t>
  </si>
  <si>
    <t>The Local Neighborhood Interactions Shaping Tree Communities Through Ecological Disturbance and Environmental Change</t>
  </si>
  <si>
    <t>dos Santos, Mariana Flor Neves Neves</t>
  </si>
  <si>
    <t>Mercúrio em Cogumelos Selvagens Níveis e Riscos Para Humanos</t>
  </si>
  <si>
    <t>Espinosa, Juncal; Carrillo, Cristina; Madrigal, Javier; Guijarro, Mercedes; Hernando, Carmen; Martin-Pinto, Pablo</t>
  </si>
  <si>
    <t>Experimental summer fires do not affect fungal diversity but do shape fungal community composition in Mediterranean Pinus nigra forests</t>
  </si>
  <si>
    <t>10.1186/s42408-025-00352-9</t>
  </si>
  <si>
    <t>BackgroundFire regimes (in terms of frequency, severity, and intensity) in ecosystems are changing. Summer fires are occurring in Mediterranean forests more frequently and are more severe than spring or autumn fires. Soil microbial communities provide essential ecosystem services and are essential in post-fire recovery. However, to date, studies to determine the impact of summer fires on soil microbial communities have been limited. To explore how more severe fires may affect fungal diversity and community composition, we conducted an experimental summer fire in June 2019 at an experimental site that had been previously established in a pure stand of black pine (Pinus nigra Arn.) in 2016 in the Cuenca Mountains in Spain (Central-Eastern Spain).ResultsMetabarcode DNA analyses of soil samples collected in three blocks (with three plots sampled in unburned and burned areas per block) in spring 2020 revealed that total soil fungi richness and diversity were not affected by summer burning; although no significant, summer burning did have a contrary influence on the most dominant fungal trophic groups. The relative abundance of ectomycorrhizal (ECM) fungi was negatively affected by burning, whereas saprotrophic fungi were positively affected by burning. Fire also had a significant effect on the composition of the total community and when analyzed by the trophic group. Multilevel pattern analysis showed that ECM fungi were significantly correlated with unburned plots. Physicochemical analyses revealed that there were no changes in the main edaphic variables measured.ConclusionsThe application of fire under more critical summer conditions (out of typical prescribed fire weather windows in Europe) did not produce significant differences in the diversity of the fungal community, being ECM fungi more sensitive to heat than other trophic groups. However, the composition of the fungal community differed significantly between burned and unburned plots. Overall, burned plots showed an adaptation to fire with a rapid proliferation of several pyrophilous genera that are able to improve soil conditions, which would enhance post-fire regeneration of the stand.These pioneering results can inform managers in conducting controlled summer fires to surrogate low to medium surface fire in Pinus nigra stands, knowing that the fungal diversity of the ecosystem is not affected, and thus the key ecological role of these organisms is not significantly harmed.ConclusionsThe application of fire under more critical summer conditions (out of typical prescribed fire weather windows in Europe) did not produce significant differences in the diversity of the fungal community, being ECM fungi more sensitive to heat than other trophic groups. However, the composition of the fungal community differed significantly between burned and unburned plots. Overall, burned plots showed an adaptation to fire with a rapid proliferation of several pyrophilous genera that are able to improve soil conditions, which would enhance post-fire regeneration of the stand.These pioneering results can inform managers in conducting controlled summer fires to surrogate low to medium surface fire in Pinus nigra stands, knowing that the fungal diversity of the ecosystem is not affected, and thus the key ecological role of these organisms is not significantly harmed.AntecedentesLos reg &amp; iacute;menes de fuego en ecosistemas (en t &amp; eacute;rminos de frecuencia, severidad, e intensidad), est &amp; aacute;n cambiando. Los fuegos de verano est &amp; aacute;n ocurriendo en los bosques del Mediterr &amp; aacute;neo con mucha mayor frecuencia y severidad que en primavera u oto &amp; ntilde;o. Las comunidades microbianas del suelo proveen de servicios ecosist &amp; eacute;micos esenciales y son tambi &amp; eacute;n esenciales en la recuperaci &amp; oacute;n post-fuego. Sin embargo y hasta ahora, los estudios que determinan el impacto de los fuegos de verano en las comunidades microbianas han sido limitados. Para explorar c &amp; oacute;mo fuegos m &amp; aacute;s severos pueden afectar la diversidad de hongos y la composici &amp; oacute;n de la comunidad, condujimos una quema experimental de verano en junio de 2019 en un sitio experimental que hab &amp; iacute;a sido establecido previamente en un rodal puro de pino negro (Pinus nigra Arn.) en 2016 en las monta &amp; ntilde;as de Cuenca en Espa &amp; ntilde;a (Centro-Este de Espa &amp; ntilde;a).ResultadosAn &amp; aacute;lisis de codificaci &amp; oacute;n mediante AND de muestras de suelo colectadas en tres bloques (con tres parcelas muestreadas en &amp; aacute;reas quemadas y sin quemar por bloque) en la primavera de 2020, revelaron que la riqueza total de hongos y la diversidad no fueron afectadas por la quema de verano; sin embargo, la quema de verano si tuvo una influencia significativa en los grupos tr &amp; oacute;ficos de hongos m &amp; aacute;s dominantes. La abundacia relativa de hongos ectomicorr &amp; iacute;cicos (ECM) fue negativamente afectada por las quemas, mientras que los hongos saprof &amp; iacute;ticos fueron positivamente afectados por las quemas. El fuego tuvo tambi &amp; eacute;n efectos significativos en la composici &amp; oacute;n total de la comunidad y cuando fue analizada por grupos tr &amp; oacute;ficos. El an &amp; aacute;lisis de patrones revel &amp; oacute; que no hubo cambios en las principales variables ed &amp; aacute;ficas medidas.ConclusionesLa aplicaci &amp; oacute;n de quemas bajo las condiciones cr &amp; iacute;ticas del verano (por fuera de las ventanas de prescripci &amp; oacute;n en Europa) no produjo diferencias significativas en la diversidad de la comunidad f &amp; uacute;ngica, siendo los hongos (ECM) m &amp; aacute;s sensibles al fuego que otros grupos tr &amp; oacute;ficos. Sin embargo, la composici &amp; oacute;n de la comunidad f &amp; uacute;ngica difiri &amp; oacute; significativamente entre parcelas quemadas y no quemadas. En general, las parcelas quemadas mostraron una adaptaci &amp; oacute;n al fuego con una r &amp; aacute;pida proliferaci &amp; oacute;n de varios g &amp; eacute;neros de pir &amp; oacute;filos, que son capaces de mejorar las condiciones del suelo, los cuales pueden aumentar la regeneraci &amp; oacute;n post fuego del rodal.</t>
  </si>
  <si>
    <t>Heinken, Thilo; Blumroeder, Jeanette S.; Adhikari, Yojana; Balthasar, Cathrina; Binder, Anja; Birkhofer, Klaus; Bischoff, Antje; Brosinsky, Arlena; Bubner, Ben; Clerc, Danica; Djoudi, El Aziz; Dobkowitz, Sophia; Francke, Till; Gerwin, Werner; Hartong, Heinrich; Hess, Carsten; Jarling, Rene; Jouy, Florent; Leinen, Loretta; Meissner, Andreas; Raab, Thomas; Repmann, Frank; Roennefarth, Susanne; Schaaf, Wolfgang; Schirrmacher, Marina; Schmehl, Marie-Therese; Schmitt, Thomas; Schroeder, Jens; Schuele, Maren; Sturm, Knut; Welle, Torsten; Ibisch, Pierre L.</t>
  </si>
  <si>
    <t>PYROPHOB - A post-fire ecosystem research project to inform management for resilient forest development</t>
  </si>
  <si>
    <t>TUEXENIA</t>
  </si>
  <si>
    <t>10.14471/2024.44.004</t>
  </si>
  <si>
    <t>PYROPHOB (fire-resistant) is the name of an interdisciplinary research project that is running for five years from 2020 to 2025. In this project, eight institutions are investigating the ecological effects of wildfires and subsequent forest management strategies in pine forests (plantations) in Brandenburg (NE Germany), with the aim of formulating practical recommendations for managing fire-prone forests and the effective restoration of post-fire forest areas. We provide a brief overview of what is known about the effects of wildfire on abiotic and biotic parameters in temperate pine forests, as well as the effects of silvicultural treatments. To date, we know little about how different components of biodiversity are linked in post-fire forest ecosystems and how management affects their functioning. By describing the project, we illustrate the requirements for the implementation of such an applied research project. We emphasize the importance of the study design for dealing with interdisciplinary questions and for the quantitative synthesis of research results. The project comprises a set of standardised field plots in two wildfire areas covering different post-fire management options.Fifteen study sites were established, including two reference sites in unburned pine stands, each with ten study plots as replicates. In situ nitrogen mineralisation, litter decomposition tests and soil biological activity are used for soil biological characterisation. Microclimate data is measured continuously. Standing and lying dead wood and tree regeneration are recorded as key indicators of the success of forestry treatments. Further methods com-prise terrestrial laser scanning, remote sensing techniques as well as surveys of vegetation and above and below ground biomass. Identification of fruiting body-forming fungi, phytoparasites and ectomycorrhizal fungi is supported by marker gene sequencing. Faunistic indicators comprise predatory soil arthropods (pairs of emergence tents and soil traps), saproxylic beetles (flight traps and funnel traps), moths (automated window traps), mammals (camera traps), and breeding birds (visual and acoustic observation). We discuss the strengths and limitations of the project design. We are able to systematically capture short-term temporal shifts in parameters and trends in post-fire ecosystem development. Research in a real landscape with ongoing environmental changes and interventions pres-ents challenges for experimental design, data analysis and interpretation. The drivers of ecosystem development are rarely completely independent or perfectly balanced, and lack of replication is ine-vitable. The two fires did not occur in the same year and season, resulting in different initial conditions for the colonisation of the burned areas. Finally, a large part of one study area was again affected by a fire in 2022, which destroyed direct comparability with the other sites. Despite these obstacles the project has started to generate valuable results to address management and conservation challenges</t>
  </si>
  <si>
    <t>Human, Zander Rainier</t>
  </si>
  <si>
    <t>The Microbial Ecology of Protea repens (Proteaceae) Infructescences and the Surrounding Environment</t>
  </si>
  <si>
    <t>Jardim, Raissa; Marques, Marcia; do Carmo, Marta; Cavalin, Pedro; de Oliveira, Ricardo; Carlucci, Marcos</t>
  </si>
  <si>
    <t>Unveiling above- and below-ground ecological strategies that underlie woody plant encroachment in grasslands</t>
  </si>
  <si>
    <t>10.1111/1365-2745.70003</t>
  </si>
  <si>
    <t>Forests and grasslands often occur side by side in the landscape, forming a complex mosaic system with contrasting environmental conditions, maintained by different fire-vegetation stabilising feedbacks. Woody species that occur along this sharp gradient must adopt viable ecological strategies to deal with the contrasting environments of these ecosystems. For this, plants are challenged to efficiently coordinate the functioning of ecological strategy dimensions above- and below-ground. We tested hypotheses related to structural changes in vegetation and associated shifts in community-level trait patterns and ecological strategies during woody plant encroachment. We surveyed 60 permanent plots in forest-grassland mosaics at two different times (2012-2022) to obtain data on changes in vegetation structure, species composition, abundance and ecological strategies after 10 years without disturbance, capturing a gradient from open and woody plant-encroached grasslands to closed forests. An integrated functional approach was used to assess the different dimensions of plant trait variation, including 10 above- and below-ground traits, representing whole-plant, leaf, stem and root strategies. Woody plant encroachment led to a substantial increase in woody plant density in former grasslands, transforming their structure to resemble that of young forests. Interestingly, we found clear trade-offs between above- and below-ground traits among woody species. On the one hand, the species occurring in grassland had conservative leaves, a strategy for protection against high solar incidence, physical damage and drought, and had roots with a 'do-it-yourself' strategy, which ensures efficiency in the acquisition of nutrients and water in nutrient-limited soils, and had thick bark related to fire resistance. On the other hand, forest species were usually taller and had acquisitive leaves, indicating highly competitive ability in light-limited forests, whereas their roots had an 'outsourcing' strategy of resource uptake to mycorrhizal fungi in the nutrient-rich soils of forests. Synthesis: We advanced the current understanding of woody plant encroachment in grasslands by showing the underlying trait-based trade-offs that enable woody species to occur along the transition between forest and grassland through space and time. Importantly, we have shown how below-ground traits are important in explaining the species strategies, with a negative covariance between above- and below-ground. Our integrative trait-based approach will be helpful in better understanding and managing forest-grassland mosaics in southern Brazil and analogous patchy ecosystems around the world.Florestas e campos frequentemente ocorrem lado a lado na paisagem, formando um sistema mosaico complexo com condiçõ es ambientais contrastantes, mantido por diferentes feedbacks estabilizadores entre fogo e vegetaçã o. Espé cies lenhosas que ocorrem ao longo desse acentuado gradiente devem adotar estraté gias ecoló gicas viá veis para lidar com os ambientes contrastantes desses ecossistemas. Para isso, as plantas precisam coordenar eficientemente o seu funcionamento acima e abaixo do solo. No presente artigo nó s avaliamos mudanç as estruturais na vegetaçã o associadas com mudanç as funcionais na escala de comunidades e nas estraté gias ecoló gicas das espé cies durante o processo de adensamento de espé cies lenhosas. Para isso, realizamos a amostragem de 60 parcelas permanentes localizadas nos mosaicos campo-floresta, em dois perí odos de tempo (2012 e 2022). O objetivo foi de obter dados sobre mudanç as na estrutura da vegetaçã o, composiçã o de espé cies, abundâ ncia e estraté gias ecoló gicas apó s 10 anos sem distú rbios, capturando um gradiente que vai de campos abertos, campo adensado por plantas lenhosas até florestas fechadas. Utilizamos uma abordagem funcional integrada para aavaliar as diferentes dimensõ es funcionais das plantas, incluindo 10 atributos funcionais acima e abaixo do solo (incluindo atributos de folha, caule e raiz). O adensamento de espé cies lenhosas resultou em um aumento substancial na densidade de plantas lenhosas em á reas anteriormente ocupadas por campos, transformando sua estrutura que atualmente se assemelha à de florestas jovens. Curiosamente, identificamos claros trade-offs entre atributos funcionais acima e abaixo do solo em espé cies lenhosas. Por um lado, as espé cies ocorrendo em campos apresentaram folhas conservativas, uma estraté gia para proteçã o contra alta incidê ncia solar, danos fí sicos e seca, alé m de raí zes com uma estraté gia 'faç a você mesmo', garantindo eficiê ncia na aquisiçã o de nutrientes e á gua em solos pobres, e casca espessa relacionada à resistê ncia ao fogo. Por outro lado, espé cies de floresta foram geralmente mais altas e apresentaram folhas aquisitivas, indicando alta competitividade onde existe limitaçã o de luz, enquanto suas raí zes exibiram uma estraté gia de aquisiçã o de recursos mediada por fungos micorrí zicos, no ambiente onde os solos sã o mais ricos. Sí ntese. Avanç amos no entendimento atual sobre o adensamento de espé cies lenhosas sobre os campos ao demonstrar os trade-offs funcionais que permitem a ocorrê ncia de espé cies lenhosas ao longo da transiçã o entre floresta e campo no espaç o e no tempo. Mostramos, especialmente, como atributos funcionais abaixo do solo sã o importantes para explicar as estraté gias das espé cies, com uma covariâ ncia negativa entre atributos funcionais acima e abaixo do solo. Nossa abordagem integrativa baseada em atributos foi ú til para um melhor entendimento e manejo de mosaicos floresta-campo no sul do Brasil e em ecossistemas aná logos ao redor do mundo.</t>
  </si>
  <si>
    <t>Kalinhoff, Carolina; Cáceres, Alicia; Lugo, Leonardo</t>
  </si>
  <si>
    <t>Cambios en la biomasa de raíces y micorrizas arbusculares en cultivos itinerantes del Amazonas Venezolano</t>
  </si>
  <si>
    <t>Interciencia</t>
  </si>
  <si>
    <t>The allocation of biomass to the production of fine roots in terrestrial plants and arbuscular mycorrhizal (AM) symbiotic partnerships are important adaptations under conditions of low fertility. In a mosaic of shifting cultivation, comprising two growing areas (conucos) and two 2-4 and 4-6 years deserted areas after being cultivated (fallow), and a little disturbed rain forest area, differences in fine root biomass (diameter &lt;2mm), infective potential of soil and spore density of arbuscular mycorrhizal fungi (AMF) were assessed. Roots and soil samples were collected at random in the first 15cm of depth. There was a significantly higher proportion of fine roots in the mantle root surface (mat) with respect to the mineral soil of the forest. Fine root biomass decreased markedly and the root mat was eliminated with the conversion of forest to conuco; however, within a six year fallow period an incipient root mat formed. AM colonization, number of spores and infective potential of the soil increased significantly in conuco and fallows with respect to the forest. The results show that the adverse effects that fire might have on the AMF were reversed during cultivation, possibly due to the planting of species that are highly susceptible to AM colonization. These trends support the sustainable nature of the piaroa ethnic group shifting cultivation, when it is practiced in its traditional form.</t>
  </si>
  <si>
    <t>Karlsen-Ayala, Elena</t>
  </si>
  <si>
    <t>Characterization of Ectomycorrhizal Fungal Communities Associated With Florida Slash Pine in the South Florida Pine Rocklands</t>
  </si>
  <si>
    <t>Kong, Jianjian; Ding, Zifan; Cai, Wenhua; Zu, Jiaxing; Liu, Bo; Yang, Jian</t>
  </si>
  <si>
    <t>Topography and Wildfire Jointly Mediate Postfire Ecosystem Multifunctionality in a Chinese Boreal Forest</t>
  </si>
  <si>
    <t>FIRE-SWITZERLAND</t>
  </si>
  <si>
    <t>10.3390/fire7110417</t>
  </si>
  <si>
    <t>Both topography and wildfire can exert significant influences on ecosystem processes and functions during boreal forest successions. However, their impacts on ecosystem multifunctionality (EMF) remain unclear. A mega-fire burned an area of 8700 hectares in the Great Xing'an Mountains in 2000, creating a wide range of fire severity levels across various topographic positions. This provided a unique opportunity to explore the impacts of mixed-severity fire disturbance in boreal forests. We evaluated the effect pathways of wildfire and topography on aboveground multifunctionality (AEMF), soil multifunctionality (SEMF), and overall multifunctionality (OEMF). We found that high-severity burning resulted in lower AEMF, SEMF, and OEMF relative to low-severity burning. Topographic positions significantly influenced SEMF and OEMF, but not AEMF. Specifically, both lower SEMF and OEMF were observed on south-facing slopes. The structure equation model analysis showed that aspect had exerted strong indirect effects on AEMF, SEMF, and OEMF by affecting soil moisture and regenerated tree density (RTD). Fire severity had indirect negative effects on AEMF and OEMF by reducing RTD and on SEMF by reducing soil bacterial diversity and RTD. Our study elucidates the necessity of considering postfire site environments to better manage forest ecosystems and, in turn, promote the rapid recovery of boreal ecosystem functions.</t>
  </si>
  <si>
    <t>Krichels, Alexander H.; Stephens, Elizah Z.; Reid, Chloe; Barriga, M. Fabiola Pulido; Ordonez, Maria E.; McLaren, Jennie R.; Kargul, Meg; Larios, Loralee; Glassman, Sydney I.; Homyak, Peter M.</t>
  </si>
  <si>
    <t>Wildfire-Induced Losses of Soil Particulate and Mineral-Associated Organic Carbon Persist for Over 4 Years in a Chaparral Ecosystem</t>
  </si>
  <si>
    <t>10.1111/gcb.70404</t>
  </si>
  <si>
    <t>Wildfires can lower soil carbon (C) stocks directly through combustion, but also indirectly during post-fire recovery if microbial C demands outpace photosynthetic C inputs. However, how much C is respired by soil microorganisms post-fire may depend on wildfire effects on particulate organic carbon (POC; mostly plant material accessible to microbes) and/or mineral-associated organic carbon (MAOC; considered C protected by minerals from decomposers), meaning assessment of wildfire impacts on these pools is necessary to predict microbial decomposition rates and, thus, the fate of soil C. Here, we measured POC, MAOC, pyrogenic organic matter C, plant cover, extracellular enzyme activity (EEA), and microbial community abundance and composition 17 days, and 1, 3, and 4 years after the Holy Fire burned 94 km(2) of fire-adapted chaparral. The wildfire immediately decreased POC by 50% (from 51 +/- 21 to 26 +/- 6 g C kg(-1)) and MAOC by 33% (from 9.3 +/- 0.9 to 6.3 +/- 0.9 g C kg(-1)), consistent with MAOC being less vulnerable to loss than POC. POC decreased by another 38% 1 year post-fire, consistent with increases in microbial abundance and EEA suggesting increased microbial decomposition. Between 1 and 4 years after the fire, cover of the dominant shrub (Arctostaphylos glandulosa) increased from 3.9% +/- 1.6% to 16% +/- 5.4% (compared to 58% +/- 4.6% in unburned plots), marking the end of net soil C losses. Still, soil C did not increase between 1 and 4 years post-fire, suggesting plant C inputs did not outpace microbial respiration, a finding consistent with isotopically heavier C from microorganisms raising bulk soil delta C-13 values. As global changes favor increases in wildfire frequency and severity, C losses via combustion and decomposition may outpace plant C inputs during the first 4 years post-fire in chaparral, slowing the replenishment of soil C stocks.</t>
  </si>
  <si>
    <t>Lazarevic, Jelena; Topalovic, Ana; Menkis, Audrius</t>
  </si>
  <si>
    <t>Fungal Diversity in Fire-Affected Pine Forest Soils at the Upper Tree Line</t>
  </si>
  <si>
    <t>10.3390/f15112012</t>
  </si>
  <si>
    <t>Forest fires represent a significant ecological disturbance in ecosystems that increasingly affects Pinus heldreichii H. Christ forests at the upper tree line in Montenegro, due to climate change and anthropogenic factors. Soil samples were collected from five high-altitude sites in the Ku &amp; ccaron;i Mountains, including three post-fire sites (2-, 4-, and 6-years post-fire) and two unburned control sites. High-throughput sequencing and soil chemical analyses were conducted to assess fungal diversity, community composition, and soil nutrient properties. The results showed that fungal diversity was significantly higher in unburned soils compared to post-fire soils, with the most prominent changes in ectomycorrhizal fungi, which are crucial for pine regeneration. The fungal community composition differed markedly between the post-fire and unburned sites, with specific taxa such as Hygrocybe conica (Schaeff.) P. Kumm. and Solicoccozyma aeria (Saito) Yurkov dominating the post-fire environments. Despite this, the fungal richness did not significantly change over time (2-, 4-, or 6-years post-fire), suggesting the slow recovery of fungal communities in high-altitude environments. In addition to shifts in fungal biodiversity, the post-fire soils exhibited higher levels of available phosphorus, likely due to the conversion of organic phosphorus into soluble forms during combustion. However, the organic matter content remained unchanged. This study provided important insights into the long-term ecological impacts of forest fires on high-altitude P. heldreichii forests and underlined the importance of preserving unburned forest areas to maintain fungal biodiversity and support natural regeneration, as well as the potential need for active restoration strategies in fire-affected regions.</t>
  </si>
  <si>
    <t>Livne-Luzon, Stav; Perlson, Oren; Avidan, Yael; Sivan, Guy; Bruns, Thomas D.; Shemesh, Hagai</t>
  </si>
  <si>
    <t>A non-linear effect of the spatial structure of the soil ectomycorrhizal spore bank on the performance of pine seedlings</t>
  </si>
  <si>
    <t>10.1007/s00572-021-01023-8</t>
  </si>
  <si>
    <t>The spatial structure of the environment is known to affect ecological processes. Unlike the spatial structure of negative interactions, such as competition and predation, the role of spatial structure in positive interaction has received less attention. We tested how the spatial structure of spores of ectomycorrhizal fungi (EMF) in the soil affects the growth of Aleppo pine (Pinus halepensis) seedlings. Spores were spatially distributed at four different levels of patchiness (1 patch, 4 patches, 8 patches and complete mixing) in 4 L pots (all pots received the same total amount of spores). Based on previous findings, we hypothesized that plant performance would gradually increase from the single patch treatment to the complete mixing. However, we found a non-linear response to patchiness. Specifically, plants were largest in the single patch and complete mixing while those in the 4 and 8 patch treatments were the smallest. This non-monotonic response, which might be the result of spatially determined colonization timing or community composition, suggests that the spatial structure of EMF spores has a complex effect on seedling growth.</t>
  </si>
  <si>
    <t>Luís, Rosa de Jesus Marques</t>
  </si>
  <si>
    <t>Efeitos da Queima Prescrita nos Microrganismos do SoloEffects of Prescribed Burning on Soil Microorganisms</t>
  </si>
  <si>
    <t>Maurice-Lira, Jorge Victor; Prada-Polo, Claudia; Bertocci, Dante; Sanz-Benito, Ignacio; Martin-Pinto, Pablo</t>
  </si>
  <si>
    <t>Early ecological shifts of soil fungal communities after a historic megafire in the Sierra de la Culebra</t>
  </si>
  <si>
    <t>TREES FORESTS AND PEOPLE</t>
  </si>
  <si>
    <t>10.1016/j.tfp.2025.100918</t>
  </si>
  <si>
    <t>Megafires represent an escalating global challenge, with Mediterranean regions particularly vulnerable due to intensifying droughts and rising temperatures. Studying the impacts of megafire on biodiversity and ecosystem services is crucial for strengthening resilience against this phenomenon. In this study, we evaluated the shortterm impact of Spain's largest recorded megafire on soil fungal diversity. We hypothesized: (i) fungal richness and abundance would be lower in burned plots than in control plots; (ii) saprotrophic species and ectomycorrhizal fungi (ECM) would exhibit divergent abundance trends; and (iii) indicator taxa associated with post-fire environments would be significantly linked to burned plots. To assess the validity of these hypotheses, nextgeneration sequencing techniques were applied. A total of 3025 operational taxonomic units were identified, of which 2188 were assigned at the genus or species level, spanning 18 phyla. Ascomycota and Basidiomycota were the dominant phyla. Taxa were grouped into 20 trophic guilds, with saprotrophic fungi (67 %) and ECM fungi (18 %) dominating. Diversity indices considering relative abundances (Shannon and Pielou Evenness) were significantly lower in burned plots. Multivariate analyses revealed differences in fungal composition and functional groups. ECM taxa were significantly associated with unburned soils, whereas several saprotrophic groups were associated with burned plots, demonstrating divergent trends between these guilds in post-fire environments. Moreover, some pyrophilic taxa were identified as indicators of burned plots. Edible taxa were significantly affected, potentially threatening rural economies. Our findings provide robust insights into how megafires threaten both fungal diversity and its ecosystem services and emphasize the need for effective fire-prevention strategies.</t>
  </si>
  <si>
    <t>ARBUSCULAR MYCORRHIZAL FUNGAL COMMUNITIES IN NATIVE AND IN REPLANTED ARAUCARIA FOREST</t>
  </si>
  <si>
    <t>10.1590/S0103-90162009000500013</t>
  </si>
  <si>
    <t>Araucaria angustifolia is an important Brazilian conifer, but it is endangered of extinction due to excessive logging. The objective of the present case study was to survey data on the diversity of AMF in Araucaria angustifolia forests, and to learn whether it is possible to discriminate between the AMF communities associated with natural, introduced, and impacted-by-anthropogenic-action ecosystems. Three ecosystems representative of the Campos do Jordao (Sao Paulo State, Brazil) region were selected, as follows: (i) a native climax forest, with predominance of Araucaria trees, without anthropogenic interference (NF), (ii) Araucaria forest introduced in 1959 (RE), and (iii) Araucaria forest introduced in 1958, submitted to accidental fire in July 2001 (RF). Sampling of rhizosphere soil was performed at a 0-20 cm depth around each Araucaria tree, and 2 m from the trunk, in the months of May and October, 2002. AMF spores were separated from the soil, counted, and taxonomically identified, while the roots were evaluated for mycorrhizal colonization. The ecological indices R (Richness), Is (Simpson's dominance index) and H (Shannon's diversity index) were calculated. All the data were submitted to univariate (two-way ANOVA) and correspondence analysis (CA). Considering both samplings and the three areas, twenty-six AMF species were found, distributed among five genera, Acaulospora and Glomus being the most frequent ones. There were no differences among the three areas for R, Is, and H. CA demonstrated that there is a spatial separation among the three areas, and the AMF that preferentially associated with each area.</t>
  </si>
  <si>
    <t>Neno, Joana Filipa Rodrigues</t>
  </si>
  <si>
    <t>Identificação e Estudo de Espécies de Botryosphaeria sp. em Eucalipto e em Montado de SobroIdentification and Study of Species of Botryosphaeria sp. in Eucalyptus and Montado de Cork</t>
  </si>
  <si>
    <t>Nobre, Camila Pinheiro; da Costa, Marlon Gomes; Goto, Bruno Tomio; Gehring, Christoph</t>
  </si>
  <si>
    <t>Arbuscular mycorrhizal fungi associated with the babassu palm (Attalea speciosa) in the eastern periphery of Amazonia, Brazil</t>
  </si>
  <si>
    <t>ACTA AMAZONICA</t>
  </si>
  <si>
    <t>10.1590/1809-4392201800092</t>
  </si>
  <si>
    <t>Babassu, Attalea speciosa (Arecaceae) is a ruderal palm native to Amazonia, which turned dominant in frequently burned lands throughout the 'arc of deforestation' and other degraded lands, in extreme cases attaining complete dominance. This study investigated arbuscular mycorrhizal fungi (AMF) as one possible explanation for the outstanding ecological success of this exceptional palm. We explored the relationships between the babassu palm and native arbuscular mycorrhizal fungi and babassu effects on the AMF richness and mycorrhizal inoculum potential (MIP) in the eastern periphery of Amazonia. For this purpose, we sampled topsoil (0-20 cm) at the onset of the rainy season from a 5-year-old secondary forest regrowth (SEC) area with three levels of babassu dominance (sites with 10, 50 and 70% babassu biomass shares), and at three distances (0, 2.5 and 4 m) from isolated babassu patches within a degraded pasture (PAS), both with five replications per treatment. Glomerospore density varied from 100 to 302 per gram of soil, 56% higher in SEC than PAS. We identified a total of 16 AMF species, with dominance of Acaulospora (six species) followed by Glomus (three species). AMF richness increased with babassu dominance in SEC sites, and reduced with distance from babassu patches within the PAS. The colonization rate of babassu roots was higher in SEC than in PAS, whereas MIP was similar in both areas and without treatment differences. Our study points to strong mycorrhizal association of the babassu palm as a potential mechanism for its outstanding ecological success in degraded lands.</t>
  </si>
  <si>
    <t>Nogueira de Andrade, Meire Cristina; de Almeida Minhoni, Marli Teixeira; Sansigolo, Claudio Angeli; Zied, Diego Cunha; Sales-Campos, Ceci</t>
  </si>
  <si>
    <t>COMPARATIVE STUDY OF THE NUTRITIONAL CONSTITUTION OF WOOD AND BARK OF SPECIES AND CLONES OF EUCALYPTUS AIMING THE CULTIVATION OF SHIITAKE IN LOGS</t>
  </si>
  <si>
    <t>REVISTA ARVORE</t>
  </si>
  <si>
    <t>10.1590/S0100-67622011000200002</t>
  </si>
  <si>
    <t>The nutritional properties of wood and bark of seven species and three clones of eucalyptus were evaluated, aiming the cultivation of shiitake in logs. The experimental design was totally randomized, with 10 treatments (types of eucalyptus) and 3 repetitions, being each repetition corresponding to a mixed sample of sawdust obtained from discs collected in different heights (9 cm, middle and 14 cm of diameter) from the same tree. Barks were removed from wood wedges for individual analysis. Samples were sent to the Laboratory of Chemical Analysis of Fertilizers and Correctives of the Department of Natural Resources - Soil Science - School of Agronomic Sciences/UNESP, for determination of macro and micronutrients composition. Nitrogen determination was performed by oxidation with perchloric acid; phosphorus was determined with nitric-perchloric extraction and colorimetric determination (spectrophotometric molybdovanadophosphoric acid method); potassium was determined by flame photometry; carbon, by muffle burning; sulphur, by gravimetry and calcium, magnesium, sodium, copper, iron, manganese and zinc, by atomic absorption spectrophotometry. According to the results obtained and as expected, it was verified that the element S was not detected in any of the kinds of eucalyptus analyzed, both for bark and wood; for wood, elements Mg, Na and Mn presented difference in contents among eucalyptus types analyzed. For bark, K2O, C, Cu and Mn showed different contents in function of eucalyptus type. Barks of eucalyptus types presented very high contents of Ca (77x), K (3,7x), Mg (39x), Na (2,5x), Mn (26x) e Fe (1,9x), compared to the corresponding woods (Ca was the prevailing element in bark). Ca, K, Mg and P were the prevailing elements in wood.</t>
  </si>
  <si>
    <t>Olsson, A.; Allanson, A.; L'Hotellier, F.</t>
  </si>
  <si>
    <t>Haematological and serum biochemical reference interval for free-ranging northern bettongs (Bettongia tropica) in far north Queensland</t>
  </si>
  <si>
    <t>AUSTRALIAN VETERINARY JOURNAL</t>
  </si>
  <si>
    <t>10.1111/avj.13429</t>
  </si>
  <si>
    <t>BackgroundThe northern bettong, Bettongia tropica, is an endangered potoroid recognised as a specialist consumer of underground ectomycorrhizal fungi important to wet sclerophyll forest at the interface with tropical rainforest. In line with identified recovery objectives of re-establishing populations within the species' former range, a founder population was translocated to a feral predator-free fenced exclosure within previously occupied habitat to the south of its current range. No published reference intervals for haematology and serum biochemistry exist for this species. Establishing reference intervals provides a valuable tool for health assessment of founder animals and investigations into population health and disease during ongoing monitoring of populations.ObjectiveTo develop reference intervals for haematology and serum biochemistry parameters in northern bettongs, Bettongia tropica.MethodsHaematological and serum biochemical reference intervals were determined from 39 healthy northern bettongs captured across the Lamb Range region of north Queensland. Routine haematological and biochemical parameters were analysed, including blood gases and lactate, which indicate metabolic changes associated with stress.ResultsHaematological and serum biochemical parameters were similar to those reported from other potoroids, except for haematocrit and serum protein, which were elevated. Stress parameters were within normal limits. Macropod herpesvirus and Toxoplasma gondii were not detected.ConclusionsTranslocated northern bettongs were in good general health, and data collected at the time of capture were sufficient to establish a preliminary reference interval for the species. This provides baseline information by which to monitor health and welfare of the translocated population, and will contribute to health monitoring of other extant populations.</t>
  </si>
  <si>
    <t>Philpott, Timothy J.; Danyagri, Gabriel; Wallace, Brian; Frank, Mae</t>
  </si>
  <si>
    <t>Low-severity wildfire prevents catastrophic impacts on fungal communities and soil carbon stability in a fire-affected Douglas-fir ecosystem</t>
  </si>
  <si>
    <t>10.1016/j.geoderma.2025.117189</t>
  </si>
  <si>
    <t>The growing frequency, extent and severity of wildfire is destabilizing carbon sinks in western North America, underscoring an urgent need to better understand fire impacts on soil carbon stocks, carbon stability, and fungi that regulate soil carbon cycling. Here, we examined the effects of wildfire two years post-burn on soil carbon and fungal communities across a fire severity gradient in Douglas-fir forests in central British Columbia, Canada. We observed no significant differences in soil carbon or fungal community composition between low-severity and unburned stands. In contrast, high-severity wildfire resulted in a 49 % reduction in belowground carbon stocks (20.7 Mg Cha(-1)), a 91 % decline in ectomycorrhizal fungi, 5- to 27-fold increases in pathogenic fungi, and a proliferation of pyrophilous taxa compared to unburned stands. Carbon was lost primarily as light particulate organic matter, whereas impacts to mineral-associated carbon were muted. Pyrogenic carbon preferentially associated with the mineral fraction, modestly increasing (similar to 0.15 Mg Cha(-1)) the proportion of carbon resistant to decay in this stable fraction. Select helotialean (e.g. Phialocephala fortinii) and other pyrophilous taxa were well-correlated with pyrogenic carbon, suggesting this consortium is well-adapted to decompose persistent carbon and will likely continue to mineralize soil carbon even after high severity wildfire. The markedly higher abundance of pathogenic fungi and reduced ectomycorrhizal abundance in stands affected by high-severity fires pose risks to post-fire recovery, particularly if pathogen proliferation reduces conifer fitness. These results highlight that low-severity wildfires have comparatively muted impacts on soil carbon and fungal communities relative to high-severity wildfires, underscoring the importance of management strategies such as thinning and prescribed burns to mitigate the catastrophic effects of high-severity wildfires.</t>
  </si>
  <si>
    <t>Estudo o Efeito das Queimadas Sobre a Dinâmica das Plantas nas FlorestasThe Effects of Fire on Soil Plant Dynamics in Forests, a Review</t>
  </si>
  <si>
    <t>Pontes, Ana Sofia Nunes</t>
  </si>
  <si>
    <t>Bioprocessamento de Pentoses do Licor de Cozimento ao Sulfito Acido</t>
  </si>
  <si>
    <t>Qu, Laiye; Guo, Mingjie; Makoto, Kobayashi; Watanabe, Yoko; Wu, Gang; Koike, Takayoshi</t>
  </si>
  <si>
    <t>Effects of different charcoal treatments on the growth of Japanese larch seedlings inoculated with ectomycorrhizal fungi</t>
  </si>
  <si>
    <t>JOURNAL OF FORESTRY RESEARCH</t>
  </si>
  <si>
    <t>10.1007/s11676-024-01800-z</t>
  </si>
  <si>
    <t>To understand the roles of charcoal and ectomycorrhizal fungi (ECMF) on tree growth, which relates to the rehabilitation of forest ecosystems after forest fires, two experiments were set up in this study, the first was to determine the correct amount of charcoal for Japanese larch (Larix kaempferi Sarg.) seedling growth by applying oak charcoal to basic soil medium at ratios of 1:1, 1:2, 1:4 and 1:8 by volume. The second experiment investigated the combined effects of four types of charcoal: derived from oak wood, husks of buckwheat, rice and activated charcoal of larch wood, and two types of ECMF: Pt (Pisolithus tinctorius Pers.) and Ec (Pt + Rhizopogon spp. + Laccaria spp. + Scleroderma spp.) on the growth of Japanese larch seedlings. Our results show that growth was significantly stressed by large amounts charcoal applications. There were significant variations among the four types of charcoal on growth. We concluded that the addition of charcoal was the critical factor that influenced larch growth and ECMF formation. Rice charcoal and Ec stimulates the growth and nitrogen uptake of Japanese larch seedlings, thus the most suitable fungus and charcoal for practices is Ec-rice charcoal (1: 8 charcoal to basic soil).</t>
  </si>
  <si>
    <t>Ramos-Zapata, Jose A.; Orellana, Roger; Allen, Edith B.</t>
  </si>
  <si>
    <t>Mycorrhizal dynamics and dependence of Desmoncus orthacanthos martius (Arecaceae), a native palm of the Yucatan Peninsula, Mexico</t>
  </si>
  <si>
    <t>INTERCIENCIA</t>
  </si>
  <si>
    <t>Field observations were carried out to determine the seasonal patterns and recovery from disturbance by arbuscular mycorrhizal (AM) associations in Desmoncus orthacanthos Martins, eight years following shifting agriculture and in a mature forest. In addition, a greenhouse experiment was performed to determine the relative mycorrhizal dependency (RMD) of this species. Four growth stages were selected, and roots and rhizosphere soil of five individuals from each stage were monitored during one year A seasonal pattern, but no difference in abandoned agriculture and mature forest were found in AM fungal activity. Soil moisture, spores per gram of soil, and percentage of root colonization were not correlated during this year. Root colonization was highest at both sites during the wet season, but was equally high during one dry season observation in the abandoned milpa. Spore density was highest during the dry season. The RMD ranged from 7.8 to 54.9%, with greater biomass of mycorrhizal than non-mycorrhizal plants using P solutions that mimicked field soil concentrations. This suggests that this slow-growing palm is highly dependent on mycorrhizal fungi in local soils and maintains relatively high AM activity even during the dry season. Culture of this slow-growing, understory palm for the rattan industry requires that soils be managed for high levels of AM fungi. The study showed that the standard local practice of shifting agriculture enables sufficient recovery of soil inoculum for growth of D. orthacanthos.</t>
  </si>
  <si>
    <t>Reid, Hayley A.</t>
  </si>
  <si>
    <t>Post-Fire Restoration of Single-Leaf Pinyon Pine: Above-And Below-Ground Influences on Seedling Establishment</t>
  </si>
  <si>
    <t>Rosa, Daniel Dias; Bocardo, Paola Jennifer; Souza, Helenize Gabriela de; Furtado, Edson Luiz</t>
  </si>
  <si>
    <t>Ocorrência de queima foliar em árvores de Santa Bárbara (Melia azedarach) causado por Cercospora meliae</t>
  </si>
  <si>
    <t>Summa Phytopathologica</t>
  </si>
  <si>
    <t>Runte, Gabriel C.</t>
  </si>
  <si>
    <t>Missing in the Forest if Not for the Trees: Ectomycorrhizal Neighbor Effects in Temperate Forests</t>
  </si>
  <si>
    <t>Serdar, Feyzan</t>
  </si>
  <si>
    <t>Karadeniz Bölgesi geleneksel ahşap konutunun su ve ısı etkilerine karşı dış duvar performansının artırılmasına yönelik önlemlerMeasures to Increase Exterior Wall Performance of Traditional Wooden Houses in the Black Sea Region Against Water and Heat Effects</t>
  </si>
  <si>
    <t>Silva, Cassia; Viana, Igor; de Souza, Dalmarcia; Silva, Damiana; Portella, Augustus; Giongo, Marcos</t>
  </si>
  <si>
    <t>Effect of fire on abundance and fungal diversity in the Cerrado soil</t>
  </si>
  <si>
    <t>10.5902/1980509854717</t>
  </si>
  <si>
    <t>Prescribed burning, with different objectives of management and handling, has been applied more frequently in protected areas. In order to understand the effect of fire, this work aimed to assess the abundance and diversity of fungal microorganisms in response to the use of fire and forest fires. Soil samples before and after burning were collected, with fungi isolated by the plating method, then quantified by counting the collony-forming units (CFU g(-1)) and identified at the gender level. The average CFU g(-1) did not present a significant difference between the evaluated fire regimes, however, there was a significant difference (p&lt;0.05) for diversity, and the two years of fires caused less gender diversity. The genders Aspergillus and Penicillium were present in all sampled areas, with higher CFU g(-1) values, whereas genders Mucor and Rhizopus exhibited the lowest values. The average colony-forming unit (CFU g(-1)) and diversity before and after prescribed burning differed statistically (p &lt; 0.05), while the average CFU g(-1) had a reduction and diversity showed an increase after the passage of fire in all areas evaluated. The greatest reduction in the average CFU g(-1) occurred for the month of July. Pearson's correlation coefficient values obtained demonstrated a significant negative correlation between average CFU g(-1), diversity and temperature (r = 0.70; r = -0.98 and p &lt; 0.05). The diversity variable presented negative correlation with temperature, precipitation and relative humidity (r = -0.56; r = -0.86 and p &lt; 0.05), thus indicating that there was a direct influence of these variables on the abundance and diversity of soil fungi. The soil parameters (aluminum, exchangeable acidity, cation EXCHANGE capacity, calcium and magnesium, phosphorus, pH, base and aluminum saturation) have a direct relation with the soil fungi.</t>
  </si>
  <si>
    <t>Sit, Christine Y.; Tran, Elan; Sonnier, Gregory; Sheffer, L. P.; Smith, Matthew E.; David, Aaron S.</t>
  </si>
  <si>
    <t>Environmental Stress Shifts Growth Strategies of Oak and Heath Shrubs in the Florida Scrub</t>
  </si>
  <si>
    <t>CASTANEA</t>
  </si>
  <si>
    <t>10.2179/0008-7475.90.1.67</t>
  </si>
  <si>
    <t>The ability of plant species to mitigate environmental stresses is crucial for maintaining their populations and communities. One potential mitigation approach is a growth strategy shift mediated by intraspecific trait variation. We evaluated potential stress-induced shifts in two growth strategies across six common Florida scrub shrub species in two major groups, oaks (Quercus spp., Fagaceae) and heaths (Ericaceae), along an elevational stress gradient. The acquisitive-conservative gradient explains how plants invest in aboveground tissues to photosynthesize more, while the collaboration gradient explains how plants attain belowground resources using a 'do-it-yourself' strategy or collaboratively 'outsourcing' with mutualistic mycorrhizal fungi. We expected high-stress environments to shift species towards conservative growth with increased symbiont collaboration compared to low-stress environments. For each species, we measured a suite of aboveground (all species) and belowground (oaks only) plant functional traits in two or more different habitats along an elevational stress gradient. Aboveground traits (leaf circularity and stomatal density) significantly decreased with stress across all species analyzed, suggesting a shift to a more conservative strategy. Belowground oak traits showed significant support for a shift to more collaboration with stress, with decreases in specific root length and increases in ectomycorrhizal tip density with stress. Overall, we found that oak and heath shrubs showed limited support for shifting to a conservative strategy with stress and relatively strong support for the oaks to shift to a more collaborative strategy. These findings advance our broader knowledge of how oak and heath species cope with environmental stress via shifting growth strategies.</t>
  </si>
  <si>
    <t>Taylor, Melanie Kay</t>
  </si>
  <si>
    <t>Considering Forest Change in Eastern North America From Perspectives of Fire, Biogeochemistry, and Ecosystem Resilience</t>
  </si>
  <si>
    <t>Turiel-Santos, Sara; Calvo, Leonor; Pinto, Pablo Martin; Taboada, Angela</t>
  </si>
  <si>
    <t>Large wildfires alter the potential capacity of fire-prone Mediterranean pine forests to provide wild edible mushrooms over the long term</t>
  </si>
  <si>
    <t>10.1016/j.tfp.2024.100658</t>
  </si>
  <si>
    <t>Projected trends of intensified wildfires due to climate warming and fuel-load accumulation are expected to significantly alter fungal diversity, but we know little about how these changes will impact ecosystem services. We aimed to analyze how large wildfires alter the capacity of fire-prone Mediterranean ecosystems dominated by Pinus pinaster Ait. to deliver the provisioning ecosystem service of mushroom production throughout the post-fire succession. We assessed this at early (&lt;10 years), medium (10-20 years), and late (&gt;20 years) stages after fire, compared to an unburned forest. Our results evidenced that large wildfires significantly reduced the capacity of these forests to provide mushroom harvesting opportunities. This adverse effect was most pronounced in the first few years after wildfire but persisted even after 20 years of post-fire succession. The total fungal species richness, abundance, diversity, and productivity at the post-fire successional stages remained lower than in the unburned forest, failing to reach their pre-fire levels even after two decades. However, the presence of commercially valuable edible fungal species, along with their species richness and productivity, began to recover in the medium and late stages after fire. In the immediate aftermath of the fire, saprotrophic fungal species dominated, while mycorrhizal species became more prevalent during the medium and late stages of secondary succession. Additionally, the abundance and productivity of mycorrhizal species in the late succession stage approached those found in the unburned forest. Soil pH and biochemical variables (microbial biomass C and beta-glucosidase enzymatic activity) were key drivers of changes in species composition along the successional stages. This knowledge is essential to guide management solutions aimed at reducing ecosystem service loss and increasing resilience to the new scenario of extreme large wildfire events at shorter fire-free intervals, especially in southern Europe.</t>
  </si>
  <si>
    <t>Urso-Guimaraes, Maria Virginia; Koch, Ingrid; Devides Castello, Ana Carolina</t>
  </si>
  <si>
    <t>Diversity of insect galls from Mato Grosso State, Brazil: Cerrado</t>
  </si>
  <si>
    <t>BIOTA NEOTROPICA</t>
  </si>
  <si>
    <t>10.1590/1676-0611-BN-2021-1189</t>
  </si>
  <si>
    <t>The Midwest region of Brazil possesses large areas dominated by the Cerrado that is poorly known concerning insect gall and their interactions. In this study, we inventory the gall morphology, host plants, and the gall makers from Parque Nacional da Chapada dos Guimaraes, Mato Grosso State, in areas of natural vegetation from Cerrado, for the first time. Samplings occurred in two expeditions, July 2012 and January 2013. We characterized 295 morphotypes of insect galls in 140 host plant species, with 89 gall makers; the richest family in host plants was Fabaceae (16.7%), and the species was Protium heptaphyllum (Aubl.) Marchand (Burseraceae, 3.7%). Parque Nacional da Chapada dos Guimaraes is the richest Brazilian cerrado area in gall morphotypes (295) and the second in average morphotypes/host plant species (2.1). Additionally, six genera and 38 species are new records as host plants; two of them, Bernardia similis Pax and K.Hoffm and Ormosia macrophylla Benth., are new occurrences for Mato Grosso State, and other two, Vochysia petraea Warm. and Talisia subalbens (Mart.) Radlk. are listed in the Red List of Threatened Species IUCN. This inventory data represents a testimony of insect-plant interactions in a Brazilian Cerrado area that was consumed by an unprecedented fire in the dry season of 2020.</t>
  </si>
  <si>
    <t>Weise, Armin</t>
  </si>
  <si>
    <t>Patterns and Drivers of Wiregrass Gap Longleaf Pine (Pinus palustris Mill.) Woodland Succession as Part of Restoration Efforts</t>
  </si>
  <si>
    <t>Zahra, Shafia</t>
  </si>
  <si>
    <t>The Potency of Insect and Fungi in Baluran National Park as Natural Enemies of Invasive Vachellia nilotica and Its Future Control Strategies</t>
  </si>
  <si>
    <t>Zárate, Néstor Antonio Heredia; Schwan-Estrada, Kátia Regina Freitas; Vieira, Maria do Carmo; Helmich, Marcelo; Macedo, Rodrigo Vargas; Heid, Diego Menani</t>
  </si>
  <si>
    <t>Brotação e produção de mandioquinha-salsa 'Amarela de Carandaí', proveniente de mudas desinfectadas com óleo de eucalipto e enraizadas em bandejas</t>
  </si>
  <si>
    <t>Bragantia</t>
  </si>
  <si>
    <t>This work aimed to evaluate the sprouting of cuttings and yield of 'Amarela de Carandaí' peruvian carrot plants from cuttings which were disinfected with eucalyptus oil and rooted in polyethylene trays. In pre-rooting on trays, the Plan Puebla III experimental matrix was used to combine doses of eucalyptus oil and immersion periods, respectively: 0.6%/36 s; 1.4%/36 s; 0.6%/84 s; 1.4%/84 s; 1.0%/60 s; 0.1%/36 s; 1.9%/84 s; 0.6%/6 s and 1.4%/114 s, added a control (0.0%/0 s). At field, ten cuttings per plot and six treatments were used: 0.6%/36 s; 0.6%/84 s; 1.0%/60 s; 0.1%/36 s; 0.6%/6 s and 0.0%/0 s. Highest percentages of sprouted cuttings and height of plants were obtained in treatments with doses of eucalyptus oil smaller than 1.0% and the control. The highest fresh weight of commercial roots, which were harvested at 264 days after planting, were obtained in 0.6%/36 s, 0.6%/84 s and 1.0%/60 s treatments. There was burning of leaves caused by Alternaria sp. and Septoria sp., with more intensity on 111 days after planting, which showed theirselves associated and without possibility of isolate quantification. It was concluded that, to achieve higher yield of commercial roots, it must disinfect the cuttings with aqueous solution with doses of 0.6% or 1.0% of eucalyptus oil and immersion for periods of 36 s to 84 s, with harvest at 264 days after planting.</t>
  </si>
  <si>
    <t>Zema, Demetrio Antonio; Carmona-Yanez, Maria Dolores; Plaza-Alvarez, Pedro Antonio; Lucas-Borja, Manuel Esteban</t>
  </si>
  <si>
    <t>A new index to estimate ecosystem multifunctionality: Theoretical approach and an application to a burned forest of Central Eastern Spain</t>
  </si>
  <si>
    <t>10.1016/j.jenvman.2024.123655</t>
  </si>
  <si>
    <t>Several indexes have been proposed in the scientific literature and widely applied in many environments to evaluate the ecosystem multifunctionality. However, some indexes are based on the simple average of the environmental indicators (EIs) and ecosystem functions (EFs), which do not consider the ecosystem complexity and mutual relationships among the composing variables. In order to overcome these limitations, this study proposes a new method that modifies the ecosystem multifunctionality (EMF) index proposed by Maestre et al. (2012) on Science (hereafter original EMF). From a theoretical point of view, this index (weighted EMF index or WEMF), which is based on the Principal Component Analysis, retains only the most influential EIs on EMF, and discards the EFs with lower environmental and statistical significance. Moreover, the method can take into account the combined effects of some EIs that synergistically drive the ecosystem functions, and estimates the quantitative influence of each EF on the ecosystem multifunctionality. The application of the WEMF to a forest ecosystem of Central Eastern Spain affected by a wildfire and then subjected to post-fire management (mulching with wood chips or wheat straw) has shown that: i) the original EMF index gives non-significant differences in ecosystem multifunctionality among the experimented soil conditions, which contrasts evidence from the literature; and ii) the WEMF captures the severe disturbance due to wildfire on ecosystem multifunctionality compared to the unburned sites, giving lower importance to those EFs that marginally affect the EMF. Despite the encouraging validation attempt, the results of this study should be considered preliminary for a wider applicability of the WEMF in other environmental contexts.</t>
  </si>
  <si>
    <t>FULL ARTICLE IN PORTUGUES</t>
  </si>
  <si>
    <t>Mycorrhizae_dry_weight</t>
  </si>
  <si>
    <t>UB_SE</t>
  </si>
  <si>
    <t>Burnt_SE</t>
  </si>
  <si>
    <t>FINAL_INCLUSION</t>
  </si>
  <si>
    <t>I don't think it is going to be useful. No replicates. Only ECM dry weight and sporocarp abundance</t>
  </si>
  <si>
    <t>Ascomycota_per</t>
  </si>
  <si>
    <t>Basidiomycota_per</t>
  </si>
  <si>
    <t>Bulk_soil</t>
  </si>
  <si>
    <t>Data only in terms of relative abundance</t>
  </si>
  <si>
    <t>No_control_without_pathogen</t>
  </si>
  <si>
    <t>DCA_ordination</t>
  </si>
  <si>
    <t>Recurrent_burning</t>
  </si>
  <si>
    <t>CAP_ordination</t>
  </si>
  <si>
    <t>Simpson_diversity</t>
  </si>
  <si>
    <t>Guilds_rel_abun</t>
  </si>
  <si>
    <t>PCOA_ordination</t>
  </si>
  <si>
    <t>Not significant diferences</t>
  </si>
  <si>
    <t>&gt;20 without fire</t>
  </si>
  <si>
    <t>Fire treatment is not so relevant to the study</t>
  </si>
  <si>
    <t>NMDS_ordination</t>
  </si>
  <si>
    <t>pilularis; botryoides</t>
  </si>
  <si>
    <t>CCA_ordination</t>
  </si>
  <si>
    <t>SMD</t>
  </si>
  <si>
    <t>mariana; glauca</t>
  </si>
  <si>
    <t>Chao1</t>
  </si>
  <si>
    <t>Burnt_SD</t>
  </si>
  <si>
    <t>UB_SD</t>
  </si>
  <si>
    <t>Sp</t>
  </si>
  <si>
    <t>d</t>
  </si>
  <si>
    <t>SMD = standardize mean difference</t>
  </si>
  <si>
    <t>Sp = Pooled standard deviation</t>
  </si>
  <si>
    <t>d = Difference between means</t>
  </si>
  <si>
    <t>vd</t>
  </si>
  <si>
    <t>vd = estimated variance of effect size</t>
  </si>
  <si>
    <t>j</t>
  </si>
  <si>
    <t>g</t>
  </si>
  <si>
    <t>g_se</t>
  </si>
  <si>
    <t>hedges_g</t>
  </si>
  <si>
    <t>Response_var</t>
  </si>
  <si>
    <t>effect_size</t>
  </si>
  <si>
    <t>Dt</t>
  </si>
  <si>
    <t>Dc</t>
  </si>
  <si>
    <t>Db</t>
  </si>
  <si>
    <t>RRstructure</t>
  </si>
  <si>
    <t>RRbeta</t>
  </si>
  <si>
    <t>j =small sample size bias correction</t>
  </si>
  <si>
    <t>g = Hedge's g</t>
  </si>
  <si>
    <t>No_raw_data</t>
  </si>
  <si>
    <t>&gt;14000</t>
  </si>
  <si>
    <r>
      <t xml:space="preserve">Hemos hecho un ajuste de los horizontes del suelo: en vez de 3_6, 0_10, 10_20, hemos estandarizado a 0_5, 5_10, 10_20. </t>
    </r>
    <r>
      <rPr>
        <b/>
        <sz val="11"/>
        <color rgb="FFFF0000"/>
        <rFont val="Arial"/>
        <family val="2"/>
      </rPr>
      <t>Authors contacted</t>
    </r>
  </si>
  <si>
    <t>No control without MPB</t>
  </si>
  <si>
    <t>Greenwood = Moderate severity, Lebanon = Low_severity</t>
  </si>
  <si>
    <t>Tips_abundance</t>
  </si>
  <si>
    <t>Inversed_Simpson_diversity</t>
  </si>
  <si>
    <t>Pathogens_richness</t>
  </si>
  <si>
    <t>0_1</t>
  </si>
  <si>
    <t>1_3</t>
  </si>
  <si>
    <t>3_5</t>
  </si>
  <si>
    <t xml:space="preserve">We have left out the "plantation" </t>
  </si>
  <si>
    <t>So far we can not extract effect sizes</t>
  </si>
  <si>
    <t>logRR</t>
  </si>
  <si>
    <t>var_logRR</t>
  </si>
  <si>
    <t>RR</t>
  </si>
  <si>
    <t>Basidiomycetes</t>
  </si>
  <si>
    <t>DataAnalysis_ID</t>
  </si>
  <si>
    <t>Field experiment!! They plant Douglas-fir seedbeds. They do not say in the article but Justine knows the authors and she knows they did sanger sequencing. We can not use ordination data due to lack of coordinates in the NMS</t>
  </si>
  <si>
    <t>help</t>
  </si>
  <si>
    <t>SD from SE =  SE*RAIZ(n)</t>
  </si>
  <si>
    <t>SE from 95% CI = (Cimax - Cimin)/2*1.96</t>
  </si>
  <si>
    <t>Saprotroph_per</t>
  </si>
  <si>
    <t>Ectomycorrhizal_per</t>
  </si>
  <si>
    <t>logRR = ln (%treatment/% control)</t>
  </si>
  <si>
    <t>varlogRR</t>
  </si>
  <si>
    <t>We have only kept for the study 1939/1983/2009F and the UB control</t>
  </si>
  <si>
    <t>HELP</t>
  </si>
  <si>
    <t>20_30</t>
  </si>
  <si>
    <r>
      <t>The HEF has suffered from southern pine beetle
outbreaks in the last 7–10 years. We sampled the plots
regardless of insect damage to determine whether legacy effects of recurring ﬁres since 1988 can be detected in the soil fungal communities.</t>
    </r>
    <r>
      <rPr>
        <b/>
        <sz val="11"/>
        <color theme="1"/>
        <rFont val="Arial"/>
        <family val="2"/>
      </rPr>
      <t xml:space="preserve"> Anyways I don't know when was last burnt</t>
    </r>
  </si>
  <si>
    <t>Saprotrophs</t>
  </si>
  <si>
    <t>Litter_bag</t>
  </si>
  <si>
    <t>We have only included pyrosequencing data since DGGE did not present SD values in most cases</t>
  </si>
  <si>
    <t>CA_ordination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</si>
</sst>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1">
    <font>
      <sz val="11"/>
      <color theme="1"/>
      <name val="Aptos Narrow"/>
      <scheme val="minor"/>
    </font>
    <font>
      <sz val="11"/>
      <color theme="1"/>
      <name val="Arial"/>
      <family val="2"/>
    </font>
    <font>
      <u/>
      <sz val="11"/>
      <color theme="10"/>
      <name val="Aptos Narrow"/>
      <scheme val="minor"/>
    </font>
    <font>
      <sz val="9"/>
      <color indexed="81"/>
      <name val="Tahoma"/>
      <family val="2"/>
    </font>
    <font>
      <b/>
      <sz val="9"/>
      <color indexed="81"/>
      <name val="Tahoma"/>
      <family val="2"/>
    </font>
    <font>
      <sz val="8"/>
      <name val="Aptos Narrow"/>
      <scheme val="minor"/>
    </font>
    <font>
      <u/>
      <sz val="11"/>
      <color theme="10"/>
      <name val="Arial"/>
      <family val="2"/>
    </font>
    <font>
      <sz val="11"/>
      <name val="Arial"/>
      <family val="2"/>
    </font>
    <font>
      <b/>
      <sz val="11"/>
      <color rgb="FFFF0000"/>
      <name val="Arial"/>
      <family val="2"/>
    </font>
    <font>
      <sz val="11"/>
      <color rgb="FFFF0000"/>
      <name val="Arial"/>
      <family val="2"/>
    </font>
    <font>
      <b/>
      <sz val="11"/>
      <color theme="1"/>
      <name val="Arial"/>
      <family val="2"/>
    </font>
  </fonts>
  <fills count="28">
    <fill>
      <patternFill patternType="none"/>
    </fill>
    <fill>
      <patternFill patternType="gray125"/>
    </fill>
    <fill>
      <patternFill patternType="solid">
        <fgColor theme="9"/>
        <bgColor theme="9"/>
      </patternFill>
    </fill>
    <fill>
      <patternFill patternType="solid">
        <fgColor rgb="FFD9F2D0"/>
        <bgColor rgb="FFD9F2D0"/>
      </patternFill>
    </fill>
    <fill>
      <patternFill patternType="solid">
        <fgColor rgb="FF83CAEB"/>
        <bgColor rgb="FF83CAEB"/>
      </patternFill>
    </fill>
    <fill>
      <patternFill patternType="solid">
        <fgColor rgb="FFFFFF00"/>
        <bgColor rgb="FFFFFF00"/>
      </patternFill>
    </fill>
    <fill>
      <patternFill patternType="solid">
        <fgColor theme="0"/>
        <bgColor theme="0"/>
      </patternFill>
    </fill>
    <fill>
      <patternFill patternType="solid">
        <fgColor theme="4" tint="0.79998168889431442"/>
        <bgColor indexed="64"/>
      </patternFill>
    </fill>
    <fill>
      <patternFill patternType="solid">
        <fgColor theme="4" tint="0.39997558519241921"/>
        <bgColor indexed="64"/>
      </patternFill>
    </fill>
    <fill>
      <patternFill patternType="solid">
        <fgColor theme="6" tint="0.39997558519241921"/>
        <bgColor indexed="64"/>
      </patternFill>
    </fill>
    <fill>
      <patternFill patternType="solid">
        <fgColor rgb="FFFFC000"/>
        <bgColor indexed="64"/>
      </patternFill>
    </fill>
    <fill>
      <patternFill patternType="solid">
        <fgColor theme="8" tint="0.59999389629810485"/>
        <bgColor indexed="64"/>
      </patternFill>
    </fill>
    <fill>
      <patternFill patternType="solid">
        <fgColor rgb="FFFFFF00"/>
        <bgColor indexed="64"/>
      </patternFill>
    </fill>
    <fill>
      <patternFill patternType="solid">
        <fgColor theme="5" tint="0.59999389629810485"/>
        <bgColor indexed="64"/>
      </patternFill>
    </fill>
    <fill>
      <patternFill patternType="solid">
        <fgColor rgb="FFFF0000"/>
        <bgColor indexed="64"/>
      </patternFill>
    </fill>
    <fill>
      <patternFill patternType="solid">
        <fgColor rgb="FFFFFF00"/>
        <bgColor theme="9"/>
      </patternFill>
    </fill>
    <fill>
      <patternFill patternType="solid">
        <fgColor rgb="FFFFFF00"/>
        <bgColor rgb="FFD9F2D0"/>
      </patternFill>
    </fill>
    <fill>
      <patternFill patternType="solid">
        <fgColor rgb="FFFFFF00"/>
        <bgColor rgb="FF83CAEB"/>
      </patternFill>
    </fill>
    <fill>
      <patternFill patternType="solid">
        <fgColor rgb="FFFFFF00"/>
        <bgColor theme="0"/>
      </patternFill>
    </fill>
    <fill>
      <patternFill patternType="solid">
        <fgColor rgb="FF92D050"/>
        <bgColor indexed="64"/>
      </patternFill>
    </fill>
    <fill>
      <patternFill patternType="solid">
        <fgColor rgb="FF00B0F0"/>
        <bgColor indexed="64"/>
      </patternFill>
    </fill>
    <fill>
      <patternFill patternType="solid">
        <fgColor theme="8" tint="0.39997558519241921"/>
        <bgColor indexed="64"/>
      </patternFill>
    </fill>
    <fill>
      <patternFill patternType="solid">
        <fgColor rgb="FFFF99FF"/>
        <bgColor indexed="64"/>
      </patternFill>
    </fill>
    <fill>
      <patternFill patternType="solid">
        <fgColor theme="9"/>
        <bgColor indexed="64"/>
      </patternFill>
    </fill>
    <fill>
      <patternFill patternType="solid">
        <fgColor rgb="FFFFC000"/>
        <bgColor rgb="FF83CAEB"/>
      </patternFill>
    </fill>
    <fill>
      <patternFill patternType="solid">
        <fgColor theme="2" tint="-0.14999847407452621"/>
        <bgColor indexed="64"/>
      </patternFill>
    </fill>
    <fill>
      <patternFill patternType="solid">
        <fgColor theme="0" tint="-0.14999847407452621"/>
        <bgColor indexed="64"/>
      </patternFill>
    </fill>
    <fill>
      <patternFill patternType="solid">
        <fgColor theme="4" tint="0.59999389629810485"/>
        <bgColor indexed="64"/>
      </patternFill>
    </fill>
  </fills>
  <borders count="2">
    <border>
      <left/>
      <right/>
      <top/>
      <bottom/>
      <diagonal/>
    </border>
    <border>
      <left/>
      <right/>
      <top/>
      <bottom/>
      <diagonal/>
    </border>
  </borders>
  <cellStyleXfs count="2">
    <xf numFmtId="0" fontId="0" fillId="0" borderId="0"/>
    <xf numFmtId="0" fontId="2" fillId="0" borderId="0" applyNumberFormat="0" applyFill="0" applyBorder="0" applyAlignment="0" applyProtection="0"/>
  </cellStyleXfs>
  <cellXfs count="47">
    <xf numFmtId="0" fontId="0" fillId="0" borderId="0" xfId="0"/>
    <xf numFmtId="0" fontId="1" fillId="0" borderId="0" xfId="0" applyFont="1"/>
    <xf numFmtId="0" fontId="1" fillId="2" borderId="0" xfId="0" applyFont="1" applyFill="1"/>
    <xf numFmtId="0" fontId="1" fillId="4" borderId="0" xfId="0" applyFont="1" applyFill="1"/>
    <xf numFmtId="0" fontId="1" fillId="7" borderId="0" xfId="0" applyFont="1" applyFill="1"/>
    <xf numFmtId="0" fontId="1" fillId="3" borderId="0" xfId="0" applyFont="1" applyFill="1"/>
    <xf numFmtId="0" fontId="6" fillId="3" borderId="0" xfId="1" applyFont="1" applyFill="1"/>
    <xf numFmtId="0" fontId="1" fillId="6" borderId="0" xfId="0" applyFont="1" applyFill="1"/>
    <xf numFmtId="0" fontId="1" fillId="8" borderId="0" xfId="0" applyFont="1" applyFill="1"/>
    <xf numFmtId="0" fontId="1" fillId="9" borderId="0" xfId="0" applyFont="1" applyFill="1"/>
    <xf numFmtId="0" fontId="1" fillId="10" borderId="0" xfId="0" applyFont="1" applyFill="1"/>
    <xf numFmtId="0" fontId="1" fillId="11" borderId="0" xfId="0" applyFont="1" applyFill="1"/>
    <xf numFmtId="0" fontId="1" fillId="12" borderId="0" xfId="0" applyFont="1" applyFill="1"/>
    <xf numFmtId="0" fontId="1" fillId="13" borderId="0" xfId="0" applyFont="1" applyFill="1"/>
    <xf numFmtId="0" fontId="1" fillId="14" borderId="0" xfId="0" applyFont="1" applyFill="1"/>
    <xf numFmtId="0" fontId="1" fillId="5" borderId="0" xfId="0" applyFont="1" applyFill="1"/>
    <xf numFmtId="0" fontId="1" fillId="0" borderId="1" xfId="0" applyFont="1" applyBorder="1"/>
    <xf numFmtId="0" fontId="1" fillId="4" borderId="1" xfId="0" applyFont="1" applyFill="1" applyBorder="1"/>
    <xf numFmtId="16" fontId="1" fillId="0" borderId="0" xfId="0" applyNumberFormat="1" applyFont="1"/>
    <xf numFmtId="0" fontId="7" fillId="0" borderId="0" xfId="0" applyFont="1"/>
    <xf numFmtId="0" fontId="1" fillId="15" borderId="0" xfId="0" applyFont="1" applyFill="1"/>
    <xf numFmtId="0" fontId="1" fillId="16" borderId="0" xfId="0" applyFont="1" applyFill="1"/>
    <xf numFmtId="0" fontId="1" fillId="17" borderId="0" xfId="0" applyFont="1" applyFill="1"/>
    <xf numFmtId="0" fontId="1" fillId="12" borderId="1" xfId="0" applyFont="1" applyFill="1" applyBorder="1"/>
    <xf numFmtId="0" fontId="1" fillId="18" borderId="0" xfId="0" applyFont="1" applyFill="1"/>
    <xf numFmtId="0" fontId="1" fillId="12" borderId="0" xfId="0" applyFont="1" applyFill="1" applyAlignment="1">
      <alignment wrapText="1"/>
    </xf>
    <xf numFmtId="0" fontId="1" fillId="0" borderId="0" xfId="0" applyFont="1" applyAlignment="1">
      <alignment wrapText="1"/>
    </xf>
    <xf numFmtId="0" fontId="7" fillId="0" borderId="0" xfId="0" applyFont="1" applyAlignment="1">
      <alignment wrapText="1"/>
    </xf>
    <xf numFmtId="0" fontId="1" fillId="19" borderId="0" xfId="0" applyFont="1" applyFill="1"/>
    <xf numFmtId="0" fontId="1" fillId="20" borderId="0" xfId="0" applyFont="1" applyFill="1"/>
    <xf numFmtId="0" fontId="1" fillId="21" borderId="0" xfId="0" applyFont="1" applyFill="1"/>
    <xf numFmtId="0" fontId="1" fillId="22" borderId="0" xfId="0" applyFont="1" applyFill="1"/>
    <xf numFmtId="0" fontId="1" fillId="23" borderId="0" xfId="0" applyFont="1" applyFill="1"/>
    <xf numFmtId="0" fontId="1" fillId="0" borderId="0" xfId="0" applyFont="1" applyFill="1"/>
    <xf numFmtId="0" fontId="7" fillId="10" borderId="0" xfId="0" applyFont="1" applyFill="1"/>
    <xf numFmtId="0" fontId="1" fillId="24" borderId="0" xfId="0" applyFont="1" applyFill="1"/>
    <xf numFmtId="0" fontId="0" fillId="19" borderId="0" xfId="0" applyFill="1"/>
    <xf numFmtId="0" fontId="1" fillId="25" borderId="0" xfId="0" applyFont="1" applyFill="1"/>
    <xf numFmtId="0" fontId="9" fillId="7" borderId="0" xfId="0" applyFont="1" applyFill="1"/>
    <xf numFmtId="0" fontId="1" fillId="26" borderId="0" xfId="0" applyFont="1" applyFill="1"/>
    <xf numFmtId="0" fontId="7" fillId="26" borderId="0" xfId="0" applyFont="1" applyFill="1"/>
    <xf numFmtId="0" fontId="7" fillId="0" borderId="0" xfId="0" applyFont="1" applyFill="1"/>
    <xf numFmtId="0" fontId="7" fillId="7" borderId="0" xfId="0" applyFont="1" applyFill="1"/>
    <xf numFmtId="0" fontId="0" fillId="12" borderId="0" xfId="0" applyFill="1"/>
    <xf numFmtId="0" fontId="0" fillId="27" borderId="0" xfId="0" applyFill="1" applyAlignment="1">
      <alignment vertical="center"/>
    </xf>
    <xf numFmtId="0" fontId="0" fillId="7" borderId="0" xfId="0" applyFill="1" applyAlignment="1">
      <alignment vertical="center"/>
    </xf>
    <xf numFmtId="0" fontId="0" fillId="19" borderId="0" xfId="0" applyFill="1" applyAlignment="1">
      <alignment vertical="center"/>
    </xf>
  </cellXfs>
  <cellStyles count="2">
    <cellStyle name="Hipervínculo" xfId="1" builtinId="8"/>
    <cellStyle name="Normal" xfId="0" builtinId="0"/>
  </cellStyles>
  <dxfs count="0"/>
  <tableStyles count="0" defaultTableStyle="TableStyleMedium2" defaultPivotStyle="PivotStyleLight16"/>
  <colors>
    <mruColors>
      <color rgb="FFFFCCFF"/>
      <color rgb="FFFF99FF"/>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ww.cabidigitallibrary.org/doi/full/10.5555/19950615784"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dimension ref="A1:AA1055"/>
  <sheetViews>
    <sheetView zoomScale="80" zoomScaleNormal="80" workbookViewId="0">
      <selection activeCell="A91" sqref="A91"/>
    </sheetView>
  </sheetViews>
  <sheetFormatPr baseColWidth="10" defaultColWidth="12.625" defaultRowHeight="15" customHeight="1"/>
  <cols>
    <col min="1" max="1" width="8.625" style="1" customWidth="1"/>
    <col min="2" max="2" width="21.75" style="1" customWidth="1"/>
    <col min="3" max="3" width="57.125" style="1" customWidth="1"/>
    <col min="4" max="4" width="12.5" style="1" customWidth="1"/>
    <col min="5" max="5" width="12.125" style="1" bestFit="1" customWidth="1"/>
    <col min="6" max="6" width="16.875" style="1" bestFit="1" customWidth="1"/>
    <col min="7" max="7" width="14.375" style="1" bestFit="1" customWidth="1"/>
    <col min="8" max="8" width="11.875" style="1" customWidth="1"/>
    <col min="9" max="9" width="11.375" style="1" customWidth="1"/>
    <col min="10" max="10" width="46.375" style="1" customWidth="1"/>
    <col min="11" max="11" width="12.875" style="1" customWidth="1"/>
    <col min="12" max="12" width="13.125" style="1" customWidth="1"/>
    <col min="13" max="13" width="18.25" style="1" customWidth="1"/>
    <col min="14" max="14" width="12.375" style="1" customWidth="1"/>
    <col min="15" max="17" width="8.625" style="1" customWidth="1"/>
    <col min="18" max="18" width="8.625" style="12" customWidth="1"/>
    <col min="19" max="20" width="8.625" style="1" customWidth="1"/>
    <col min="21" max="21" width="8.625" style="31" customWidth="1"/>
    <col min="22" max="22" width="16.875" style="1" customWidth="1"/>
    <col min="23" max="27" width="8.625" style="1" customWidth="1"/>
    <col min="28" max="16384" width="12.625" style="1"/>
  </cols>
  <sheetData>
    <row r="1" spans="1:22" ht="14.25" customHeight="1">
      <c r="A1" s="1" t="s">
        <v>2899</v>
      </c>
      <c r="B1" s="2" t="s">
        <v>0</v>
      </c>
      <c r="C1" s="2" t="s">
        <v>1</v>
      </c>
      <c r="D1" s="2" t="s">
        <v>2</v>
      </c>
      <c r="E1" s="2" t="s">
        <v>3</v>
      </c>
      <c r="F1" s="2" t="s">
        <v>4</v>
      </c>
      <c r="G1" s="2" t="s">
        <v>5</v>
      </c>
      <c r="H1" s="2" t="s">
        <v>6</v>
      </c>
      <c r="I1" s="2" t="s">
        <v>7</v>
      </c>
      <c r="J1" s="2" t="s">
        <v>8</v>
      </c>
      <c r="K1" s="2" t="s">
        <v>3310</v>
      </c>
      <c r="L1" s="2" t="s">
        <v>9</v>
      </c>
      <c r="M1" s="2" t="s">
        <v>2894</v>
      </c>
      <c r="N1" s="2" t="s">
        <v>10</v>
      </c>
      <c r="O1" s="2" t="s">
        <v>11</v>
      </c>
      <c r="P1" s="2" t="s">
        <v>12</v>
      </c>
      <c r="Q1" s="2" t="s">
        <v>2887</v>
      </c>
      <c r="R1" s="20" t="s">
        <v>2893</v>
      </c>
      <c r="S1" s="32" t="s">
        <v>2895</v>
      </c>
      <c r="T1" s="32" t="s">
        <v>2887</v>
      </c>
      <c r="U1" s="31" t="s">
        <v>3284</v>
      </c>
      <c r="V1" s="12" t="s">
        <v>3505</v>
      </c>
    </row>
    <row r="2" spans="1:22" ht="14.25" customHeight="1">
      <c r="A2" s="1">
        <v>18</v>
      </c>
      <c r="B2" s="3" t="s">
        <v>27</v>
      </c>
      <c r="C2" s="3" t="s">
        <v>122</v>
      </c>
      <c r="D2" s="3" t="s">
        <v>27</v>
      </c>
      <c r="E2" s="3"/>
      <c r="F2" s="3" t="s">
        <v>27</v>
      </c>
      <c r="G2" s="3" t="s">
        <v>27</v>
      </c>
      <c r="H2" s="3" t="s">
        <v>27</v>
      </c>
      <c r="I2" s="3">
        <v>2014</v>
      </c>
      <c r="J2" s="3" t="s">
        <v>123</v>
      </c>
      <c r="K2" s="3" t="s">
        <v>3048</v>
      </c>
      <c r="L2" s="3" t="s">
        <v>22</v>
      </c>
      <c r="M2" s="3"/>
      <c r="N2" s="3" t="s">
        <v>22</v>
      </c>
      <c r="O2" s="3" t="s">
        <v>20</v>
      </c>
      <c r="P2" s="3" t="s">
        <v>36</v>
      </c>
      <c r="Q2" s="3" t="s">
        <v>2877</v>
      </c>
      <c r="R2" s="12" t="s">
        <v>20</v>
      </c>
      <c r="U2" s="1"/>
    </row>
    <row r="3" spans="1:22" ht="14.25" hidden="1" customHeight="1">
      <c r="A3" s="1">
        <v>201</v>
      </c>
      <c r="B3" s="5" t="s">
        <v>27</v>
      </c>
      <c r="C3" s="5" t="s">
        <v>1134</v>
      </c>
      <c r="D3" s="5" t="s">
        <v>27</v>
      </c>
      <c r="E3" s="5"/>
      <c r="F3" s="5" t="s">
        <v>27</v>
      </c>
      <c r="G3" s="5" t="s">
        <v>27</v>
      </c>
      <c r="H3" s="5" t="s">
        <v>27</v>
      </c>
      <c r="I3" s="5">
        <v>2008</v>
      </c>
      <c r="J3" s="5" t="s">
        <v>1135</v>
      </c>
      <c r="K3" s="3" t="s">
        <v>3048</v>
      </c>
      <c r="L3" s="5" t="s">
        <v>20</v>
      </c>
      <c r="M3" s="5" t="s">
        <v>21</v>
      </c>
      <c r="N3" s="5" t="s">
        <v>20</v>
      </c>
      <c r="O3" s="5" t="s">
        <v>36</v>
      </c>
      <c r="P3" s="5" t="s">
        <v>36</v>
      </c>
      <c r="Q3" s="5"/>
      <c r="U3" s="1"/>
    </row>
    <row r="4" spans="1:22" ht="14.25" hidden="1" customHeight="1">
      <c r="A4" s="1">
        <v>261</v>
      </c>
      <c r="B4" s="5" t="s">
        <v>27</v>
      </c>
      <c r="C4" s="5" t="s">
        <v>1134</v>
      </c>
      <c r="D4" s="5" t="s">
        <v>27</v>
      </c>
      <c r="E4" s="5"/>
      <c r="F4" s="5" t="s">
        <v>27</v>
      </c>
      <c r="G4" s="5" t="s">
        <v>27</v>
      </c>
      <c r="H4" s="5" t="s">
        <v>27</v>
      </c>
      <c r="I4" s="5">
        <v>2008</v>
      </c>
      <c r="J4" s="5" t="s">
        <v>1436</v>
      </c>
      <c r="K4" s="3" t="s">
        <v>3048</v>
      </c>
      <c r="L4" s="5" t="s">
        <v>20</v>
      </c>
      <c r="M4" s="5" t="s">
        <v>21</v>
      </c>
      <c r="N4" s="5" t="s">
        <v>20</v>
      </c>
      <c r="O4" s="5" t="s">
        <v>36</v>
      </c>
      <c r="P4" s="5" t="s">
        <v>36</v>
      </c>
      <c r="Q4" s="5"/>
      <c r="U4" s="1"/>
    </row>
    <row r="5" spans="1:22" ht="14.25" hidden="1" customHeight="1">
      <c r="A5" s="1">
        <v>275</v>
      </c>
      <c r="B5" s="5" t="s">
        <v>27</v>
      </c>
      <c r="C5" s="5" t="s">
        <v>1501</v>
      </c>
      <c r="D5" s="5" t="s">
        <v>27</v>
      </c>
      <c r="E5" s="5"/>
      <c r="F5" s="5" t="s">
        <v>27</v>
      </c>
      <c r="G5" s="5" t="s">
        <v>27</v>
      </c>
      <c r="H5" s="5" t="s">
        <v>27</v>
      </c>
      <c r="I5" s="5">
        <v>2006</v>
      </c>
      <c r="J5" s="5" t="s">
        <v>1502</v>
      </c>
      <c r="K5" s="3" t="s">
        <v>3048</v>
      </c>
      <c r="L5" s="5" t="s">
        <v>20</v>
      </c>
      <c r="M5" s="5" t="s">
        <v>1503</v>
      </c>
      <c r="N5" s="5" t="s">
        <v>20</v>
      </c>
      <c r="O5" s="5" t="s">
        <v>36</v>
      </c>
      <c r="P5" s="5" t="s">
        <v>36</v>
      </c>
      <c r="Q5" s="5"/>
      <c r="U5" s="1"/>
    </row>
    <row r="6" spans="1:22" ht="14.25" customHeight="1">
      <c r="A6" s="1">
        <v>323</v>
      </c>
      <c r="B6" s="5" t="s">
        <v>27</v>
      </c>
      <c r="C6" s="5" t="s">
        <v>1716</v>
      </c>
      <c r="D6" s="5" t="s">
        <v>27</v>
      </c>
      <c r="E6" s="5"/>
      <c r="F6" s="5" t="s">
        <v>27</v>
      </c>
      <c r="G6" s="5" t="s">
        <v>27</v>
      </c>
      <c r="H6" s="5" t="s">
        <v>27</v>
      </c>
      <c r="I6" s="5">
        <v>1996</v>
      </c>
      <c r="J6" s="5" t="s">
        <v>1717</v>
      </c>
      <c r="K6" s="3" t="s">
        <v>3048</v>
      </c>
      <c r="L6" s="5" t="s">
        <v>22</v>
      </c>
      <c r="M6" s="5"/>
      <c r="N6" s="5" t="s">
        <v>22</v>
      </c>
      <c r="O6" s="5" t="s">
        <v>20</v>
      </c>
      <c r="P6" s="5" t="s">
        <v>36</v>
      </c>
      <c r="Q6" s="5" t="s">
        <v>2877</v>
      </c>
      <c r="R6" s="12" t="s">
        <v>20</v>
      </c>
      <c r="U6" s="1"/>
    </row>
    <row r="7" spans="1:22" ht="14.25" hidden="1" customHeight="1">
      <c r="A7" s="1">
        <v>397</v>
      </c>
      <c r="B7" s="5" t="s">
        <v>27</v>
      </c>
      <c r="C7" s="5" t="s">
        <v>2068</v>
      </c>
      <c r="D7" s="5" t="s">
        <v>27</v>
      </c>
      <c r="E7" s="5"/>
      <c r="F7" s="5" t="s">
        <v>27</v>
      </c>
      <c r="G7" s="5" t="s">
        <v>27</v>
      </c>
      <c r="H7" s="5" t="s">
        <v>27</v>
      </c>
      <c r="I7" s="5">
        <v>2007</v>
      </c>
      <c r="J7" s="5" t="s">
        <v>2069</v>
      </c>
      <c r="K7" s="3" t="s">
        <v>3048</v>
      </c>
      <c r="L7" s="5" t="s">
        <v>20</v>
      </c>
      <c r="M7" s="5" t="s">
        <v>21</v>
      </c>
      <c r="N7" s="5" t="s">
        <v>20</v>
      </c>
      <c r="O7" s="5" t="s">
        <v>36</v>
      </c>
      <c r="P7" s="5" t="s">
        <v>36</v>
      </c>
      <c r="Q7" s="5"/>
      <c r="U7" s="1"/>
    </row>
    <row r="8" spans="1:22" ht="14.25" hidden="1" customHeight="1">
      <c r="A8" s="1">
        <v>401</v>
      </c>
      <c r="B8" s="5" t="s">
        <v>27</v>
      </c>
      <c r="C8" s="5" t="s">
        <v>2068</v>
      </c>
      <c r="D8" s="5" t="s">
        <v>27</v>
      </c>
      <c r="E8" s="5"/>
      <c r="F8" s="5" t="s">
        <v>27</v>
      </c>
      <c r="G8" s="5" t="s">
        <v>27</v>
      </c>
      <c r="H8" s="5" t="s">
        <v>27</v>
      </c>
      <c r="I8" s="5">
        <v>2007</v>
      </c>
      <c r="J8" s="5" t="s">
        <v>2069</v>
      </c>
      <c r="K8" s="3" t="s">
        <v>3048</v>
      </c>
      <c r="L8" s="5" t="s">
        <v>20</v>
      </c>
      <c r="M8" s="5" t="s">
        <v>21</v>
      </c>
      <c r="N8" s="5" t="s">
        <v>20</v>
      </c>
      <c r="O8" s="5" t="s">
        <v>36</v>
      </c>
      <c r="P8" s="5" t="s">
        <v>36</v>
      </c>
      <c r="Q8" s="5"/>
      <c r="U8" s="1"/>
    </row>
    <row r="9" spans="1:22" ht="14.25" hidden="1" customHeight="1">
      <c r="A9" s="1">
        <v>402</v>
      </c>
      <c r="B9" s="3" t="s">
        <v>27</v>
      </c>
      <c r="C9" s="3" t="s">
        <v>2068</v>
      </c>
      <c r="D9" s="3" t="s">
        <v>27</v>
      </c>
      <c r="E9" s="3"/>
      <c r="F9" s="3" t="s">
        <v>27</v>
      </c>
      <c r="G9" s="3" t="s">
        <v>27</v>
      </c>
      <c r="H9" s="3" t="s">
        <v>27</v>
      </c>
      <c r="I9" s="3">
        <v>2007</v>
      </c>
      <c r="J9" s="3" t="s">
        <v>2069</v>
      </c>
      <c r="K9" s="3" t="s">
        <v>3048</v>
      </c>
      <c r="L9" s="3" t="s">
        <v>20</v>
      </c>
      <c r="M9" s="3" t="s">
        <v>21</v>
      </c>
      <c r="N9" s="3" t="s">
        <v>20</v>
      </c>
      <c r="O9" s="3" t="s">
        <v>36</v>
      </c>
      <c r="P9" s="3" t="s">
        <v>36</v>
      </c>
      <c r="Q9" s="3"/>
      <c r="U9" s="1"/>
    </row>
    <row r="10" spans="1:22" ht="14.25" hidden="1" customHeight="1">
      <c r="A10" s="1">
        <v>417</v>
      </c>
      <c r="B10" s="5" t="s">
        <v>27</v>
      </c>
      <c r="C10" s="5" t="s">
        <v>2151</v>
      </c>
      <c r="D10" s="5" t="s">
        <v>27</v>
      </c>
      <c r="E10" s="5"/>
      <c r="F10" s="5" t="s">
        <v>27</v>
      </c>
      <c r="G10" s="5" t="s">
        <v>27</v>
      </c>
      <c r="H10" s="5" t="s">
        <v>27</v>
      </c>
      <c r="I10" s="5">
        <v>2003</v>
      </c>
      <c r="J10" s="5" t="s">
        <v>2152</v>
      </c>
      <c r="K10" s="3" t="s">
        <v>3048</v>
      </c>
      <c r="L10" s="5" t="s">
        <v>20</v>
      </c>
      <c r="M10" s="5" t="s">
        <v>1503</v>
      </c>
      <c r="N10" s="5" t="s">
        <v>20</v>
      </c>
      <c r="O10" s="5" t="s">
        <v>36</v>
      </c>
      <c r="P10" s="5" t="s">
        <v>36</v>
      </c>
      <c r="Q10" s="5"/>
      <c r="U10" s="1"/>
    </row>
    <row r="11" spans="1:22" ht="14.25" hidden="1" customHeight="1">
      <c r="A11" s="1">
        <v>447</v>
      </c>
      <c r="B11" s="5" t="s">
        <v>27</v>
      </c>
      <c r="C11" s="5" t="s">
        <v>2288</v>
      </c>
      <c r="D11" s="5" t="s">
        <v>27</v>
      </c>
      <c r="E11" s="5"/>
      <c r="F11" s="5" t="s">
        <v>27</v>
      </c>
      <c r="G11" s="5" t="s">
        <v>27</v>
      </c>
      <c r="H11" s="5" t="s">
        <v>27</v>
      </c>
      <c r="I11" s="5">
        <v>1800</v>
      </c>
      <c r="J11" s="5" t="s">
        <v>2289</v>
      </c>
      <c r="K11" s="3" t="s">
        <v>3048</v>
      </c>
      <c r="L11" s="5" t="s">
        <v>20</v>
      </c>
      <c r="M11" s="5" t="s">
        <v>21</v>
      </c>
      <c r="N11" s="5" t="s">
        <v>20</v>
      </c>
      <c r="O11" s="5" t="s">
        <v>36</v>
      </c>
      <c r="P11" s="5" t="s">
        <v>36</v>
      </c>
      <c r="Q11" s="5"/>
      <c r="U11" s="1"/>
    </row>
    <row r="12" spans="1:22" ht="14.25" hidden="1" customHeight="1">
      <c r="A12" s="1">
        <v>483</v>
      </c>
      <c r="B12" s="5" t="s">
        <v>27</v>
      </c>
      <c r="C12" s="5" t="s">
        <v>2458</v>
      </c>
      <c r="D12" s="5" t="s">
        <v>27</v>
      </c>
      <c r="E12" s="5"/>
      <c r="F12" s="5" t="s">
        <v>27</v>
      </c>
      <c r="G12" s="5" t="s">
        <v>27</v>
      </c>
      <c r="H12" s="5" t="s">
        <v>27</v>
      </c>
      <c r="I12" s="5">
        <v>2004</v>
      </c>
      <c r="J12" s="5" t="s">
        <v>2459</v>
      </c>
      <c r="K12" s="3" t="s">
        <v>3048</v>
      </c>
      <c r="L12" s="5" t="s">
        <v>20</v>
      </c>
      <c r="M12" s="5" t="s">
        <v>21</v>
      </c>
      <c r="N12" s="5" t="s">
        <v>20</v>
      </c>
      <c r="O12" s="5" t="s">
        <v>36</v>
      </c>
      <c r="P12" s="5" t="s">
        <v>36</v>
      </c>
      <c r="Q12" s="5"/>
      <c r="U12" s="1"/>
    </row>
    <row r="13" spans="1:22" ht="14.25" hidden="1" customHeight="1">
      <c r="A13" s="1">
        <v>517</v>
      </c>
      <c r="B13" s="5" t="s">
        <v>27</v>
      </c>
      <c r="C13" s="5" t="s">
        <v>2617</v>
      </c>
      <c r="D13" s="5" t="s">
        <v>27</v>
      </c>
      <c r="E13" s="5"/>
      <c r="F13" s="5" t="s">
        <v>27</v>
      </c>
      <c r="G13" s="5" t="s">
        <v>27</v>
      </c>
      <c r="H13" s="5" t="s">
        <v>27</v>
      </c>
      <c r="I13" s="5">
        <v>2014</v>
      </c>
      <c r="J13" s="5" t="s">
        <v>2618</v>
      </c>
      <c r="K13" s="3" t="s">
        <v>3048</v>
      </c>
      <c r="L13" s="5" t="s">
        <v>20</v>
      </c>
      <c r="M13" s="5" t="s">
        <v>1503</v>
      </c>
      <c r="N13" s="5" t="s">
        <v>20</v>
      </c>
      <c r="O13" s="5" t="s">
        <v>36</v>
      </c>
      <c r="P13" s="5" t="s">
        <v>36</v>
      </c>
      <c r="Q13" s="5"/>
      <c r="U13" s="1"/>
    </row>
    <row r="14" spans="1:22" ht="14.25" hidden="1" customHeight="1">
      <c r="A14" s="1">
        <v>527</v>
      </c>
      <c r="B14" s="5" t="s">
        <v>27</v>
      </c>
      <c r="C14" s="5" t="s">
        <v>2661</v>
      </c>
      <c r="D14" s="5" t="s">
        <v>27</v>
      </c>
      <c r="E14" s="5"/>
      <c r="F14" s="5" t="s">
        <v>27</v>
      </c>
      <c r="G14" s="5" t="s">
        <v>27</v>
      </c>
      <c r="H14" s="5" t="s">
        <v>27</v>
      </c>
      <c r="I14" s="5">
        <v>1999</v>
      </c>
      <c r="J14" s="5" t="s">
        <v>2662</v>
      </c>
      <c r="K14" s="3" t="s">
        <v>3048</v>
      </c>
      <c r="L14" s="5" t="s">
        <v>20</v>
      </c>
      <c r="M14" s="5" t="s">
        <v>21</v>
      </c>
      <c r="N14" s="5" t="s">
        <v>20</v>
      </c>
      <c r="O14" s="5" t="s">
        <v>36</v>
      </c>
      <c r="P14" s="5" t="s">
        <v>36</v>
      </c>
      <c r="Q14" s="5"/>
      <c r="U14" s="1"/>
    </row>
    <row r="15" spans="1:22" ht="14.25" customHeight="1">
      <c r="A15" s="1">
        <v>529</v>
      </c>
      <c r="B15" s="5" t="s">
        <v>27</v>
      </c>
      <c r="C15" s="5" t="s">
        <v>2666</v>
      </c>
      <c r="D15" s="5" t="s">
        <v>27</v>
      </c>
      <c r="E15" s="5"/>
      <c r="F15" s="5" t="s">
        <v>27</v>
      </c>
      <c r="G15" s="5" t="s">
        <v>27</v>
      </c>
      <c r="H15" s="5" t="s">
        <v>27</v>
      </c>
      <c r="I15" s="5">
        <v>2007</v>
      </c>
      <c r="J15" s="5" t="s">
        <v>2667</v>
      </c>
      <c r="K15" s="3" t="s">
        <v>3048</v>
      </c>
      <c r="L15" s="5" t="s">
        <v>22</v>
      </c>
      <c r="M15" s="5"/>
      <c r="N15" s="5" t="s">
        <v>22</v>
      </c>
      <c r="O15" s="5" t="s">
        <v>20</v>
      </c>
      <c r="P15" s="5" t="s">
        <v>36</v>
      </c>
      <c r="Q15" s="5" t="s">
        <v>2877</v>
      </c>
      <c r="R15" s="12" t="s">
        <v>20</v>
      </c>
      <c r="U15" s="1"/>
    </row>
    <row r="16" spans="1:22" ht="14.25" hidden="1" customHeight="1">
      <c r="A16" s="1">
        <v>566</v>
      </c>
      <c r="B16" s="3" t="s">
        <v>27</v>
      </c>
      <c r="C16" s="3" t="s">
        <v>2827</v>
      </c>
      <c r="D16" s="3" t="s">
        <v>27</v>
      </c>
      <c r="E16" s="3"/>
      <c r="F16" s="3" t="s">
        <v>27</v>
      </c>
      <c r="G16" s="3" t="s">
        <v>27</v>
      </c>
      <c r="H16" s="3" t="s">
        <v>27</v>
      </c>
      <c r="I16" s="3">
        <v>2003</v>
      </c>
      <c r="J16" s="3" t="s">
        <v>2828</v>
      </c>
      <c r="K16" s="3" t="s">
        <v>3048</v>
      </c>
      <c r="L16" s="3" t="s">
        <v>20</v>
      </c>
      <c r="M16" s="3" t="s">
        <v>21</v>
      </c>
      <c r="N16" s="3" t="s">
        <v>20</v>
      </c>
      <c r="O16" s="3" t="s">
        <v>36</v>
      </c>
      <c r="P16" s="3" t="s">
        <v>36</v>
      </c>
      <c r="Q16" s="3"/>
      <c r="U16" s="1"/>
    </row>
    <row r="17" spans="1:24" ht="14.25" hidden="1" customHeight="1">
      <c r="A17" s="1">
        <v>163</v>
      </c>
      <c r="B17" s="5" t="s">
        <v>939</v>
      </c>
      <c r="C17" s="5" t="s">
        <v>940</v>
      </c>
      <c r="D17" s="5" t="s">
        <v>940</v>
      </c>
      <c r="E17" s="5">
        <v>31</v>
      </c>
      <c r="F17" s="5" t="s">
        <v>941</v>
      </c>
      <c r="G17" s="5" t="s">
        <v>941</v>
      </c>
      <c r="H17" s="5" t="s">
        <v>27</v>
      </c>
      <c r="I17" s="5"/>
      <c r="J17" s="5" t="s">
        <v>942</v>
      </c>
      <c r="K17" s="3" t="s">
        <v>3048</v>
      </c>
      <c r="L17" s="5" t="s">
        <v>20</v>
      </c>
      <c r="M17" s="5" t="s">
        <v>36</v>
      </c>
      <c r="N17" s="5" t="s">
        <v>20</v>
      </c>
      <c r="O17" s="5" t="s">
        <v>36</v>
      </c>
      <c r="P17" s="5" t="s">
        <v>36</v>
      </c>
      <c r="Q17" s="5"/>
      <c r="U17" s="1"/>
    </row>
    <row r="18" spans="1:24" ht="14.25" hidden="1" customHeight="1">
      <c r="A18" s="1">
        <v>462</v>
      </c>
      <c r="B18" s="3" t="s">
        <v>939</v>
      </c>
      <c r="C18" s="3" t="s">
        <v>2356</v>
      </c>
      <c r="D18" s="3" t="s">
        <v>2357</v>
      </c>
      <c r="E18" s="3">
        <v>51</v>
      </c>
      <c r="F18" s="3" t="s">
        <v>2358</v>
      </c>
      <c r="G18" s="3" t="s">
        <v>2359</v>
      </c>
      <c r="H18" s="3" t="s">
        <v>27</v>
      </c>
      <c r="I18" s="3">
        <v>2005</v>
      </c>
      <c r="J18" s="3" t="s">
        <v>2360</v>
      </c>
      <c r="K18" s="3" t="s">
        <v>3048</v>
      </c>
      <c r="L18" s="3" t="s">
        <v>20</v>
      </c>
      <c r="M18" s="3" t="s">
        <v>21</v>
      </c>
      <c r="N18" s="3" t="s">
        <v>20</v>
      </c>
      <c r="O18" s="3" t="s">
        <v>36</v>
      </c>
      <c r="P18" s="3" t="s">
        <v>36</v>
      </c>
      <c r="Q18" s="3"/>
      <c r="U18" s="1"/>
    </row>
    <row r="19" spans="1:24" ht="14.25" hidden="1" customHeight="1">
      <c r="A19" s="1">
        <v>54</v>
      </c>
      <c r="B19" s="3" t="s">
        <v>338</v>
      </c>
      <c r="C19" s="3" t="s">
        <v>339</v>
      </c>
      <c r="D19" s="3" t="s">
        <v>340</v>
      </c>
      <c r="E19" s="3"/>
      <c r="F19" s="3" t="s">
        <v>149</v>
      </c>
      <c r="G19" s="3" t="s">
        <v>341</v>
      </c>
      <c r="H19" s="3" t="s">
        <v>27</v>
      </c>
      <c r="I19" s="3">
        <v>1974</v>
      </c>
      <c r="J19" s="3" t="s">
        <v>342</v>
      </c>
      <c r="K19" s="3" t="s">
        <v>3048</v>
      </c>
      <c r="L19" s="3" t="s">
        <v>20</v>
      </c>
      <c r="M19" s="3" t="s">
        <v>36</v>
      </c>
      <c r="N19" s="3" t="s">
        <v>20</v>
      </c>
      <c r="O19" s="3" t="s">
        <v>36</v>
      </c>
      <c r="P19" s="3" t="s">
        <v>36</v>
      </c>
      <c r="Q19" s="3"/>
      <c r="U19" s="1"/>
    </row>
    <row r="20" spans="1:24" ht="14.25" customHeight="1">
      <c r="A20" s="1">
        <v>48</v>
      </c>
      <c r="B20" s="3" t="s">
        <v>300</v>
      </c>
      <c r="C20" s="3" t="s">
        <v>301</v>
      </c>
      <c r="D20" s="3" t="s">
        <v>81</v>
      </c>
      <c r="E20" s="3">
        <v>116</v>
      </c>
      <c r="F20" s="3" t="s">
        <v>302</v>
      </c>
      <c r="G20" s="3" t="s">
        <v>303</v>
      </c>
      <c r="H20" s="3" t="s">
        <v>304</v>
      </c>
      <c r="I20" s="3">
        <v>2012</v>
      </c>
      <c r="J20" s="3" t="s">
        <v>305</v>
      </c>
      <c r="K20" s="3" t="s">
        <v>3048</v>
      </c>
      <c r="L20" s="3" t="s">
        <v>22</v>
      </c>
      <c r="M20" s="3"/>
      <c r="N20" s="3" t="s">
        <v>22</v>
      </c>
      <c r="O20" s="3" t="s">
        <v>22</v>
      </c>
      <c r="P20" s="3" t="s">
        <v>23</v>
      </c>
      <c r="Q20" s="3"/>
      <c r="R20" s="12" t="s">
        <v>20</v>
      </c>
      <c r="S20" s="1" t="s">
        <v>3007</v>
      </c>
      <c r="U20" s="31" t="s">
        <v>3066</v>
      </c>
    </row>
    <row r="21" spans="1:24" ht="14.25" hidden="1" customHeight="1">
      <c r="A21" s="1">
        <v>173</v>
      </c>
      <c r="B21" s="5" t="s">
        <v>986</v>
      </c>
      <c r="C21" s="5" t="s">
        <v>987</v>
      </c>
      <c r="D21" s="5" t="s">
        <v>636</v>
      </c>
      <c r="E21" s="5">
        <v>572</v>
      </c>
      <c r="F21" s="5" t="s">
        <v>988</v>
      </c>
      <c r="G21" s="5" t="s">
        <v>989</v>
      </c>
      <c r="H21" s="5" t="s">
        <v>990</v>
      </c>
      <c r="I21" s="5">
        <v>2016</v>
      </c>
      <c r="J21" s="5" t="s">
        <v>991</v>
      </c>
      <c r="K21" s="3" t="s">
        <v>3048</v>
      </c>
      <c r="L21" s="5" t="s">
        <v>20</v>
      </c>
      <c r="M21" s="5" t="s">
        <v>21</v>
      </c>
      <c r="N21" s="5" t="s">
        <v>20</v>
      </c>
      <c r="O21" s="5" t="s">
        <v>36</v>
      </c>
      <c r="P21" s="5" t="s">
        <v>36</v>
      </c>
      <c r="Q21" s="5"/>
      <c r="U21" s="1"/>
    </row>
    <row r="22" spans="1:24" ht="14.25" hidden="1" customHeight="1">
      <c r="A22" s="1">
        <v>278</v>
      </c>
      <c r="B22" s="3" t="s">
        <v>1512</v>
      </c>
      <c r="C22" s="3" t="s">
        <v>1513</v>
      </c>
      <c r="D22" s="3" t="s">
        <v>15</v>
      </c>
      <c r="E22" s="3">
        <v>16</v>
      </c>
      <c r="F22" s="3" t="s">
        <v>1514</v>
      </c>
      <c r="G22" s="3" t="s">
        <v>251</v>
      </c>
      <c r="H22" s="3" t="s">
        <v>1515</v>
      </c>
      <c r="I22" s="3">
        <v>2006</v>
      </c>
      <c r="J22" s="3" t="s">
        <v>1516</v>
      </c>
      <c r="K22" s="3" t="s">
        <v>3048</v>
      </c>
      <c r="L22" s="3" t="s">
        <v>20</v>
      </c>
      <c r="M22" s="3" t="s">
        <v>21</v>
      </c>
      <c r="N22" s="3" t="s">
        <v>20</v>
      </c>
      <c r="O22" s="3" t="s">
        <v>36</v>
      </c>
      <c r="P22" s="3" t="s">
        <v>36</v>
      </c>
      <c r="Q22" s="3"/>
      <c r="U22" s="1"/>
    </row>
    <row r="23" spans="1:24" s="19" customFormat="1" ht="14.25" hidden="1">
      <c r="A23" s="34">
        <v>436</v>
      </c>
      <c r="B23" s="34" t="s">
        <v>3306</v>
      </c>
      <c r="C23" s="34" t="s">
        <v>3307</v>
      </c>
      <c r="D23" s="34" t="s">
        <v>3308</v>
      </c>
      <c r="E23" s="34">
        <v>4</v>
      </c>
      <c r="F23" s="34">
        <v>1</v>
      </c>
      <c r="G23" s="34">
        <v>15</v>
      </c>
      <c r="H23" s="34" t="s">
        <v>27</v>
      </c>
      <c r="I23" s="34">
        <v>2004</v>
      </c>
      <c r="J23" s="34" t="s">
        <v>3309</v>
      </c>
      <c r="K23" s="34" t="s">
        <v>2946</v>
      </c>
      <c r="L23" s="34" t="s">
        <v>20</v>
      </c>
      <c r="M23" s="34"/>
      <c r="N23" s="34"/>
      <c r="O23" s="34"/>
      <c r="P23" s="34"/>
      <c r="Q23" s="34"/>
      <c r="R23" s="34"/>
      <c r="S23" s="34"/>
      <c r="T23" s="34"/>
      <c r="U23" s="34" t="s">
        <v>22</v>
      </c>
      <c r="X23" s="19" t="s">
        <v>2967</v>
      </c>
    </row>
    <row r="24" spans="1:24" ht="14.25" customHeight="1">
      <c r="A24" s="1">
        <v>421</v>
      </c>
      <c r="B24" s="5" t="s">
        <v>2165</v>
      </c>
      <c r="C24" s="5" t="s">
        <v>2166</v>
      </c>
      <c r="D24" s="5" t="s">
        <v>2167</v>
      </c>
      <c r="E24" s="5">
        <v>43</v>
      </c>
      <c r="F24" s="5" t="s">
        <v>59</v>
      </c>
      <c r="G24" s="5" t="s">
        <v>573</v>
      </c>
      <c r="H24" s="5" t="s">
        <v>2168</v>
      </c>
      <c r="I24" s="5">
        <v>2009</v>
      </c>
      <c r="J24" s="5" t="s">
        <v>2169</v>
      </c>
      <c r="K24" s="5" t="s">
        <v>3048</v>
      </c>
      <c r="L24" s="5" t="s">
        <v>22</v>
      </c>
      <c r="M24" s="5"/>
      <c r="N24" s="5" t="s">
        <v>22</v>
      </c>
      <c r="O24" s="5" t="s">
        <v>22</v>
      </c>
      <c r="P24" s="5" t="s">
        <v>23</v>
      </c>
      <c r="Q24" s="5"/>
      <c r="R24" s="12" t="s">
        <v>22</v>
      </c>
      <c r="U24" s="31" t="s">
        <v>2967</v>
      </c>
      <c r="V24" s="1" t="s">
        <v>3506</v>
      </c>
    </row>
    <row r="25" spans="1:24" ht="14.25" hidden="1" customHeight="1">
      <c r="A25" s="1">
        <v>514</v>
      </c>
      <c r="B25" s="3" t="s">
        <v>2602</v>
      </c>
      <c r="C25" s="3" t="s">
        <v>2603</v>
      </c>
      <c r="D25" s="3" t="s">
        <v>27</v>
      </c>
      <c r="E25" s="3"/>
      <c r="F25" s="3" t="s">
        <v>27</v>
      </c>
      <c r="G25" s="3" t="s">
        <v>27</v>
      </c>
      <c r="H25" s="3" t="s">
        <v>27</v>
      </c>
      <c r="I25" s="3">
        <v>2020</v>
      </c>
      <c r="J25" s="3" t="s">
        <v>27</v>
      </c>
      <c r="K25" s="3" t="s">
        <v>3048</v>
      </c>
      <c r="L25" s="3" t="s">
        <v>20</v>
      </c>
      <c r="M25" s="3" t="s">
        <v>21</v>
      </c>
      <c r="N25" s="3" t="s">
        <v>20</v>
      </c>
      <c r="O25" s="3" t="s">
        <v>36</v>
      </c>
      <c r="P25" s="3" t="s">
        <v>36</v>
      </c>
      <c r="Q25" s="3"/>
      <c r="U25" s="1"/>
    </row>
    <row r="26" spans="1:24" s="19" customFormat="1" ht="14.25" hidden="1">
      <c r="A26" s="34">
        <v>395</v>
      </c>
      <c r="B26" s="34" t="s">
        <v>3311</v>
      </c>
      <c r="C26" s="34" t="s">
        <v>3312</v>
      </c>
      <c r="D26" s="34" t="s">
        <v>3313</v>
      </c>
      <c r="E26" s="34">
        <v>44</v>
      </c>
      <c r="F26" s="34">
        <v>588</v>
      </c>
      <c r="G26" s="34">
        <v>594</v>
      </c>
      <c r="H26" s="34" t="s">
        <v>3314</v>
      </c>
      <c r="I26" s="34">
        <v>2014</v>
      </c>
      <c r="J26" s="34" t="s">
        <v>3315</v>
      </c>
      <c r="K26" s="34" t="s">
        <v>2946</v>
      </c>
      <c r="L26" s="34" t="s">
        <v>20</v>
      </c>
      <c r="M26" s="34"/>
      <c r="N26" s="34" t="s">
        <v>20</v>
      </c>
      <c r="O26" s="34"/>
      <c r="P26" s="34"/>
      <c r="Q26" s="34"/>
      <c r="R26" s="34"/>
      <c r="S26" s="34"/>
      <c r="T26" s="34"/>
      <c r="U26" s="34"/>
    </row>
    <row r="27" spans="1:24" ht="14.25" customHeight="1">
      <c r="A27" s="1">
        <v>416</v>
      </c>
      <c r="B27" s="3" t="s">
        <v>2147</v>
      </c>
      <c r="C27" s="3" t="s">
        <v>2148</v>
      </c>
      <c r="D27" s="3" t="s">
        <v>102</v>
      </c>
      <c r="E27" s="3">
        <v>474</v>
      </c>
      <c r="F27" s="3" t="s">
        <v>27</v>
      </c>
      <c r="G27" s="3" t="s">
        <v>27</v>
      </c>
      <c r="H27" s="3" t="s">
        <v>2149</v>
      </c>
      <c r="I27" s="3">
        <v>2020</v>
      </c>
      <c r="J27" s="3" t="s">
        <v>2150</v>
      </c>
      <c r="K27" s="3" t="s">
        <v>3048</v>
      </c>
      <c r="L27" s="3" t="s">
        <v>22</v>
      </c>
      <c r="M27" s="3"/>
      <c r="N27" s="3" t="s">
        <v>22</v>
      </c>
      <c r="O27" s="3" t="s">
        <v>22</v>
      </c>
      <c r="P27" s="3" t="s">
        <v>23</v>
      </c>
      <c r="Q27" s="3"/>
      <c r="R27" s="12" t="s">
        <v>20</v>
      </c>
      <c r="S27" s="1" t="s">
        <v>2975</v>
      </c>
      <c r="T27" s="1" t="s">
        <v>3199</v>
      </c>
      <c r="U27" s="31" t="s">
        <v>3285</v>
      </c>
    </row>
    <row r="28" spans="1:24" ht="14.25" hidden="1" customHeight="1">
      <c r="A28" s="1">
        <v>165</v>
      </c>
      <c r="B28" s="5" t="s">
        <v>948</v>
      </c>
      <c r="C28" s="5" t="s">
        <v>949</v>
      </c>
      <c r="D28" s="5" t="s">
        <v>950</v>
      </c>
      <c r="E28" s="5">
        <v>96</v>
      </c>
      <c r="F28" s="5" t="s">
        <v>847</v>
      </c>
      <c r="G28" s="5" t="s">
        <v>951</v>
      </c>
      <c r="H28" s="5" t="s">
        <v>952</v>
      </c>
      <c r="I28" s="5">
        <v>2023</v>
      </c>
      <c r="J28" s="5" t="s">
        <v>953</v>
      </c>
      <c r="K28" s="3" t="s">
        <v>3048</v>
      </c>
      <c r="L28" s="5" t="s">
        <v>20</v>
      </c>
      <c r="M28" s="5" t="s">
        <v>21</v>
      </c>
      <c r="N28" s="5" t="s">
        <v>20</v>
      </c>
      <c r="O28" s="5" t="s">
        <v>36</v>
      </c>
      <c r="P28" s="5" t="s">
        <v>36</v>
      </c>
      <c r="Q28" s="5"/>
      <c r="U28" s="1"/>
    </row>
    <row r="29" spans="1:24" ht="14.25" hidden="1" customHeight="1">
      <c r="A29" s="1">
        <v>454</v>
      </c>
      <c r="B29" s="3" t="s">
        <v>2318</v>
      </c>
      <c r="C29" s="3" t="s">
        <v>2319</v>
      </c>
      <c r="D29" s="3" t="s">
        <v>53</v>
      </c>
      <c r="E29" s="3">
        <v>4</v>
      </c>
      <c r="F29" s="3" t="s">
        <v>1285</v>
      </c>
      <c r="G29" s="3" t="s">
        <v>2320</v>
      </c>
      <c r="H29" s="3" t="s">
        <v>2321</v>
      </c>
      <c r="I29" s="3">
        <v>2011</v>
      </c>
      <c r="J29" s="3" t="s">
        <v>2322</v>
      </c>
      <c r="K29" s="3" t="s">
        <v>3048</v>
      </c>
      <c r="L29" s="3" t="s">
        <v>20</v>
      </c>
      <c r="M29" s="3" t="s">
        <v>21</v>
      </c>
      <c r="N29" s="3" t="s">
        <v>20</v>
      </c>
      <c r="O29" s="3" t="s">
        <v>36</v>
      </c>
      <c r="P29" s="3" t="s">
        <v>36</v>
      </c>
      <c r="Q29" s="3"/>
      <c r="U29" s="1"/>
    </row>
    <row r="30" spans="1:24" ht="14.25" customHeight="1">
      <c r="A30" s="1">
        <v>200</v>
      </c>
      <c r="B30" s="3" t="s">
        <v>1130</v>
      </c>
      <c r="C30" s="3" t="s">
        <v>1131</v>
      </c>
      <c r="D30" s="3" t="s">
        <v>572</v>
      </c>
      <c r="E30" s="3"/>
      <c r="F30" s="3" t="s">
        <v>27</v>
      </c>
      <c r="G30" s="3" t="s">
        <v>27</v>
      </c>
      <c r="H30" s="3" t="s">
        <v>1132</v>
      </c>
      <c r="I30" s="3">
        <v>2024</v>
      </c>
      <c r="J30" s="3" t="s">
        <v>1133</v>
      </c>
      <c r="K30" s="3" t="s">
        <v>3048</v>
      </c>
      <c r="L30" s="3" t="s">
        <v>22</v>
      </c>
      <c r="M30" s="3"/>
      <c r="N30" s="3" t="s">
        <v>22</v>
      </c>
      <c r="O30" s="3" t="s">
        <v>22</v>
      </c>
      <c r="P30" s="3" t="s">
        <v>23</v>
      </c>
      <c r="Q30" s="3"/>
      <c r="R30" s="12" t="s">
        <v>22</v>
      </c>
      <c r="T30" s="1" t="s">
        <v>3148</v>
      </c>
      <c r="U30" s="31" t="s">
        <v>3146</v>
      </c>
      <c r="V30" s="1" t="s">
        <v>3510</v>
      </c>
    </row>
    <row r="31" spans="1:24" s="19" customFormat="1" ht="14.25" hidden="1">
      <c r="A31" s="34">
        <v>384</v>
      </c>
      <c r="B31" s="34" t="s">
        <v>3316</v>
      </c>
      <c r="C31" s="34" t="s">
        <v>3317</v>
      </c>
      <c r="D31" s="34" t="s">
        <v>27</v>
      </c>
      <c r="E31" s="34" t="s">
        <v>27</v>
      </c>
      <c r="F31" s="34" t="s">
        <v>27</v>
      </c>
      <c r="G31" s="34" t="s">
        <v>27</v>
      </c>
      <c r="H31" s="34" t="s">
        <v>27</v>
      </c>
      <c r="I31" s="34">
        <v>2013</v>
      </c>
      <c r="J31" s="34" t="s">
        <v>27</v>
      </c>
      <c r="K31" s="34" t="s">
        <v>2946</v>
      </c>
      <c r="L31" s="34" t="s">
        <v>20</v>
      </c>
      <c r="M31" s="34"/>
      <c r="N31" s="34" t="s">
        <v>27</v>
      </c>
      <c r="O31" s="34"/>
      <c r="P31" s="34"/>
      <c r="Q31" s="34"/>
      <c r="R31" s="34"/>
      <c r="S31" s="34"/>
      <c r="T31" s="34"/>
      <c r="U31" s="34"/>
    </row>
    <row r="32" spans="1:24" ht="14.25" hidden="1" customHeight="1">
      <c r="A32" s="1">
        <v>103</v>
      </c>
      <c r="B32" s="5" t="s">
        <v>614</v>
      </c>
      <c r="C32" s="5" t="s">
        <v>615</v>
      </c>
      <c r="D32" s="5" t="s">
        <v>439</v>
      </c>
      <c r="E32" s="5"/>
      <c r="F32" s="5" t="s">
        <v>616</v>
      </c>
      <c r="G32" s="5" t="s">
        <v>617</v>
      </c>
      <c r="H32" s="5" t="s">
        <v>27</v>
      </c>
      <c r="I32" s="5">
        <v>1997</v>
      </c>
      <c r="J32" s="5" t="s">
        <v>618</v>
      </c>
      <c r="K32" s="5" t="s">
        <v>3048</v>
      </c>
      <c r="L32" s="5" t="s">
        <v>20</v>
      </c>
      <c r="M32" s="5" t="s">
        <v>21</v>
      </c>
      <c r="N32" s="5" t="s">
        <v>20</v>
      </c>
      <c r="O32" s="5" t="s">
        <v>36</v>
      </c>
      <c r="P32" s="5" t="s">
        <v>36</v>
      </c>
      <c r="Q32" s="5"/>
      <c r="U32" s="1"/>
    </row>
    <row r="33" spans="1:21" ht="14.25" hidden="1" customHeight="1">
      <c r="A33" s="1">
        <v>40</v>
      </c>
      <c r="B33" s="3" t="s">
        <v>254</v>
      </c>
      <c r="C33" s="3" t="s">
        <v>255</v>
      </c>
      <c r="D33" s="3" t="s">
        <v>256</v>
      </c>
      <c r="E33" s="3">
        <v>17</v>
      </c>
      <c r="F33" s="3" t="s">
        <v>257</v>
      </c>
      <c r="G33" s="3" t="s">
        <v>258</v>
      </c>
      <c r="H33" s="3" t="s">
        <v>259</v>
      </c>
      <c r="I33" s="3">
        <v>1987</v>
      </c>
      <c r="J33" s="3" t="s">
        <v>27</v>
      </c>
      <c r="K33" s="5" t="s">
        <v>3048</v>
      </c>
      <c r="L33" s="3" t="s">
        <v>20</v>
      </c>
      <c r="M33" s="3" t="s">
        <v>21</v>
      </c>
      <c r="N33" s="3" t="s">
        <v>20</v>
      </c>
      <c r="O33" s="3" t="s">
        <v>36</v>
      </c>
      <c r="P33" s="3" t="s">
        <v>36</v>
      </c>
      <c r="Q33" s="3"/>
      <c r="U33" s="1"/>
    </row>
    <row r="34" spans="1:21" ht="14.25" customHeight="1">
      <c r="A34" s="1">
        <v>395</v>
      </c>
      <c r="B34" s="5" t="s">
        <v>2056</v>
      </c>
      <c r="C34" s="5" t="s">
        <v>2057</v>
      </c>
      <c r="D34" s="5" t="s">
        <v>572</v>
      </c>
      <c r="E34" s="5">
        <v>150</v>
      </c>
      <c r="F34" s="5" t="s">
        <v>2058</v>
      </c>
      <c r="G34" s="5" t="s">
        <v>491</v>
      </c>
      <c r="H34" s="5" t="s">
        <v>2059</v>
      </c>
      <c r="I34" s="5">
        <v>1993</v>
      </c>
      <c r="J34" s="5" t="s">
        <v>2060</v>
      </c>
      <c r="K34" s="5" t="s">
        <v>3048</v>
      </c>
      <c r="L34" s="5" t="s">
        <v>22</v>
      </c>
      <c r="M34" s="5"/>
      <c r="N34" s="5" t="s">
        <v>22</v>
      </c>
      <c r="O34" s="5" t="s">
        <v>22</v>
      </c>
      <c r="P34" s="5" t="s">
        <v>23</v>
      </c>
      <c r="Q34" s="5"/>
      <c r="R34" s="12" t="s">
        <v>20</v>
      </c>
      <c r="S34" s="1" t="s">
        <v>2975</v>
      </c>
      <c r="T34" s="1" t="s">
        <v>2999</v>
      </c>
      <c r="U34" s="31" t="s">
        <v>3025</v>
      </c>
    </row>
    <row r="35" spans="1:21" ht="14.25" customHeight="1">
      <c r="A35" s="1">
        <v>399</v>
      </c>
      <c r="B35" s="5" t="s">
        <v>2074</v>
      </c>
      <c r="C35" s="5" t="s">
        <v>2075</v>
      </c>
      <c r="D35" s="5" t="s">
        <v>185</v>
      </c>
      <c r="E35" s="5">
        <v>30</v>
      </c>
      <c r="F35" s="5" t="s">
        <v>2076</v>
      </c>
      <c r="G35" s="5" t="s">
        <v>2077</v>
      </c>
      <c r="H35" s="5" t="s">
        <v>2078</v>
      </c>
      <c r="I35" s="5">
        <v>2021</v>
      </c>
      <c r="J35" s="5" t="s">
        <v>2079</v>
      </c>
      <c r="K35" s="5" t="s">
        <v>3048</v>
      </c>
      <c r="L35" s="5" t="s">
        <v>22</v>
      </c>
      <c r="M35" s="5"/>
      <c r="N35" s="5" t="s">
        <v>22</v>
      </c>
      <c r="O35" s="5" t="s">
        <v>22</v>
      </c>
      <c r="P35" s="5" t="s">
        <v>23</v>
      </c>
      <c r="Q35" s="5"/>
      <c r="R35" s="12" t="s">
        <v>20</v>
      </c>
      <c r="S35" s="1" t="s">
        <v>2975</v>
      </c>
      <c r="T35" s="1" t="s">
        <v>3207</v>
      </c>
      <c r="U35" s="31" t="s">
        <v>2910</v>
      </c>
    </row>
    <row r="36" spans="1:21" ht="14.25" customHeight="1">
      <c r="A36" s="1">
        <v>443</v>
      </c>
      <c r="B36" s="5" t="s">
        <v>2268</v>
      </c>
      <c r="C36" s="5" t="s">
        <v>2269</v>
      </c>
      <c r="D36" s="5" t="s">
        <v>1121</v>
      </c>
      <c r="E36" s="5">
        <v>111</v>
      </c>
      <c r="F36" s="5" t="s">
        <v>137</v>
      </c>
      <c r="G36" s="5" t="s">
        <v>2270</v>
      </c>
      <c r="H36" s="5" t="s">
        <v>2271</v>
      </c>
      <c r="I36" s="5">
        <v>2007</v>
      </c>
      <c r="J36" s="5" t="s">
        <v>2272</v>
      </c>
      <c r="K36" s="5" t="s">
        <v>3048</v>
      </c>
      <c r="L36" s="5" t="s">
        <v>22</v>
      </c>
      <c r="M36" s="5"/>
      <c r="N36" s="5" t="s">
        <v>22</v>
      </c>
      <c r="O36" s="5" t="s">
        <v>22</v>
      </c>
      <c r="P36" s="5" t="s">
        <v>23</v>
      </c>
      <c r="Q36" s="5"/>
      <c r="R36" s="12" t="s">
        <v>22</v>
      </c>
      <c r="T36" s="1" t="s">
        <v>3190</v>
      </c>
      <c r="U36" s="31" t="s">
        <v>2910</v>
      </c>
    </row>
    <row r="37" spans="1:21" ht="14.25" hidden="1" customHeight="1">
      <c r="A37" s="1">
        <v>358</v>
      </c>
      <c r="B37" s="3" t="s">
        <v>1883</v>
      </c>
      <c r="C37" s="3" t="s">
        <v>1884</v>
      </c>
      <c r="D37" s="3" t="s">
        <v>1885</v>
      </c>
      <c r="E37" s="3">
        <v>69</v>
      </c>
      <c r="F37" s="3" t="s">
        <v>1587</v>
      </c>
      <c r="G37" s="3" t="s">
        <v>1213</v>
      </c>
      <c r="H37" s="3" t="s">
        <v>1886</v>
      </c>
      <c r="I37" s="3">
        <v>1998</v>
      </c>
      <c r="J37" s="3" t="s">
        <v>1887</v>
      </c>
      <c r="K37" s="5" t="s">
        <v>3048</v>
      </c>
      <c r="L37" s="3" t="s">
        <v>20</v>
      </c>
      <c r="M37" s="3" t="s">
        <v>21</v>
      </c>
      <c r="N37" s="3" t="s">
        <v>20</v>
      </c>
      <c r="O37" s="3" t="s">
        <v>36</v>
      </c>
      <c r="P37" s="3" t="s">
        <v>36</v>
      </c>
      <c r="Q37" s="3"/>
      <c r="U37" s="1"/>
    </row>
    <row r="38" spans="1:21" s="19" customFormat="1" ht="14.25" hidden="1">
      <c r="A38" s="34">
        <v>506</v>
      </c>
      <c r="B38" s="34" t="s">
        <v>3318</v>
      </c>
      <c r="C38" s="34" t="s">
        <v>3319</v>
      </c>
      <c r="D38" s="34" t="s">
        <v>27</v>
      </c>
      <c r="E38" s="34" t="s">
        <v>27</v>
      </c>
      <c r="F38" s="34" t="s">
        <v>27</v>
      </c>
      <c r="G38" s="34" t="s">
        <v>27</v>
      </c>
      <c r="H38" s="34" t="s">
        <v>27</v>
      </c>
      <c r="I38" s="34">
        <v>2020</v>
      </c>
      <c r="J38" s="34" t="s">
        <v>27</v>
      </c>
      <c r="K38" s="34" t="s">
        <v>2946</v>
      </c>
      <c r="L38" s="34" t="s">
        <v>20</v>
      </c>
      <c r="M38" s="34"/>
      <c r="N38" s="34" t="s">
        <v>27</v>
      </c>
      <c r="O38" s="34"/>
      <c r="P38" s="34"/>
      <c r="Q38" s="34"/>
      <c r="R38" s="34"/>
      <c r="S38" s="34"/>
      <c r="T38" s="34"/>
      <c r="U38" s="34"/>
    </row>
    <row r="39" spans="1:21" s="19" customFormat="1" ht="14.25" hidden="1">
      <c r="A39" s="34">
        <v>441</v>
      </c>
      <c r="B39" s="34" t="s">
        <v>3320</v>
      </c>
      <c r="C39" s="34" t="s">
        <v>3321</v>
      </c>
      <c r="D39" s="34" t="s">
        <v>27</v>
      </c>
      <c r="E39" s="34" t="s">
        <v>27</v>
      </c>
      <c r="F39" s="34" t="s">
        <v>27</v>
      </c>
      <c r="G39" s="34" t="s">
        <v>27</v>
      </c>
      <c r="H39" s="34" t="s">
        <v>27</v>
      </c>
      <c r="I39" s="34" t="s">
        <v>27</v>
      </c>
      <c r="J39" s="34" t="s">
        <v>3322</v>
      </c>
      <c r="K39" s="34" t="s">
        <v>2946</v>
      </c>
      <c r="L39" s="34" t="s">
        <v>20</v>
      </c>
      <c r="M39" s="34"/>
      <c r="N39" s="34" t="s">
        <v>27</v>
      </c>
      <c r="O39" s="34"/>
      <c r="P39" s="34"/>
      <c r="Q39" s="34"/>
      <c r="R39" s="34"/>
      <c r="S39" s="34"/>
      <c r="T39" s="34"/>
      <c r="U39" s="34"/>
    </row>
    <row r="40" spans="1:21" s="19" customFormat="1" ht="14.25">
      <c r="A40" s="34">
        <v>192</v>
      </c>
      <c r="B40" s="34" t="s">
        <v>3323</v>
      </c>
      <c r="C40" s="34" t="s">
        <v>3324</v>
      </c>
      <c r="D40" s="34" t="s">
        <v>46</v>
      </c>
      <c r="E40" s="34">
        <v>90</v>
      </c>
      <c r="F40" s="34" t="s">
        <v>27</v>
      </c>
      <c r="G40" s="34" t="s">
        <v>27</v>
      </c>
      <c r="H40" s="34" t="s">
        <v>3325</v>
      </c>
      <c r="I40" s="34">
        <v>2024</v>
      </c>
      <c r="J40" s="34" t="s">
        <v>3326</v>
      </c>
      <c r="K40" s="34" t="s">
        <v>2946</v>
      </c>
      <c r="L40" s="34" t="s">
        <v>22</v>
      </c>
      <c r="M40" s="34"/>
      <c r="N40" s="34" t="s">
        <v>20</v>
      </c>
      <c r="O40" s="34" t="s">
        <v>22</v>
      </c>
      <c r="P40" s="34" t="s">
        <v>23</v>
      </c>
      <c r="Q40" s="34"/>
      <c r="R40" s="34" t="s">
        <v>20</v>
      </c>
      <c r="S40" s="34" t="s">
        <v>3511</v>
      </c>
      <c r="T40" s="34"/>
      <c r="U40" s="34"/>
    </row>
    <row r="41" spans="1:21" ht="14.25" customHeight="1">
      <c r="A41" s="1">
        <v>284</v>
      </c>
      <c r="B41" s="3" t="s">
        <v>1538</v>
      </c>
      <c r="C41" s="3" t="s">
        <v>1539</v>
      </c>
      <c r="D41" s="3" t="s">
        <v>64</v>
      </c>
      <c r="E41" s="3">
        <v>143</v>
      </c>
      <c r="F41" s="3" t="s">
        <v>718</v>
      </c>
      <c r="G41" s="3" t="s">
        <v>1540</v>
      </c>
      <c r="H41" s="3" t="s">
        <v>1541</v>
      </c>
      <c r="I41" s="3">
        <v>1999</v>
      </c>
      <c r="J41" s="3" t="s">
        <v>1542</v>
      </c>
      <c r="K41" s="3" t="s">
        <v>3048</v>
      </c>
      <c r="L41" s="3" t="s">
        <v>22</v>
      </c>
      <c r="M41" s="3"/>
      <c r="N41" s="3" t="s">
        <v>22</v>
      </c>
      <c r="O41" s="3" t="s">
        <v>22</v>
      </c>
      <c r="P41" s="3" t="s">
        <v>23</v>
      </c>
      <c r="Q41" s="3"/>
      <c r="R41" s="12" t="s">
        <v>20</v>
      </c>
      <c r="S41" s="1" t="s">
        <v>2975</v>
      </c>
      <c r="T41" s="1" t="s">
        <v>3169</v>
      </c>
      <c r="U41" s="31" t="s">
        <v>3025</v>
      </c>
    </row>
    <row r="42" spans="1:21" ht="14.25" hidden="1" customHeight="1">
      <c r="A42" s="1">
        <v>388</v>
      </c>
      <c r="B42" s="3" t="s">
        <v>2023</v>
      </c>
      <c r="C42" s="3" t="s">
        <v>2024</v>
      </c>
      <c r="D42" s="3" t="s">
        <v>572</v>
      </c>
      <c r="E42" s="3">
        <v>411</v>
      </c>
      <c r="F42" s="3" t="s">
        <v>65</v>
      </c>
      <c r="G42" s="3" t="s">
        <v>2025</v>
      </c>
      <c r="H42" s="3" t="s">
        <v>2026</v>
      </c>
      <c r="I42" s="3">
        <v>2017</v>
      </c>
      <c r="J42" s="3" t="s">
        <v>2027</v>
      </c>
      <c r="K42" s="3" t="s">
        <v>3048</v>
      </c>
      <c r="L42" s="3" t="s">
        <v>20</v>
      </c>
      <c r="M42" s="3" t="s">
        <v>21</v>
      </c>
      <c r="N42" s="3" t="s">
        <v>20</v>
      </c>
      <c r="O42" s="3" t="s">
        <v>36</v>
      </c>
      <c r="P42" s="3" t="s">
        <v>36</v>
      </c>
      <c r="Q42" s="3"/>
      <c r="U42" s="1"/>
    </row>
    <row r="43" spans="1:21" ht="14.25" hidden="1" customHeight="1">
      <c r="A43" s="1">
        <v>422</v>
      </c>
      <c r="B43" s="3" t="s">
        <v>2170</v>
      </c>
      <c r="C43" s="3" t="s">
        <v>2171</v>
      </c>
      <c r="D43" s="3" t="s">
        <v>2172</v>
      </c>
      <c r="E43" s="3">
        <v>41</v>
      </c>
      <c r="F43" s="3" t="s">
        <v>2173</v>
      </c>
      <c r="G43" s="3" t="s">
        <v>2174</v>
      </c>
      <c r="H43" s="3" t="s">
        <v>2175</v>
      </c>
      <c r="I43" s="3">
        <v>2017</v>
      </c>
      <c r="J43" s="3" t="s">
        <v>2176</v>
      </c>
      <c r="K43" s="3" t="s">
        <v>3048</v>
      </c>
      <c r="L43" s="3" t="s">
        <v>268</v>
      </c>
      <c r="M43" s="3" t="s">
        <v>269</v>
      </c>
      <c r="N43" s="3" t="s">
        <v>268</v>
      </c>
      <c r="O43" s="3" t="s">
        <v>22</v>
      </c>
      <c r="P43" s="3" t="s">
        <v>269</v>
      </c>
      <c r="Q43" s="3" t="s">
        <v>2878</v>
      </c>
      <c r="U43" s="1"/>
    </row>
    <row r="44" spans="1:21" ht="14.25" customHeight="1">
      <c r="A44" s="1">
        <v>194</v>
      </c>
      <c r="B44" s="3" t="s">
        <v>1104</v>
      </c>
      <c r="C44" s="3" t="s">
        <v>1105</v>
      </c>
      <c r="D44" s="3" t="s">
        <v>27</v>
      </c>
      <c r="E44" s="3"/>
      <c r="F44" s="3" t="s">
        <v>27</v>
      </c>
      <c r="G44" s="3" t="s">
        <v>27</v>
      </c>
      <c r="H44" s="3" t="s">
        <v>27</v>
      </c>
      <c r="I44" s="3">
        <v>1999</v>
      </c>
      <c r="J44" s="3" t="s">
        <v>27</v>
      </c>
      <c r="K44" s="3" t="s">
        <v>3048</v>
      </c>
      <c r="L44" s="3" t="s">
        <v>22</v>
      </c>
      <c r="M44" s="3" t="s">
        <v>1106</v>
      </c>
      <c r="N44" s="3" t="s">
        <v>268</v>
      </c>
      <c r="O44" s="3" t="s">
        <v>36</v>
      </c>
      <c r="P44" s="3" t="s">
        <v>1106</v>
      </c>
      <c r="Q44" s="3" t="s">
        <v>2884</v>
      </c>
      <c r="U44" s="1"/>
    </row>
    <row r="45" spans="1:21" s="19" customFormat="1" ht="14.25" hidden="1">
      <c r="A45" s="34">
        <v>473</v>
      </c>
      <c r="B45" s="34" t="s">
        <v>3327</v>
      </c>
      <c r="C45" s="34" t="s">
        <v>3328</v>
      </c>
      <c r="D45" s="34" t="s">
        <v>3329</v>
      </c>
      <c r="E45" s="34">
        <v>34</v>
      </c>
      <c r="F45" s="34">
        <v>577</v>
      </c>
      <c r="G45" s="34">
        <v>586</v>
      </c>
      <c r="H45" s="34" t="s">
        <v>27</v>
      </c>
      <c r="I45" s="34">
        <v>2004</v>
      </c>
      <c r="J45" s="34" t="s">
        <v>3330</v>
      </c>
      <c r="K45" s="34" t="s">
        <v>2946</v>
      </c>
      <c r="L45" s="34" t="s">
        <v>20</v>
      </c>
      <c r="M45" s="34"/>
      <c r="N45" s="34" t="s">
        <v>27</v>
      </c>
      <c r="O45" s="34"/>
      <c r="P45" s="34"/>
      <c r="Q45" s="34"/>
      <c r="R45" s="34"/>
      <c r="S45" s="34"/>
      <c r="T45" s="34"/>
      <c r="U45" s="34"/>
    </row>
    <row r="46" spans="1:21" ht="14.25" customHeight="1">
      <c r="A46" s="1">
        <v>58</v>
      </c>
      <c r="B46" s="3" t="s">
        <v>360</v>
      </c>
      <c r="C46" s="3" t="s">
        <v>361</v>
      </c>
      <c r="D46" s="3" t="s">
        <v>282</v>
      </c>
      <c r="E46" s="3">
        <v>172</v>
      </c>
      <c r="F46" s="3" t="s">
        <v>362</v>
      </c>
      <c r="G46" s="3" t="s">
        <v>363</v>
      </c>
      <c r="H46" s="3" t="s">
        <v>364</v>
      </c>
      <c r="I46" s="3">
        <v>2013</v>
      </c>
      <c r="J46" s="3" t="s">
        <v>365</v>
      </c>
      <c r="K46" s="3" t="s">
        <v>3048</v>
      </c>
      <c r="L46" s="3" t="s">
        <v>22</v>
      </c>
      <c r="M46" s="3"/>
      <c r="N46" s="3" t="s">
        <v>22</v>
      </c>
      <c r="O46" s="3" t="s">
        <v>22</v>
      </c>
      <c r="P46" s="3" t="s">
        <v>23</v>
      </c>
      <c r="Q46" s="3"/>
      <c r="R46" s="12" t="s">
        <v>22</v>
      </c>
      <c r="U46" s="31" t="s">
        <v>3048</v>
      </c>
    </row>
    <row r="47" spans="1:21" s="19" customFormat="1" ht="14.25">
      <c r="A47" s="34">
        <v>423</v>
      </c>
      <c r="B47" s="34" t="s">
        <v>3331</v>
      </c>
      <c r="C47" s="34" t="s">
        <v>3332</v>
      </c>
      <c r="D47" s="34" t="s">
        <v>102</v>
      </c>
      <c r="E47" s="34">
        <v>594</v>
      </c>
      <c r="F47" s="34" t="s">
        <v>27</v>
      </c>
      <c r="G47" s="34" t="s">
        <v>27</v>
      </c>
      <c r="H47" s="34" t="s">
        <v>3333</v>
      </c>
      <c r="I47" s="34">
        <v>2025</v>
      </c>
      <c r="J47" s="34" t="s">
        <v>3334</v>
      </c>
      <c r="K47" s="34" t="s">
        <v>2946</v>
      </c>
      <c r="L47" s="34" t="s">
        <v>22</v>
      </c>
      <c r="M47" s="34"/>
      <c r="N47" s="34" t="s">
        <v>20</v>
      </c>
      <c r="O47" s="34" t="s">
        <v>22</v>
      </c>
      <c r="P47" s="34" t="s">
        <v>23</v>
      </c>
      <c r="Q47" s="34"/>
      <c r="R47" s="34" t="s">
        <v>20</v>
      </c>
      <c r="S47" s="34" t="s">
        <v>2975</v>
      </c>
      <c r="T47" s="34"/>
      <c r="U47" s="34"/>
    </row>
    <row r="48" spans="1:21" s="19" customFormat="1" ht="14.25" hidden="1">
      <c r="A48" s="34">
        <v>445</v>
      </c>
      <c r="B48" s="34" t="s">
        <v>3335</v>
      </c>
      <c r="C48" s="34" t="s">
        <v>3336</v>
      </c>
      <c r="D48" s="34" t="s">
        <v>452</v>
      </c>
      <c r="E48" s="34">
        <v>206</v>
      </c>
      <c r="F48" s="34" t="s">
        <v>27</v>
      </c>
      <c r="G48" s="34" t="s">
        <v>27</v>
      </c>
      <c r="H48" s="34" t="s">
        <v>3337</v>
      </c>
      <c r="I48" s="34">
        <v>2025</v>
      </c>
      <c r="J48" s="34" t="s">
        <v>3338</v>
      </c>
      <c r="K48" s="34" t="s">
        <v>2946</v>
      </c>
      <c r="L48" s="34" t="s">
        <v>20</v>
      </c>
      <c r="M48" s="34"/>
      <c r="N48" s="34" t="s">
        <v>27</v>
      </c>
      <c r="O48" s="34"/>
      <c r="P48" s="34"/>
      <c r="Q48" s="34"/>
      <c r="R48" s="34"/>
      <c r="S48" s="34"/>
      <c r="T48" s="34"/>
      <c r="U48" s="34"/>
    </row>
    <row r="49" spans="1:22" ht="14.25" hidden="1" customHeight="1">
      <c r="A49" s="1">
        <v>361</v>
      </c>
      <c r="B49" s="5" t="s">
        <v>1899</v>
      </c>
      <c r="C49" s="5" t="s">
        <v>1900</v>
      </c>
      <c r="D49" s="5" t="s">
        <v>843</v>
      </c>
      <c r="E49" s="5">
        <v>6</v>
      </c>
      <c r="F49" s="5" t="s">
        <v>27</v>
      </c>
      <c r="G49" s="5" t="s">
        <v>27</v>
      </c>
      <c r="H49" s="5" t="s">
        <v>1901</v>
      </c>
      <c r="I49" s="5">
        <v>2015</v>
      </c>
      <c r="J49" s="5" t="s">
        <v>1902</v>
      </c>
      <c r="K49" s="5" t="s">
        <v>3048</v>
      </c>
      <c r="L49" s="5" t="s">
        <v>20</v>
      </c>
      <c r="M49" s="5" t="s">
        <v>21</v>
      </c>
      <c r="N49" s="5" t="s">
        <v>20</v>
      </c>
      <c r="O49" s="5" t="s">
        <v>36</v>
      </c>
      <c r="P49" s="5" t="s">
        <v>36</v>
      </c>
      <c r="Q49" s="5"/>
      <c r="U49" s="1"/>
    </row>
    <row r="50" spans="1:22" ht="14.25" customHeight="1">
      <c r="A50" s="1">
        <v>331</v>
      </c>
      <c r="B50" s="5" t="s">
        <v>1748</v>
      </c>
      <c r="C50" s="5" t="s">
        <v>1749</v>
      </c>
      <c r="D50" s="5" t="s">
        <v>166</v>
      </c>
      <c r="E50" s="5">
        <v>38</v>
      </c>
      <c r="F50" s="5" t="s">
        <v>1750</v>
      </c>
      <c r="G50" s="5" t="s">
        <v>1751</v>
      </c>
      <c r="H50" s="5" t="s">
        <v>1752</v>
      </c>
      <c r="I50" s="5">
        <v>2006</v>
      </c>
      <c r="J50" s="5" t="s">
        <v>1753</v>
      </c>
      <c r="K50" s="5" t="s">
        <v>3048</v>
      </c>
      <c r="L50" s="5" t="s">
        <v>22</v>
      </c>
      <c r="M50" s="5"/>
      <c r="N50" s="5" t="s">
        <v>22</v>
      </c>
      <c r="O50" s="5" t="s">
        <v>22</v>
      </c>
      <c r="P50" s="5" t="s">
        <v>23</v>
      </c>
      <c r="Q50" s="5"/>
      <c r="R50" s="12" t="s">
        <v>22</v>
      </c>
      <c r="T50" s="1" t="s">
        <v>3005</v>
      </c>
      <c r="U50" s="31" t="s">
        <v>2910</v>
      </c>
    </row>
    <row r="51" spans="1:22" ht="14.25" customHeight="1">
      <c r="A51" s="1">
        <v>183</v>
      </c>
      <c r="B51" s="5" t="s">
        <v>1040</v>
      </c>
      <c r="C51" s="5" t="s">
        <v>1041</v>
      </c>
      <c r="D51" s="5" t="s">
        <v>64</v>
      </c>
      <c r="E51" s="5">
        <v>172</v>
      </c>
      <c r="F51" s="5" t="s">
        <v>1042</v>
      </c>
      <c r="G51" s="5" t="s">
        <v>1043</v>
      </c>
      <c r="H51" s="5" t="s">
        <v>1044</v>
      </c>
      <c r="I51" s="5">
        <v>2006</v>
      </c>
      <c r="J51" s="5" t="s">
        <v>1045</v>
      </c>
      <c r="K51" s="5" t="s">
        <v>3048</v>
      </c>
      <c r="L51" s="5" t="s">
        <v>22</v>
      </c>
      <c r="M51" s="5"/>
      <c r="N51" s="5" t="s">
        <v>22</v>
      </c>
      <c r="O51" s="5" t="s">
        <v>22</v>
      </c>
      <c r="P51" s="5" t="s">
        <v>23</v>
      </c>
      <c r="Q51" s="5"/>
      <c r="R51" s="12" t="s">
        <v>22</v>
      </c>
      <c r="T51" s="1" t="s">
        <v>3138</v>
      </c>
      <c r="U51" s="31" t="s">
        <v>2910</v>
      </c>
    </row>
    <row r="52" spans="1:22" ht="14.25" customHeight="1">
      <c r="A52" s="1">
        <v>328</v>
      </c>
      <c r="B52" s="3" t="s">
        <v>1739</v>
      </c>
      <c r="C52" s="3" t="s">
        <v>1740</v>
      </c>
      <c r="D52" s="3" t="s">
        <v>27</v>
      </c>
      <c r="E52" s="3"/>
      <c r="F52" s="3" t="s">
        <v>27</v>
      </c>
      <c r="G52" s="3" t="s">
        <v>27</v>
      </c>
      <c r="H52" s="3" t="s">
        <v>27</v>
      </c>
      <c r="I52" s="3">
        <v>2007</v>
      </c>
      <c r="J52" s="3" t="s">
        <v>27</v>
      </c>
      <c r="K52" s="3" t="s">
        <v>3048</v>
      </c>
      <c r="L52" s="3" t="s">
        <v>22</v>
      </c>
      <c r="M52" s="3" t="s">
        <v>1256</v>
      </c>
      <c r="N52" s="3" t="s">
        <v>20</v>
      </c>
      <c r="O52" s="3" t="s">
        <v>36</v>
      </c>
      <c r="P52" s="3" t="s">
        <v>1256</v>
      </c>
      <c r="Q52" s="3" t="s">
        <v>1224</v>
      </c>
      <c r="U52" s="1"/>
    </row>
    <row r="53" spans="1:22" ht="14.25" customHeight="1">
      <c r="A53" s="1">
        <v>41</v>
      </c>
      <c r="B53" s="5" t="s">
        <v>260</v>
      </c>
      <c r="C53" s="5" t="s">
        <v>261</v>
      </c>
      <c r="D53" s="5" t="s">
        <v>102</v>
      </c>
      <c r="E53" s="5">
        <v>503</v>
      </c>
      <c r="F53" s="5" t="s">
        <v>27</v>
      </c>
      <c r="G53" s="5" t="s">
        <v>27</v>
      </c>
      <c r="H53" s="5" t="s">
        <v>262</v>
      </c>
      <c r="I53" s="5">
        <v>2022</v>
      </c>
      <c r="J53" s="5" t="s">
        <v>263</v>
      </c>
      <c r="K53" s="5" t="s">
        <v>3048</v>
      </c>
      <c r="L53" s="5" t="s">
        <v>22</v>
      </c>
      <c r="M53" s="5"/>
      <c r="N53" s="5" t="s">
        <v>22</v>
      </c>
      <c r="O53" s="5" t="s">
        <v>22</v>
      </c>
      <c r="P53" s="5" t="s">
        <v>23</v>
      </c>
      <c r="Q53" s="5"/>
      <c r="R53" s="12" t="s">
        <v>22</v>
      </c>
      <c r="T53" s="1" t="s">
        <v>3053</v>
      </c>
      <c r="U53" s="31" t="s">
        <v>3025</v>
      </c>
    </row>
    <row r="54" spans="1:22" ht="14.25" hidden="1" customHeight="1">
      <c r="A54" s="1">
        <v>390</v>
      </c>
      <c r="B54" s="3" t="s">
        <v>2033</v>
      </c>
      <c r="C54" s="3" t="s">
        <v>2034</v>
      </c>
      <c r="D54" s="3" t="s">
        <v>2035</v>
      </c>
      <c r="E54" s="3"/>
      <c r="F54" s="3" t="s">
        <v>702</v>
      </c>
      <c r="G54" s="3" t="s">
        <v>1679</v>
      </c>
      <c r="H54" s="3" t="s">
        <v>27</v>
      </c>
      <c r="I54" s="3">
        <v>2005</v>
      </c>
      <c r="J54" s="3" t="s">
        <v>2036</v>
      </c>
      <c r="K54" s="3" t="s">
        <v>3048</v>
      </c>
      <c r="L54" s="3" t="s">
        <v>20</v>
      </c>
      <c r="M54" s="3" t="s">
        <v>21</v>
      </c>
      <c r="N54" s="3" t="s">
        <v>20</v>
      </c>
      <c r="O54" s="3" t="s">
        <v>36</v>
      </c>
      <c r="P54" s="3" t="s">
        <v>36</v>
      </c>
      <c r="Q54" s="3"/>
      <c r="U54" s="1"/>
    </row>
    <row r="55" spans="1:22" ht="14.25" customHeight="1">
      <c r="A55" s="1">
        <v>186</v>
      </c>
      <c r="B55" s="3" t="s">
        <v>1059</v>
      </c>
      <c r="C55" s="3" t="s">
        <v>1060</v>
      </c>
      <c r="D55" s="3" t="s">
        <v>193</v>
      </c>
      <c r="E55" s="3">
        <v>57</v>
      </c>
      <c r="F55" s="3" t="s">
        <v>1061</v>
      </c>
      <c r="G55" s="3" t="s">
        <v>1062</v>
      </c>
      <c r="H55" s="3" t="s">
        <v>1063</v>
      </c>
      <c r="I55" s="3">
        <v>2020</v>
      </c>
      <c r="J55" s="3" t="s">
        <v>1064</v>
      </c>
      <c r="K55" s="3" t="s">
        <v>3048</v>
      </c>
      <c r="L55" s="3" t="s">
        <v>22</v>
      </c>
      <c r="M55" s="3"/>
      <c r="N55" s="3" t="s">
        <v>22</v>
      </c>
      <c r="O55" s="3" t="s">
        <v>22</v>
      </c>
      <c r="P55" s="3" t="s">
        <v>23</v>
      </c>
      <c r="Q55" s="3"/>
      <c r="R55" s="12" t="s">
        <v>22</v>
      </c>
      <c r="U55" s="31" t="s">
        <v>3048</v>
      </c>
      <c r="V55" s="1" t="s">
        <v>3520</v>
      </c>
    </row>
    <row r="56" spans="1:22" ht="14.25" hidden="1" customHeight="1">
      <c r="A56" s="1">
        <v>217</v>
      </c>
      <c r="B56" s="5" t="s">
        <v>1215</v>
      </c>
      <c r="C56" s="5" t="s">
        <v>1216</v>
      </c>
      <c r="D56" s="5" t="s">
        <v>1217</v>
      </c>
      <c r="E56" s="5">
        <v>41</v>
      </c>
      <c r="F56" s="5" t="s">
        <v>1218</v>
      </c>
      <c r="G56" s="5" t="s">
        <v>1219</v>
      </c>
      <c r="H56" s="5" t="s">
        <v>1220</v>
      </c>
      <c r="I56" s="5">
        <v>2009</v>
      </c>
      <c r="J56" s="5" t="s">
        <v>1221</v>
      </c>
      <c r="K56" s="5" t="s">
        <v>3048</v>
      </c>
      <c r="L56" s="5" t="s">
        <v>20</v>
      </c>
      <c r="M56" s="5" t="s">
        <v>21</v>
      </c>
      <c r="N56" s="5" t="s">
        <v>20</v>
      </c>
      <c r="O56" s="5" t="s">
        <v>36</v>
      </c>
      <c r="P56" s="5" t="s">
        <v>36</v>
      </c>
      <c r="Q56" s="5"/>
      <c r="U56" s="1"/>
    </row>
    <row r="57" spans="1:22" ht="14.25" hidden="1" customHeight="1">
      <c r="A57" s="1">
        <v>61</v>
      </c>
      <c r="B57" s="5" t="s">
        <v>379</v>
      </c>
      <c r="C57" s="5" t="s">
        <v>380</v>
      </c>
      <c r="D57" s="5" t="s">
        <v>381</v>
      </c>
      <c r="E57" s="5">
        <v>5</v>
      </c>
      <c r="F57" s="5" t="s">
        <v>382</v>
      </c>
      <c r="G57" s="5" t="s">
        <v>383</v>
      </c>
      <c r="H57" s="5" t="s">
        <v>27</v>
      </c>
      <c r="I57" s="5">
        <v>2015</v>
      </c>
      <c r="J57" s="5" t="s">
        <v>384</v>
      </c>
      <c r="K57" s="5" t="s">
        <v>3048</v>
      </c>
      <c r="L57" s="5" t="s">
        <v>20</v>
      </c>
      <c r="M57" s="5" t="s">
        <v>21</v>
      </c>
      <c r="N57" s="5" t="s">
        <v>20</v>
      </c>
      <c r="O57" s="5" t="s">
        <v>36</v>
      </c>
      <c r="P57" s="5" t="s">
        <v>36</v>
      </c>
      <c r="Q57" s="5"/>
      <c r="U57" s="1"/>
    </row>
    <row r="58" spans="1:22" ht="14.25" hidden="1" customHeight="1">
      <c r="A58" s="1">
        <v>223</v>
      </c>
      <c r="B58" s="5" t="s">
        <v>1247</v>
      </c>
      <c r="C58" s="5" t="s">
        <v>1248</v>
      </c>
      <c r="D58" s="5" t="s">
        <v>1249</v>
      </c>
      <c r="E58" s="5">
        <v>21</v>
      </c>
      <c r="F58" s="5" t="s">
        <v>1250</v>
      </c>
      <c r="G58" s="5" t="s">
        <v>1251</v>
      </c>
      <c r="H58" s="5" t="s">
        <v>1252</v>
      </c>
      <c r="I58" s="5">
        <v>2011</v>
      </c>
      <c r="J58" s="5" t="s">
        <v>1253</v>
      </c>
      <c r="K58" s="5" t="s">
        <v>3048</v>
      </c>
      <c r="L58" s="5" t="s">
        <v>20</v>
      </c>
      <c r="M58" s="5" t="s">
        <v>21</v>
      </c>
      <c r="N58" s="5" t="s">
        <v>20</v>
      </c>
      <c r="O58" s="5" t="s">
        <v>36</v>
      </c>
      <c r="P58" s="5" t="s">
        <v>36</v>
      </c>
      <c r="Q58" s="5"/>
      <c r="U58" s="1"/>
    </row>
    <row r="59" spans="1:22" ht="14.25" hidden="1" customHeight="1">
      <c r="A59" s="1">
        <v>5</v>
      </c>
      <c r="B59" s="5" t="s">
        <v>44</v>
      </c>
      <c r="C59" s="5" t="s">
        <v>45</v>
      </c>
      <c r="D59" s="5" t="s">
        <v>46</v>
      </c>
      <c r="E59" s="5">
        <v>77</v>
      </c>
      <c r="F59" s="5" t="s">
        <v>47</v>
      </c>
      <c r="G59" s="5" t="s">
        <v>48</v>
      </c>
      <c r="H59" s="5" t="s">
        <v>49</v>
      </c>
      <c r="I59" s="5">
        <v>2011</v>
      </c>
      <c r="J59" s="5" t="s">
        <v>50</v>
      </c>
      <c r="K59" s="5" t="s">
        <v>3048</v>
      </c>
      <c r="L59" s="5" t="s">
        <v>20</v>
      </c>
      <c r="M59" s="5" t="s">
        <v>21</v>
      </c>
      <c r="N59" s="5" t="s">
        <v>22</v>
      </c>
      <c r="O59" s="5" t="s">
        <v>22</v>
      </c>
      <c r="P59" s="5" t="s">
        <v>23</v>
      </c>
      <c r="Q59" s="5"/>
      <c r="R59" s="21" t="s">
        <v>20</v>
      </c>
      <c r="S59" s="1" t="s">
        <v>3007</v>
      </c>
      <c r="T59" s="1" t="s">
        <v>3026</v>
      </c>
      <c r="U59" s="31" t="s">
        <v>3025</v>
      </c>
    </row>
    <row r="60" spans="1:22" ht="14.25" hidden="1" customHeight="1">
      <c r="A60" s="1">
        <v>20</v>
      </c>
      <c r="B60" s="3" t="s">
        <v>130</v>
      </c>
      <c r="C60" s="3" t="s">
        <v>131</v>
      </c>
      <c r="D60" s="3" t="s">
        <v>132</v>
      </c>
      <c r="E60" s="3"/>
      <c r="F60" s="3" t="s">
        <v>133</v>
      </c>
      <c r="G60" s="3" t="s">
        <v>133</v>
      </c>
      <c r="H60" s="3" t="s">
        <v>27</v>
      </c>
      <c r="I60" s="3">
        <v>2001</v>
      </c>
      <c r="J60" s="3" t="s">
        <v>134</v>
      </c>
      <c r="K60" s="3" t="s">
        <v>3048</v>
      </c>
      <c r="L60" s="3" t="s">
        <v>20</v>
      </c>
      <c r="M60" s="3" t="s">
        <v>21</v>
      </c>
      <c r="N60" s="3" t="s">
        <v>20</v>
      </c>
      <c r="O60" s="3" t="s">
        <v>36</v>
      </c>
      <c r="P60" s="3" t="s">
        <v>36</v>
      </c>
      <c r="Q60" s="3"/>
      <c r="U60" s="1"/>
    </row>
    <row r="61" spans="1:22" ht="14.25" hidden="1" customHeight="1">
      <c r="A61" s="1">
        <v>79</v>
      </c>
      <c r="B61" s="5" t="s">
        <v>483</v>
      </c>
      <c r="C61" s="5" t="s">
        <v>484</v>
      </c>
      <c r="D61" s="5" t="s">
        <v>400</v>
      </c>
      <c r="E61" s="5">
        <v>79</v>
      </c>
      <c r="F61" s="5" t="s">
        <v>485</v>
      </c>
      <c r="G61" s="5" t="s">
        <v>486</v>
      </c>
      <c r="H61" s="5" t="s">
        <v>487</v>
      </c>
      <c r="I61" s="5">
        <v>2001</v>
      </c>
      <c r="J61" s="5" t="s">
        <v>488</v>
      </c>
      <c r="K61" s="5" t="s">
        <v>3048</v>
      </c>
      <c r="L61" s="5" t="s">
        <v>20</v>
      </c>
      <c r="M61" s="5" t="s">
        <v>21</v>
      </c>
      <c r="N61" s="5" t="s">
        <v>20</v>
      </c>
      <c r="O61" s="5" t="s">
        <v>36</v>
      </c>
      <c r="P61" s="5" t="s">
        <v>36</v>
      </c>
      <c r="Q61" s="5"/>
      <c r="U61" s="1"/>
    </row>
    <row r="62" spans="1:22" s="19" customFormat="1" ht="14.25" hidden="1">
      <c r="A62" s="34">
        <v>432</v>
      </c>
      <c r="B62" s="34" t="s">
        <v>3339</v>
      </c>
      <c r="C62" s="34" t="s">
        <v>3340</v>
      </c>
      <c r="D62" s="34" t="s">
        <v>3341</v>
      </c>
      <c r="E62" s="34">
        <v>44</v>
      </c>
      <c r="F62" s="34">
        <v>757</v>
      </c>
      <c r="G62" s="34">
        <v>763</v>
      </c>
      <c r="H62" s="34" t="s">
        <v>3342</v>
      </c>
      <c r="I62" s="34">
        <v>2013</v>
      </c>
      <c r="J62" s="34" t="s">
        <v>3343</v>
      </c>
      <c r="K62" s="34" t="s">
        <v>2946</v>
      </c>
      <c r="L62" s="34" t="s">
        <v>20</v>
      </c>
      <c r="M62" s="34"/>
      <c r="N62" s="34" t="s">
        <v>27</v>
      </c>
      <c r="O62" s="34"/>
      <c r="P62" s="34"/>
      <c r="Q62" s="34"/>
      <c r="R62" s="34"/>
      <c r="S62" s="34"/>
      <c r="T62" s="34"/>
      <c r="U62" s="34"/>
    </row>
    <row r="63" spans="1:22" ht="14.25" hidden="1" customHeight="1">
      <c r="A63" s="1">
        <v>420</v>
      </c>
      <c r="B63" s="3" t="s">
        <v>2161</v>
      </c>
      <c r="C63" s="3" t="s">
        <v>2162</v>
      </c>
      <c r="D63" s="3" t="s">
        <v>2163</v>
      </c>
      <c r="E63" s="3">
        <v>12</v>
      </c>
      <c r="F63" s="3" t="s">
        <v>27</v>
      </c>
      <c r="G63" s="3" t="s">
        <v>27</v>
      </c>
      <c r="H63" s="3" t="s">
        <v>27</v>
      </c>
      <c r="I63" s="3">
        <v>2007</v>
      </c>
      <c r="J63" s="3" t="s">
        <v>2164</v>
      </c>
      <c r="K63" s="3" t="s">
        <v>3048</v>
      </c>
      <c r="L63" s="3" t="s">
        <v>20</v>
      </c>
      <c r="M63" s="3" t="s">
        <v>21</v>
      </c>
      <c r="N63" s="3" t="s">
        <v>20</v>
      </c>
      <c r="O63" s="3" t="s">
        <v>36</v>
      </c>
      <c r="P63" s="3" t="s">
        <v>36</v>
      </c>
      <c r="Q63" s="3"/>
      <c r="U63" s="1"/>
    </row>
    <row r="64" spans="1:22" ht="14.25" hidden="1" customHeight="1">
      <c r="A64" s="1">
        <v>109</v>
      </c>
      <c r="B64" s="5" t="s">
        <v>646</v>
      </c>
      <c r="C64" s="5" t="s">
        <v>647</v>
      </c>
      <c r="D64" s="5" t="s">
        <v>572</v>
      </c>
      <c r="E64" s="5">
        <v>356</v>
      </c>
      <c r="F64" s="5" t="s">
        <v>648</v>
      </c>
      <c r="G64" s="5" t="s">
        <v>649</v>
      </c>
      <c r="H64" s="5" t="s">
        <v>650</v>
      </c>
      <c r="I64" s="5">
        <v>2012</v>
      </c>
      <c r="J64" s="5" t="s">
        <v>651</v>
      </c>
      <c r="K64" s="5" t="s">
        <v>3048</v>
      </c>
      <c r="L64" s="5" t="s">
        <v>20</v>
      </c>
      <c r="M64" s="5" t="s">
        <v>21</v>
      </c>
      <c r="N64" s="5" t="s">
        <v>20</v>
      </c>
      <c r="O64" s="5" t="s">
        <v>36</v>
      </c>
      <c r="P64" s="5" t="s">
        <v>36</v>
      </c>
      <c r="Q64" s="5"/>
      <c r="U64" s="1"/>
    </row>
    <row r="65" spans="1:21" ht="14.25" hidden="1" customHeight="1">
      <c r="A65" s="1">
        <v>344</v>
      </c>
      <c r="B65" s="3" t="s">
        <v>1815</v>
      </c>
      <c r="C65" s="3" t="s">
        <v>1816</v>
      </c>
      <c r="D65" s="3" t="s">
        <v>27</v>
      </c>
      <c r="E65" s="3"/>
      <c r="F65" s="3" t="s">
        <v>27</v>
      </c>
      <c r="G65" s="3" t="s">
        <v>27</v>
      </c>
      <c r="H65" s="3" t="s">
        <v>27</v>
      </c>
      <c r="I65" s="3">
        <v>1990</v>
      </c>
      <c r="J65" s="3" t="s">
        <v>27</v>
      </c>
      <c r="K65" s="3" t="s">
        <v>3048</v>
      </c>
      <c r="L65" s="3" t="s">
        <v>20</v>
      </c>
      <c r="M65" s="3" t="s">
        <v>36</v>
      </c>
      <c r="N65" s="3" t="s">
        <v>20</v>
      </c>
      <c r="O65" s="3" t="s">
        <v>36</v>
      </c>
      <c r="P65" s="3" t="s">
        <v>36</v>
      </c>
      <c r="Q65" s="3"/>
      <c r="U65" s="1"/>
    </row>
    <row r="66" spans="1:21" ht="14.25" hidden="1" customHeight="1">
      <c r="A66" s="1">
        <v>184</v>
      </c>
      <c r="B66" s="3" t="s">
        <v>1046</v>
      </c>
      <c r="C66" s="3" t="s">
        <v>1047</v>
      </c>
      <c r="D66" s="3" t="s">
        <v>173</v>
      </c>
      <c r="E66" s="3">
        <v>20</v>
      </c>
      <c r="F66" s="3" t="s">
        <v>1048</v>
      </c>
      <c r="G66" s="3" t="s">
        <v>1049</v>
      </c>
      <c r="H66" s="3" t="s">
        <v>1050</v>
      </c>
      <c r="I66" s="3">
        <v>1990</v>
      </c>
      <c r="J66" s="3" t="s">
        <v>1051</v>
      </c>
      <c r="K66" s="3" t="s">
        <v>3048</v>
      </c>
      <c r="L66" s="3" t="s">
        <v>20</v>
      </c>
      <c r="M66" s="3" t="s">
        <v>21</v>
      </c>
      <c r="N66" s="3" t="s">
        <v>22</v>
      </c>
      <c r="O66" s="3" t="s">
        <v>22</v>
      </c>
      <c r="P66" s="3" t="s">
        <v>23</v>
      </c>
      <c r="Q66" s="3"/>
      <c r="R66" s="12" t="s">
        <v>20</v>
      </c>
      <c r="S66" s="1" t="s">
        <v>2975</v>
      </c>
      <c r="U66" s="31" t="s">
        <v>3025</v>
      </c>
    </row>
    <row r="67" spans="1:21" ht="14.25" hidden="1" customHeight="1">
      <c r="A67" s="1">
        <v>532</v>
      </c>
      <c r="B67" s="3" t="s">
        <v>2681</v>
      </c>
      <c r="C67" s="3" t="s">
        <v>2682</v>
      </c>
      <c r="D67" s="3" t="s">
        <v>2683</v>
      </c>
      <c r="E67" s="3">
        <v>14</v>
      </c>
      <c r="F67" s="3" t="s">
        <v>2684</v>
      </c>
      <c r="G67" s="3" t="s">
        <v>593</v>
      </c>
      <c r="H67" s="3" t="s">
        <v>2685</v>
      </c>
      <c r="I67" s="3">
        <v>2001</v>
      </c>
      <c r="J67" s="3" t="s">
        <v>2686</v>
      </c>
      <c r="K67" s="3" t="s">
        <v>3048</v>
      </c>
      <c r="L67" s="3" t="s">
        <v>20</v>
      </c>
      <c r="M67" s="3" t="s">
        <v>21</v>
      </c>
      <c r="N67" s="3" t="s">
        <v>20</v>
      </c>
      <c r="O67" s="3" t="s">
        <v>36</v>
      </c>
      <c r="P67" s="3" t="s">
        <v>36</v>
      </c>
      <c r="Q67" s="3"/>
      <c r="U67" s="1"/>
    </row>
    <row r="68" spans="1:21" ht="14.25" customHeight="1">
      <c r="A68" s="1">
        <v>497</v>
      </c>
      <c r="B68" s="5" t="s">
        <v>2526</v>
      </c>
      <c r="C68" s="5" t="s">
        <v>2527</v>
      </c>
      <c r="D68" s="5" t="s">
        <v>185</v>
      </c>
      <c r="E68" s="5">
        <v>32</v>
      </c>
      <c r="F68" s="5" t="s">
        <v>2528</v>
      </c>
      <c r="G68" s="5" t="s">
        <v>2529</v>
      </c>
      <c r="H68" s="5" t="s">
        <v>2530</v>
      </c>
      <c r="I68" s="5">
        <v>2023</v>
      </c>
      <c r="J68" s="5" t="s">
        <v>2531</v>
      </c>
      <c r="K68" s="3" t="s">
        <v>3048</v>
      </c>
      <c r="L68" s="5" t="s">
        <v>22</v>
      </c>
      <c r="M68" s="5"/>
      <c r="N68" s="5" t="s">
        <v>22</v>
      </c>
      <c r="O68" s="5" t="s">
        <v>22</v>
      </c>
      <c r="P68" s="5" t="s">
        <v>23</v>
      </c>
      <c r="Q68" s="5"/>
      <c r="R68" s="21" t="s">
        <v>22</v>
      </c>
      <c r="T68" s="1" t="s">
        <v>2960</v>
      </c>
      <c r="U68" s="31" t="s">
        <v>2910</v>
      </c>
    </row>
    <row r="69" spans="1:21" ht="14.25" customHeight="1">
      <c r="A69" s="1">
        <v>481</v>
      </c>
      <c r="B69" s="5" t="s">
        <v>2448</v>
      </c>
      <c r="C69" s="5" t="s">
        <v>2449</v>
      </c>
      <c r="D69" s="5" t="s">
        <v>185</v>
      </c>
      <c r="E69" s="5">
        <v>31</v>
      </c>
      <c r="F69" s="5" t="s">
        <v>2450</v>
      </c>
      <c r="G69" s="5" t="s">
        <v>2451</v>
      </c>
      <c r="H69" s="5" t="s">
        <v>2452</v>
      </c>
      <c r="I69" s="5">
        <v>2022</v>
      </c>
      <c r="J69" s="5" t="s">
        <v>2453</v>
      </c>
      <c r="K69" s="3" t="s">
        <v>3048</v>
      </c>
      <c r="L69" s="5" t="s">
        <v>22</v>
      </c>
      <c r="M69" s="5"/>
      <c r="N69" s="5" t="s">
        <v>22</v>
      </c>
      <c r="O69" s="5" t="s">
        <v>22</v>
      </c>
      <c r="P69" s="5" t="s">
        <v>23</v>
      </c>
      <c r="Q69" s="5"/>
      <c r="R69" s="21" t="s">
        <v>22</v>
      </c>
      <c r="T69" s="1" t="s">
        <v>2915</v>
      </c>
      <c r="U69" s="31" t="s">
        <v>2910</v>
      </c>
    </row>
    <row r="70" spans="1:21" ht="14.25" customHeight="1">
      <c r="A70" s="1">
        <v>326</v>
      </c>
      <c r="B70" s="3" t="s">
        <v>1729</v>
      </c>
      <c r="C70" s="3" t="s">
        <v>1730</v>
      </c>
      <c r="D70" s="3" t="s">
        <v>934</v>
      </c>
      <c r="E70" s="3">
        <v>110</v>
      </c>
      <c r="F70" s="3" t="s">
        <v>1731</v>
      </c>
      <c r="G70" s="3" t="s">
        <v>1732</v>
      </c>
      <c r="H70" s="3" t="s">
        <v>1733</v>
      </c>
      <c r="I70" s="3">
        <v>2022</v>
      </c>
      <c r="J70" s="3" t="s">
        <v>1734</v>
      </c>
      <c r="K70" s="3" t="s">
        <v>3048</v>
      </c>
      <c r="L70" s="3" t="s">
        <v>22</v>
      </c>
      <c r="M70" s="3"/>
      <c r="N70" s="3" t="s">
        <v>22</v>
      </c>
      <c r="O70" s="3" t="s">
        <v>22</v>
      </c>
      <c r="P70" s="3" t="s">
        <v>23</v>
      </c>
      <c r="Q70" s="3"/>
      <c r="R70" s="12" t="s">
        <v>20</v>
      </c>
      <c r="T70" s="1" t="s">
        <v>3006</v>
      </c>
      <c r="U70" s="31" t="s">
        <v>2910</v>
      </c>
    </row>
    <row r="71" spans="1:21" ht="14.25" customHeight="1">
      <c r="A71" s="1">
        <v>330</v>
      </c>
      <c r="B71" s="3" t="s">
        <v>1746</v>
      </c>
      <c r="C71" s="3" t="s">
        <v>1747</v>
      </c>
      <c r="D71" s="3" t="s">
        <v>27</v>
      </c>
      <c r="E71" s="3"/>
      <c r="F71" s="3" t="s">
        <v>27</v>
      </c>
      <c r="G71" s="3" t="s">
        <v>27</v>
      </c>
      <c r="H71" s="3" t="s">
        <v>27</v>
      </c>
      <c r="I71" s="3">
        <v>2020</v>
      </c>
      <c r="J71" s="3" t="s">
        <v>27</v>
      </c>
      <c r="K71" s="3" t="s">
        <v>3048</v>
      </c>
      <c r="L71" s="3" t="s">
        <v>22</v>
      </c>
      <c r="M71" s="3" t="s">
        <v>1256</v>
      </c>
      <c r="N71" s="3" t="s">
        <v>20</v>
      </c>
      <c r="O71" s="3" t="s">
        <v>36</v>
      </c>
      <c r="P71" s="3" t="s">
        <v>1256</v>
      </c>
      <c r="Q71" s="3" t="s">
        <v>1224</v>
      </c>
      <c r="U71" s="1"/>
    </row>
    <row r="72" spans="1:21" ht="14.25" customHeight="1">
      <c r="A72" s="1">
        <v>260</v>
      </c>
      <c r="B72" s="3" t="s">
        <v>1432</v>
      </c>
      <c r="C72" s="3" t="s">
        <v>1433</v>
      </c>
      <c r="D72" s="3" t="s">
        <v>53</v>
      </c>
      <c r="E72" s="3">
        <v>49</v>
      </c>
      <c r="F72" s="3" t="s">
        <v>27</v>
      </c>
      <c r="G72" s="3" t="s">
        <v>27</v>
      </c>
      <c r="H72" s="3" t="s">
        <v>1434</v>
      </c>
      <c r="I72" s="3">
        <v>2021</v>
      </c>
      <c r="J72" s="3" t="s">
        <v>1435</v>
      </c>
      <c r="K72" s="3" t="s">
        <v>3048</v>
      </c>
      <c r="L72" s="3" t="s">
        <v>22</v>
      </c>
      <c r="M72" s="3"/>
      <c r="N72" s="3" t="s">
        <v>22</v>
      </c>
      <c r="O72" s="3" t="s">
        <v>22</v>
      </c>
      <c r="P72" s="3" t="s">
        <v>23</v>
      </c>
      <c r="Q72" s="3"/>
      <c r="R72" s="12" t="s">
        <v>22</v>
      </c>
      <c r="U72" s="31" t="s">
        <v>3025</v>
      </c>
    </row>
    <row r="73" spans="1:21" ht="14.25" hidden="1" customHeight="1">
      <c r="A73" s="1">
        <v>26</v>
      </c>
      <c r="B73" s="3" t="s">
        <v>164</v>
      </c>
      <c r="C73" s="3" t="s">
        <v>165</v>
      </c>
      <c r="D73" s="3" t="s">
        <v>166</v>
      </c>
      <c r="E73" s="3">
        <v>64</v>
      </c>
      <c r="F73" s="3" t="s">
        <v>167</v>
      </c>
      <c r="G73" s="3" t="s">
        <v>168</v>
      </c>
      <c r="H73" s="3" t="s">
        <v>169</v>
      </c>
      <c r="I73" s="3">
        <v>2013</v>
      </c>
      <c r="J73" s="3" t="s">
        <v>170</v>
      </c>
      <c r="K73" s="3" t="s">
        <v>3048</v>
      </c>
      <c r="L73" s="3" t="s">
        <v>20</v>
      </c>
      <c r="M73" s="3" t="s">
        <v>21</v>
      </c>
      <c r="N73" s="3" t="s">
        <v>20</v>
      </c>
      <c r="O73" s="3" t="s">
        <v>36</v>
      </c>
      <c r="P73" s="3" t="s">
        <v>36</v>
      </c>
      <c r="Q73" s="3"/>
      <c r="U73" s="1"/>
    </row>
    <row r="74" spans="1:21" ht="14.25" customHeight="1">
      <c r="A74" s="1">
        <v>410</v>
      </c>
      <c r="B74" s="3" t="s">
        <v>2117</v>
      </c>
      <c r="C74" s="3" t="s">
        <v>2118</v>
      </c>
      <c r="D74" s="3" t="s">
        <v>1943</v>
      </c>
      <c r="E74" s="3">
        <v>86</v>
      </c>
      <c r="F74" s="3" t="s">
        <v>2119</v>
      </c>
      <c r="G74" s="3" t="s">
        <v>2120</v>
      </c>
      <c r="H74" s="3" t="s">
        <v>2121</v>
      </c>
      <c r="I74" s="3">
        <v>2013</v>
      </c>
      <c r="J74" s="3" t="s">
        <v>2122</v>
      </c>
      <c r="K74" s="3" t="s">
        <v>3048</v>
      </c>
      <c r="L74" s="3" t="s">
        <v>22</v>
      </c>
      <c r="M74" s="3"/>
      <c r="N74" s="3" t="s">
        <v>22</v>
      </c>
      <c r="O74" s="3" t="s">
        <v>22</v>
      </c>
      <c r="P74" s="3" t="s">
        <v>23</v>
      </c>
      <c r="Q74" s="3"/>
      <c r="R74" s="12" t="s">
        <v>22</v>
      </c>
      <c r="T74" s="1" t="s">
        <v>3184</v>
      </c>
      <c r="U74" s="31" t="s">
        <v>3025</v>
      </c>
    </row>
    <row r="75" spans="1:21" ht="14.25" hidden="1" customHeight="1">
      <c r="A75" s="1">
        <v>16</v>
      </c>
      <c r="B75" s="3" t="s">
        <v>112</v>
      </c>
      <c r="C75" s="3" t="s">
        <v>113</v>
      </c>
      <c r="D75" s="3" t="s">
        <v>102</v>
      </c>
      <c r="E75" s="3">
        <v>531</v>
      </c>
      <c r="F75" s="3" t="s">
        <v>27</v>
      </c>
      <c r="G75" s="3" t="s">
        <v>27</v>
      </c>
      <c r="H75" s="3" t="s">
        <v>114</v>
      </c>
      <c r="I75" s="3">
        <v>2023</v>
      </c>
      <c r="J75" s="3" t="s">
        <v>115</v>
      </c>
      <c r="K75" s="3" t="s">
        <v>3048</v>
      </c>
      <c r="L75" s="3" t="s">
        <v>20</v>
      </c>
      <c r="M75" s="3" t="s">
        <v>21</v>
      </c>
      <c r="N75" s="3" t="s">
        <v>20</v>
      </c>
      <c r="O75" s="3" t="s">
        <v>36</v>
      </c>
      <c r="P75" s="3" t="s">
        <v>36</v>
      </c>
      <c r="Q75" s="3"/>
      <c r="U75" s="1"/>
    </row>
    <row r="76" spans="1:21" ht="14.25" hidden="1" customHeight="1">
      <c r="A76" s="1">
        <v>128</v>
      </c>
      <c r="B76" s="3" t="s">
        <v>750</v>
      </c>
      <c r="C76" s="3" t="s">
        <v>751</v>
      </c>
      <c r="D76" s="3" t="s">
        <v>53</v>
      </c>
      <c r="E76" s="3">
        <v>55</v>
      </c>
      <c r="F76" s="3" t="s">
        <v>27</v>
      </c>
      <c r="G76" s="3" t="s">
        <v>27</v>
      </c>
      <c r="H76" s="3" t="s">
        <v>752</v>
      </c>
      <c r="I76" s="3">
        <v>2022</v>
      </c>
      <c r="J76" s="3" t="s">
        <v>753</v>
      </c>
      <c r="K76" s="3" t="s">
        <v>3048</v>
      </c>
      <c r="L76" s="3" t="s">
        <v>20</v>
      </c>
      <c r="M76" s="3" t="s">
        <v>21</v>
      </c>
      <c r="N76" s="3" t="s">
        <v>20</v>
      </c>
      <c r="O76" s="3" t="s">
        <v>36</v>
      </c>
      <c r="P76" s="3" t="s">
        <v>36</v>
      </c>
      <c r="Q76" s="3"/>
      <c r="U76" s="1"/>
    </row>
    <row r="77" spans="1:21" ht="14.25" hidden="1" customHeight="1">
      <c r="A77" s="1">
        <v>444</v>
      </c>
      <c r="B77" s="3" t="s">
        <v>2273</v>
      </c>
      <c r="C77" s="3" t="s">
        <v>2274</v>
      </c>
      <c r="D77" s="3" t="s">
        <v>2275</v>
      </c>
      <c r="E77" s="3">
        <v>230</v>
      </c>
      <c r="F77" s="3" t="s">
        <v>1592</v>
      </c>
      <c r="G77" s="3" t="s">
        <v>1581</v>
      </c>
      <c r="H77" s="3" t="s">
        <v>2276</v>
      </c>
      <c r="I77" s="3">
        <v>2017</v>
      </c>
      <c r="J77" s="3" t="s">
        <v>27</v>
      </c>
      <c r="K77" s="3" t="s">
        <v>3048</v>
      </c>
      <c r="L77" s="3" t="s">
        <v>20</v>
      </c>
      <c r="M77" s="3" t="s">
        <v>21</v>
      </c>
      <c r="N77" s="3" t="s">
        <v>20</v>
      </c>
      <c r="O77" s="3" t="s">
        <v>36</v>
      </c>
      <c r="P77" s="3" t="s">
        <v>36</v>
      </c>
      <c r="Q77" s="3"/>
      <c r="U77" s="1"/>
    </row>
    <row r="78" spans="1:21" s="19" customFormat="1" ht="14.25" hidden="1">
      <c r="A78" s="34">
        <v>447</v>
      </c>
      <c r="B78" s="34" t="s">
        <v>3344</v>
      </c>
      <c r="C78" s="34" t="s">
        <v>3345</v>
      </c>
      <c r="D78" s="34" t="s">
        <v>3346</v>
      </c>
      <c r="E78" s="34" t="s">
        <v>27</v>
      </c>
      <c r="F78" s="34">
        <v>156</v>
      </c>
      <c r="G78" s="34">
        <v>181</v>
      </c>
      <c r="H78" s="34" t="s">
        <v>27</v>
      </c>
      <c r="I78" s="34">
        <v>2017</v>
      </c>
      <c r="J78" s="34" t="s">
        <v>3347</v>
      </c>
      <c r="K78" s="34" t="s">
        <v>2946</v>
      </c>
      <c r="L78" s="34" t="s">
        <v>20</v>
      </c>
      <c r="M78" s="34"/>
      <c r="N78" s="34" t="s">
        <v>27</v>
      </c>
      <c r="O78" s="34"/>
      <c r="P78" s="34"/>
      <c r="Q78" s="34"/>
      <c r="R78" s="34"/>
      <c r="S78" s="34"/>
      <c r="T78" s="34"/>
      <c r="U78" s="34"/>
    </row>
    <row r="79" spans="1:21" ht="14.25" hidden="1" customHeight="1">
      <c r="A79" s="1">
        <v>339</v>
      </c>
      <c r="B79" s="5" t="s">
        <v>1790</v>
      </c>
      <c r="C79" s="5" t="s">
        <v>1791</v>
      </c>
      <c r="D79" s="5" t="s">
        <v>572</v>
      </c>
      <c r="E79" s="5">
        <v>184</v>
      </c>
      <c r="F79" s="5" t="s">
        <v>1792</v>
      </c>
      <c r="G79" s="5" t="s">
        <v>605</v>
      </c>
      <c r="H79" s="5" t="s">
        <v>1793</v>
      </c>
      <c r="I79" s="5">
        <v>1996</v>
      </c>
      <c r="J79" s="5" t="s">
        <v>1794</v>
      </c>
      <c r="K79" s="3" t="s">
        <v>3048</v>
      </c>
      <c r="L79" s="5" t="s">
        <v>20</v>
      </c>
      <c r="M79" s="5" t="s">
        <v>21</v>
      </c>
      <c r="N79" s="5" t="s">
        <v>22</v>
      </c>
      <c r="O79" s="5" t="s">
        <v>22</v>
      </c>
      <c r="P79" s="5" t="s">
        <v>23</v>
      </c>
      <c r="Q79" s="5"/>
      <c r="R79" s="12" t="s">
        <v>20</v>
      </c>
      <c r="S79" s="1" t="s">
        <v>2990</v>
      </c>
      <c r="T79" s="1" t="s">
        <v>3003</v>
      </c>
      <c r="U79" s="31" t="s">
        <v>2910</v>
      </c>
    </row>
    <row r="80" spans="1:21" ht="14.25" customHeight="1">
      <c r="A80" s="1">
        <v>78</v>
      </c>
      <c r="B80" s="3" t="s">
        <v>477</v>
      </c>
      <c r="C80" s="3" t="s">
        <v>478</v>
      </c>
      <c r="D80" s="3" t="s">
        <v>479</v>
      </c>
      <c r="E80" s="3"/>
      <c r="F80" s="3" t="s">
        <v>480</v>
      </c>
      <c r="G80" s="3" t="s">
        <v>481</v>
      </c>
      <c r="H80" s="3" t="s">
        <v>27</v>
      </c>
      <c r="I80" s="3">
        <v>2002</v>
      </c>
      <c r="J80" s="3" t="s">
        <v>482</v>
      </c>
      <c r="K80" s="3" t="s">
        <v>3048</v>
      </c>
      <c r="L80" s="3" t="s">
        <v>22</v>
      </c>
      <c r="M80" s="3"/>
      <c r="N80" s="3" t="s">
        <v>22</v>
      </c>
      <c r="O80" s="3" t="s">
        <v>22</v>
      </c>
      <c r="P80" s="3" t="s">
        <v>23</v>
      </c>
      <c r="Q80" s="3"/>
      <c r="R80" s="12" t="s">
        <v>20</v>
      </c>
      <c r="S80" s="1" t="s">
        <v>3039</v>
      </c>
      <c r="T80" s="1" t="s">
        <v>3070</v>
      </c>
      <c r="U80" s="31" t="s">
        <v>3025</v>
      </c>
    </row>
    <row r="81" spans="1:27" ht="14.25" hidden="1" customHeight="1">
      <c r="A81" s="1">
        <v>553</v>
      </c>
      <c r="B81" s="5" t="s">
        <v>2762</v>
      </c>
      <c r="C81" s="5" t="s">
        <v>2763</v>
      </c>
      <c r="D81" s="5" t="s">
        <v>1477</v>
      </c>
      <c r="E81" s="5">
        <v>91</v>
      </c>
      <c r="F81" s="5" t="s">
        <v>2764</v>
      </c>
      <c r="G81" s="5" t="s">
        <v>2765</v>
      </c>
      <c r="H81" s="5" t="s">
        <v>27</v>
      </c>
      <c r="I81" s="5">
        <v>2001</v>
      </c>
      <c r="J81" s="5" t="s">
        <v>2766</v>
      </c>
      <c r="K81" s="3" t="s">
        <v>3048</v>
      </c>
      <c r="L81" s="5" t="s">
        <v>20</v>
      </c>
      <c r="M81" s="5" t="s">
        <v>36</v>
      </c>
      <c r="N81" s="5" t="s">
        <v>22</v>
      </c>
      <c r="O81" s="5" t="s">
        <v>20</v>
      </c>
      <c r="P81" s="5" t="s">
        <v>36</v>
      </c>
      <c r="Q81" s="5" t="s">
        <v>2883</v>
      </c>
      <c r="U81" s="1"/>
    </row>
    <row r="82" spans="1:27" ht="14.25" customHeight="1">
      <c r="A82" s="1">
        <v>304</v>
      </c>
      <c r="B82" s="3" t="s">
        <v>1635</v>
      </c>
      <c r="C82" s="3" t="s">
        <v>1636</v>
      </c>
      <c r="D82" s="3" t="s">
        <v>64</v>
      </c>
      <c r="E82" s="3">
        <v>155</v>
      </c>
      <c r="F82" s="3" t="s">
        <v>127</v>
      </c>
      <c r="G82" s="3" t="s">
        <v>1637</v>
      </c>
      <c r="H82" s="3" t="s">
        <v>1638</v>
      </c>
      <c r="I82" s="3">
        <v>2002</v>
      </c>
      <c r="J82" s="3" t="s">
        <v>1639</v>
      </c>
      <c r="K82" s="3" t="s">
        <v>3048</v>
      </c>
      <c r="L82" s="3" t="s">
        <v>22</v>
      </c>
      <c r="M82" s="3"/>
      <c r="N82" s="3" t="s">
        <v>22</v>
      </c>
      <c r="O82" s="3" t="s">
        <v>22</v>
      </c>
      <c r="P82" s="3" t="s">
        <v>23</v>
      </c>
      <c r="Q82" s="3"/>
      <c r="R82" s="12" t="s">
        <v>20</v>
      </c>
      <c r="S82" s="1" t="s">
        <v>2975</v>
      </c>
      <c r="T82" s="1" t="s">
        <v>3008</v>
      </c>
      <c r="U82" s="31" t="s">
        <v>3025</v>
      </c>
    </row>
    <row r="83" spans="1:27" ht="14.25" hidden="1" customHeight="1">
      <c r="A83" s="1">
        <v>554</v>
      </c>
      <c r="B83" s="3" t="s">
        <v>2767</v>
      </c>
      <c r="C83" s="3" t="s">
        <v>2768</v>
      </c>
      <c r="D83" s="3" t="s">
        <v>64</v>
      </c>
      <c r="E83" s="3">
        <v>148</v>
      </c>
      <c r="F83" s="3" t="s">
        <v>2769</v>
      </c>
      <c r="G83" s="3" t="s">
        <v>2770</v>
      </c>
      <c r="H83" s="3" t="s">
        <v>2771</v>
      </c>
      <c r="I83" s="3">
        <v>2000</v>
      </c>
      <c r="J83" s="3" t="s">
        <v>2772</v>
      </c>
      <c r="K83" s="3" t="s">
        <v>3048</v>
      </c>
      <c r="L83" s="3" t="s">
        <v>20</v>
      </c>
      <c r="M83" s="3" t="s">
        <v>21</v>
      </c>
      <c r="N83" s="3" t="s">
        <v>20</v>
      </c>
      <c r="O83" s="3" t="s">
        <v>36</v>
      </c>
      <c r="P83" s="3" t="s">
        <v>36</v>
      </c>
      <c r="Q83" s="3"/>
      <c r="U83" s="1"/>
    </row>
    <row r="84" spans="1:27" ht="14.25" customHeight="1">
      <c r="A84" s="1">
        <v>236</v>
      </c>
      <c r="B84" s="3" t="s">
        <v>1310</v>
      </c>
      <c r="C84" s="3" t="s">
        <v>1311</v>
      </c>
      <c r="D84" s="3" t="s">
        <v>472</v>
      </c>
      <c r="E84" s="3">
        <v>111</v>
      </c>
      <c r="F84" s="3" t="s">
        <v>1312</v>
      </c>
      <c r="G84" s="3" t="s">
        <v>1313</v>
      </c>
      <c r="H84" s="3" t="s">
        <v>1314</v>
      </c>
      <c r="I84" s="3">
        <v>2019</v>
      </c>
      <c r="J84" s="3" t="s">
        <v>1315</v>
      </c>
      <c r="K84" s="3" t="s">
        <v>3048</v>
      </c>
      <c r="L84" s="3" t="s">
        <v>22</v>
      </c>
      <c r="M84" s="3"/>
      <c r="N84" s="3" t="s">
        <v>22</v>
      </c>
      <c r="O84" s="3" t="s">
        <v>22</v>
      </c>
      <c r="P84" s="3" t="s">
        <v>23</v>
      </c>
      <c r="Q84" s="3"/>
      <c r="R84" s="12" t="s">
        <v>20</v>
      </c>
      <c r="S84" s="1" t="s">
        <v>2975</v>
      </c>
      <c r="U84" s="31" t="s">
        <v>3025</v>
      </c>
    </row>
    <row r="85" spans="1:27" ht="14.25" customHeight="1">
      <c r="A85" s="1">
        <v>36</v>
      </c>
      <c r="B85" s="3" t="s">
        <v>228</v>
      </c>
      <c r="C85" s="3" t="s">
        <v>229</v>
      </c>
      <c r="D85" s="3" t="s">
        <v>230</v>
      </c>
      <c r="E85" s="3">
        <v>109</v>
      </c>
      <c r="F85" s="3" t="s">
        <v>231</v>
      </c>
      <c r="G85" s="3" t="s">
        <v>232</v>
      </c>
      <c r="H85" s="3" t="s">
        <v>233</v>
      </c>
      <c r="I85" s="3">
        <v>1982</v>
      </c>
      <c r="J85" s="3" t="s">
        <v>234</v>
      </c>
      <c r="K85" s="3" t="s">
        <v>3048</v>
      </c>
      <c r="L85" s="3" t="s">
        <v>22</v>
      </c>
      <c r="M85" s="3"/>
      <c r="N85" s="3" t="s">
        <v>22</v>
      </c>
      <c r="O85" s="3" t="s">
        <v>22</v>
      </c>
      <c r="P85" s="3" t="s">
        <v>23</v>
      </c>
      <c r="Q85" s="3"/>
      <c r="R85" s="12" t="s">
        <v>20</v>
      </c>
      <c r="S85" s="1" t="s">
        <v>3039</v>
      </c>
      <c r="T85" s="1" t="s">
        <v>3050</v>
      </c>
      <c r="U85" s="31" t="s">
        <v>3025</v>
      </c>
    </row>
    <row r="86" spans="1:27" s="19" customFormat="1" ht="14.25">
      <c r="A86" s="34">
        <v>500</v>
      </c>
      <c r="B86" s="34" t="s">
        <v>3348</v>
      </c>
      <c r="C86" s="34" t="s">
        <v>3349</v>
      </c>
      <c r="D86" s="34" t="s">
        <v>3350</v>
      </c>
      <c r="E86" s="34">
        <v>13</v>
      </c>
      <c r="F86" s="34" t="s">
        <v>27</v>
      </c>
      <c r="G86" s="34" t="s">
        <v>27</v>
      </c>
      <c r="H86" s="34" t="s">
        <v>3351</v>
      </c>
      <c r="I86" s="34">
        <v>2025</v>
      </c>
      <c r="J86" s="34" t="s">
        <v>3352</v>
      </c>
      <c r="K86" s="34" t="s">
        <v>2946</v>
      </c>
      <c r="L86" s="34" t="s">
        <v>22</v>
      </c>
      <c r="M86" s="34"/>
      <c r="N86" s="34" t="s">
        <v>27</v>
      </c>
      <c r="O86" s="34" t="s">
        <v>22</v>
      </c>
      <c r="P86" s="34" t="s">
        <v>23</v>
      </c>
      <c r="Q86" s="34"/>
      <c r="R86" s="34"/>
      <c r="S86" s="34"/>
      <c r="T86" s="34"/>
      <c r="U86" s="34"/>
    </row>
    <row r="87" spans="1:27" ht="14.25" hidden="1" customHeight="1">
      <c r="A87" s="1">
        <v>375</v>
      </c>
      <c r="B87" s="5" t="s">
        <v>1967</v>
      </c>
      <c r="C87" s="5" t="s">
        <v>1968</v>
      </c>
      <c r="D87" s="5" t="s">
        <v>530</v>
      </c>
      <c r="E87" s="5">
        <v>28</v>
      </c>
      <c r="F87" s="5" t="s">
        <v>616</v>
      </c>
      <c r="G87" s="5" t="s">
        <v>1969</v>
      </c>
      <c r="H87" s="5" t="s">
        <v>1970</v>
      </c>
      <c r="I87" s="5">
        <v>1990</v>
      </c>
      <c r="J87" s="5" t="s">
        <v>1971</v>
      </c>
      <c r="K87" s="3" t="s">
        <v>3048</v>
      </c>
      <c r="L87" s="5" t="s">
        <v>20</v>
      </c>
      <c r="M87" s="5" t="s">
        <v>21</v>
      </c>
      <c r="N87" s="5" t="s">
        <v>20</v>
      </c>
      <c r="O87" s="5" t="s">
        <v>36</v>
      </c>
      <c r="P87" s="5" t="s">
        <v>36</v>
      </c>
      <c r="Q87" s="5"/>
      <c r="U87" s="1"/>
    </row>
    <row r="88" spans="1:27" ht="14.25" hidden="1" customHeight="1">
      <c r="A88" s="1">
        <v>86</v>
      </c>
      <c r="B88" s="3" t="s">
        <v>518</v>
      </c>
      <c r="C88" s="3" t="s">
        <v>519</v>
      </c>
      <c r="D88" s="3" t="s">
        <v>520</v>
      </c>
      <c r="E88" s="3">
        <v>18</v>
      </c>
      <c r="F88" s="3" t="s">
        <v>155</v>
      </c>
      <c r="G88" s="3" t="s">
        <v>521</v>
      </c>
      <c r="H88" s="3" t="s">
        <v>27</v>
      </c>
      <c r="I88" s="3">
        <v>2009</v>
      </c>
      <c r="J88" s="3" t="s">
        <v>522</v>
      </c>
      <c r="K88" s="3" t="s">
        <v>3048</v>
      </c>
      <c r="L88" s="3" t="s">
        <v>268</v>
      </c>
      <c r="M88" s="3" t="s">
        <v>523</v>
      </c>
      <c r="N88" s="3" t="s">
        <v>268</v>
      </c>
      <c r="O88" s="3" t="s">
        <v>36</v>
      </c>
      <c r="P88" s="3" t="s">
        <v>2879</v>
      </c>
      <c r="Q88" s="3"/>
      <c r="U88" s="1"/>
    </row>
    <row r="89" spans="1:27" ht="14.25" customHeight="1">
      <c r="A89" s="1">
        <v>39</v>
      </c>
      <c r="B89" s="5" t="s">
        <v>248</v>
      </c>
      <c r="C89" s="5" t="s">
        <v>249</v>
      </c>
      <c r="D89" s="5" t="s">
        <v>15</v>
      </c>
      <c r="E89" s="5">
        <v>21</v>
      </c>
      <c r="F89" s="5" t="s">
        <v>250</v>
      </c>
      <c r="G89" s="5" t="s">
        <v>251</v>
      </c>
      <c r="H89" s="5" t="s">
        <v>252</v>
      </c>
      <c r="I89" s="5">
        <v>2011</v>
      </c>
      <c r="J89" s="5" t="s">
        <v>253</v>
      </c>
      <c r="K89" s="3" t="s">
        <v>3048</v>
      </c>
      <c r="L89" s="5" t="s">
        <v>22</v>
      </c>
      <c r="M89" s="5"/>
      <c r="N89" s="5" t="s">
        <v>22</v>
      </c>
      <c r="O89" s="5" t="s">
        <v>22</v>
      </c>
      <c r="P89" s="5" t="s">
        <v>23</v>
      </c>
      <c r="Q89" s="5"/>
      <c r="R89" s="12" t="s">
        <v>20</v>
      </c>
      <c r="S89" s="1" t="s">
        <v>3007</v>
      </c>
      <c r="T89" s="1" t="s">
        <v>3052</v>
      </c>
      <c r="U89" s="31" t="s">
        <v>3286</v>
      </c>
    </row>
    <row r="90" spans="1:27" ht="14.25" customHeight="1">
      <c r="A90" s="1">
        <v>31</v>
      </c>
      <c r="B90" s="5" t="s">
        <v>198</v>
      </c>
      <c r="C90" s="5" t="s">
        <v>199</v>
      </c>
      <c r="D90" s="5" t="s">
        <v>166</v>
      </c>
      <c r="E90" s="5">
        <v>46</v>
      </c>
      <c r="F90" s="5" t="s">
        <v>200</v>
      </c>
      <c r="G90" s="5" t="s">
        <v>201</v>
      </c>
      <c r="H90" s="5" t="s">
        <v>202</v>
      </c>
      <c r="I90" s="5">
        <v>2012</v>
      </c>
      <c r="J90" s="5" t="s">
        <v>203</v>
      </c>
      <c r="K90" s="3" t="s">
        <v>3048</v>
      </c>
      <c r="L90" s="5" t="s">
        <v>22</v>
      </c>
      <c r="M90" s="5"/>
      <c r="N90" s="5" t="s">
        <v>22</v>
      </c>
      <c r="O90" s="5" t="s">
        <v>22</v>
      </c>
      <c r="P90" s="5" t="s">
        <v>23</v>
      </c>
      <c r="Q90" s="5"/>
      <c r="R90" s="12" t="s">
        <v>20</v>
      </c>
      <c r="S90" s="1" t="s">
        <v>2975</v>
      </c>
      <c r="T90" s="1" t="s">
        <v>3042</v>
      </c>
      <c r="U90" s="31" t="s">
        <v>2902</v>
      </c>
    </row>
    <row r="91" spans="1:27" ht="14.25" customHeight="1">
      <c r="A91" s="1">
        <v>180</v>
      </c>
      <c r="B91" s="3" t="s">
        <v>1026</v>
      </c>
      <c r="C91" s="3" t="s">
        <v>1027</v>
      </c>
      <c r="D91" s="3" t="s">
        <v>1028</v>
      </c>
      <c r="E91" s="3">
        <v>70</v>
      </c>
      <c r="F91" s="3" t="s">
        <v>809</v>
      </c>
      <c r="G91" s="3" t="s">
        <v>1029</v>
      </c>
      <c r="H91" s="3" t="s">
        <v>1030</v>
      </c>
      <c r="I91" s="3">
        <v>2015</v>
      </c>
      <c r="J91" s="3" t="s">
        <v>1031</v>
      </c>
      <c r="K91" s="3" t="s">
        <v>3048</v>
      </c>
      <c r="L91" s="3" t="s">
        <v>22</v>
      </c>
      <c r="M91" s="3"/>
      <c r="N91" s="3" t="s">
        <v>22</v>
      </c>
      <c r="O91" s="3" t="s">
        <v>22</v>
      </c>
      <c r="P91" s="3" t="s">
        <v>23</v>
      </c>
      <c r="Q91" s="3"/>
      <c r="R91" s="12" t="s">
        <v>22</v>
      </c>
      <c r="T91" s="1" t="s">
        <v>3137</v>
      </c>
      <c r="U91" s="31" t="s">
        <v>2902</v>
      </c>
    </row>
    <row r="92" spans="1:27" ht="14.25" customHeight="1">
      <c r="A92" s="1">
        <v>11</v>
      </c>
      <c r="B92" s="5" t="s">
        <v>79</v>
      </c>
      <c r="C92" s="5" t="s">
        <v>80</v>
      </c>
      <c r="D92" s="5" t="s">
        <v>81</v>
      </c>
      <c r="E92" s="5">
        <v>114</v>
      </c>
      <c r="F92" s="5" t="s">
        <v>82</v>
      </c>
      <c r="G92" s="5" t="s">
        <v>83</v>
      </c>
      <c r="H92" s="5" t="s">
        <v>84</v>
      </c>
      <c r="I92" s="5">
        <v>2010</v>
      </c>
      <c r="J92" s="5" t="s">
        <v>85</v>
      </c>
      <c r="K92" s="3" t="s">
        <v>3048</v>
      </c>
      <c r="L92" s="5" t="s">
        <v>22</v>
      </c>
      <c r="M92" s="5"/>
      <c r="N92" s="5" t="s">
        <v>22</v>
      </c>
      <c r="O92" s="5" t="s">
        <v>22</v>
      </c>
      <c r="P92" s="5" t="s">
        <v>23</v>
      </c>
      <c r="Q92" s="5"/>
      <c r="R92" s="21" t="s">
        <v>22</v>
      </c>
      <c r="U92" s="31" t="s">
        <v>2902</v>
      </c>
    </row>
    <row r="93" spans="1:27" s="19" customFormat="1" ht="14.25">
      <c r="A93" s="34">
        <v>100</v>
      </c>
      <c r="B93" s="34" t="s">
        <v>3353</v>
      </c>
      <c r="C93" s="34" t="s">
        <v>3354</v>
      </c>
      <c r="D93" s="34" t="s">
        <v>15</v>
      </c>
      <c r="E93" s="34">
        <v>34</v>
      </c>
      <c r="F93" s="34">
        <v>391</v>
      </c>
      <c r="G93" s="34">
        <v>401</v>
      </c>
      <c r="H93" s="34" t="s">
        <v>3355</v>
      </c>
      <c r="I93" s="34">
        <v>2024</v>
      </c>
      <c r="J93" s="34" t="s">
        <v>3356</v>
      </c>
      <c r="K93" s="34" t="s">
        <v>2946</v>
      </c>
      <c r="L93" s="34" t="s">
        <v>22</v>
      </c>
      <c r="M93" s="34"/>
      <c r="N93" s="34" t="s">
        <v>27</v>
      </c>
      <c r="O93" s="34" t="s">
        <v>22</v>
      </c>
      <c r="P93" s="34" t="s">
        <v>23</v>
      </c>
      <c r="Q93" s="34"/>
      <c r="R93" s="34"/>
      <c r="S93" s="34"/>
      <c r="T93" s="34"/>
      <c r="U93" s="34"/>
    </row>
    <row r="94" spans="1:27" ht="14.25" customHeight="1">
      <c r="A94" s="33">
        <v>367</v>
      </c>
      <c r="B94" s="5" t="s">
        <v>1929</v>
      </c>
      <c r="C94" s="5" t="s">
        <v>1930</v>
      </c>
      <c r="D94" s="5" t="s">
        <v>173</v>
      </c>
      <c r="E94" s="5">
        <v>37</v>
      </c>
      <c r="F94" s="5" t="s">
        <v>346</v>
      </c>
      <c r="G94" s="5" t="s">
        <v>187</v>
      </c>
      <c r="H94" s="5" t="s">
        <v>1931</v>
      </c>
      <c r="I94" s="5">
        <v>2007</v>
      </c>
      <c r="J94" s="5" t="s">
        <v>1932</v>
      </c>
      <c r="K94" s="3" t="s">
        <v>3048</v>
      </c>
      <c r="L94" s="5" t="s">
        <v>22</v>
      </c>
      <c r="M94" s="5" t="s">
        <v>1933</v>
      </c>
      <c r="N94" s="5" t="s">
        <v>268</v>
      </c>
      <c r="O94" s="5" t="s">
        <v>22</v>
      </c>
      <c r="P94" s="5" t="s">
        <v>269</v>
      </c>
      <c r="Q94" s="5" t="s">
        <v>2878</v>
      </c>
      <c r="R94" s="15"/>
      <c r="S94" s="15"/>
      <c r="T94" s="15"/>
      <c r="U94" s="15"/>
      <c r="V94" s="15"/>
      <c r="W94" s="15"/>
      <c r="X94" s="15"/>
      <c r="Y94" s="15"/>
      <c r="Z94" s="15"/>
      <c r="AA94" s="15"/>
    </row>
    <row r="95" spans="1:27" ht="14.25" customHeight="1">
      <c r="A95" s="1">
        <v>486</v>
      </c>
      <c r="B95" s="3" t="s">
        <v>2471</v>
      </c>
      <c r="C95" s="3" t="s">
        <v>2472</v>
      </c>
      <c r="D95" s="3" t="s">
        <v>2473</v>
      </c>
      <c r="E95" s="3"/>
      <c r="F95" s="3" t="s">
        <v>27</v>
      </c>
      <c r="G95" s="3" t="s">
        <v>27</v>
      </c>
      <c r="H95" s="3" t="s">
        <v>2474</v>
      </c>
      <c r="I95" s="3">
        <v>2021</v>
      </c>
      <c r="J95" s="3" t="s">
        <v>2475</v>
      </c>
      <c r="K95" s="3" t="s">
        <v>3048</v>
      </c>
      <c r="L95" s="3" t="s">
        <v>22</v>
      </c>
      <c r="M95" s="3"/>
      <c r="N95" s="3" t="s">
        <v>22</v>
      </c>
      <c r="O95" s="3" t="s">
        <v>22</v>
      </c>
      <c r="P95" s="3" t="s">
        <v>23</v>
      </c>
      <c r="Q95" s="3"/>
      <c r="R95" s="22" t="s">
        <v>20</v>
      </c>
      <c r="S95" s="1" t="s">
        <v>2976</v>
      </c>
      <c r="T95" s="1" t="s">
        <v>2966</v>
      </c>
      <c r="U95" s="31" t="s">
        <v>2910</v>
      </c>
    </row>
    <row r="96" spans="1:27" ht="14.25" hidden="1" customHeight="1">
      <c r="A96" s="1">
        <v>222</v>
      </c>
      <c r="B96" s="3" t="s">
        <v>1241</v>
      </c>
      <c r="C96" s="3" t="s">
        <v>1242</v>
      </c>
      <c r="D96" s="3" t="s">
        <v>1243</v>
      </c>
      <c r="E96" s="3">
        <v>3</v>
      </c>
      <c r="F96" s="3" t="s">
        <v>1244</v>
      </c>
      <c r="G96" s="3" t="s">
        <v>1245</v>
      </c>
      <c r="H96" s="3" t="s">
        <v>27</v>
      </c>
      <c r="I96" s="3">
        <v>2003</v>
      </c>
      <c r="J96" s="3" t="s">
        <v>1246</v>
      </c>
      <c r="K96" s="3" t="s">
        <v>3048</v>
      </c>
      <c r="L96" s="3" t="s">
        <v>20</v>
      </c>
      <c r="M96" s="3" t="s">
        <v>21</v>
      </c>
      <c r="N96" s="3" t="s">
        <v>20</v>
      </c>
      <c r="O96" s="3" t="s">
        <v>36</v>
      </c>
      <c r="P96" s="3" t="s">
        <v>36</v>
      </c>
      <c r="Q96" s="3"/>
      <c r="U96" s="1"/>
    </row>
    <row r="97" spans="1:21" ht="14.25" hidden="1" customHeight="1">
      <c r="A97" s="1">
        <v>164</v>
      </c>
      <c r="B97" s="3" t="s">
        <v>943</v>
      </c>
      <c r="C97" s="3" t="s">
        <v>944</v>
      </c>
      <c r="D97" s="3" t="s">
        <v>173</v>
      </c>
      <c r="E97" s="3">
        <v>38</v>
      </c>
      <c r="F97" s="3" t="s">
        <v>283</v>
      </c>
      <c r="G97" s="3" t="s">
        <v>945</v>
      </c>
      <c r="H97" s="3" t="s">
        <v>946</v>
      </c>
      <c r="I97" s="3">
        <v>2008</v>
      </c>
      <c r="J97" s="3" t="s">
        <v>947</v>
      </c>
      <c r="K97" s="3" t="s">
        <v>3048</v>
      </c>
      <c r="L97" s="3" t="s">
        <v>20</v>
      </c>
      <c r="M97" s="3" t="s">
        <v>21</v>
      </c>
      <c r="N97" s="3" t="s">
        <v>20</v>
      </c>
      <c r="O97" s="3" t="s">
        <v>36</v>
      </c>
      <c r="P97" s="3" t="s">
        <v>36</v>
      </c>
      <c r="Q97" s="3"/>
      <c r="U97" s="1"/>
    </row>
    <row r="98" spans="1:21" s="19" customFormat="1" ht="14.25" hidden="1">
      <c r="A98" s="34">
        <v>437</v>
      </c>
      <c r="B98" s="34" t="s">
        <v>3357</v>
      </c>
      <c r="C98" s="34" t="s">
        <v>3358</v>
      </c>
      <c r="D98" s="34" t="s">
        <v>3359</v>
      </c>
      <c r="E98" s="34">
        <v>26</v>
      </c>
      <c r="F98" s="34">
        <v>20</v>
      </c>
      <c r="G98" s="34">
        <v>37</v>
      </c>
      <c r="H98" s="34" t="s">
        <v>3360</v>
      </c>
      <c r="I98" s="34">
        <v>2012</v>
      </c>
      <c r="J98" s="34" t="s">
        <v>3361</v>
      </c>
      <c r="K98" s="34" t="s">
        <v>2946</v>
      </c>
      <c r="L98" s="34" t="s">
        <v>20</v>
      </c>
      <c r="M98" s="34"/>
      <c r="N98" s="34" t="s">
        <v>27</v>
      </c>
      <c r="O98" s="34"/>
      <c r="P98" s="34"/>
      <c r="Q98" s="34"/>
      <c r="R98" s="34"/>
      <c r="S98" s="34"/>
      <c r="T98" s="34"/>
      <c r="U98" s="34"/>
    </row>
    <row r="99" spans="1:21" ht="14.25" hidden="1" customHeight="1">
      <c r="A99" s="1">
        <v>85</v>
      </c>
      <c r="B99" s="5" t="s">
        <v>514</v>
      </c>
      <c r="C99" s="5" t="s">
        <v>515</v>
      </c>
      <c r="D99" s="5" t="s">
        <v>102</v>
      </c>
      <c r="E99" s="5">
        <v>541</v>
      </c>
      <c r="F99" s="5" t="s">
        <v>27</v>
      </c>
      <c r="G99" s="5" t="s">
        <v>27</v>
      </c>
      <c r="H99" s="5" t="s">
        <v>516</v>
      </c>
      <c r="I99" s="5">
        <v>2023</v>
      </c>
      <c r="J99" s="5" t="s">
        <v>517</v>
      </c>
      <c r="K99" s="3" t="s">
        <v>3048</v>
      </c>
      <c r="L99" s="5" t="s">
        <v>20</v>
      </c>
      <c r="M99" s="5" t="s">
        <v>21</v>
      </c>
      <c r="N99" s="5" t="s">
        <v>20</v>
      </c>
      <c r="O99" s="5" t="s">
        <v>36</v>
      </c>
      <c r="P99" s="5" t="s">
        <v>36</v>
      </c>
      <c r="Q99" s="5"/>
      <c r="U99" s="1"/>
    </row>
    <row r="100" spans="1:21" ht="14.25" hidden="1" customHeight="1">
      <c r="A100" s="1">
        <v>281</v>
      </c>
      <c r="B100" s="5" t="s">
        <v>1528</v>
      </c>
      <c r="C100" s="5" t="s">
        <v>1529</v>
      </c>
      <c r="D100" s="5" t="s">
        <v>27</v>
      </c>
      <c r="E100" s="5"/>
      <c r="F100" s="5" t="s">
        <v>27</v>
      </c>
      <c r="G100" s="5" t="s">
        <v>27</v>
      </c>
      <c r="H100" s="5" t="s">
        <v>27</v>
      </c>
      <c r="I100" s="5">
        <v>2019</v>
      </c>
      <c r="J100" s="5" t="s">
        <v>27</v>
      </c>
      <c r="K100" s="3" t="s">
        <v>3048</v>
      </c>
      <c r="L100" s="5" t="s">
        <v>20</v>
      </c>
      <c r="M100" s="5" t="s">
        <v>21</v>
      </c>
      <c r="N100" s="5" t="s">
        <v>20</v>
      </c>
      <c r="O100" s="5" t="s">
        <v>36</v>
      </c>
      <c r="P100" s="5" t="s">
        <v>36</v>
      </c>
      <c r="Q100" s="5"/>
      <c r="U100" s="1"/>
    </row>
    <row r="101" spans="1:21" ht="14.25" hidden="1" customHeight="1">
      <c r="A101" s="1">
        <v>247</v>
      </c>
      <c r="B101" s="5" t="s">
        <v>1365</v>
      </c>
      <c r="C101" s="5" t="s">
        <v>1366</v>
      </c>
      <c r="D101" s="5" t="s">
        <v>39</v>
      </c>
      <c r="E101" s="5">
        <v>24</v>
      </c>
      <c r="F101" s="5" t="s">
        <v>1367</v>
      </c>
      <c r="G101" s="5" t="s">
        <v>1368</v>
      </c>
      <c r="H101" s="5" t="s">
        <v>1369</v>
      </c>
      <c r="I101" s="5">
        <v>2021</v>
      </c>
      <c r="J101" s="5" t="s">
        <v>1370</v>
      </c>
      <c r="K101" s="3" t="s">
        <v>3048</v>
      </c>
      <c r="L101" s="5" t="s">
        <v>20</v>
      </c>
      <c r="M101" s="5" t="s">
        <v>21</v>
      </c>
      <c r="N101" s="5" t="s">
        <v>22</v>
      </c>
      <c r="O101" s="5" t="s">
        <v>22</v>
      </c>
      <c r="P101" s="5" t="s">
        <v>23</v>
      </c>
      <c r="Q101" s="5"/>
      <c r="R101" s="12" t="s">
        <v>20</v>
      </c>
      <c r="S101" s="1" t="s">
        <v>2975</v>
      </c>
      <c r="T101" s="1" t="s">
        <v>3158</v>
      </c>
      <c r="U101" s="31" t="s">
        <v>3025</v>
      </c>
    </row>
    <row r="102" spans="1:21" ht="14.25" hidden="1" customHeight="1">
      <c r="A102" s="1">
        <v>347</v>
      </c>
      <c r="B102" s="5" t="s">
        <v>1827</v>
      </c>
      <c r="C102" s="5" t="s">
        <v>1828</v>
      </c>
      <c r="D102" s="5" t="s">
        <v>27</v>
      </c>
      <c r="E102" s="5"/>
      <c r="F102" s="5" t="s">
        <v>27</v>
      </c>
      <c r="G102" s="5" t="s">
        <v>27</v>
      </c>
      <c r="H102" s="5" t="s">
        <v>27</v>
      </c>
      <c r="I102" s="5">
        <v>2020</v>
      </c>
      <c r="J102" s="5" t="s">
        <v>27</v>
      </c>
      <c r="K102" s="3" t="s">
        <v>3048</v>
      </c>
      <c r="L102" s="5" t="s">
        <v>20</v>
      </c>
      <c r="M102" s="5" t="s">
        <v>21</v>
      </c>
      <c r="N102" s="5" t="s">
        <v>20</v>
      </c>
      <c r="O102" s="5" t="s">
        <v>36</v>
      </c>
      <c r="P102" s="5" t="s">
        <v>36</v>
      </c>
      <c r="Q102" s="5"/>
      <c r="U102" s="1"/>
    </row>
    <row r="103" spans="1:21" ht="14.25" customHeight="1">
      <c r="A103" s="1">
        <v>521</v>
      </c>
      <c r="B103" s="5" t="s">
        <v>2634</v>
      </c>
      <c r="C103" s="5" t="s">
        <v>2635</v>
      </c>
      <c r="D103" s="5" t="s">
        <v>102</v>
      </c>
      <c r="E103" s="5">
        <v>472</v>
      </c>
      <c r="F103" s="5" t="s">
        <v>27</v>
      </c>
      <c r="G103" s="5" t="s">
        <v>27</v>
      </c>
      <c r="H103" s="5" t="s">
        <v>2636</v>
      </c>
      <c r="I103" s="5">
        <v>2020</v>
      </c>
      <c r="J103" s="5" t="s">
        <v>2637</v>
      </c>
      <c r="K103" s="3" t="s">
        <v>3048</v>
      </c>
      <c r="L103" s="5" t="s">
        <v>22</v>
      </c>
      <c r="M103" s="5"/>
      <c r="N103" s="5" t="s">
        <v>22</v>
      </c>
      <c r="O103" s="5" t="s">
        <v>22</v>
      </c>
      <c r="P103" s="5" t="s">
        <v>23</v>
      </c>
      <c r="Q103" s="5"/>
      <c r="R103" s="21" t="s">
        <v>22</v>
      </c>
      <c r="U103" s="31" t="s">
        <v>2946</v>
      </c>
    </row>
    <row r="104" spans="1:21" ht="14.25" customHeight="1">
      <c r="A104" s="1">
        <v>441</v>
      </c>
      <c r="B104" s="5" t="s">
        <v>2262</v>
      </c>
      <c r="C104" s="5" t="s">
        <v>2263</v>
      </c>
      <c r="D104" s="5" t="s">
        <v>27</v>
      </c>
      <c r="E104" s="5"/>
      <c r="F104" s="5" t="s">
        <v>27</v>
      </c>
      <c r="G104" s="5" t="s">
        <v>27</v>
      </c>
      <c r="H104" s="5" t="s">
        <v>27</v>
      </c>
      <c r="I104" s="5">
        <v>2020</v>
      </c>
      <c r="J104" s="5" t="s">
        <v>27</v>
      </c>
      <c r="K104" s="3" t="s">
        <v>3048</v>
      </c>
      <c r="L104" s="5" t="s">
        <v>22</v>
      </c>
      <c r="M104" s="5"/>
      <c r="N104" s="5" t="s">
        <v>268</v>
      </c>
      <c r="O104" s="5" t="s">
        <v>36</v>
      </c>
      <c r="P104" s="5" t="s">
        <v>1256</v>
      </c>
      <c r="Q104" s="3" t="s">
        <v>2884</v>
      </c>
      <c r="U104" s="1"/>
    </row>
    <row r="105" spans="1:21" ht="14.25" hidden="1" customHeight="1">
      <c r="A105" s="1">
        <v>134</v>
      </c>
      <c r="B105" s="3" t="s">
        <v>786</v>
      </c>
      <c r="C105" s="3" t="s">
        <v>787</v>
      </c>
      <c r="D105" s="3" t="s">
        <v>788</v>
      </c>
      <c r="E105" s="3">
        <v>54</v>
      </c>
      <c r="F105" s="3" t="s">
        <v>789</v>
      </c>
      <c r="G105" s="3" t="s">
        <v>790</v>
      </c>
      <c r="H105" s="3" t="s">
        <v>27</v>
      </c>
      <c r="I105" s="3">
        <v>2009</v>
      </c>
      <c r="J105" s="3" t="s">
        <v>791</v>
      </c>
      <c r="K105" s="3" t="s">
        <v>3048</v>
      </c>
      <c r="L105" s="3" t="s">
        <v>20</v>
      </c>
      <c r="M105" s="3" t="s">
        <v>21</v>
      </c>
      <c r="N105" s="3" t="s">
        <v>20</v>
      </c>
      <c r="O105" s="3" t="s">
        <v>36</v>
      </c>
      <c r="P105" s="3" t="s">
        <v>36</v>
      </c>
      <c r="Q105" s="3"/>
      <c r="U105" s="1"/>
    </row>
    <row r="106" spans="1:21" ht="14.25" hidden="1" customHeight="1">
      <c r="A106" s="1">
        <v>272</v>
      </c>
      <c r="B106" s="3" t="s">
        <v>1483</v>
      </c>
      <c r="C106" s="3" t="s">
        <v>1484</v>
      </c>
      <c r="D106" s="3" t="s">
        <v>1485</v>
      </c>
      <c r="E106" s="3"/>
      <c r="F106" s="3" t="s">
        <v>1486</v>
      </c>
      <c r="G106" s="3" t="s">
        <v>440</v>
      </c>
      <c r="H106" s="3" t="s">
        <v>27</v>
      </c>
      <c r="I106" s="3">
        <v>2002</v>
      </c>
      <c r="J106" s="3" t="s">
        <v>1487</v>
      </c>
      <c r="K106" s="3" t="s">
        <v>3048</v>
      </c>
      <c r="L106" s="3" t="s">
        <v>20</v>
      </c>
      <c r="M106" s="3" t="s">
        <v>21</v>
      </c>
      <c r="N106" s="3" t="s">
        <v>20</v>
      </c>
      <c r="O106" s="3" t="s">
        <v>36</v>
      </c>
      <c r="P106" s="3" t="s">
        <v>36</v>
      </c>
      <c r="Q106" s="3"/>
      <c r="U106" s="1"/>
    </row>
    <row r="107" spans="1:21" ht="14.25" customHeight="1">
      <c r="A107" s="1">
        <v>291</v>
      </c>
      <c r="B107" s="5" t="s">
        <v>1566</v>
      </c>
      <c r="C107" s="5" t="s">
        <v>1567</v>
      </c>
      <c r="D107" s="5" t="s">
        <v>1121</v>
      </c>
      <c r="E107" s="5">
        <v>106</v>
      </c>
      <c r="F107" s="5" t="s">
        <v>1568</v>
      </c>
      <c r="G107" s="5" t="s">
        <v>1569</v>
      </c>
      <c r="H107" s="5" t="s">
        <v>1570</v>
      </c>
      <c r="I107" s="5">
        <v>2002</v>
      </c>
      <c r="J107" s="5" t="s">
        <v>1571</v>
      </c>
      <c r="K107" s="3" t="s">
        <v>3048</v>
      </c>
      <c r="L107" s="5" t="s">
        <v>22</v>
      </c>
      <c r="M107" s="5"/>
      <c r="N107" s="5" t="s">
        <v>22</v>
      </c>
      <c r="O107" s="5" t="s">
        <v>22</v>
      </c>
      <c r="P107" s="5" t="s">
        <v>23</v>
      </c>
      <c r="Q107" s="5"/>
      <c r="R107" s="12" t="s">
        <v>22</v>
      </c>
      <c r="U107" s="31" t="s">
        <v>2910</v>
      </c>
    </row>
    <row r="108" spans="1:21" ht="14.25" customHeight="1">
      <c r="A108" s="1">
        <v>493</v>
      </c>
      <c r="B108" s="5" t="s">
        <v>2507</v>
      </c>
      <c r="C108" s="5" t="s">
        <v>2508</v>
      </c>
      <c r="D108" s="5" t="s">
        <v>109</v>
      </c>
      <c r="E108" s="5">
        <v>9</v>
      </c>
      <c r="F108" s="5" t="s">
        <v>27</v>
      </c>
      <c r="G108" s="5" t="s">
        <v>27</v>
      </c>
      <c r="H108" s="5" t="s">
        <v>2509</v>
      </c>
      <c r="I108" s="5">
        <v>2023</v>
      </c>
      <c r="J108" s="5" t="s">
        <v>2510</v>
      </c>
      <c r="K108" s="3" t="s">
        <v>3048</v>
      </c>
      <c r="L108" s="5" t="s">
        <v>22</v>
      </c>
      <c r="M108" s="5"/>
      <c r="N108" s="5" t="s">
        <v>22</v>
      </c>
      <c r="O108" s="5" t="s">
        <v>22</v>
      </c>
      <c r="P108" s="5" t="s">
        <v>23</v>
      </c>
      <c r="Q108" s="5"/>
      <c r="R108" s="21" t="s">
        <v>22</v>
      </c>
      <c r="U108" s="31" t="s">
        <v>3183</v>
      </c>
    </row>
    <row r="109" spans="1:21" ht="14.25" hidden="1" customHeight="1">
      <c r="A109" s="1">
        <v>426</v>
      </c>
      <c r="B109" s="3" t="s">
        <v>2191</v>
      </c>
      <c r="C109" s="3" t="s">
        <v>2192</v>
      </c>
      <c r="D109" s="3" t="s">
        <v>2193</v>
      </c>
      <c r="E109" s="3">
        <v>22</v>
      </c>
      <c r="F109" s="3" t="s">
        <v>481</v>
      </c>
      <c r="G109" s="3" t="s">
        <v>402</v>
      </c>
      <c r="H109" s="3" t="s">
        <v>2194</v>
      </c>
      <c r="I109" s="3">
        <v>1995</v>
      </c>
      <c r="J109" s="3" t="s">
        <v>2195</v>
      </c>
      <c r="K109" s="3" t="s">
        <v>3048</v>
      </c>
      <c r="L109" s="3" t="s">
        <v>20</v>
      </c>
      <c r="M109" s="3" t="s">
        <v>21</v>
      </c>
      <c r="N109" s="3" t="s">
        <v>20</v>
      </c>
      <c r="O109" s="3" t="s">
        <v>36</v>
      </c>
      <c r="P109" s="3" t="s">
        <v>36</v>
      </c>
      <c r="Q109" s="3"/>
      <c r="U109" s="1"/>
    </row>
    <row r="110" spans="1:21" ht="14.25" customHeight="1">
      <c r="A110" s="1">
        <v>519</v>
      </c>
      <c r="B110" s="5" t="s">
        <v>2625</v>
      </c>
      <c r="C110" s="5" t="s">
        <v>2626</v>
      </c>
      <c r="D110" s="5" t="s">
        <v>102</v>
      </c>
      <c r="E110" s="5">
        <v>257</v>
      </c>
      <c r="F110" s="5" t="s">
        <v>2627</v>
      </c>
      <c r="G110" s="5" t="s">
        <v>1773</v>
      </c>
      <c r="H110" s="5" t="s">
        <v>2628</v>
      </c>
      <c r="I110" s="5">
        <v>2009</v>
      </c>
      <c r="J110" s="5" t="s">
        <v>2629</v>
      </c>
      <c r="K110" s="3" t="s">
        <v>3048</v>
      </c>
      <c r="L110" s="5" t="s">
        <v>22</v>
      </c>
      <c r="M110" s="5"/>
      <c r="N110" s="5" t="s">
        <v>22</v>
      </c>
      <c r="O110" s="5" t="s">
        <v>22</v>
      </c>
      <c r="P110" s="5" t="s">
        <v>23</v>
      </c>
      <c r="Q110" s="5"/>
      <c r="R110" s="21" t="s">
        <v>20</v>
      </c>
      <c r="S110" s="1" t="s">
        <v>2975</v>
      </c>
      <c r="T110" s="1" t="s">
        <v>2957</v>
      </c>
      <c r="U110" s="31" t="s">
        <v>3025</v>
      </c>
    </row>
    <row r="111" spans="1:21" ht="14.25" hidden="1" customHeight="1">
      <c r="A111" s="1">
        <v>461</v>
      </c>
      <c r="B111" s="5" t="s">
        <v>2351</v>
      </c>
      <c r="C111" s="5" t="s">
        <v>2352</v>
      </c>
      <c r="D111" s="5" t="s">
        <v>1121</v>
      </c>
      <c r="E111" s="5">
        <v>113</v>
      </c>
      <c r="F111" s="5" t="s">
        <v>684</v>
      </c>
      <c r="G111" s="5" t="s">
        <v>2353</v>
      </c>
      <c r="H111" s="5" t="s">
        <v>2354</v>
      </c>
      <c r="I111" s="5">
        <v>2009</v>
      </c>
      <c r="J111" s="5" t="s">
        <v>2355</v>
      </c>
      <c r="K111" s="3" t="s">
        <v>3048</v>
      </c>
      <c r="L111" s="5" t="s">
        <v>20</v>
      </c>
      <c r="M111" s="5" t="s">
        <v>21</v>
      </c>
      <c r="N111" s="5" t="s">
        <v>20</v>
      </c>
      <c r="O111" s="5" t="s">
        <v>36</v>
      </c>
      <c r="P111" s="5" t="s">
        <v>36</v>
      </c>
      <c r="Q111" s="5"/>
      <c r="U111" s="1"/>
    </row>
    <row r="112" spans="1:21" ht="14.25" hidden="1" customHeight="1">
      <c r="A112" s="1">
        <v>355</v>
      </c>
      <c r="B112" s="5" t="s">
        <v>1869</v>
      </c>
      <c r="C112" s="5" t="s">
        <v>1870</v>
      </c>
      <c r="D112" s="5" t="s">
        <v>1865</v>
      </c>
      <c r="E112" s="5">
        <v>17</v>
      </c>
      <c r="F112" s="5" t="s">
        <v>546</v>
      </c>
      <c r="G112" s="5" t="s">
        <v>1871</v>
      </c>
      <c r="H112" s="5" t="s">
        <v>1872</v>
      </c>
      <c r="I112" s="5">
        <v>1992</v>
      </c>
      <c r="J112" s="5" t="s">
        <v>27</v>
      </c>
      <c r="K112" s="3" t="s">
        <v>3048</v>
      </c>
      <c r="L112" s="5" t="s">
        <v>20</v>
      </c>
      <c r="M112" s="5" t="s">
        <v>21</v>
      </c>
      <c r="N112" s="5" t="s">
        <v>20</v>
      </c>
      <c r="O112" s="5" t="s">
        <v>36</v>
      </c>
      <c r="P112" s="5" t="s">
        <v>36</v>
      </c>
      <c r="Q112" s="5"/>
      <c r="U112" s="1"/>
    </row>
    <row r="113" spans="1:21" ht="14.25" hidden="1" customHeight="1">
      <c r="A113" s="1">
        <v>515</v>
      </c>
      <c r="B113" s="5" t="s">
        <v>2604</v>
      </c>
      <c r="C113" s="5" t="s">
        <v>2605</v>
      </c>
      <c r="D113" s="5" t="s">
        <v>1073</v>
      </c>
      <c r="E113" s="5">
        <v>25</v>
      </c>
      <c r="F113" s="5" t="s">
        <v>2606</v>
      </c>
      <c r="G113" s="5" t="s">
        <v>2607</v>
      </c>
      <c r="H113" s="5" t="s">
        <v>2608</v>
      </c>
      <c r="I113" s="5">
        <v>2000</v>
      </c>
      <c r="J113" s="5" t="s">
        <v>2609</v>
      </c>
      <c r="K113" s="3" t="s">
        <v>3048</v>
      </c>
      <c r="L113" s="5" t="s">
        <v>20</v>
      </c>
      <c r="M113" s="5" t="s">
        <v>21</v>
      </c>
      <c r="N113" s="5" t="s">
        <v>20</v>
      </c>
      <c r="O113" s="5" t="s">
        <v>36</v>
      </c>
      <c r="P113" s="5" t="s">
        <v>36</v>
      </c>
      <c r="Q113" s="5"/>
      <c r="U113" s="1"/>
    </row>
    <row r="114" spans="1:21" ht="14.25" customHeight="1">
      <c r="A114" s="1">
        <v>445</v>
      </c>
      <c r="B114" s="5" t="s">
        <v>2277</v>
      </c>
      <c r="C114" s="5" t="s">
        <v>2278</v>
      </c>
      <c r="D114" s="5" t="s">
        <v>2279</v>
      </c>
      <c r="E114" s="5">
        <v>9</v>
      </c>
      <c r="F114" s="5" t="s">
        <v>2280</v>
      </c>
      <c r="G114" s="5" t="s">
        <v>2281</v>
      </c>
      <c r="H114" s="5" t="s">
        <v>2282</v>
      </c>
      <c r="I114" s="5">
        <v>2000</v>
      </c>
      <c r="J114" s="5" t="s">
        <v>2283</v>
      </c>
      <c r="K114" s="3" t="s">
        <v>3048</v>
      </c>
      <c r="L114" s="5" t="s">
        <v>22</v>
      </c>
      <c r="M114" s="5"/>
      <c r="N114" s="5" t="s">
        <v>22</v>
      </c>
      <c r="O114" s="5" t="s">
        <v>22</v>
      </c>
      <c r="P114" s="5" t="s">
        <v>23</v>
      </c>
      <c r="Q114" s="5"/>
      <c r="R114" s="12" t="s">
        <v>20</v>
      </c>
      <c r="S114" s="1" t="s">
        <v>2975</v>
      </c>
      <c r="T114" s="1" t="s">
        <v>2982</v>
      </c>
      <c r="U114" s="31" t="s">
        <v>2910</v>
      </c>
    </row>
    <row r="115" spans="1:21" ht="14.25" hidden="1" customHeight="1">
      <c r="A115" s="1">
        <v>325</v>
      </c>
      <c r="B115" s="5" t="s">
        <v>1725</v>
      </c>
      <c r="C115" s="5" t="s">
        <v>1726</v>
      </c>
      <c r="D115" s="5" t="s">
        <v>1188</v>
      </c>
      <c r="E115" s="5">
        <v>41</v>
      </c>
      <c r="F115" s="5" t="s">
        <v>60</v>
      </c>
      <c r="G115" s="5" t="s">
        <v>729</v>
      </c>
      <c r="H115" s="5" t="s">
        <v>1727</v>
      </c>
      <c r="I115" s="5">
        <v>1993</v>
      </c>
      <c r="J115" s="5" t="s">
        <v>1728</v>
      </c>
      <c r="K115" s="3" t="s">
        <v>3048</v>
      </c>
      <c r="L115" s="5" t="s">
        <v>20</v>
      </c>
      <c r="M115" s="5" t="s">
        <v>21</v>
      </c>
      <c r="N115" s="5" t="s">
        <v>20</v>
      </c>
      <c r="O115" s="5" t="s">
        <v>36</v>
      </c>
      <c r="P115" s="5" t="s">
        <v>36</v>
      </c>
      <c r="Q115" s="5"/>
      <c r="U115" s="1"/>
    </row>
    <row r="116" spans="1:21" ht="14.25" hidden="1" customHeight="1">
      <c r="A116" s="1">
        <v>354</v>
      </c>
      <c r="B116" s="3" t="s">
        <v>1863</v>
      </c>
      <c r="C116" s="3" t="s">
        <v>1864</v>
      </c>
      <c r="D116" s="3" t="s">
        <v>1865</v>
      </c>
      <c r="E116" s="3">
        <v>17</v>
      </c>
      <c r="F116" s="3" t="s">
        <v>346</v>
      </c>
      <c r="G116" s="3" t="s">
        <v>1866</v>
      </c>
      <c r="H116" s="3" t="s">
        <v>1867</v>
      </c>
      <c r="I116" s="3">
        <v>1992</v>
      </c>
      <c r="J116" s="3" t="s">
        <v>1868</v>
      </c>
      <c r="K116" s="3" t="s">
        <v>3048</v>
      </c>
      <c r="L116" s="3" t="s">
        <v>20</v>
      </c>
      <c r="M116" s="3" t="s">
        <v>21</v>
      </c>
      <c r="N116" s="3" t="s">
        <v>20</v>
      </c>
      <c r="O116" s="3" t="s">
        <v>36</v>
      </c>
      <c r="P116" s="3" t="s">
        <v>36</v>
      </c>
      <c r="Q116" s="3"/>
      <c r="U116" s="1"/>
    </row>
    <row r="117" spans="1:21" ht="14.25" hidden="1" customHeight="1">
      <c r="A117" s="1">
        <v>489</v>
      </c>
      <c r="B117" s="5" t="s">
        <v>2483</v>
      </c>
      <c r="C117" s="5" t="s">
        <v>2484</v>
      </c>
      <c r="D117" s="5" t="s">
        <v>1611</v>
      </c>
      <c r="E117" s="5">
        <v>28</v>
      </c>
      <c r="F117" s="5" t="s">
        <v>2485</v>
      </c>
      <c r="G117" s="5" t="s">
        <v>2326</v>
      </c>
      <c r="H117" s="5" t="s">
        <v>2486</v>
      </c>
      <c r="I117" s="5">
        <v>2001</v>
      </c>
      <c r="J117" s="5" t="s">
        <v>2487</v>
      </c>
      <c r="K117" s="3" t="s">
        <v>3048</v>
      </c>
      <c r="L117" s="5" t="s">
        <v>20</v>
      </c>
      <c r="M117" s="5" t="s">
        <v>21</v>
      </c>
      <c r="N117" s="5" t="s">
        <v>20</v>
      </c>
      <c r="O117" s="5" t="s">
        <v>36</v>
      </c>
      <c r="P117" s="5" t="s">
        <v>36</v>
      </c>
      <c r="Q117" s="5"/>
      <c r="U117" s="1"/>
    </row>
    <row r="118" spans="1:21" ht="14.25" hidden="1" customHeight="1">
      <c r="A118" s="1">
        <v>55</v>
      </c>
      <c r="B118" s="5" t="s">
        <v>343</v>
      </c>
      <c r="C118" s="5" t="s">
        <v>344</v>
      </c>
      <c r="D118" s="5" t="s">
        <v>102</v>
      </c>
      <c r="E118" s="5">
        <v>262</v>
      </c>
      <c r="F118" s="5" t="s">
        <v>345</v>
      </c>
      <c r="G118" s="5" t="s">
        <v>346</v>
      </c>
      <c r="H118" s="5" t="s">
        <v>347</v>
      </c>
      <c r="I118" s="5">
        <v>2011</v>
      </c>
      <c r="J118" s="5" t="s">
        <v>348</v>
      </c>
      <c r="K118" s="3" t="s">
        <v>3048</v>
      </c>
      <c r="L118" s="5" t="s">
        <v>20</v>
      </c>
      <c r="M118" s="5" t="s">
        <v>21</v>
      </c>
      <c r="N118" s="5" t="s">
        <v>20</v>
      </c>
      <c r="O118" s="5" t="s">
        <v>36</v>
      </c>
      <c r="P118" s="5" t="s">
        <v>36</v>
      </c>
      <c r="Q118" s="5"/>
      <c r="U118" s="1"/>
    </row>
    <row r="119" spans="1:21" ht="14.25" hidden="1" customHeight="1">
      <c r="A119" s="1">
        <v>210</v>
      </c>
      <c r="B119" s="3" t="s">
        <v>1176</v>
      </c>
      <c r="C119" s="3" t="s">
        <v>1177</v>
      </c>
      <c r="D119" s="3" t="s">
        <v>64</v>
      </c>
      <c r="E119" s="3">
        <v>205</v>
      </c>
      <c r="F119" s="3" t="s">
        <v>1178</v>
      </c>
      <c r="G119" s="3" t="s">
        <v>1179</v>
      </c>
      <c r="H119" s="3" t="s">
        <v>1180</v>
      </c>
      <c r="I119" s="3">
        <v>2015</v>
      </c>
      <c r="J119" s="3" t="s">
        <v>1181</v>
      </c>
      <c r="K119" s="3" t="s">
        <v>3048</v>
      </c>
      <c r="L119" s="3" t="s">
        <v>20</v>
      </c>
      <c r="M119" s="3" t="s">
        <v>21</v>
      </c>
      <c r="N119" s="3" t="s">
        <v>22</v>
      </c>
      <c r="O119" s="3" t="s">
        <v>22</v>
      </c>
      <c r="P119" s="3" t="s">
        <v>23</v>
      </c>
      <c r="Q119" s="3"/>
      <c r="R119" s="12" t="s">
        <v>20</v>
      </c>
      <c r="S119" s="1" t="s">
        <v>2975</v>
      </c>
      <c r="U119" s="31" t="s">
        <v>2938</v>
      </c>
    </row>
    <row r="120" spans="1:21" ht="14.25" hidden="1" customHeight="1">
      <c r="A120" s="1">
        <v>505</v>
      </c>
      <c r="B120" s="5" t="s">
        <v>2561</v>
      </c>
      <c r="C120" s="5" t="s">
        <v>2562</v>
      </c>
      <c r="D120" s="5" t="s">
        <v>2563</v>
      </c>
      <c r="E120" s="5">
        <v>30</v>
      </c>
      <c r="F120" s="5" t="s">
        <v>799</v>
      </c>
      <c r="G120" s="5" t="s">
        <v>2564</v>
      </c>
      <c r="H120" s="5" t="s">
        <v>27</v>
      </c>
      <c r="I120" s="5">
        <v>2009</v>
      </c>
      <c r="J120" s="5" t="s">
        <v>2565</v>
      </c>
      <c r="K120" s="3" t="s">
        <v>3048</v>
      </c>
      <c r="L120" s="5" t="s">
        <v>20</v>
      </c>
      <c r="M120" s="5" t="s">
        <v>21</v>
      </c>
      <c r="N120" s="5" t="s">
        <v>20</v>
      </c>
      <c r="O120" s="5" t="s">
        <v>36</v>
      </c>
      <c r="P120" s="5" t="s">
        <v>36</v>
      </c>
      <c r="Q120" s="5"/>
      <c r="U120" s="1"/>
    </row>
    <row r="121" spans="1:21" ht="14.25" hidden="1" customHeight="1">
      <c r="A121" s="1">
        <v>555</v>
      </c>
      <c r="B121" s="5" t="s">
        <v>2773</v>
      </c>
      <c r="C121" s="5" t="s">
        <v>2774</v>
      </c>
      <c r="D121" s="5" t="s">
        <v>15</v>
      </c>
      <c r="E121" s="5">
        <v>16</v>
      </c>
      <c r="F121" s="5" t="s">
        <v>2775</v>
      </c>
      <c r="G121" s="5" t="s">
        <v>2776</v>
      </c>
      <c r="H121" s="5" t="s">
        <v>2777</v>
      </c>
      <c r="I121" s="5">
        <v>2006</v>
      </c>
      <c r="J121" s="5" t="s">
        <v>2778</v>
      </c>
      <c r="K121" s="3" t="s">
        <v>3048</v>
      </c>
      <c r="L121" s="5" t="s">
        <v>268</v>
      </c>
      <c r="M121" s="5" t="s">
        <v>269</v>
      </c>
      <c r="N121" s="5" t="s">
        <v>268</v>
      </c>
      <c r="O121" s="5" t="s">
        <v>22</v>
      </c>
      <c r="P121" s="5" t="s">
        <v>269</v>
      </c>
      <c r="Q121" s="5"/>
      <c r="U121" s="1"/>
    </row>
    <row r="122" spans="1:21" ht="14.25" customHeight="1">
      <c r="A122" s="1">
        <v>231</v>
      </c>
      <c r="B122" s="5" t="s">
        <v>1288</v>
      </c>
      <c r="C122" s="5" t="s">
        <v>1289</v>
      </c>
      <c r="D122" s="5" t="s">
        <v>27</v>
      </c>
      <c r="E122" s="5"/>
      <c r="F122" s="5" t="s">
        <v>27</v>
      </c>
      <c r="G122" s="5" t="s">
        <v>27</v>
      </c>
      <c r="H122" s="5" t="s">
        <v>27</v>
      </c>
      <c r="I122" s="5">
        <v>2020</v>
      </c>
      <c r="J122" s="5" t="s">
        <v>27</v>
      </c>
      <c r="K122" s="3" t="s">
        <v>3048</v>
      </c>
      <c r="L122" s="5" t="s">
        <v>22</v>
      </c>
      <c r="M122" s="5" t="s">
        <v>1106</v>
      </c>
      <c r="N122" s="5" t="s">
        <v>268</v>
      </c>
      <c r="O122" s="5" t="s">
        <v>36</v>
      </c>
      <c r="P122" s="5" t="s">
        <v>1106</v>
      </c>
      <c r="Q122" s="5" t="s">
        <v>2885</v>
      </c>
      <c r="U122" s="1"/>
    </row>
    <row r="123" spans="1:21" ht="14.25" customHeight="1">
      <c r="A123" s="1">
        <v>44</v>
      </c>
      <c r="B123" s="3" t="s">
        <v>274</v>
      </c>
      <c r="C123" s="3" t="s">
        <v>275</v>
      </c>
      <c r="D123" s="3" t="s">
        <v>102</v>
      </c>
      <c r="E123" s="3">
        <v>378</v>
      </c>
      <c r="F123" s="3" t="s">
        <v>276</v>
      </c>
      <c r="G123" s="3" t="s">
        <v>277</v>
      </c>
      <c r="H123" s="3" t="s">
        <v>278</v>
      </c>
      <c r="I123" s="3">
        <v>2016</v>
      </c>
      <c r="J123" s="3" t="s">
        <v>279</v>
      </c>
      <c r="K123" s="3" t="s">
        <v>3048</v>
      </c>
      <c r="L123" s="3" t="s">
        <v>22</v>
      </c>
      <c r="M123" s="3"/>
      <c r="N123" s="3" t="s">
        <v>22</v>
      </c>
      <c r="O123" s="3" t="s">
        <v>22</v>
      </c>
      <c r="P123" s="3" t="s">
        <v>23</v>
      </c>
      <c r="Q123" s="3"/>
      <c r="R123" s="12" t="s">
        <v>22</v>
      </c>
      <c r="U123" s="31" t="s">
        <v>3025</v>
      </c>
    </row>
    <row r="124" spans="1:21" ht="14.25" hidden="1" customHeight="1">
      <c r="A124" s="1">
        <v>536</v>
      </c>
      <c r="B124" s="3" t="s">
        <v>2699</v>
      </c>
      <c r="C124" s="3" t="s">
        <v>2700</v>
      </c>
      <c r="D124" s="3" t="s">
        <v>27</v>
      </c>
      <c r="E124" s="3"/>
      <c r="F124" s="3" t="s">
        <v>27</v>
      </c>
      <c r="G124" s="3" t="s">
        <v>27</v>
      </c>
      <c r="H124" s="3" t="s">
        <v>27</v>
      </c>
      <c r="I124" s="3">
        <v>2020</v>
      </c>
      <c r="J124" s="3" t="s">
        <v>27</v>
      </c>
      <c r="K124" s="3" t="s">
        <v>3048</v>
      </c>
      <c r="L124" s="3" t="s">
        <v>20</v>
      </c>
      <c r="M124" s="3" t="s">
        <v>21</v>
      </c>
      <c r="N124" s="3" t="s">
        <v>20</v>
      </c>
      <c r="O124" s="3" t="s">
        <v>36</v>
      </c>
      <c r="P124" s="3" t="s">
        <v>36</v>
      </c>
      <c r="Q124" s="3"/>
      <c r="U124" s="1"/>
    </row>
    <row r="125" spans="1:21" ht="14.25" customHeight="1">
      <c r="A125" s="1">
        <v>287</v>
      </c>
      <c r="B125" s="5" t="s">
        <v>1551</v>
      </c>
      <c r="C125" s="5" t="s">
        <v>1552</v>
      </c>
      <c r="D125" s="5" t="s">
        <v>27</v>
      </c>
      <c r="E125" s="5"/>
      <c r="F125" s="5" t="s">
        <v>27</v>
      </c>
      <c r="G125" s="5" t="s">
        <v>27</v>
      </c>
      <c r="H125" s="5" t="s">
        <v>27</v>
      </c>
      <c r="I125" s="5">
        <v>2010</v>
      </c>
      <c r="J125" s="5" t="s">
        <v>27</v>
      </c>
      <c r="K125" s="3" t="s">
        <v>3048</v>
      </c>
      <c r="L125" s="5" t="s">
        <v>22</v>
      </c>
      <c r="M125" s="5" t="s">
        <v>1553</v>
      </c>
      <c r="N125" s="5" t="s">
        <v>20</v>
      </c>
      <c r="O125" s="5" t="s">
        <v>36</v>
      </c>
      <c r="P125" s="5" t="s">
        <v>1553</v>
      </c>
      <c r="Q125" s="3" t="s">
        <v>1224</v>
      </c>
      <c r="U125" s="1"/>
    </row>
    <row r="126" spans="1:21" ht="14.25" customHeight="1">
      <c r="A126" s="1">
        <v>233</v>
      </c>
      <c r="B126" s="5" t="s">
        <v>1296</v>
      </c>
      <c r="C126" s="5" t="s">
        <v>1297</v>
      </c>
      <c r="D126" s="5" t="s">
        <v>53</v>
      </c>
      <c r="E126" s="5">
        <v>24</v>
      </c>
      <c r="F126" s="5" t="s">
        <v>1298</v>
      </c>
      <c r="G126" s="5" t="s">
        <v>89</v>
      </c>
      <c r="H126" s="5" t="s">
        <v>1299</v>
      </c>
      <c r="I126" s="5">
        <v>2016</v>
      </c>
      <c r="J126" s="5" t="s">
        <v>1300</v>
      </c>
      <c r="K126" s="3" t="s">
        <v>3048</v>
      </c>
      <c r="L126" s="5" t="s">
        <v>22</v>
      </c>
      <c r="M126" s="5"/>
      <c r="N126" s="5" t="s">
        <v>22</v>
      </c>
      <c r="O126" s="5" t="s">
        <v>22</v>
      </c>
      <c r="P126" s="5" t="s">
        <v>23</v>
      </c>
      <c r="Q126" s="5"/>
      <c r="R126" s="12" t="s">
        <v>20</v>
      </c>
      <c r="S126" s="1" t="s">
        <v>2975</v>
      </c>
      <c r="T126" s="1" t="s">
        <v>3155</v>
      </c>
      <c r="U126" s="31" t="s">
        <v>3025</v>
      </c>
    </row>
    <row r="127" spans="1:21" ht="14.25" hidden="1" customHeight="1">
      <c r="A127" s="1">
        <v>160</v>
      </c>
      <c r="B127" s="3" t="s">
        <v>922</v>
      </c>
      <c r="C127" s="3" t="s">
        <v>923</v>
      </c>
      <c r="D127" s="3" t="s">
        <v>924</v>
      </c>
      <c r="E127" s="3">
        <v>34</v>
      </c>
      <c r="F127" s="3" t="s">
        <v>598</v>
      </c>
      <c r="G127" s="3" t="s">
        <v>480</v>
      </c>
      <c r="H127" s="3" t="s">
        <v>925</v>
      </c>
      <c r="I127" s="3">
        <v>2010</v>
      </c>
      <c r="J127" s="3" t="s">
        <v>926</v>
      </c>
      <c r="K127" s="3" t="s">
        <v>3048</v>
      </c>
      <c r="L127" s="3" t="s">
        <v>20</v>
      </c>
      <c r="M127" s="3" t="s">
        <v>21</v>
      </c>
      <c r="N127" s="3" t="s">
        <v>20</v>
      </c>
      <c r="O127" s="3" t="s">
        <v>36</v>
      </c>
      <c r="P127" s="3" t="s">
        <v>36</v>
      </c>
      <c r="Q127" s="3"/>
      <c r="U127" s="1"/>
    </row>
    <row r="128" spans="1:21" ht="14.25" hidden="1" customHeight="1">
      <c r="A128" s="1">
        <v>240</v>
      </c>
      <c r="B128" s="3" t="s">
        <v>1332</v>
      </c>
      <c r="C128" s="3" t="s">
        <v>1333</v>
      </c>
      <c r="D128" s="3" t="s">
        <v>180</v>
      </c>
      <c r="E128" s="3">
        <v>9</v>
      </c>
      <c r="F128" s="3" t="s">
        <v>27</v>
      </c>
      <c r="G128" s="3" t="s">
        <v>27</v>
      </c>
      <c r="H128" s="3" t="s">
        <v>1334</v>
      </c>
      <c r="I128" s="3">
        <v>2018</v>
      </c>
      <c r="J128" s="3" t="s">
        <v>1335</v>
      </c>
      <c r="K128" s="3" t="s">
        <v>3048</v>
      </c>
      <c r="L128" s="3" t="s">
        <v>20</v>
      </c>
      <c r="M128" s="3" t="s">
        <v>21</v>
      </c>
      <c r="N128" s="3" t="s">
        <v>20</v>
      </c>
      <c r="O128" s="3" t="s">
        <v>36</v>
      </c>
      <c r="P128" s="3" t="s">
        <v>36</v>
      </c>
      <c r="Q128" s="3"/>
      <c r="U128" s="1"/>
    </row>
    <row r="129" spans="1:21" ht="14.25" hidden="1" customHeight="1">
      <c r="A129" s="1">
        <v>114</v>
      </c>
      <c r="B129" s="3" t="s">
        <v>670</v>
      </c>
      <c r="C129" s="3" t="s">
        <v>671</v>
      </c>
      <c r="D129" s="3" t="s">
        <v>672</v>
      </c>
      <c r="E129" s="3">
        <v>63</v>
      </c>
      <c r="F129" s="3" t="s">
        <v>673</v>
      </c>
      <c r="G129" s="3" t="s">
        <v>441</v>
      </c>
      <c r="H129" s="3" t="s">
        <v>27</v>
      </c>
      <c r="I129" s="3">
        <v>2011</v>
      </c>
      <c r="J129" s="3" t="s">
        <v>674</v>
      </c>
      <c r="K129" s="3" t="s">
        <v>3048</v>
      </c>
      <c r="L129" s="3" t="s">
        <v>20</v>
      </c>
      <c r="M129" s="3" t="s">
        <v>21</v>
      </c>
      <c r="N129" s="3" t="s">
        <v>20</v>
      </c>
      <c r="O129" s="3" t="s">
        <v>36</v>
      </c>
      <c r="P129" s="3" t="s">
        <v>36</v>
      </c>
      <c r="Q129" s="3"/>
      <c r="U129" s="1"/>
    </row>
    <row r="130" spans="1:21" ht="14.25" hidden="1" customHeight="1">
      <c r="A130" s="1">
        <v>185</v>
      </c>
      <c r="B130" s="5" t="s">
        <v>1052</v>
      </c>
      <c r="C130" s="5" t="s">
        <v>1053</v>
      </c>
      <c r="D130" s="5" t="s">
        <v>1054</v>
      </c>
      <c r="E130" s="5">
        <v>29</v>
      </c>
      <c r="F130" s="5" t="s">
        <v>1055</v>
      </c>
      <c r="G130" s="5" t="s">
        <v>1056</v>
      </c>
      <c r="H130" s="5" t="s">
        <v>1057</v>
      </c>
      <c r="I130" s="5">
        <v>1994</v>
      </c>
      <c r="J130" s="5" t="s">
        <v>1058</v>
      </c>
      <c r="K130" s="3" t="s">
        <v>3048</v>
      </c>
      <c r="L130" s="5" t="s">
        <v>20</v>
      </c>
      <c r="M130" s="5" t="s">
        <v>21</v>
      </c>
      <c r="N130" s="5" t="s">
        <v>20</v>
      </c>
      <c r="O130" s="5" t="s">
        <v>36</v>
      </c>
      <c r="P130" s="5" t="s">
        <v>36</v>
      </c>
      <c r="Q130" s="5"/>
      <c r="U130" s="1"/>
    </row>
    <row r="131" spans="1:21" ht="14.25" hidden="1" customHeight="1">
      <c r="A131" s="1">
        <v>393</v>
      </c>
      <c r="B131" s="5" t="s">
        <v>2044</v>
      </c>
      <c r="C131" s="5" t="s">
        <v>2045</v>
      </c>
      <c r="D131" s="5" t="s">
        <v>46</v>
      </c>
      <c r="E131" s="5">
        <v>69</v>
      </c>
      <c r="F131" s="5" t="s">
        <v>2046</v>
      </c>
      <c r="G131" s="5" t="s">
        <v>2047</v>
      </c>
      <c r="H131" s="5" t="s">
        <v>2048</v>
      </c>
      <c r="I131" s="5">
        <v>2003</v>
      </c>
      <c r="J131" s="5" t="s">
        <v>2049</v>
      </c>
      <c r="K131" s="3" t="s">
        <v>3048</v>
      </c>
      <c r="L131" s="5" t="s">
        <v>20</v>
      </c>
      <c r="M131" s="5" t="s">
        <v>21</v>
      </c>
      <c r="N131" s="5" t="s">
        <v>20</v>
      </c>
      <c r="O131" s="5" t="s">
        <v>36</v>
      </c>
      <c r="P131" s="5" t="s">
        <v>36</v>
      </c>
      <c r="Q131" s="5"/>
      <c r="U131" s="1"/>
    </row>
    <row r="132" spans="1:21" ht="14.25" customHeight="1">
      <c r="A132" s="1">
        <v>154</v>
      </c>
      <c r="B132" s="3" t="s">
        <v>890</v>
      </c>
      <c r="C132" s="3" t="s">
        <v>891</v>
      </c>
      <c r="D132" s="3" t="s">
        <v>572</v>
      </c>
      <c r="E132" s="3">
        <v>339</v>
      </c>
      <c r="F132" s="3" t="s">
        <v>892</v>
      </c>
      <c r="G132" s="3" t="s">
        <v>893</v>
      </c>
      <c r="H132" s="3" t="s">
        <v>894</v>
      </c>
      <c r="I132" s="3">
        <v>2011</v>
      </c>
      <c r="J132" s="3" t="s">
        <v>895</v>
      </c>
      <c r="K132" s="3" t="s">
        <v>3048</v>
      </c>
      <c r="L132" s="3" t="s">
        <v>22</v>
      </c>
      <c r="M132" s="3"/>
      <c r="N132" s="3" t="s">
        <v>22</v>
      </c>
      <c r="O132" s="3" t="s">
        <v>22</v>
      </c>
      <c r="P132" s="3" t="s">
        <v>23</v>
      </c>
      <c r="Q132" s="3"/>
      <c r="R132" s="12" t="s">
        <v>22</v>
      </c>
      <c r="U132" s="31" t="s">
        <v>3130</v>
      </c>
    </row>
    <row r="133" spans="1:21" ht="14.25" hidden="1" customHeight="1">
      <c r="A133" s="1">
        <v>66</v>
      </c>
      <c r="B133" s="3" t="s">
        <v>411</v>
      </c>
      <c r="C133" s="3" t="s">
        <v>412</v>
      </c>
      <c r="D133" s="3" t="s">
        <v>413</v>
      </c>
      <c r="E133" s="3">
        <v>36</v>
      </c>
      <c r="F133" s="3" t="s">
        <v>414</v>
      </c>
      <c r="G133" s="3" t="s">
        <v>415</v>
      </c>
      <c r="H133" s="3" t="s">
        <v>416</v>
      </c>
      <c r="I133" s="3">
        <v>2002</v>
      </c>
      <c r="J133" s="3" t="s">
        <v>417</v>
      </c>
      <c r="K133" s="3" t="s">
        <v>3048</v>
      </c>
      <c r="L133" s="3" t="s">
        <v>268</v>
      </c>
      <c r="M133" s="3" t="s">
        <v>269</v>
      </c>
      <c r="N133" s="3" t="s">
        <v>268</v>
      </c>
      <c r="O133" s="3" t="s">
        <v>22</v>
      </c>
      <c r="P133" s="3" t="s">
        <v>269</v>
      </c>
      <c r="Q133" s="3" t="s">
        <v>2878</v>
      </c>
      <c r="U133" s="1"/>
    </row>
    <row r="134" spans="1:21" ht="14.25" hidden="1" customHeight="1">
      <c r="A134" s="1">
        <v>198</v>
      </c>
      <c r="B134" s="3" t="s">
        <v>411</v>
      </c>
      <c r="C134" s="3" t="s">
        <v>1120</v>
      </c>
      <c r="D134" s="3" t="s">
        <v>1121</v>
      </c>
      <c r="E134" s="3">
        <v>101</v>
      </c>
      <c r="F134" s="3" t="s">
        <v>1122</v>
      </c>
      <c r="G134" s="3" t="s">
        <v>1123</v>
      </c>
      <c r="H134" s="3" t="s">
        <v>1124</v>
      </c>
      <c r="I134" s="3">
        <v>1997</v>
      </c>
      <c r="J134" s="3" t="s">
        <v>1125</v>
      </c>
      <c r="K134" s="3" t="s">
        <v>3048</v>
      </c>
      <c r="L134" s="3" t="s">
        <v>20</v>
      </c>
      <c r="M134" s="3" t="s">
        <v>21</v>
      </c>
      <c r="N134" s="3" t="s">
        <v>20</v>
      </c>
      <c r="O134" s="3" t="s">
        <v>36</v>
      </c>
      <c r="P134" s="3" t="s">
        <v>36</v>
      </c>
      <c r="Q134" s="3"/>
      <c r="U134" s="1"/>
    </row>
    <row r="135" spans="1:21" ht="14.25" customHeight="1">
      <c r="A135" s="1">
        <v>215</v>
      </c>
      <c r="B135" s="5" t="s">
        <v>1203</v>
      </c>
      <c r="C135" s="5" t="s">
        <v>1204</v>
      </c>
      <c r="D135" s="5" t="s">
        <v>1205</v>
      </c>
      <c r="E135" s="5">
        <v>100</v>
      </c>
      <c r="F135" s="5" t="s">
        <v>1206</v>
      </c>
      <c r="G135" s="5" t="s">
        <v>1207</v>
      </c>
      <c r="H135" s="5" t="s">
        <v>1208</v>
      </c>
      <c r="I135" s="5">
        <v>2001</v>
      </c>
      <c r="J135" s="5" t="s">
        <v>1209</v>
      </c>
      <c r="K135" s="3" t="s">
        <v>3048</v>
      </c>
      <c r="L135" s="5" t="s">
        <v>22</v>
      </c>
      <c r="M135" s="5"/>
      <c r="N135" s="5" t="s">
        <v>22</v>
      </c>
      <c r="O135" s="5" t="s">
        <v>22</v>
      </c>
      <c r="P135" s="5" t="s">
        <v>23</v>
      </c>
      <c r="Q135" s="5"/>
      <c r="R135" s="12" t="s">
        <v>22</v>
      </c>
      <c r="U135" s="31" t="s">
        <v>2938</v>
      </c>
    </row>
    <row r="136" spans="1:21" s="19" customFormat="1" ht="14.25" hidden="1">
      <c r="A136" s="34">
        <v>412</v>
      </c>
      <c r="B136" s="34" t="s">
        <v>3362</v>
      </c>
      <c r="C136" s="34" t="s">
        <v>3363</v>
      </c>
      <c r="D136" s="34" t="s">
        <v>27</v>
      </c>
      <c r="E136" s="34" t="s">
        <v>27</v>
      </c>
      <c r="F136" s="34" t="s">
        <v>27</v>
      </c>
      <c r="G136" s="34" t="s">
        <v>27</v>
      </c>
      <c r="H136" s="34" t="s">
        <v>27</v>
      </c>
      <c r="I136" s="34">
        <v>1996</v>
      </c>
      <c r="J136" s="34" t="s">
        <v>27</v>
      </c>
      <c r="K136" s="34" t="s">
        <v>2946</v>
      </c>
      <c r="L136" s="34" t="s">
        <v>20</v>
      </c>
      <c r="M136" s="34"/>
      <c r="N136" s="34" t="s">
        <v>27</v>
      </c>
      <c r="O136" s="34"/>
      <c r="P136" s="34"/>
      <c r="Q136" s="34"/>
      <c r="R136" s="34"/>
      <c r="S136" s="34"/>
      <c r="T136" s="34"/>
      <c r="U136" s="34"/>
    </row>
    <row r="137" spans="1:21" ht="14.25" customHeight="1">
      <c r="A137" s="1">
        <v>191</v>
      </c>
      <c r="B137" s="5" t="s">
        <v>1089</v>
      </c>
      <c r="C137" s="5" t="s">
        <v>1090</v>
      </c>
      <c r="D137" s="5" t="s">
        <v>400</v>
      </c>
      <c r="E137" s="5">
        <v>62</v>
      </c>
      <c r="F137" s="5" t="s">
        <v>1091</v>
      </c>
      <c r="G137" s="5" t="s">
        <v>1092</v>
      </c>
      <c r="H137" s="5" t="s">
        <v>1093</v>
      </c>
      <c r="I137" s="5">
        <v>1984</v>
      </c>
      <c r="J137" s="5" t="s">
        <v>1094</v>
      </c>
      <c r="K137" s="3" t="s">
        <v>3048</v>
      </c>
      <c r="L137" s="5" t="s">
        <v>22</v>
      </c>
      <c r="M137" s="5"/>
      <c r="N137" s="5" t="s">
        <v>22</v>
      </c>
      <c r="O137" s="5" t="s">
        <v>22</v>
      </c>
      <c r="P137" s="5" t="s">
        <v>23</v>
      </c>
      <c r="Q137" s="5"/>
      <c r="R137" s="12" t="s">
        <v>22</v>
      </c>
      <c r="T137" s="1" t="s">
        <v>3142</v>
      </c>
      <c r="U137" s="31" t="s">
        <v>3048</v>
      </c>
    </row>
    <row r="138" spans="1:21" ht="14.25" customHeight="1">
      <c r="A138" s="1">
        <v>10</v>
      </c>
      <c r="B138" s="3" t="s">
        <v>75</v>
      </c>
      <c r="C138" s="3" t="s">
        <v>76</v>
      </c>
      <c r="D138" s="3" t="s">
        <v>71</v>
      </c>
      <c r="E138" s="3">
        <v>3</v>
      </c>
      <c r="F138" s="3" t="s">
        <v>27</v>
      </c>
      <c r="G138" s="3" t="s">
        <v>27</v>
      </c>
      <c r="H138" s="3" t="s">
        <v>77</v>
      </c>
      <c r="I138" s="3">
        <v>2020</v>
      </c>
      <c r="J138" s="3" t="s">
        <v>78</v>
      </c>
      <c r="K138" s="3" t="s">
        <v>3048</v>
      </c>
      <c r="L138" s="3" t="s">
        <v>22</v>
      </c>
      <c r="M138" s="3"/>
      <c r="N138" s="3" t="s">
        <v>22</v>
      </c>
      <c r="O138" s="3" t="s">
        <v>22</v>
      </c>
      <c r="P138" s="3" t="s">
        <v>23</v>
      </c>
      <c r="Q138" s="3"/>
      <c r="R138" s="22" t="s">
        <v>22</v>
      </c>
      <c r="U138" s="31" t="s">
        <v>3048</v>
      </c>
    </row>
    <row r="139" spans="1:21" ht="14.25" customHeight="1">
      <c r="A139" s="1">
        <v>449</v>
      </c>
      <c r="B139" s="5" t="s">
        <v>2294</v>
      </c>
      <c r="C139" s="5" t="s">
        <v>2295</v>
      </c>
      <c r="D139" s="5" t="s">
        <v>1831</v>
      </c>
      <c r="E139" s="5">
        <v>25</v>
      </c>
      <c r="F139" s="5" t="s">
        <v>2296</v>
      </c>
      <c r="G139" s="5" t="s">
        <v>2297</v>
      </c>
      <c r="H139" s="5" t="s">
        <v>2298</v>
      </c>
      <c r="I139" s="5">
        <v>2019</v>
      </c>
      <c r="J139" s="5" t="s">
        <v>2299</v>
      </c>
      <c r="K139" s="3" t="s">
        <v>3048</v>
      </c>
      <c r="L139" s="5" t="s">
        <v>22</v>
      </c>
      <c r="M139" s="5"/>
      <c r="N139" s="5" t="s">
        <v>22</v>
      </c>
      <c r="O139" s="5" t="s">
        <v>22</v>
      </c>
      <c r="P139" s="5" t="s">
        <v>23</v>
      </c>
      <c r="Q139" s="5"/>
      <c r="R139" s="12" t="s">
        <v>22</v>
      </c>
      <c r="U139" s="31" t="s">
        <v>3048</v>
      </c>
    </row>
    <row r="140" spans="1:21" ht="14.25" customHeight="1">
      <c r="A140" s="1">
        <v>541</v>
      </c>
      <c r="B140" s="5" t="s">
        <v>2719</v>
      </c>
      <c r="C140" s="5" t="s">
        <v>2720</v>
      </c>
      <c r="D140" s="5" t="s">
        <v>2721</v>
      </c>
      <c r="E140" s="5">
        <v>6</v>
      </c>
      <c r="F140" s="5" t="s">
        <v>16</v>
      </c>
      <c r="G140" s="5" t="s">
        <v>104</v>
      </c>
      <c r="H140" s="5" t="s">
        <v>2722</v>
      </c>
      <c r="I140" s="5">
        <v>2023</v>
      </c>
      <c r="J140" s="5" t="s">
        <v>2723</v>
      </c>
      <c r="K140" s="3" t="s">
        <v>3048</v>
      </c>
      <c r="L140" s="5" t="s">
        <v>22</v>
      </c>
      <c r="M140" s="5"/>
      <c r="N140" s="5" t="s">
        <v>22</v>
      </c>
      <c r="O140" s="5" t="s">
        <v>22</v>
      </c>
      <c r="P140" s="5" t="s">
        <v>23</v>
      </c>
      <c r="Q140" s="5"/>
      <c r="R140" s="21" t="s">
        <v>20</v>
      </c>
      <c r="S140" s="1" t="s">
        <v>3004</v>
      </c>
      <c r="U140" s="31" t="s">
        <v>3289</v>
      </c>
    </row>
    <row r="141" spans="1:21" ht="14.25" hidden="1" customHeight="1">
      <c r="A141" s="1">
        <v>229</v>
      </c>
      <c r="B141" s="5" t="s">
        <v>1276</v>
      </c>
      <c r="C141" s="5" t="s">
        <v>1277</v>
      </c>
      <c r="D141" s="5" t="s">
        <v>1278</v>
      </c>
      <c r="E141" s="5"/>
      <c r="F141" s="5" t="s">
        <v>1279</v>
      </c>
      <c r="G141" s="5" t="s">
        <v>1280</v>
      </c>
      <c r="H141" s="5" t="s">
        <v>27</v>
      </c>
      <c r="I141" s="5">
        <v>2002</v>
      </c>
      <c r="J141" s="5" t="s">
        <v>1281</v>
      </c>
      <c r="K141" s="3" t="s">
        <v>3048</v>
      </c>
      <c r="L141" s="5" t="s">
        <v>20</v>
      </c>
      <c r="M141" s="5" t="s">
        <v>21</v>
      </c>
      <c r="N141" s="5" t="s">
        <v>20</v>
      </c>
      <c r="O141" s="5" t="s">
        <v>36</v>
      </c>
      <c r="P141" s="5" t="s">
        <v>36</v>
      </c>
      <c r="Q141" s="5"/>
      <c r="U141" s="1"/>
    </row>
    <row r="142" spans="1:21" ht="14.25" customHeight="1">
      <c r="A142" s="1">
        <v>458</v>
      </c>
      <c r="B142" s="3" t="s">
        <v>2337</v>
      </c>
      <c r="C142" s="3" t="s">
        <v>2338</v>
      </c>
      <c r="D142" s="3" t="s">
        <v>27</v>
      </c>
      <c r="E142" s="3"/>
      <c r="F142" s="3" t="s">
        <v>27</v>
      </c>
      <c r="G142" s="3" t="s">
        <v>27</v>
      </c>
      <c r="H142" s="3" t="s">
        <v>27</v>
      </c>
      <c r="I142" s="3">
        <v>2003</v>
      </c>
      <c r="J142" s="3" t="s">
        <v>27</v>
      </c>
      <c r="K142" s="3" t="s">
        <v>3048</v>
      </c>
      <c r="L142" s="3" t="s">
        <v>22</v>
      </c>
      <c r="M142" s="3"/>
      <c r="N142" s="3" t="s">
        <v>268</v>
      </c>
      <c r="O142" s="3" t="s">
        <v>20</v>
      </c>
      <c r="P142" s="3" t="s">
        <v>1256</v>
      </c>
      <c r="Q142" s="3" t="s">
        <v>1224</v>
      </c>
      <c r="U142" s="1"/>
    </row>
    <row r="143" spans="1:21" ht="14.25" customHeight="1">
      <c r="A143" s="1">
        <v>265</v>
      </c>
      <c r="B143" s="5" t="s">
        <v>1451</v>
      </c>
      <c r="C143" s="5" t="s">
        <v>1452</v>
      </c>
      <c r="D143" s="5" t="s">
        <v>1278</v>
      </c>
      <c r="E143" s="5"/>
      <c r="F143" s="5" t="s">
        <v>1164</v>
      </c>
      <c r="G143" s="5" t="s">
        <v>200</v>
      </c>
      <c r="H143" s="5" t="s">
        <v>27</v>
      </c>
      <c r="I143" s="5">
        <v>2002</v>
      </c>
      <c r="J143" s="5" t="s">
        <v>1453</v>
      </c>
      <c r="K143" s="3" t="s">
        <v>3048</v>
      </c>
      <c r="L143" s="5" t="s">
        <v>22</v>
      </c>
      <c r="M143" s="5"/>
      <c r="N143" s="5" t="s">
        <v>22</v>
      </c>
      <c r="O143" s="5" t="s">
        <v>20</v>
      </c>
      <c r="P143" s="5" t="s">
        <v>36</v>
      </c>
      <c r="Q143" s="5" t="s">
        <v>2880</v>
      </c>
      <c r="U143" s="1"/>
    </row>
    <row r="144" spans="1:21" ht="14.25" customHeight="1">
      <c r="A144" s="1">
        <v>21</v>
      </c>
      <c r="B144" s="5" t="s">
        <v>135</v>
      </c>
      <c r="C144" s="5" t="s">
        <v>136</v>
      </c>
      <c r="D144" s="5" t="s">
        <v>15</v>
      </c>
      <c r="E144" s="5">
        <v>15</v>
      </c>
      <c r="F144" s="5" t="s">
        <v>40</v>
      </c>
      <c r="G144" s="5" t="s">
        <v>137</v>
      </c>
      <c r="H144" s="5" t="s">
        <v>138</v>
      </c>
      <c r="I144" s="5">
        <v>2005</v>
      </c>
      <c r="J144" s="5" t="s">
        <v>139</v>
      </c>
      <c r="K144" s="3" t="s">
        <v>3048</v>
      </c>
      <c r="L144" s="5" t="s">
        <v>22</v>
      </c>
      <c r="M144" s="5"/>
      <c r="N144" s="5" t="s">
        <v>22</v>
      </c>
      <c r="O144" s="5" t="s">
        <v>22</v>
      </c>
      <c r="P144" s="5" t="s">
        <v>23</v>
      </c>
      <c r="Q144" s="5"/>
      <c r="R144" s="12" t="s">
        <v>22</v>
      </c>
      <c r="T144" s="1" t="s">
        <v>3037</v>
      </c>
      <c r="U144" s="31" t="s">
        <v>2946</v>
      </c>
    </row>
    <row r="145" spans="1:21" s="19" customFormat="1" ht="14.25">
      <c r="A145" s="34">
        <v>370</v>
      </c>
      <c r="B145" s="34" t="s">
        <v>3364</v>
      </c>
      <c r="C145" s="34" t="s">
        <v>3365</v>
      </c>
      <c r="D145" s="34" t="s">
        <v>3366</v>
      </c>
      <c r="E145" s="34">
        <v>29</v>
      </c>
      <c r="F145" s="34">
        <v>965</v>
      </c>
      <c r="G145" s="34">
        <v>974</v>
      </c>
      <c r="H145" s="34" t="s">
        <v>3367</v>
      </c>
      <c r="I145" s="34">
        <v>2019</v>
      </c>
      <c r="J145" s="34" t="s">
        <v>3368</v>
      </c>
      <c r="K145" s="34" t="s">
        <v>2946</v>
      </c>
      <c r="L145" s="34" t="s">
        <v>22</v>
      </c>
      <c r="M145" s="34"/>
      <c r="N145" s="34" t="s">
        <v>20</v>
      </c>
      <c r="O145" s="34" t="s">
        <v>22</v>
      </c>
      <c r="P145" s="34" t="s">
        <v>23</v>
      </c>
      <c r="Q145" s="34" t="s">
        <v>3501</v>
      </c>
      <c r="R145" s="34"/>
      <c r="S145" s="34"/>
      <c r="T145" s="34"/>
      <c r="U145" s="34"/>
    </row>
    <row r="146" spans="1:21" ht="14.25" hidden="1" customHeight="1">
      <c r="A146" s="1">
        <v>263</v>
      </c>
      <c r="B146" s="5" t="s">
        <v>1442</v>
      </c>
      <c r="C146" s="5" t="s">
        <v>1443</v>
      </c>
      <c r="D146" s="5" t="s">
        <v>102</v>
      </c>
      <c r="E146" s="5">
        <v>405</v>
      </c>
      <c r="F146" s="5" t="s">
        <v>1444</v>
      </c>
      <c r="G146" s="5" t="s">
        <v>757</v>
      </c>
      <c r="H146" s="5" t="s">
        <v>1445</v>
      </c>
      <c r="I146" s="5">
        <v>2017</v>
      </c>
      <c r="J146" s="5" t="s">
        <v>1446</v>
      </c>
      <c r="K146" s="3" t="s">
        <v>3048</v>
      </c>
      <c r="L146" s="5" t="s">
        <v>20</v>
      </c>
      <c r="M146" s="5" t="s">
        <v>21</v>
      </c>
      <c r="N146" s="5" t="s">
        <v>20</v>
      </c>
      <c r="O146" s="5" t="s">
        <v>36</v>
      </c>
      <c r="P146" s="5" t="s">
        <v>36</v>
      </c>
      <c r="Q146" s="5"/>
      <c r="U146" s="1"/>
    </row>
    <row r="147" spans="1:21" ht="14.25" hidden="1" customHeight="1">
      <c r="A147" s="1">
        <v>289</v>
      </c>
      <c r="B147" s="5" t="s">
        <v>1559</v>
      </c>
      <c r="C147" s="5" t="s">
        <v>1560</v>
      </c>
      <c r="D147" s="5" t="s">
        <v>102</v>
      </c>
      <c r="E147" s="5">
        <v>395</v>
      </c>
      <c r="F147" s="5" t="s">
        <v>1519</v>
      </c>
      <c r="G147" s="5" t="s">
        <v>1018</v>
      </c>
      <c r="H147" s="5" t="s">
        <v>1561</v>
      </c>
      <c r="I147" s="5">
        <v>2017</v>
      </c>
      <c r="J147" s="5" t="s">
        <v>1562</v>
      </c>
      <c r="K147" s="3" t="s">
        <v>3048</v>
      </c>
      <c r="L147" s="5" t="s">
        <v>20</v>
      </c>
      <c r="M147" s="5" t="s">
        <v>21</v>
      </c>
      <c r="N147" s="5" t="s">
        <v>20</v>
      </c>
      <c r="O147" s="5" t="s">
        <v>36</v>
      </c>
      <c r="P147" s="5" t="s">
        <v>36</v>
      </c>
      <c r="Q147" s="5"/>
      <c r="U147" s="1"/>
    </row>
    <row r="148" spans="1:21" ht="14.25" hidden="1" customHeight="1">
      <c r="A148" s="1">
        <v>212</v>
      </c>
      <c r="B148" s="3" t="s">
        <v>1186</v>
      </c>
      <c r="C148" s="3" t="s">
        <v>1187</v>
      </c>
      <c r="D148" s="3" t="s">
        <v>1188</v>
      </c>
      <c r="E148" s="3">
        <v>65</v>
      </c>
      <c r="F148" s="3" t="s">
        <v>994</v>
      </c>
      <c r="G148" s="3" t="s">
        <v>1189</v>
      </c>
      <c r="H148" s="3" t="s">
        <v>1190</v>
      </c>
      <c r="I148" s="3">
        <v>2017</v>
      </c>
      <c r="J148" s="3" t="s">
        <v>1191</v>
      </c>
      <c r="K148" s="3" t="s">
        <v>3048</v>
      </c>
      <c r="L148" s="3" t="s">
        <v>20</v>
      </c>
      <c r="M148" s="3" t="s">
        <v>21</v>
      </c>
      <c r="N148" s="3" t="s">
        <v>20</v>
      </c>
      <c r="O148" s="3" t="s">
        <v>36</v>
      </c>
      <c r="P148" s="3" t="s">
        <v>36</v>
      </c>
      <c r="Q148" s="3"/>
      <c r="U148" s="1"/>
    </row>
    <row r="149" spans="1:21" ht="14.25" customHeight="1">
      <c r="A149" s="1">
        <v>568</v>
      </c>
      <c r="B149" s="3" t="s">
        <v>2833</v>
      </c>
      <c r="C149" s="3" t="s">
        <v>2834</v>
      </c>
      <c r="D149" s="3" t="s">
        <v>572</v>
      </c>
      <c r="E149" s="3">
        <v>448</v>
      </c>
      <c r="F149" s="3" t="s">
        <v>2835</v>
      </c>
      <c r="G149" s="3" t="s">
        <v>2836</v>
      </c>
      <c r="H149" s="3" t="s">
        <v>2837</v>
      </c>
      <c r="I149" s="3">
        <v>2020</v>
      </c>
      <c r="J149" s="3" t="s">
        <v>2838</v>
      </c>
      <c r="K149" s="3" t="s">
        <v>3048</v>
      </c>
      <c r="L149" s="3" t="s">
        <v>22</v>
      </c>
      <c r="M149" s="3"/>
      <c r="N149" s="3" t="s">
        <v>22</v>
      </c>
      <c r="O149" s="3" t="s">
        <v>22</v>
      </c>
      <c r="P149" s="3" t="s">
        <v>23</v>
      </c>
      <c r="Q149" s="3"/>
      <c r="R149" s="22" t="s">
        <v>20</v>
      </c>
      <c r="S149" s="1" t="s">
        <v>2975</v>
      </c>
      <c r="T149" s="1" t="s">
        <v>2941</v>
      </c>
      <c r="U149" s="31" t="s">
        <v>3287</v>
      </c>
    </row>
    <row r="150" spans="1:21" s="19" customFormat="1" ht="14.25" hidden="1">
      <c r="A150" s="34">
        <v>217</v>
      </c>
      <c r="B150" s="34" t="s">
        <v>3369</v>
      </c>
      <c r="C150" s="34" t="s">
        <v>3370</v>
      </c>
      <c r="D150" s="34" t="s">
        <v>27</v>
      </c>
      <c r="E150" s="34" t="s">
        <v>27</v>
      </c>
      <c r="F150" s="34" t="s">
        <v>27</v>
      </c>
      <c r="G150" s="34" t="s">
        <v>27</v>
      </c>
      <c r="H150" s="34" t="s">
        <v>27</v>
      </c>
      <c r="I150" s="34">
        <v>2010</v>
      </c>
      <c r="J150" s="34" t="s">
        <v>27</v>
      </c>
      <c r="K150" s="34" t="s">
        <v>2946</v>
      </c>
      <c r="L150" s="34" t="s">
        <v>20</v>
      </c>
      <c r="M150" s="34"/>
      <c r="N150" s="34" t="s">
        <v>27</v>
      </c>
      <c r="O150" s="34"/>
      <c r="P150" s="34"/>
      <c r="Q150" s="34"/>
      <c r="R150" s="34"/>
      <c r="S150" s="34"/>
      <c r="T150" s="34"/>
      <c r="U150" s="34"/>
    </row>
    <row r="151" spans="1:21" ht="14.25" customHeight="1">
      <c r="A151" s="1">
        <v>6</v>
      </c>
      <c r="B151" s="3" t="s">
        <v>51</v>
      </c>
      <c r="C151" s="3" t="s">
        <v>52</v>
      </c>
      <c r="D151" s="3" t="s">
        <v>53</v>
      </c>
      <c r="E151" s="3">
        <v>62</v>
      </c>
      <c r="F151" s="3" t="s">
        <v>27</v>
      </c>
      <c r="G151" s="3" t="s">
        <v>27</v>
      </c>
      <c r="H151" s="3" t="s">
        <v>54</v>
      </c>
      <c r="I151" s="3">
        <v>2023</v>
      </c>
      <c r="J151" s="3" t="s">
        <v>55</v>
      </c>
      <c r="K151" s="3" t="s">
        <v>3048</v>
      </c>
      <c r="L151" s="3" t="s">
        <v>22</v>
      </c>
      <c r="M151" s="3"/>
      <c r="N151" s="3" t="s">
        <v>22</v>
      </c>
      <c r="O151" s="3" t="s">
        <v>22</v>
      </c>
      <c r="P151" s="3" t="s">
        <v>23</v>
      </c>
      <c r="Q151" s="3"/>
      <c r="R151" s="21" t="s">
        <v>20</v>
      </c>
      <c r="S151" s="1" t="s">
        <v>3007</v>
      </c>
      <c r="U151" s="31" t="s">
        <v>3025</v>
      </c>
    </row>
    <row r="152" spans="1:21" ht="14.25" customHeight="1">
      <c r="A152" s="1">
        <v>25</v>
      </c>
      <c r="B152" s="5" t="s">
        <v>158</v>
      </c>
      <c r="C152" s="5" t="s">
        <v>159</v>
      </c>
      <c r="D152" s="5" t="s">
        <v>160</v>
      </c>
      <c r="E152" s="5">
        <v>8</v>
      </c>
      <c r="F152" s="5" t="s">
        <v>161</v>
      </c>
      <c r="G152" s="5" t="s">
        <v>162</v>
      </c>
      <c r="H152" s="5" t="s">
        <v>27</v>
      </c>
      <c r="I152" s="5">
        <v>2010</v>
      </c>
      <c r="J152" s="5" t="s">
        <v>163</v>
      </c>
      <c r="K152" s="3" t="s">
        <v>3048</v>
      </c>
      <c r="L152" s="5" t="s">
        <v>22</v>
      </c>
      <c r="M152" s="5"/>
      <c r="N152" s="5" t="s">
        <v>22</v>
      </c>
      <c r="O152" s="5" t="s">
        <v>22</v>
      </c>
      <c r="P152" s="5" t="s">
        <v>23</v>
      </c>
      <c r="Q152" s="5"/>
      <c r="R152" s="12" t="s">
        <v>20</v>
      </c>
      <c r="S152" s="1" t="s">
        <v>3007</v>
      </c>
      <c r="T152" s="1" t="s">
        <v>3038</v>
      </c>
      <c r="U152" s="31" t="s">
        <v>2902</v>
      </c>
    </row>
    <row r="153" spans="1:21" ht="14.25" customHeight="1">
      <c r="A153" s="1">
        <v>92</v>
      </c>
      <c r="B153" s="3" t="s">
        <v>555</v>
      </c>
      <c r="C153" s="3" t="s">
        <v>556</v>
      </c>
      <c r="D153" s="3" t="s">
        <v>472</v>
      </c>
      <c r="E153" s="3">
        <v>101</v>
      </c>
      <c r="F153" s="3" t="s">
        <v>557</v>
      </c>
      <c r="G153" s="3" t="s">
        <v>558</v>
      </c>
      <c r="H153" s="3" t="s">
        <v>559</v>
      </c>
      <c r="I153" s="3">
        <v>2009</v>
      </c>
      <c r="J153" s="3" t="s">
        <v>560</v>
      </c>
      <c r="K153" s="3" t="s">
        <v>3048</v>
      </c>
      <c r="L153" s="3" t="s">
        <v>22</v>
      </c>
      <c r="M153" s="3"/>
      <c r="N153" s="3" t="s">
        <v>22</v>
      </c>
      <c r="O153" s="3" t="s">
        <v>22</v>
      </c>
      <c r="P153" s="3" t="s">
        <v>23</v>
      </c>
      <c r="Q153" s="3"/>
      <c r="R153" s="12" t="s">
        <v>20</v>
      </c>
      <c r="T153" s="1" t="s">
        <v>3281</v>
      </c>
      <c r="U153" s="31" t="s">
        <v>3025</v>
      </c>
    </row>
    <row r="154" spans="1:21" ht="14.25" hidden="1" customHeight="1">
      <c r="A154" s="1">
        <v>169</v>
      </c>
      <c r="B154" s="5" t="s">
        <v>964</v>
      </c>
      <c r="C154" s="5" t="s">
        <v>965</v>
      </c>
      <c r="D154" s="5" t="s">
        <v>64</v>
      </c>
      <c r="E154" s="5">
        <v>164</v>
      </c>
      <c r="F154" s="5" t="s">
        <v>966</v>
      </c>
      <c r="G154" s="5" t="s">
        <v>967</v>
      </c>
      <c r="H154" s="5" t="s">
        <v>968</v>
      </c>
      <c r="I154" s="5">
        <v>2004</v>
      </c>
      <c r="J154" s="5" t="s">
        <v>969</v>
      </c>
      <c r="K154" s="3" t="s">
        <v>3048</v>
      </c>
      <c r="L154" s="5" t="s">
        <v>20</v>
      </c>
      <c r="M154" s="5" t="s">
        <v>21</v>
      </c>
      <c r="N154" s="5" t="s">
        <v>20</v>
      </c>
      <c r="O154" s="5" t="s">
        <v>36</v>
      </c>
      <c r="P154" s="5" t="s">
        <v>36</v>
      </c>
      <c r="Q154" s="5"/>
      <c r="U154" s="1"/>
    </row>
    <row r="155" spans="1:21" ht="14.25" hidden="1" customHeight="1">
      <c r="A155" s="1">
        <v>341</v>
      </c>
      <c r="B155" s="5" t="s">
        <v>1802</v>
      </c>
      <c r="C155" s="5" t="s">
        <v>1803</v>
      </c>
      <c r="D155" s="5" t="s">
        <v>64</v>
      </c>
      <c r="E155" s="5">
        <v>156</v>
      </c>
      <c r="F155" s="5" t="s">
        <v>1804</v>
      </c>
      <c r="G155" s="5" t="s">
        <v>195</v>
      </c>
      <c r="H155" s="5" t="s">
        <v>1805</v>
      </c>
      <c r="I155" s="5">
        <v>2002</v>
      </c>
      <c r="J155" s="5" t="s">
        <v>1806</v>
      </c>
      <c r="K155" s="3" t="s">
        <v>3048</v>
      </c>
      <c r="L155" s="5" t="s">
        <v>20</v>
      </c>
      <c r="M155" s="5" t="s">
        <v>21</v>
      </c>
      <c r="N155" s="5" t="s">
        <v>20</v>
      </c>
      <c r="O155" s="5" t="s">
        <v>36</v>
      </c>
      <c r="P155" s="5" t="s">
        <v>36</v>
      </c>
      <c r="Q155" s="5"/>
      <c r="U155" s="1"/>
    </row>
    <row r="156" spans="1:21" ht="14.25" hidden="1" customHeight="1">
      <c r="A156" s="1">
        <v>99</v>
      </c>
      <c r="B156" s="5" t="s">
        <v>590</v>
      </c>
      <c r="C156" s="5" t="s">
        <v>591</v>
      </c>
      <c r="D156" s="5" t="s">
        <v>64</v>
      </c>
      <c r="E156" s="5">
        <v>187</v>
      </c>
      <c r="F156" s="5" t="s">
        <v>592</v>
      </c>
      <c r="G156" s="5" t="s">
        <v>593</v>
      </c>
      <c r="H156" s="5" t="s">
        <v>594</v>
      </c>
      <c r="I156" s="5">
        <v>2010</v>
      </c>
      <c r="J156" s="5" t="s">
        <v>595</v>
      </c>
      <c r="K156" s="3" t="s">
        <v>3048</v>
      </c>
      <c r="L156" s="5" t="s">
        <v>20</v>
      </c>
      <c r="M156" s="5" t="s">
        <v>21</v>
      </c>
      <c r="N156" s="5" t="s">
        <v>20</v>
      </c>
      <c r="O156" s="5" t="s">
        <v>36</v>
      </c>
      <c r="P156" s="5" t="s">
        <v>36</v>
      </c>
      <c r="Q156" s="5"/>
      <c r="U156" s="1"/>
    </row>
    <row r="157" spans="1:21" ht="14.25" hidden="1" customHeight="1">
      <c r="A157" s="1">
        <v>313</v>
      </c>
      <c r="B157" s="5" t="s">
        <v>1682</v>
      </c>
      <c r="C157" s="5" t="s">
        <v>1683</v>
      </c>
      <c r="D157" s="5" t="s">
        <v>839</v>
      </c>
      <c r="E157" s="5">
        <v>89</v>
      </c>
      <c r="F157" s="5" t="s">
        <v>764</v>
      </c>
      <c r="G157" s="5" t="s">
        <v>764</v>
      </c>
      <c r="H157" s="5" t="s">
        <v>27</v>
      </c>
      <c r="I157" s="5">
        <v>2004</v>
      </c>
      <c r="J157" s="5" t="s">
        <v>27</v>
      </c>
      <c r="K157" s="3" t="s">
        <v>3048</v>
      </c>
      <c r="L157" s="5" t="s">
        <v>20</v>
      </c>
      <c r="M157" s="5" t="s">
        <v>36</v>
      </c>
      <c r="N157" s="5" t="s">
        <v>20</v>
      </c>
      <c r="O157" s="5" t="s">
        <v>36</v>
      </c>
      <c r="P157" s="5" t="s">
        <v>36</v>
      </c>
      <c r="Q157" s="5"/>
      <c r="U157" s="1"/>
    </row>
    <row r="158" spans="1:21" ht="14.25" customHeight="1">
      <c r="A158" s="1">
        <v>9</v>
      </c>
      <c r="B158" s="5" t="s">
        <v>69</v>
      </c>
      <c r="C158" s="5" t="s">
        <v>70</v>
      </c>
      <c r="D158" s="5" t="s">
        <v>71</v>
      </c>
      <c r="E158" s="5">
        <v>6</v>
      </c>
      <c r="F158" s="5" t="s">
        <v>27</v>
      </c>
      <c r="G158" s="5" t="s">
        <v>27</v>
      </c>
      <c r="H158" s="5" t="s">
        <v>72</v>
      </c>
      <c r="I158" s="5">
        <v>2023</v>
      </c>
      <c r="J158" s="5" t="s">
        <v>73</v>
      </c>
      <c r="K158" s="3" t="s">
        <v>3048</v>
      </c>
      <c r="L158" s="5" t="s">
        <v>22</v>
      </c>
      <c r="M158" s="5" t="s">
        <v>74</v>
      </c>
      <c r="N158" s="5" t="s">
        <v>22</v>
      </c>
      <c r="O158" s="5" t="s">
        <v>22</v>
      </c>
      <c r="P158" s="5" t="s">
        <v>23</v>
      </c>
      <c r="Q158" s="5"/>
      <c r="R158" s="21" t="s">
        <v>20</v>
      </c>
      <c r="S158" s="1" t="s">
        <v>2975</v>
      </c>
      <c r="T158" s="1" t="s">
        <v>2900</v>
      </c>
      <c r="U158" s="31" t="s">
        <v>2946</v>
      </c>
    </row>
    <row r="159" spans="1:21" s="19" customFormat="1" ht="14.25" hidden="1">
      <c r="A159" s="34">
        <v>365</v>
      </c>
      <c r="B159" s="34" t="s">
        <v>3371</v>
      </c>
      <c r="C159" s="34" t="s">
        <v>3372</v>
      </c>
      <c r="D159" s="34" t="s">
        <v>27</v>
      </c>
      <c r="E159" s="34" t="s">
        <v>27</v>
      </c>
      <c r="F159" s="34" t="s">
        <v>27</v>
      </c>
      <c r="G159" s="34" t="s">
        <v>27</v>
      </c>
      <c r="H159" s="34" t="s">
        <v>27</v>
      </c>
      <c r="I159" s="34">
        <v>2015</v>
      </c>
      <c r="J159" s="34" t="s">
        <v>27</v>
      </c>
      <c r="K159" s="34" t="s">
        <v>2946</v>
      </c>
      <c r="L159" s="34" t="s">
        <v>20</v>
      </c>
      <c r="M159" s="34"/>
      <c r="N159" s="34" t="s">
        <v>27</v>
      </c>
      <c r="O159" s="34"/>
      <c r="P159" s="34"/>
      <c r="Q159" s="34"/>
      <c r="R159" s="34"/>
      <c r="S159" s="34"/>
      <c r="T159" s="34"/>
      <c r="U159" s="34"/>
    </row>
    <row r="160" spans="1:21" s="19" customFormat="1" ht="14.25" hidden="1">
      <c r="A160" s="34">
        <v>109</v>
      </c>
      <c r="B160" s="34" t="s">
        <v>3373</v>
      </c>
      <c r="C160" s="34" t="s">
        <v>3374</v>
      </c>
      <c r="D160" s="34" t="s">
        <v>27</v>
      </c>
      <c r="E160" s="34" t="s">
        <v>27</v>
      </c>
      <c r="F160" s="34" t="s">
        <v>27</v>
      </c>
      <c r="G160" s="34" t="s">
        <v>27</v>
      </c>
      <c r="H160" s="34" t="s">
        <v>27</v>
      </c>
      <c r="I160" s="34">
        <v>2021</v>
      </c>
      <c r="J160" s="34" t="s">
        <v>27</v>
      </c>
      <c r="K160" s="34" t="s">
        <v>2946</v>
      </c>
      <c r="L160" s="34" t="s">
        <v>20</v>
      </c>
      <c r="M160" s="34"/>
      <c r="N160" s="34" t="s">
        <v>27</v>
      </c>
      <c r="O160" s="34"/>
      <c r="P160" s="34"/>
      <c r="Q160" s="34"/>
      <c r="R160" s="34"/>
      <c r="S160" s="34"/>
      <c r="T160" s="34"/>
      <c r="U160" s="34"/>
    </row>
    <row r="161" spans="1:21" s="19" customFormat="1" ht="14.25" hidden="1">
      <c r="A161" s="34">
        <v>446</v>
      </c>
      <c r="B161" s="34" t="s">
        <v>3375</v>
      </c>
      <c r="C161" s="34" t="s">
        <v>3376</v>
      </c>
      <c r="D161" s="34" t="s">
        <v>27</v>
      </c>
      <c r="E161" s="34" t="s">
        <v>27</v>
      </c>
      <c r="F161" s="34" t="s">
        <v>27</v>
      </c>
      <c r="G161" s="34" t="s">
        <v>27</v>
      </c>
      <c r="H161" s="34" t="s">
        <v>27</v>
      </c>
      <c r="I161" s="34">
        <v>2025</v>
      </c>
      <c r="J161" s="34" t="s">
        <v>27</v>
      </c>
      <c r="K161" s="34" t="s">
        <v>2946</v>
      </c>
      <c r="L161" s="34" t="s">
        <v>20</v>
      </c>
      <c r="M161" s="34"/>
      <c r="N161" s="34" t="s">
        <v>27</v>
      </c>
      <c r="O161" s="34"/>
      <c r="P161" s="34"/>
      <c r="Q161" s="34"/>
      <c r="R161" s="34"/>
      <c r="S161" s="34"/>
      <c r="T161" s="34"/>
      <c r="U161" s="34"/>
    </row>
    <row r="162" spans="1:21" s="19" customFormat="1" ht="14.25" hidden="1">
      <c r="A162" s="34">
        <v>486</v>
      </c>
      <c r="B162" s="34" t="s">
        <v>3377</v>
      </c>
      <c r="C162" s="34" t="s">
        <v>3378</v>
      </c>
      <c r="D162" s="34" t="s">
        <v>27</v>
      </c>
      <c r="E162" s="34" t="s">
        <v>27</v>
      </c>
      <c r="F162" s="34" t="s">
        <v>27</v>
      </c>
      <c r="G162" s="34" t="s">
        <v>27</v>
      </c>
      <c r="H162" s="34" t="s">
        <v>27</v>
      </c>
      <c r="I162" s="34">
        <v>2020</v>
      </c>
      <c r="J162" s="34" t="s">
        <v>27</v>
      </c>
      <c r="K162" s="34" t="s">
        <v>2946</v>
      </c>
      <c r="L162" s="34" t="s">
        <v>20</v>
      </c>
      <c r="M162" s="34"/>
      <c r="N162" s="34" t="s">
        <v>27</v>
      </c>
      <c r="O162" s="34"/>
      <c r="P162" s="34"/>
      <c r="Q162" s="34"/>
      <c r="R162" s="34"/>
      <c r="S162" s="34"/>
      <c r="T162" s="34"/>
      <c r="U162" s="34"/>
    </row>
    <row r="163" spans="1:21" ht="14.25" hidden="1" customHeight="1">
      <c r="A163" s="1">
        <v>385</v>
      </c>
      <c r="B163" s="5" t="s">
        <v>2010</v>
      </c>
      <c r="C163" s="5" t="s">
        <v>2011</v>
      </c>
      <c r="D163" s="5" t="s">
        <v>572</v>
      </c>
      <c r="E163" s="5">
        <v>150</v>
      </c>
      <c r="F163" s="5" t="s">
        <v>661</v>
      </c>
      <c r="G163" s="5" t="s">
        <v>120</v>
      </c>
      <c r="H163" s="5" t="s">
        <v>2012</v>
      </c>
      <c r="I163" s="5">
        <v>1993</v>
      </c>
      <c r="J163" s="5" t="s">
        <v>2013</v>
      </c>
      <c r="K163" s="3" t="s">
        <v>3048</v>
      </c>
      <c r="L163" s="5" t="s">
        <v>20</v>
      </c>
      <c r="M163" s="5" t="s">
        <v>21</v>
      </c>
      <c r="N163" s="5" t="s">
        <v>20</v>
      </c>
      <c r="O163" s="5" t="s">
        <v>36</v>
      </c>
      <c r="P163" s="5" t="s">
        <v>36</v>
      </c>
      <c r="Q163" s="5"/>
      <c r="U163" s="1"/>
    </row>
    <row r="164" spans="1:21" ht="14.25" customHeight="1">
      <c r="A164" s="1">
        <v>14</v>
      </c>
      <c r="B164" s="3" t="s">
        <v>100</v>
      </c>
      <c r="C164" s="3" t="s">
        <v>101</v>
      </c>
      <c r="D164" s="3" t="s">
        <v>102</v>
      </c>
      <c r="E164" s="3">
        <v>208</v>
      </c>
      <c r="F164" s="3" t="s">
        <v>103</v>
      </c>
      <c r="G164" s="3" t="s">
        <v>104</v>
      </c>
      <c r="H164" s="3" t="s">
        <v>105</v>
      </c>
      <c r="I164" s="3">
        <v>2005</v>
      </c>
      <c r="J164" s="3" t="s">
        <v>106</v>
      </c>
      <c r="K164" s="3" t="s">
        <v>3048</v>
      </c>
      <c r="L164" s="3" t="s">
        <v>22</v>
      </c>
      <c r="M164" s="3"/>
      <c r="N164" s="3" t="s">
        <v>22</v>
      </c>
      <c r="O164" s="3" t="s">
        <v>22</v>
      </c>
      <c r="P164" s="3" t="s">
        <v>23</v>
      </c>
      <c r="Q164" s="3"/>
      <c r="R164" s="21" t="s">
        <v>20</v>
      </c>
      <c r="S164" s="1" t="s">
        <v>3030</v>
      </c>
      <c r="T164" s="1" t="s">
        <v>2905</v>
      </c>
      <c r="U164" s="31" t="s">
        <v>3025</v>
      </c>
    </row>
    <row r="165" spans="1:21" ht="14.25" hidden="1" customHeight="1">
      <c r="A165" s="1">
        <v>440</v>
      </c>
      <c r="B165" s="3" t="s">
        <v>2256</v>
      </c>
      <c r="C165" s="3" t="s">
        <v>2257</v>
      </c>
      <c r="D165" s="3" t="s">
        <v>351</v>
      </c>
      <c r="E165" s="3">
        <v>13</v>
      </c>
      <c r="F165" s="3" t="s">
        <v>2258</v>
      </c>
      <c r="G165" s="3" t="s">
        <v>492</v>
      </c>
      <c r="H165" s="3" t="s">
        <v>2259</v>
      </c>
      <c r="I165" s="3">
        <v>2017</v>
      </c>
      <c r="J165" s="3" t="s">
        <v>2260</v>
      </c>
      <c r="K165" s="3" t="s">
        <v>3048</v>
      </c>
      <c r="L165" s="3" t="s">
        <v>268</v>
      </c>
      <c r="M165" s="3" t="s">
        <v>2261</v>
      </c>
      <c r="N165" s="3" t="s">
        <v>268</v>
      </c>
      <c r="O165" s="3" t="s">
        <v>22</v>
      </c>
      <c r="P165" s="3" t="s">
        <v>2261</v>
      </c>
      <c r="Q165" s="3" t="s">
        <v>2878</v>
      </c>
      <c r="U165" s="1"/>
    </row>
    <row r="166" spans="1:21" ht="14.25" customHeight="1">
      <c r="A166" s="1">
        <v>389</v>
      </c>
      <c r="B166" s="5" t="s">
        <v>2028</v>
      </c>
      <c r="C166" s="5" t="s">
        <v>2029</v>
      </c>
      <c r="D166" s="5" t="s">
        <v>2030</v>
      </c>
      <c r="E166" s="5">
        <v>89</v>
      </c>
      <c r="F166" s="5" t="s">
        <v>27</v>
      </c>
      <c r="G166" s="5" t="s">
        <v>27</v>
      </c>
      <c r="H166" s="5" t="s">
        <v>2031</v>
      </c>
      <c r="I166" s="5">
        <v>2019</v>
      </c>
      <c r="J166" s="5" t="s">
        <v>2032</v>
      </c>
      <c r="K166" s="3" t="s">
        <v>3048</v>
      </c>
      <c r="L166" s="5" t="s">
        <v>22</v>
      </c>
      <c r="M166" s="5"/>
      <c r="N166" s="5" t="s">
        <v>22</v>
      </c>
      <c r="O166" s="5" t="s">
        <v>22</v>
      </c>
      <c r="P166" s="5" t="s">
        <v>23</v>
      </c>
      <c r="Q166" s="5"/>
      <c r="R166" s="21" t="s">
        <v>20</v>
      </c>
      <c r="S166" s="1" t="s">
        <v>2975</v>
      </c>
      <c r="T166" s="1" t="s">
        <v>3272</v>
      </c>
      <c r="U166" s="31" t="s">
        <v>3025</v>
      </c>
    </row>
    <row r="167" spans="1:21" ht="14.25" hidden="1" customHeight="1">
      <c r="A167" s="1">
        <v>377</v>
      </c>
      <c r="B167" s="5" t="s">
        <v>1976</v>
      </c>
      <c r="C167" s="5" t="s">
        <v>1977</v>
      </c>
      <c r="D167" s="5" t="s">
        <v>1978</v>
      </c>
      <c r="E167" s="5">
        <v>95</v>
      </c>
      <c r="F167" s="5" t="s">
        <v>167</v>
      </c>
      <c r="G167" s="5" t="s">
        <v>1298</v>
      </c>
      <c r="H167" s="5" t="s">
        <v>27</v>
      </c>
      <c r="I167" s="5">
        <v>2024</v>
      </c>
      <c r="J167" s="5" t="s">
        <v>1979</v>
      </c>
      <c r="K167" s="3" t="s">
        <v>3048</v>
      </c>
      <c r="L167" s="5" t="s">
        <v>20</v>
      </c>
      <c r="M167" s="5" t="s">
        <v>21</v>
      </c>
      <c r="N167" s="5" t="s">
        <v>20</v>
      </c>
      <c r="O167" s="5" t="s">
        <v>36</v>
      </c>
      <c r="P167" s="5" t="s">
        <v>36</v>
      </c>
      <c r="Q167" s="5"/>
      <c r="U167" s="1"/>
    </row>
    <row r="168" spans="1:21" ht="14.25" hidden="1" customHeight="1">
      <c r="A168" s="1">
        <v>407</v>
      </c>
      <c r="B168" s="5" t="s">
        <v>1976</v>
      </c>
      <c r="C168" s="5" t="s">
        <v>2105</v>
      </c>
      <c r="D168" s="5" t="s">
        <v>2106</v>
      </c>
      <c r="E168" s="5">
        <v>95</v>
      </c>
      <c r="F168" s="5" t="s">
        <v>27</v>
      </c>
      <c r="G168" s="5" t="s">
        <v>27</v>
      </c>
      <c r="H168" s="5" t="s">
        <v>2107</v>
      </c>
      <c r="I168" s="5">
        <v>2024</v>
      </c>
      <c r="J168" s="5" t="s">
        <v>2108</v>
      </c>
      <c r="K168" s="3" t="s">
        <v>3048</v>
      </c>
      <c r="L168" s="5" t="s">
        <v>20</v>
      </c>
      <c r="M168" s="5" t="s">
        <v>21</v>
      </c>
      <c r="N168" s="5" t="s">
        <v>20</v>
      </c>
      <c r="O168" s="5" t="s">
        <v>36</v>
      </c>
      <c r="P168" s="5" t="s">
        <v>36</v>
      </c>
      <c r="Q168" s="5"/>
      <c r="U168" s="1"/>
    </row>
    <row r="169" spans="1:21" ht="14.25" hidden="1" customHeight="1">
      <c r="A169" s="1">
        <v>450</v>
      </c>
      <c r="B169" s="3" t="s">
        <v>2300</v>
      </c>
      <c r="C169" s="3" t="s">
        <v>2301</v>
      </c>
      <c r="D169" s="3" t="s">
        <v>2279</v>
      </c>
      <c r="E169" s="3">
        <v>27</v>
      </c>
      <c r="F169" s="3" t="s">
        <v>2302</v>
      </c>
      <c r="G169" s="3" t="s">
        <v>2303</v>
      </c>
      <c r="H169" s="3" t="s">
        <v>2304</v>
      </c>
      <c r="I169" s="3">
        <v>2018</v>
      </c>
      <c r="J169" s="3" t="s">
        <v>2305</v>
      </c>
      <c r="K169" s="3" t="s">
        <v>3048</v>
      </c>
      <c r="L169" s="3" t="s">
        <v>20</v>
      </c>
      <c r="M169" s="3" t="s">
        <v>21</v>
      </c>
      <c r="N169" s="3" t="s">
        <v>20</v>
      </c>
      <c r="O169" s="3" t="s">
        <v>36</v>
      </c>
      <c r="P169" s="3" t="s">
        <v>36</v>
      </c>
      <c r="Q169" s="3"/>
      <c r="U169" s="1"/>
    </row>
    <row r="170" spans="1:21" ht="14.25" customHeight="1">
      <c r="A170" s="1">
        <v>378</v>
      </c>
      <c r="B170" s="3" t="s">
        <v>1980</v>
      </c>
      <c r="C170" s="3" t="s">
        <v>1981</v>
      </c>
      <c r="D170" s="3" t="s">
        <v>1982</v>
      </c>
      <c r="E170" s="3">
        <v>5</v>
      </c>
      <c r="F170" s="3" t="s">
        <v>1207</v>
      </c>
      <c r="G170" s="3" t="s">
        <v>1983</v>
      </c>
      <c r="H170" s="3" t="s">
        <v>27</v>
      </c>
      <c r="I170" s="3">
        <v>2017</v>
      </c>
      <c r="J170" s="3" t="s">
        <v>1984</v>
      </c>
      <c r="K170" s="3" t="s">
        <v>3048</v>
      </c>
      <c r="L170" s="3" t="s">
        <v>22</v>
      </c>
      <c r="M170" s="3"/>
      <c r="N170" s="3" t="s">
        <v>22</v>
      </c>
      <c r="O170" s="3" t="s">
        <v>22</v>
      </c>
      <c r="P170" s="3" t="s">
        <v>23</v>
      </c>
      <c r="Q170" s="3"/>
      <c r="R170" s="12" t="s">
        <v>20</v>
      </c>
      <c r="S170" s="1" t="s">
        <v>1963</v>
      </c>
      <c r="T170" s="1" t="s">
        <v>3182</v>
      </c>
      <c r="U170" s="31" t="s">
        <v>3128</v>
      </c>
    </row>
    <row r="171" spans="1:21" ht="14.25" customHeight="1">
      <c r="A171" s="1">
        <v>141</v>
      </c>
      <c r="B171" s="5" t="s">
        <v>823</v>
      </c>
      <c r="C171" s="5" t="s">
        <v>824</v>
      </c>
      <c r="D171" s="5" t="s">
        <v>825</v>
      </c>
      <c r="E171" s="5">
        <v>31</v>
      </c>
      <c r="F171" s="5" t="s">
        <v>27</v>
      </c>
      <c r="G171" s="5" t="s">
        <v>27</v>
      </c>
      <c r="H171" s="5" t="s">
        <v>826</v>
      </c>
      <c r="I171" s="5">
        <v>2022</v>
      </c>
      <c r="J171" s="5" t="s">
        <v>827</v>
      </c>
      <c r="K171" s="3" t="s">
        <v>3048</v>
      </c>
      <c r="L171" s="5" t="s">
        <v>22</v>
      </c>
      <c r="M171" s="5"/>
      <c r="N171" s="5" t="s">
        <v>22</v>
      </c>
      <c r="O171" s="5" t="s">
        <v>22</v>
      </c>
      <c r="P171" s="5" t="s">
        <v>23</v>
      </c>
      <c r="Q171" s="5"/>
      <c r="R171" s="12" t="s">
        <v>22</v>
      </c>
      <c r="U171" s="31" t="s">
        <v>3128</v>
      </c>
    </row>
    <row r="172" spans="1:21" ht="14.25" hidden="1" customHeight="1">
      <c r="A172" s="1">
        <v>179</v>
      </c>
      <c r="B172" s="5" t="s">
        <v>1021</v>
      </c>
      <c r="C172" s="5" t="s">
        <v>1022</v>
      </c>
      <c r="D172" s="5" t="s">
        <v>1023</v>
      </c>
      <c r="E172" s="5"/>
      <c r="F172" s="5" t="s">
        <v>1024</v>
      </c>
      <c r="G172" s="5" t="s">
        <v>1024</v>
      </c>
      <c r="H172" s="5" t="s">
        <v>27</v>
      </c>
      <c r="I172" s="5">
        <v>2009</v>
      </c>
      <c r="J172" s="5" t="s">
        <v>1025</v>
      </c>
      <c r="K172" s="3" t="s">
        <v>3048</v>
      </c>
      <c r="L172" s="5" t="s">
        <v>20</v>
      </c>
      <c r="M172" s="5" t="s">
        <v>21</v>
      </c>
      <c r="N172" s="5" t="s">
        <v>20</v>
      </c>
      <c r="O172" s="5" t="s">
        <v>36</v>
      </c>
      <c r="P172" s="5" t="s">
        <v>36</v>
      </c>
      <c r="Q172" s="5"/>
      <c r="U172" s="1"/>
    </row>
    <row r="173" spans="1:21" ht="14.25" customHeight="1">
      <c r="A173" s="1">
        <v>324</v>
      </c>
      <c r="B173" s="3" t="s">
        <v>1718</v>
      </c>
      <c r="C173" s="3" t="s">
        <v>1719</v>
      </c>
      <c r="D173" s="3" t="s">
        <v>1720</v>
      </c>
      <c r="E173" s="3">
        <v>61</v>
      </c>
      <c r="F173" s="3" t="s">
        <v>1721</v>
      </c>
      <c r="G173" s="3" t="s">
        <v>1722</v>
      </c>
      <c r="H173" s="3" t="s">
        <v>1723</v>
      </c>
      <c r="I173" s="3">
        <v>2004</v>
      </c>
      <c r="J173" s="3" t="s">
        <v>1724</v>
      </c>
      <c r="K173" s="3" t="s">
        <v>3048</v>
      </c>
      <c r="L173" s="3" t="s">
        <v>22</v>
      </c>
      <c r="M173" s="3"/>
      <c r="N173" s="3" t="s">
        <v>22</v>
      </c>
      <c r="O173" s="3" t="s">
        <v>22</v>
      </c>
      <c r="P173" s="3" t="s">
        <v>23</v>
      </c>
      <c r="Q173" s="3"/>
      <c r="R173" s="12" t="s">
        <v>20</v>
      </c>
      <c r="S173" s="1" t="s">
        <v>3007</v>
      </c>
      <c r="U173" s="31" t="s">
        <v>3288</v>
      </c>
    </row>
    <row r="174" spans="1:21" ht="14.25" hidden="1" customHeight="1">
      <c r="A174" s="1">
        <v>569</v>
      </c>
      <c r="B174" s="5" t="s">
        <v>2839</v>
      </c>
      <c r="C174" s="5" t="s">
        <v>2840</v>
      </c>
      <c r="D174" s="5" t="s">
        <v>472</v>
      </c>
      <c r="E174" s="5">
        <v>112</v>
      </c>
      <c r="F174" s="5" t="s">
        <v>2841</v>
      </c>
      <c r="G174" s="5" t="s">
        <v>2842</v>
      </c>
      <c r="H174" s="5" t="s">
        <v>2843</v>
      </c>
      <c r="I174" s="5">
        <v>2020</v>
      </c>
      <c r="J174" s="5" t="s">
        <v>2844</v>
      </c>
      <c r="K174" s="3" t="s">
        <v>3048</v>
      </c>
      <c r="L174" s="5" t="s">
        <v>20</v>
      </c>
      <c r="M174" s="5" t="s">
        <v>21</v>
      </c>
      <c r="N174" s="5" t="s">
        <v>20</v>
      </c>
      <c r="O174" s="5" t="s">
        <v>36</v>
      </c>
      <c r="P174" s="5" t="s">
        <v>36</v>
      </c>
      <c r="Q174" s="5"/>
      <c r="U174" s="1"/>
    </row>
    <row r="175" spans="1:21" ht="14.25" customHeight="1">
      <c r="A175" s="1">
        <v>207</v>
      </c>
      <c r="B175" s="5" t="s">
        <v>1160</v>
      </c>
      <c r="C175" s="5" t="s">
        <v>1161</v>
      </c>
      <c r="D175" s="5" t="s">
        <v>1162</v>
      </c>
      <c r="E175" s="5"/>
      <c r="F175" s="5" t="s">
        <v>1163</v>
      </c>
      <c r="G175" s="5" t="s">
        <v>1164</v>
      </c>
      <c r="H175" s="5" t="s">
        <v>27</v>
      </c>
      <c r="I175" s="5">
        <v>2002</v>
      </c>
      <c r="J175" s="5" t="s">
        <v>1165</v>
      </c>
      <c r="K175" s="3" t="s">
        <v>3048</v>
      </c>
      <c r="L175" s="5" t="s">
        <v>22</v>
      </c>
      <c r="M175" s="5" t="s">
        <v>1166</v>
      </c>
      <c r="N175" s="5" t="s">
        <v>22</v>
      </c>
      <c r="O175" s="5" t="s">
        <v>22</v>
      </c>
      <c r="P175" s="5" t="s">
        <v>1166</v>
      </c>
      <c r="Q175" s="5"/>
      <c r="R175" s="12" t="s">
        <v>20</v>
      </c>
      <c r="S175" s="1" t="s">
        <v>2975</v>
      </c>
      <c r="U175" s="31" t="s">
        <v>3025</v>
      </c>
    </row>
    <row r="176" spans="1:21" ht="14.25" customHeight="1">
      <c r="A176" s="1">
        <v>270</v>
      </c>
      <c r="B176" s="3" t="s">
        <v>1160</v>
      </c>
      <c r="C176" s="3" t="s">
        <v>1476</v>
      </c>
      <c r="D176" s="3" t="s">
        <v>1477</v>
      </c>
      <c r="E176" s="3">
        <v>90</v>
      </c>
      <c r="F176" s="3" t="s">
        <v>1478</v>
      </c>
      <c r="G176" s="3" t="s">
        <v>1478</v>
      </c>
      <c r="H176" s="3" t="s">
        <v>27</v>
      </c>
      <c r="I176" s="3">
        <v>2000</v>
      </c>
      <c r="J176" s="3" t="s">
        <v>27</v>
      </c>
      <c r="K176" s="3" t="s">
        <v>3048</v>
      </c>
      <c r="L176" s="3" t="s">
        <v>22</v>
      </c>
      <c r="M176" s="3"/>
      <c r="N176" s="3" t="s">
        <v>1431</v>
      </c>
      <c r="O176" s="3" t="s">
        <v>36</v>
      </c>
      <c r="P176" s="3" t="s">
        <v>36</v>
      </c>
      <c r="Q176" s="3"/>
      <c r="U176" s="1"/>
    </row>
    <row r="177" spans="1:21" ht="14.25" hidden="1" customHeight="1">
      <c r="A177" s="1">
        <v>266</v>
      </c>
      <c r="B177" s="3" t="s">
        <v>1454</v>
      </c>
      <c r="C177" s="3" t="s">
        <v>1455</v>
      </c>
      <c r="D177" s="3" t="s">
        <v>1456</v>
      </c>
      <c r="E177" s="3">
        <v>18</v>
      </c>
      <c r="F177" s="3" t="s">
        <v>481</v>
      </c>
      <c r="G177" s="3" t="s">
        <v>1457</v>
      </c>
      <c r="H177" s="3" t="s">
        <v>1458</v>
      </c>
      <c r="I177" s="3">
        <v>2016</v>
      </c>
      <c r="J177" s="3" t="s">
        <v>1459</v>
      </c>
      <c r="K177" s="3" t="s">
        <v>3048</v>
      </c>
      <c r="L177" s="3" t="s">
        <v>20</v>
      </c>
      <c r="M177" s="3" t="s">
        <v>21</v>
      </c>
      <c r="N177" s="3" t="s">
        <v>20</v>
      </c>
      <c r="O177" s="3" t="s">
        <v>36</v>
      </c>
      <c r="P177" s="3" t="s">
        <v>36</v>
      </c>
      <c r="Q177" s="3"/>
      <c r="U177" s="1"/>
    </row>
    <row r="178" spans="1:21" ht="14.25" hidden="1" customHeight="1">
      <c r="A178" s="1">
        <v>557</v>
      </c>
      <c r="B178" s="5" t="s">
        <v>2782</v>
      </c>
      <c r="C178" s="5" t="s">
        <v>2783</v>
      </c>
      <c r="D178" s="5" t="s">
        <v>2784</v>
      </c>
      <c r="E178" s="5">
        <v>157</v>
      </c>
      <c r="F178" s="5" t="s">
        <v>1950</v>
      </c>
      <c r="G178" s="5" t="s">
        <v>2589</v>
      </c>
      <c r="H178" s="5" t="s">
        <v>27</v>
      </c>
      <c r="I178" s="5">
        <v>2002</v>
      </c>
      <c r="J178" s="5" t="s">
        <v>27</v>
      </c>
      <c r="K178" s="3" t="s">
        <v>3048</v>
      </c>
      <c r="L178" s="5" t="s">
        <v>268</v>
      </c>
      <c r="M178" s="5" t="s">
        <v>760</v>
      </c>
      <c r="N178" s="5" t="s">
        <v>268</v>
      </c>
      <c r="O178" s="5" t="s">
        <v>36</v>
      </c>
      <c r="P178" s="5" t="s">
        <v>760</v>
      </c>
      <c r="Q178" s="5"/>
      <c r="U178" s="1"/>
    </row>
    <row r="179" spans="1:21" s="19" customFormat="1" ht="14.25">
      <c r="A179" s="34">
        <v>191</v>
      </c>
      <c r="B179" s="34" t="s">
        <v>3379</v>
      </c>
      <c r="C179" s="34" t="s">
        <v>3380</v>
      </c>
      <c r="D179" s="34" t="s">
        <v>351</v>
      </c>
      <c r="E179" s="34">
        <v>21</v>
      </c>
      <c r="F179" s="34" t="s">
        <v>27</v>
      </c>
      <c r="G179" s="34" t="s">
        <v>27</v>
      </c>
      <c r="H179" s="34" t="s">
        <v>3381</v>
      </c>
      <c r="I179" s="34">
        <v>2025</v>
      </c>
      <c r="J179" s="34" t="s">
        <v>3382</v>
      </c>
      <c r="K179" s="34" t="s">
        <v>2946</v>
      </c>
      <c r="L179" s="34" t="s">
        <v>22</v>
      </c>
      <c r="M179" s="34"/>
      <c r="N179" s="34" t="s">
        <v>27</v>
      </c>
      <c r="O179" s="34" t="s">
        <v>22</v>
      </c>
      <c r="P179" s="34" t="s">
        <v>23</v>
      </c>
      <c r="Q179" s="34"/>
      <c r="R179" s="34"/>
      <c r="S179" s="34"/>
      <c r="T179" s="34"/>
      <c r="U179" s="34"/>
    </row>
    <row r="180" spans="1:21" ht="14.25" customHeight="1">
      <c r="A180" s="1">
        <v>474</v>
      </c>
      <c r="B180" s="3" t="s">
        <v>2415</v>
      </c>
      <c r="C180" s="3" t="s">
        <v>2416</v>
      </c>
      <c r="D180" s="3" t="s">
        <v>2417</v>
      </c>
      <c r="E180" s="3">
        <v>10</v>
      </c>
      <c r="F180" s="3" t="s">
        <v>27</v>
      </c>
      <c r="G180" s="3" t="s">
        <v>27</v>
      </c>
      <c r="H180" s="3" t="s">
        <v>2418</v>
      </c>
      <c r="I180" s="3">
        <v>2023</v>
      </c>
      <c r="J180" s="3" t="s">
        <v>2419</v>
      </c>
      <c r="K180" s="3" t="s">
        <v>3048</v>
      </c>
      <c r="L180" s="3" t="s">
        <v>22</v>
      </c>
      <c r="M180" s="3"/>
      <c r="N180" s="3" t="s">
        <v>22</v>
      </c>
      <c r="O180" s="3" t="s">
        <v>22</v>
      </c>
      <c r="P180" s="3" t="s">
        <v>23</v>
      </c>
      <c r="Q180" s="3"/>
      <c r="R180" s="22" t="s">
        <v>22</v>
      </c>
      <c r="U180" s="31" t="s">
        <v>2946</v>
      </c>
    </row>
    <row r="181" spans="1:21" ht="14.25" hidden="1" customHeight="1">
      <c r="A181" s="1">
        <v>346</v>
      </c>
      <c r="B181" s="3" t="s">
        <v>1821</v>
      </c>
      <c r="C181" s="3" t="s">
        <v>1822</v>
      </c>
      <c r="D181" s="3" t="s">
        <v>64</v>
      </c>
      <c r="E181" s="3">
        <v>236</v>
      </c>
      <c r="F181" s="3" t="s">
        <v>1823</v>
      </c>
      <c r="G181" s="3" t="s">
        <v>1824</v>
      </c>
      <c r="H181" s="3" t="s">
        <v>1825</v>
      </c>
      <c r="I181" s="3">
        <v>2022</v>
      </c>
      <c r="J181" s="3" t="s">
        <v>1826</v>
      </c>
      <c r="K181" s="3" t="s">
        <v>3048</v>
      </c>
      <c r="L181" s="3" t="s">
        <v>20</v>
      </c>
      <c r="M181" s="3" t="s">
        <v>21</v>
      </c>
      <c r="N181" s="3" t="s">
        <v>20</v>
      </c>
      <c r="O181" s="3" t="s">
        <v>36</v>
      </c>
      <c r="P181" s="3" t="s">
        <v>36</v>
      </c>
      <c r="Q181" s="3"/>
      <c r="U181" s="1"/>
    </row>
    <row r="182" spans="1:21" ht="14.25" customHeight="1">
      <c r="A182" s="1">
        <v>56</v>
      </c>
      <c r="B182" s="3" t="s">
        <v>349</v>
      </c>
      <c r="C182" s="3" t="s">
        <v>350</v>
      </c>
      <c r="D182" s="3" t="s">
        <v>351</v>
      </c>
      <c r="E182" s="3">
        <v>19</v>
      </c>
      <c r="F182" s="3" t="s">
        <v>27</v>
      </c>
      <c r="G182" s="3" t="s">
        <v>27</v>
      </c>
      <c r="H182" s="3" t="s">
        <v>352</v>
      </c>
      <c r="I182" s="3">
        <v>2023</v>
      </c>
      <c r="J182" s="3" t="s">
        <v>353</v>
      </c>
      <c r="K182" s="3" t="s">
        <v>3048</v>
      </c>
      <c r="L182" s="3" t="s">
        <v>22</v>
      </c>
      <c r="M182" s="3"/>
      <c r="N182" s="3" t="s">
        <v>22</v>
      </c>
      <c r="O182" s="3" t="s">
        <v>22</v>
      </c>
      <c r="P182" s="3" t="s">
        <v>23</v>
      </c>
      <c r="Q182" s="3"/>
      <c r="R182" s="12" t="s">
        <v>20</v>
      </c>
      <c r="S182" s="1" t="s">
        <v>2975</v>
      </c>
      <c r="T182" s="1" t="s">
        <v>3062</v>
      </c>
      <c r="U182" s="31" t="s">
        <v>2946</v>
      </c>
    </row>
    <row r="183" spans="1:21" ht="14.25" hidden="1" customHeight="1">
      <c r="A183" s="1">
        <v>357</v>
      </c>
      <c r="B183" s="5" t="s">
        <v>1879</v>
      </c>
      <c r="C183" s="5" t="s">
        <v>1880</v>
      </c>
      <c r="D183" s="5" t="s">
        <v>636</v>
      </c>
      <c r="E183" s="5">
        <v>898</v>
      </c>
      <c r="F183" s="5" t="s">
        <v>27</v>
      </c>
      <c r="G183" s="5" t="s">
        <v>27</v>
      </c>
      <c r="H183" s="5" t="s">
        <v>1881</v>
      </c>
      <c r="I183" s="5">
        <v>2023</v>
      </c>
      <c r="J183" s="5" t="s">
        <v>1882</v>
      </c>
      <c r="K183" s="3" t="s">
        <v>3048</v>
      </c>
      <c r="L183" s="5" t="s">
        <v>20</v>
      </c>
      <c r="M183" s="5" t="s">
        <v>21</v>
      </c>
      <c r="N183" s="5" t="s">
        <v>20</v>
      </c>
      <c r="O183" s="5" t="s">
        <v>36</v>
      </c>
      <c r="P183" s="5" t="s">
        <v>36</v>
      </c>
      <c r="Q183" s="5"/>
      <c r="U183" s="1"/>
    </row>
    <row r="184" spans="1:21" ht="14.25" hidden="1" customHeight="1">
      <c r="A184" s="1">
        <v>13</v>
      </c>
      <c r="B184" s="5" t="s">
        <v>93</v>
      </c>
      <c r="C184" s="5" t="s">
        <v>94</v>
      </c>
      <c r="D184" s="5" t="s">
        <v>95</v>
      </c>
      <c r="E184" s="5">
        <v>22</v>
      </c>
      <c r="F184" s="5" t="s">
        <v>96</v>
      </c>
      <c r="G184" s="5" t="s">
        <v>97</v>
      </c>
      <c r="H184" s="5" t="s">
        <v>98</v>
      </c>
      <c r="I184" s="5">
        <v>2007</v>
      </c>
      <c r="J184" s="5" t="s">
        <v>99</v>
      </c>
      <c r="K184" s="3" t="s">
        <v>3048</v>
      </c>
      <c r="L184" s="5" t="s">
        <v>20</v>
      </c>
      <c r="M184" s="5" t="s">
        <v>21</v>
      </c>
      <c r="N184" s="5" t="s">
        <v>20</v>
      </c>
      <c r="O184" s="5" t="s">
        <v>36</v>
      </c>
      <c r="P184" s="5" t="s">
        <v>36</v>
      </c>
      <c r="Q184" s="5"/>
      <c r="U184" s="1"/>
    </row>
    <row r="185" spans="1:21" ht="14.25" hidden="1" customHeight="1">
      <c r="A185" s="1">
        <v>226</v>
      </c>
      <c r="B185" s="3" t="s">
        <v>1262</v>
      </c>
      <c r="C185" s="3" t="s">
        <v>1263</v>
      </c>
      <c r="D185" s="3" t="s">
        <v>839</v>
      </c>
      <c r="E185" s="3">
        <v>89</v>
      </c>
      <c r="F185" s="3" t="s">
        <v>1264</v>
      </c>
      <c r="G185" s="3" t="s">
        <v>1265</v>
      </c>
      <c r="H185" s="3" t="s">
        <v>27</v>
      </c>
      <c r="I185" s="3">
        <v>2004</v>
      </c>
      <c r="J185" s="3" t="s">
        <v>27</v>
      </c>
      <c r="K185" s="3" t="s">
        <v>3048</v>
      </c>
      <c r="L185" s="3" t="s">
        <v>20</v>
      </c>
      <c r="M185" s="3" t="s">
        <v>21</v>
      </c>
      <c r="N185" s="3" t="s">
        <v>20</v>
      </c>
      <c r="O185" s="3" t="s">
        <v>36</v>
      </c>
      <c r="P185" s="3" t="s">
        <v>36</v>
      </c>
      <c r="Q185" s="3"/>
      <c r="U185" s="1"/>
    </row>
    <row r="186" spans="1:21" ht="14.25" customHeight="1">
      <c r="A186" s="1">
        <v>500</v>
      </c>
      <c r="B186" s="3" t="s">
        <v>2541</v>
      </c>
      <c r="C186" s="3" t="s">
        <v>2542</v>
      </c>
      <c r="D186" s="3" t="s">
        <v>27</v>
      </c>
      <c r="E186" s="3"/>
      <c r="F186" s="3" t="s">
        <v>27</v>
      </c>
      <c r="G186" s="3" t="s">
        <v>27</v>
      </c>
      <c r="H186" s="3" t="s">
        <v>27</v>
      </c>
      <c r="I186" s="3">
        <v>2024</v>
      </c>
      <c r="J186" s="3" t="s">
        <v>27</v>
      </c>
      <c r="K186" s="3" t="s">
        <v>3048</v>
      </c>
      <c r="L186" s="3" t="s">
        <v>22</v>
      </c>
      <c r="M186" s="3"/>
      <c r="N186" s="3" t="s">
        <v>268</v>
      </c>
      <c r="O186" s="3" t="s">
        <v>36</v>
      </c>
      <c r="P186" s="3" t="s">
        <v>2215</v>
      </c>
      <c r="Q186" s="5" t="s">
        <v>2886</v>
      </c>
      <c r="U186" s="1"/>
    </row>
    <row r="187" spans="1:21" ht="14.25" hidden="1" customHeight="1">
      <c r="A187" s="1">
        <v>552</v>
      </c>
      <c r="B187" s="3" t="s">
        <v>2757</v>
      </c>
      <c r="C187" s="3" t="s">
        <v>2758</v>
      </c>
      <c r="D187" s="3" t="s">
        <v>2759</v>
      </c>
      <c r="E187" s="3">
        <v>44</v>
      </c>
      <c r="F187" s="3" t="s">
        <v>1547</v>
      </c>
      <c r="G187" s="3" t="s">
        <v>1679</v>
      </c>
      <c r="H187" s="3" t="s">
        <v>2760</v>
      </c>
      <c r="I187" s="3">
        <v>2014</v>
      </c>
      <c r="J187" s="3" t="s">
        <v>2761</v>
      </c>
      <c r="K187" s="3" t="s">
        <v>3048</v>
      </c>
      <c r="L187" s="3" t="s">
        <v>20</v>
      </c>
      <c r="M187" s="3" t="s">
        <v>21</v>
      </c>
      <c r="N187" s="3" t="s">
        <v>20</v>
      </c>
      <c r="O187" s="3" t="s">
        <v>36</v>
      </c>
      <c r="P187" s="3" t="s">
        <v>36</v>
      </c>
      <c r="Q187" s="3"/>
      <c r="U187" s="1"/>
    </row>
    <row r="188" spans="1:21" ht="14.25" customHeight="1">
      <c r="A188" s="1">
        <v>102</v>
      </c>
      <c r="B188" s="3" t="s">
        <v>609</v>
      </c>
      <c r="C188" s="3" t="s">
        <v>610</v>
      </c>
      <c r="D188" s="3" t="s">
        <v>611</v>
      </c>
      <c r="E188" s="3">
        <v>448</v>
      </c>
      <c r="F188" s="3" t="s">
        <v>27</v>
      </c>
      <c r="G188" s="3" t="s">
        <v>27</v>
      </c>
      <c r="H188" s="3" t="s">
        <v>612</v>
      </c>
      <c r="I188" s="3">
        <v>2024</v>
      </c>
      <c r="J188" s="3" t="s">
        <v>613</v>
      </c>
      <c r="K188" s="3" t="s">
        <v>3048</v>
      </c>
      <c r="L188" s="3" t="s">
        <v>22</v>
      </c>
      <c r="M188" s="3"/>
      <c r="N188" s="3" t="s">
        <v>22</v>
      </c>
      <c r="O188" s="3" t="s">
        <v>22</v>
      </c>
      <c r="P188" s="3" t="s">
        <v>23</v>
      </c>
      <c r="Q188" s="3"/>
      <c r="R188" s="12" t="s">
        <v>22</v>
      </c>
      <c r="U188" s="31" t="s">
        <v>3025</v>
      </c>
    </row>
    <row r="189" spans="1:21" ht="14.25" customHeight="1">
      <c r="A189" s="1">
        <v>439</v>
      </c>
      <c r="B189" s="5" t="s">
        <v>2251</v>
      </c>
      <c r="C189" s="5" t="s">
        <v>2252</v>
      </c>
      <c r="D189" s="5" t="s">
        <v>472</v>
      </c>
      <c r="E189" s="5">
        <v>114</v>
      </c>
      <c r="F189" s="5" t="s">
        <v>187</v>
      </c>
      <c r="G189" s="5" t="s">
        <v>2253</v>
      </c>
      <c r="H189" s="5" t="s">
        <v>2254</v>
      </c>
      <c r="I189" s="5">
        <v>2022</v>
      </c>
      <c r="J189" s="5" t="s">
        <v>2255</v>
      </c>
      <c r="K189" s="3" t="s">
        <v>3048</v>
      </c>
      <c r="L189" s="5" t="s">
        <v>22</v>
      </c>
      <c r="M189" s="5" t="s">
        <v>1858</v>
      </c>
      <c r="N189" s="5" t="s">
        <v>268</v>
      </c>
      <c r="O189" s="5" t="s">
        <v>22</v>
      </c>
      <c r="P189" s="5" t="s">
        <v>269</v>
      </c>
      <c r="Q189" s="5"/>
      <c r="U189" s="1"/>
    </row>
    <row r="190" spans="1:21" ht="14.25" customHeight="1">
      <c r="A190" s="1">
        <v>297</v>
      </c>
      <c r="B190" s="5" t="s">
        <v>1602</v>
      </c>
      <c r="C190" s="5" t="s">
        <v>1603</v>
      </c>
      <c r="D190" s="5" t="s">
        <v>102</v>
      </c>
      <c r="E190" s="5">
        <v>551</v>
      </c>
      <c r="F190" s="5" t="s">
        <v>27</v>
      </c>
      <c r="G190" s="5" t="s">
        <v>27</v>
      </c>
      <c r="H190" s="5" t="s">
        <v>1604</v>
      </c>
      <c r="I190" s="5">
        <v>2024</v>
      </c>
      <c r="J190" s="5" t="s">
        <v>1605</v>
      </c>
      <c r="K190" s="3" t="s">
        <v>3048</v>
      </c>
      <c r="L190" s="5" t="s">
        <v>22</v>
      </c>
      <c r="M190" s="5"/>
      <c r="N190" s="5" t="s">
        <v>22</v>
      </c>
      <c r="O190" s="5" t="s">
        <v>22</v>
      </c>
      <c r="P190" s="5" t="s">
        <v>23</v>
      </c>
      <c r="Q190" s="5"/>
      <c r="R190" s="12" t="s">
        <v>22</v>
      </c>
      <c r="U190" s="31" t="s">
        <v>3025</v>
      </c>
    </row>
    <row r="191" spans="1:21" ht="14.25" hidden="1" customHeight="1">
      <c r="A191" s="1">
        <v>237</v>
      </c>
      <c r="B191" s="5" t="s">
        <v>1316</v>
      </c>
      <c r="C191" s="5" t="s">
        <v>1317</v>
      </c>
      <c r="D191" s="5" t="s">
        <v>1318</v>
      </c>
      <c r="E191" s="5">
        <v>68</v>
      </c>
      <c r="F191" s="5" t="s">
        <v>1144</v>
      </c>
      <c r="G191" s="5" t="s">
        <v>1319</v>
      </c>
      <c r="H191" s="5" t="s">
        <v>1320</v>
      </c>
      <c r="I191" s="5">
        <v>2014</v>
      </c>
      <c r="J191" s="5" t="s">
        <v>1321</v>
      </c>
      <c r="K191" s="3" t="s">
        <v>3048</v>
      </c>
      <c r="L191" s="5" t="s">
        <v>20</v>
      </c>
      <c r="M191" s="5" t="s">
        <v>21</v>
      </c>
      <c r="N191" s="5" t="s">
        <v>20</v>
      </c>
      <c r="O191" s="5" t="s">
        <v>36</v>
      </c>
      <c r="P191" s="5" t="s">
        <v>36</v>
      </c>
      <c r="Q191" s="5"/>
      <c r="U191" s="1"/>
    </row>
    <row r="192" spans="1:21" ht="14.25" customHeight="1">
      <c r="A192" s="1">
        <v>111</v>
      </c>
      <c r="B192" s="5" t="s">
        <v>654</v>
      </c>
      <c r="C192" s="5" t="s">
        <v>655</v>
      </c>
      <c r="D192" s="5" t="s">
        <v>180</v>
      </c>
      <c r="E192" s="5">
        <v>10</v>
      </c>
      <c r="F192" s="5" t="s">
        <v>27</v>
      </c>
      <c r="G192" s="5" t="s">
        <v>27</v>
      </c>
      <c r="H192" s="5" t="s">
        <v>656</v>
      </c>
      <c r="I192" s="5">
        <v>2019</v>
      </c>
      <c r="J192" s="5" t="s">
        <v>657</v>
      </c>
      <c r="K192" s="3" t="s">
        <v>3048</v>
      </c>
      <c r="L192" s="5" t="s">
        <v>22</v>
      </c>
      <c r="M192" s="5"/>
      <c r="N192" s="5" t="s">
        <v>22</v>
      </c>
      <c r="O192" s="5" t="s">
        <v>22</v>
      </c>
      <c r="P192" s="5" t="s">
        <v>23</v>
      </c>
      <c r="Q192" s="5"/>
      <c r="R192" s="12" t="s">
        <v>22</v>
      </c>
      <c r="T192" s="1" t="s">
        <v>3127</v>
      </c>
      <c r="U192" s="31" t="s">
        <v>2946</v>
      </c>
    </row>
    <row r="193" spans="1:21" ht="14.25" hidden="1" customHeight="1">
      <c r="A193" s="1">
        <v>551</v>
      </c>
      <c r="B193" s="5" t="s">
        <v>2755</v>
      </c>
      <c r="C193" s="5" t="s">
        <v>2756</v>
      </c>
      <c r="D193" s="5" t="s">
        <v>27</v>
      </c>
      <c r="E193" s="5"/>
      <c r="F193" s="5" t="s">
        <v>27</v>
      </c>
      <c r="G193" s="5" t="s">
        <v>27</v>
      </c>
      <c r="H193" s="5" t="s">
        <v>27</v>
      </c>
      <c r="I193" s="5">
        <v>1995</v>
      </c>
      <c r="J193" s="5" t="s">
        <v>27</v>
      </c>
      <c r="K193" s="3" t="s">
        <v>3048</v>
      </c>
      <c r="L193" s="5" t="s">
        <v>20</v>
      </c>
      <c r="M193" s="5" t="s">
        <v>21</v>
      </c>
      <c r="N193" s="5" t="s">
        <v>20</v>
      </c>
      <c r="O193" s="5" t="s">
        <v>36</v>
      </c>
      <c r="P193" s="5" t="s">
        <v>36</v>
      </c>
      <c r="Q193" s="5"/>
      <c r="U193" s="1"/>
    </row>
    <row r="194" spans="1:21" ht="14.25" customHeight="1">
      <c r="A194" s="1">
        <v>100</v>
      </c>
      <c r="B194" s="3" t="s">
        <v>596</v>
      </c>
      <c r="C194" s="3" t="s">
        <v>597</v>
      </c>
      <c r="D194" s="3" t="s">
        <v>15</v>
      </c>
      <c r="E194" s="3">
        <v>15</v>
      </c>
      <c r="F194" s="3" t="s">
        <v>598</v>
      </c>
      <c r="G194" s="3" t="s">
        <v>599</v>
      </c>
      <c r="H194" s="3" t="s">
        <v>600</v>
      </c>
      <c r="I194" s="3">
        <v>2005</v>
      </c>
      <c r="J194" s="3" t="s">
        <v>601</v>
      </c>
      <c r="K194" s="3" t="s">
        <v>3048</v>
      </c>
      <c r="L194" s="3" t="s">
        <v>22</v>
      </c>
      <c r="M194" s="3"/>
      <c r="N194" s="3" t="s">
        <v>22</v>
      </c>
      <c r="O194" s="3" t="s">
        <v>22</v>
      </c>
      <c r="P194" s="3" t="s">
        <v>23</v>
      </c>
      <c r="Q194" s="3"/>
      <c r="R194" s="12" t="s">
        <v>20</v>
      </c>
      <c r="S194" s="1" t="s">
        <v>2975</v>
      </c>
      <c r="T194" s="1" t="s">
        <v>3082</v>
      </c>
      <c r="U194" s="31" t="s">
        <v>3025</v>
      </c>
    </row>
    <row r="195" spans="1:21" ht="14.25" hidden="1" customHeight="1">
      <c r="A195" s="1">
        <v>132</v>
      </c>
      <c r="B195" s="3" t="s">
        <v>773</v>
      </c>
      <c r="C195" s="3" t="s">
        <v>774</v>
      </c>
      <c r="D195" s="3" t="s">
        <v>775</v>
      </c>
      <c r="E195" s="3">
        <v>157</v>
      </c>
      <c r="F195" s="3" t="s">
        <v>776</v>
      </c>
      <c r="G195" s="3" t="s">
        <v>777</v>
      </c>
      <c r="H195" s="3" t="s">
        <v>778</v>
      </c>
      <c r="I195" s="3">
        <v>2007</v>
      </c>
      <c r="J195" s="3" t="s">
        <v>779</v>
      </c>
      <c r="K195" s="3" t="s">
        <v>3048</v>
      </c>
      <c r="L195" s="3" t="s">
        <v>20</v>
      </c>
      <c r="M195" s="3" t="s">
        <v>21</v>
      </c>
      <c r="N195" s="3" t="s">
        <v>20</v>
      </c>
      <c r="O195" s="3" t="s">
        <v>36</v>
      </c>
      <c r="P195" s="3" t="s">
        <v>36</v>
      </c>
      <c r="Q195" s="3"/>
      <c r="U195" s="1"/>
    </row>
    <row r="196" spans="1:21" ht="14.25" hidden="1" customHeight="1">
      <c r="A196" s="1">
        <v>246</v>
      </c>
      <c r="B196" s="3" t="s">
        <v>1359</v>
      </c>
      <c r="C196" s="3" t="s">
        <v>1360</v>
      </c>
      <c r="D196" s="3" t="s">
        <v>81</v>
      </c>
      <c r="E196" s="3">
        <v>119</v>
      </c>
      <c r="F196" s="3" t="s">
        <v>1361</v>
      </c>
      <c r="G196" s="3" t="s">
        <v>1362</v>
      </c>
      <c r="H196" s="3" t="s">
        <v>1363</v>
      </c>
      <c r="I196" s="3">
        <v>2015</v>
      </c>
      <c r="J196" s="3" t="s">
        <v>1364</v>
      </c>
      <c r="K196" s="3" t="s">
        <v>3048</v>
      </c>
      <c r="L196" s="3" t="s">
        <v>20</v>
      </c>
      <c r="M196" s="3" t="s">
        <v>21</v>
      </c>
      <c r="N196" s="3" t="s">
        <v>20</v>
      </c>
      <c r="O196" s="3" t="s">
        <v>36</v>
      </c>
      <c r="P196" s="3" t="s">
        <v>36</v>
      </c>
      <c r="Q196" s="3"/>
      <c r="U196" s="1"/>
    </row>
    <row r="197" spans="1:21" ht="14.25" hidden="1" customHeight="1">
      <c r="A197" s="1">
        <v>409</v>
      </c>
      <c r="B197" s="5" t="s">
        <v>2111</v>
      </c>
      <c r="C197" s="5" t="s">
        <v>2112</v>
      </c>
      <c r="D197" s="5" t="s">
        <v>81</v>
      </c>
      <c r="E197" s="5">
        <v>117</v>
      </c>
      <c r="F197" s="5" t="s">
        <v>2113</v>
      </c>
      <c r="G197" s="5" t="s">
        <v>2114</v>
      </c>
      <c r="H197" s="5" t="s">
        <v>2115</v>
      </c>
      <c r="I197" s="5">
        <v>2013</v>
      </c>
      <c r="J197" s="5" t="s">
        <v>2116</v>
      </c>
      <c r="K197" s="3" t="s">
        <v>3048</v>
      </c>
      <c r="L197" s="5" t="s">
        <v>20</v>
      </c>
      <c r="M197" s="5" t="s">
        <v>21</v>
      </c>
      <c r="N197" s="5" t="s">
        <v>20</v>
      </c>
      <c r="O197" s="5" t="s">
        <v>36</v>
      </c>
      <c r="P197" s="5" t="s">
        <v>36</v>
      </c>
      <c r="Q197" s="5"/>
      <c r="U197" s="1"/>
    </row>
    <row r="198" spans="1:21" ht="14.25" customHeight="1">
      <c r="A198" s="1">
        <v>424</v>
      </c>
      <c r="B198" s="3" t="s">
        <v>2183</v>
      </c>
      <c r="C198" s="3" t="s">
        <v>2184</v>
      </c>
      <c r="D198" s="3" t="s">
        <v>452</v>
      </c>
      <c r="E198" s="3">
        <v>168</v>
      </c>
      <c r="F198" s="3" t="s">
        <v>27</v>
      </c>
      <c r="G198" s="3" t="s">
        <v>27</v>
      </c>
      <c r="H198" s="3" t="s">
        <v>2185</v>
      </c>
      <c r="I198" s="3">
        <v>2021</v>
      </c>
      <c r="J198" s="3" t="s">
        <v>2186</v>
      </c>
      <c r="K198" s="3" t="s">
        <v>3048</v>
      </c>
      <c r="L198" s="3" t="s">
        <v>22</v>
      </c>
      <c r="M198" s="3"/>
      <c r="N198" s="3" t="s">
        <v>22</v>
      </c>
      <c r="O198" s="3" t="s">
        <v>22</v>
      </c>
      <c r="P198" s="3" t="s">
        <v>23</v>
      </c>
      <c r="Q198" s="3"/>
      <c r="R198" s="12" t="s">
        <v>20</v>
      </c>
      <c r="S198" s="1" t="s">
        <v>3007</v>
      </c>
      <c r="T198" s="1" t="s">
        <v>3189</v>
      </c>
      <c r="U198" s="31" t="s">
        <v>2946</v>
      </c>
    </row>
    <row r="199" spans="1:21" ht="14.25" hidden="1" customHeight="1">
      <c r="A199" s="1">
        <v>22</v>
      </c>
      <c r="B199" s="3" t="s">
        <v>140</v>
      </c>
      <c r="C199" s="3" t="s">
        <v>141</v>
      </c>
      <c r="D199" s="3" t="s">
        <v>142</v>
      </c>
      <c r="E199" s="3">
        <v>59</v>
      </c>
      <c r="F199" s="3" t="s">
        <v>143</v>
      </c>
      <c r="G199" s="3" t="s">
        <v>144</v>
      </c>
      <c r="H199" s="3" t="s">
        <v>27</v>
      </c>
      <c r="I199" s="3">
        <v>2007</v>
      </c>
      <c r="J199" s="3" t="s">
        <v>145</v>
      </c>
      <c r="K199" s="3" t="s">
        <v>3048</v>
      </c>
      <c r="L199" s="3" t="s">
        <v>20</v>
      </c>
      <c r="M199" s="3" t="s">
        <v>21</v>
      </c>
      <c r="N199" s="3" t="s">
        <v>20</v>
      </c>
      <c r="O199" s="3" t="s">
        <v>36</v>
      </c>
      <c r="P199" s="3" t="s">
        <v>36</v>
      </c>
      <c r="Q199" s="3"/>
      <c r="U199" s="1"/>
    </row>
    <row r="200" spans="1:21" ht="14.25" hidden="1" customHeight="1">
      <c r="A200" s="1">
        <v>309</v>
      </c>
      <c r="B200" s="5" t="s">
        <v>1660</v>
      </c>
      <c r="C200" s="5" t="s">
        <v>1661</v>
      </c>
      <c r="D200" s="5" t="s">
        <v>1121</v>
      </c>
      <c r="E200" s="5">
        <v>111</v>
      </c>
      <c r="F200" s="5" t="s">
        <v>1662</v>
      </c>
      <c r="G200" s="5" t="s">
        <v>1663</v>
      </c>
      <c r="H200" s="5" t="s">
        <v>1664</v>
      </c>
      <c r="I200" s="5">
        <v>2007</v>
      </c>
      <c r="J200" s="5" t="s">
        <v>1665</v>
      </c>
      <c r="K200" s="3" t="s">
        <v>3048</v>
      </c>
      <c r="L200" s="5" t="s">
        <v>20</v>
      </c>
      <c r="M200" s="5" t="s">
        <v>21</v>
      </c>
      <c r="N200" s="5" t="s">
        <v>20</v>
      </c>
      <c r="O200" s="5" t="s">
        <v>36</v>
      </c>
      <c r="P200" s="5" t="s">
        <v>36</v>
      </c>
      <c r="Q200" s="5"/>
      <c r="U200" s="1"/>
    </row>
    <row r="201" spans="1:21" ht="14.25" customHeight="1">
      <c r="A201" s="1">
        <v>469</v>
      </c>
      <c r="B201" s="5" t="s">
        <v>2392</v>
      </c>
      <c r="C201" s="5" t="s">
        <v>2393</v>
      </c>
      <c r="D201" s="5" t="s">
        <v>308</v>
      </c>
      <c r="E201" s="5">
        <v>55</v>
      </c>
      <c r="F201" s="5" t="s">
        <v>2394</v>
      </c>
      <c r="G201" s="5" t="s">
        <v>1587</v>
      </c>
      <c r="H201" s="5" t="s">
        <v>2395</v>
      </c>
      <c r="I201" s="5">
        <v>2012</v>
      </c>
      <c r="J201" s="5" t="s">
        <v>2396</v>
      </c>
      <c r="K201" s="3" t="s">
        <v>3048</v>
      </c>
      <c r="L201" s="5" t="s">
        <v>22</v>
      </c>
      <c r="M201" s="5"/>
      <c r="N201" s="5" t="s">
        <v>22</v>
      </c>
      <c r="O201" s="5" t="s">
        <v>22</v>
      </c>
      <c r="P201" s="5" t="s">
        <v>23</v>
      </c>
      <c r="Q201" s="5"/>
      <c r="R201" s="21" t="s">
        <v>20</v>
      </c>
      <c r="S201" s="1" t="s">
        <v>2975</v>
      </c>
      <c r="T201" s="1" t="s">
        <v>2973</v>
      </c>
      <c r="U201" s="31" t="s">
        <v>3025</v>
      </c>
    </row>
    <row r="202" spans="1:21" ht="14.25" hidden="1" customHeight="1">
      <c r="A202" s="1">
        <v>501</v>
      </c>
      <c r="B202" s="5" t="s">
        <v>2543</v>
      </c>
      <c r="C202" s="5" t="s">
        <v>2544</v>
      </c>
      <c r="D202" s="5" t="s">
        <v>1756</v>
      </c>
      <c r="E202" s="5">
        <v>18</v>
      </c>
      <c r="F202" s="5" t="s">
        <v>661</v>
      </c>
      <c r="G202" s="5" t="s">
        <v>1123</v>
      </c>
      <c r="H202" s="5" t="s">
        <v>27</v>
      </c>
      <c r="I202" s="5">
        <v>2009</v>
      </c>
      <c r="J202" s="5" t="s">
        <v>2545</v>
      </c>
      <c r="K202" s="3" t="s">
        <v>3048</v>
      </c>
      <c r="L202" s="5" t="s">
        <v>20</v>
      </c>
      <c r="M202" s="5" t="s">
        <v>21</v>
      </c>
      <c r="N202" s="5" t="s">
        <v>20</v>
      </c>
      <c r="O202" s="5" t="s">
        <v>36</v>
      </c>
      <c r="P202" s="5" t="s">
        <v>36</v>
      </c>
      <c r="Q202" s="5"/>
      <c r="U202" s="1"/>
    </row>
    <row r="203" spans="1:21" ht="14.25" customHeight="1">
      <c r="A203" s="1">
        <v>127</v>
      </c>
      <c r="B203" s="5" t="s">
        <v>744</v>
      </c>
      <c r="C203" s="5" t="s">
        <v>745</v>
      </c>
      <c r="D203" s="5" t="s">
        <v>53</v>
      </c>
      <c r="E203" s="5">
        <v>4</v>
      </c>
      <c r="F203" s="5" t="s">
        <v>746</v>
      </c>
      <c r="G203" s="5" t="s">
        <v>747</v>
      </c>
      <c r="H203" s="5" t="s">
        <v>748</v>
      </c>
      <c r="I203" s="5">
        <v>2011</v>
      </c>
      <c r="J203" s="5" t="s">
        <v>749</v>
      </c>
      <c r="K203" s="3" t="s">
        <v>3048</v>
      </c>
      <c r="L203" s="5" t="s">
        <v>22</v>
      </c>
      <c r="M203" s="5"/>
      <c r="N203" s="5" t="s">
        <v>22</v>
      </c>
      <c r="O203" s="5" t="s">
        <v>22</v>
      </c>
      <c r="P203" s="5" t="s">
        <v>23</v>
      </c>
      <c r="Q203" s="5"/>
      <c r="R203" s="12" t="s">
        <v>20</v>
      </c>
      <c r="S203" s="1" t="s">
        <v>3030</v>
      </c>
      <c r="T203" s="1" t="s">
        <v>3095</v>
      </c>
      <c r="U203" s="31" t="s">
        <v>2910</v>
      </c>
    </row>
    <row r="204" spans="1:21" ht="14.25" hidden="1" customHeight="1">
      <c r="A204" s="1">
        <v>369</v>
      </c>
      <c r="B204" s="5" t="s">
        <v>1937</v>
      </c>
      <c r="C204" s="5" t="s">
        <v>1938</v>
      </c>
      <c r="D204" s="5" t="s">
        <v>452</v>
      </c>
      <c r="E204" s="5">
        <v>62</v>
      </c>
      <c r="F204" s="5" t="s">
        <v>167</v>
      </c>
      <c r="G204" s="5" t="s">
        <v>1298</v>
      </c>
      <c r="H204" s="5" t="s">
        <v>1939</v>
      </c>
      <c r="I204" s="5">
        <v>2012</v>
      </c>
      <c r="J204" s="5" t="s">
        <v>1940</v>
      </c>
      <c r="K204" s="3" t="s">
        <v>3048</v>
      </c>
      <c r="L204" s="5" t="s">
        <v>20</v>
      </c>
      <c r="M204" s="5" t="s">
        <v>21</v>
      </c>
      <c r="N204" s="5" t="s">
        <v>20</v>
      </c>
      <c r="O204" s="5" t="s">
        <v>36</v>
      </c>
      <c r="P204" s="5" t="s">
        <v>36</v>
      </c>
      <c r="Q204" s="5"/>
      <c r="U204" s="1"/>
    </row>
    <row r="205" spans="1:21" ht="14.25" customHeight="1">
      <c r="A205" s="1">
        <v>224</v>
      </c>
      <c r="B205" s="3" t="s">
        <v>1254</v>
      </c>
      <c r="C205" s="3" t="s">
        <v>1255</v>
      </c>
      <c r="D205" s="3" t="s">
        <v>27</v>
      </c>
      <c r="E205" s="3"/>
      <c r="F205" s="3" t="s">
        <v>27</v>
      </c>
      <c r="G205" s="3" t="s">
        <v>27</v>
      </c>
      <c r="H205" s="3" t="s">
        <v>27</v>
      </c>
      <c r="I205" s="3">
        <v>2016</v>
      </c>
      <c r="J205" s="3" t="s">
        <v>27</v>
      </c>
      <c r="K205" s="3" t="s">
        <v>3048</v>
      </c>
      <c r="L205" s="3" t="s">
        <v>22</v>
      </c>
      <c r="M205" s="3" t="s">
        <v>1256</v>
      </c>
      <c r="N205" s="3" t="s">
        <v>20</v>
      </c>
      <c r="O205" s="3" t="s">
        <v>36</v>
      </c>
      <c r="P205" s="3" t="s">
        <v>1256</v>
      </c>
      <c r="Q205" s="3" t="s">
        <v>1224</v>
      </c>
      <c r="U205" s="1"/>
    </row>
    <row r="206" spans="1:21" ht="14.25" customHeight="1">
      <c r="A206" s="1">
        <v>76</v>
      </c>
      <c r="B206" s="3" t="s">
        <v>463</v>
      </c>
      <c r="C206" s="3" t="s">
        <v>464</v>
      </c>
      <c r="D206" s="3" t="s">
        <v>465</v>
      </c>
      <c r="E206" s="3">
        <v>10</v>
      </c>
      <c r="F206" s="3" t="s">
        <v>466</v>
      </c>
      <c r="G206" s="3" t="s">
        <v>467</v>
      </c>
      <c r="H206" s="3" t="s">
        <v>468</v>
      </c>
      <c r="I206" s="3">
        <v>2016</v>
      </c>
      <c r="J206" s="3" t="s">
        <v>469</v>
      </c>
      <c r="K206" s="3" t="s">
        <v>3048</v>
      </c>
      <c r="L206" s="3" t="s">
        <v>22</v>
      </c>
      <c r="M206" s="3"/>
      <c r="N206" s="3" t="s">
        <v>22</v>
      </c>
      <c r="O206" s="3" t="s">
        <v>22</v>
      </c>
      <c r="P206" s="3" t="s">
        <v>23</v>
      </c>
      <c r="Q206" s="3"/>
      <c r="R206" s="12" t="s">
        <v>22</v>
      </c>
      <c r="U206" s="31" t="s">
        <v>3025</v>
      </c>
    </row>
    <row r="207" spans="1:21" ht="14.25" hidden="1" customHeight="1">
      <c r="A207" s="1">
        <v>117</v>
      </c>
      <c r="B207" s="5" t="s">
        <v>688</v>
      </c>
      <c r="C207" s="5" t="s">
        <v>689</v>
      </c>
      <c r="D207" s="5" t="s">
        <v>64</v>
      </c>
      <c r="E207" s="5">
        <v>205</v>
      </c>
      <c r="F207" s="5" t="s">
        <v>690</v>
      </c>
      <c r="G207" s="5" t="s">
        <v>691</v>
      </c>
      <c r="H207" s="5" t="s">
        <v>692</v>
      </c>
      <c r="I207" s="5">
        <v>2015</v>
      </c>
      <c r="J207" s="5" t="s">
        <v>693</v>
      </c>
      <c r="K207" s="3" t="s">
        <v>3048</v>
      </c>
      <c r="L207" s="5" t="s">
        <v>20</v>
      </c>
      <c r="M207" s="5" t="s">
        <v>21</v>
      </c>
      <c r="N207" s="5" t="s">
        <v>20</v>
      </c>
      <c r="O207" s="5" t="s">
        <v>36</v>
      </c>
      <c r="P207" s="5" t="s">
        <v>36</v>
      </c>
      <c r="Q207" s="5"/>
      <c r="U207" s="1"/>
    </row>
    <row r="208" spans="1:21" ht="14.25" hidden="1" customHeight="1">
      <c r="A208" s="1">
        <v>430</v>
      </c>
      <c r="B208" s="3" t="s">
        <v>2209</v>
      </c>
      <c r="C208" s="3" t="s">
        <v>2210</v>
      </c>
      <c r="D208" s="3" t="s">
        <v>180</v>
      </c>
      <c r="E208" s="3">
        <v>12</v>
      </c>
      <c r="F208" s="3" t="s">
        <v>27</v>
      </c>
      <c r="G208" s="3" t="s">
        <v>27</v>
      </c>
      <c r="H208" s="3" t="s">
        <v>2211</v>
      </c>
      <c r="I208" s="3">
        <v>2021</v>
      </c>
      <c r="J208" s="3" t="s">
        <v>2212</v>
      </c>
      <c r="K208" s="3" t="s">
        <v>3048</v>
      </c>
      <c r="L208" s="3" t="s">
        <v>20</v>
      </c>
      <c r="M208" s="3" t="s">
        <v>21</v>
      </c>
      <c r="N208" s="3" t="s">
        <v>20</v>
      </c>
      <c r="O208" s="3" t="s">
        <v>36</v>
      </c>
      <c r="P208" s="3" t="s">
        <v>36</v>
      </c>
      <c r="Q208" s="3"/>
      <c r="U208" s="1"/>
    </row>
    <row r="209" spans="1:21" ht="14.25" hidden="1" customHeight="1">
      <c r="A209" s="1">
        <v>516</v>
      </c>
      <c r="B209" s="3" t="s">
        <v>2610</v>
      </c>
      <c r="C209" s="3" t="s">
        <v>2611</v>
      </c>
      <c r="D209" s="3" t="s">
        <v>2612</v>
      </c>
      <c r="E209" s="3">
        <v>23</v>
      </c>
      <c r="F209" s="3" t="s">
        <v>2613</v>
      </c>
      <c r="G209" s="3" t="s">
        <v>2614</v>
      </c>
      <c r="H209" s="3" t="s">
        <v>2615</v>
      </c>
      <c r="I209" s="3">
        <v>2023</v>
      </c>
      <c r="J209" s="3" t="s">
        <v>2616</v>
      </c>
      <c r="K209" s="3" t="s">
        <v>3048</v>
      </c>
      <c r="L209" s="3" t="s">
        <v>20</v>
      </c>
      <c r="M209" s="3" t="s">
        <v>21</v>
      </c>
      <c r="N209" s="3" t="s">
        <v>20</v>
      </c>
      <c r="O209" s="3" t="s">
        <v>36</v>
      </c>
      <c r="P209" s="3" t="s">
        <v>36</v>
      </c>
      <c r="Q209" s="3"/>
      <c r="U209" s="1"/>
    </row>
    <row r="210" spans="1:21" ht="14.25" hidden="1" customHeight="1">
      <c r="A210" s="1">
        <v>558</v>
      </c>
      <c r="B210" s="3" t="s">
        <v>2785</v>
      </c>
      <c r="C210" s="3" t="s">
        <v>2786</v>
      </c>
      <c r="D210" s="3" t="s">
        <v>64</v>
      </c>
      <c r="E210" s="3">
        <v>230</v>
      </c>
      <c r="F210" s="3" t="s">
        <v>2787</v>
      </c>
      <c r="G210" s="3" t="s">
        <v>1839</v>
      </c>
      <c r="H210" s="3" t="s">
        <v>2788</v>
      </c>
      <c r="I210" s="3">
        <v>2021</v>
      </c>
      <c r="J210" s="3" t="s">
        <v>2789</v>
      </c>
      <c r="K210" s="3" t="s">
        <v>3048</v>
      </c>
      <c r="L210" s="3" t="s">
        <v>20</v>
      </c>
      <c r="M210" s="3" t="s">
        <v>21</v>
      </c>
      <c r="N210" s="3" t="s">
        <v>20</v>
      </c>
      <c r="O210" s="3" t="s">
        <v>36</v>
      </c>
      <c r="P210" s="3" t="s">
        <v>36</v>
      </c>
      <c r="Q210" s="3"/>
      <c r="U210" s="1"/>
    </row>
    <row r="211" spans="1:21" ht="14.25" hidden="1" customHeight="1">
      <c r="A211" s="1">
        <v>482</v>
      </c>
      <c r="B211" s="3" t="s">
        <v>2454</v>
      </c>
      <c r="C211" s="3" t="s">
        <v>1741</v>
      </c>
      <c r="D211" s="3" t="s">
        <v>2455</v>
      </c>
      <c r="E211" s="3">
        <v>28</v>
      </c>
      <c r="F211" s="3" t="s">
        <v>1742</v>
      </c>
      <c r="G211" s="3" t="s">
        <v>1743</v>
      </c>
      <c r="H211" s="3" t="s">
        <v>2456</v>
      </c>
      <c r="I211" s="3">
        <v>1998</v>
      </c>
      <c r="J211" s="3" t="s">
        <v>2457</v>
      </c>
      <c r="K211" s="3" t="s">
        <v>3048</v>
      </c>
      <c r="L211" s="3" t="s">
        <v>20</v>
      </c>
      <c r="M211" s="3" t="s">
        <v>21</v>
      </c>
      <c r="N211" s="3" t="s">
        <v>20</v>
      </c>
      <c r="O211" s="3" t="s">
        <v>36</v>
      </c>
      <c r="P211" s="3" t="s">
        <v>36</v>
      </c>
      <c r="Q211" s="3"/>
      <c r="U211" s="1"/>
    </row>
    <row r="212" spans="1:21" ht="14.25" hidden="1" customHeight="1">
      <c r="A212" s="1">
        <v>318</v>
      </c>
      <c r="B212" s="3" t="s">
        <v>1698</v>
      </c>
      <c r="C212" s="3" t="s">
        <v>1699</v>
      </c>
      <c r="D212" s="3" t="s">
        <v>1700</v>
      </c>
      <c r="E212" s="3">
        <v>72</v>
      </c>
      <c r="F212" s="3" t="s">
        <v>297</v>
      </c>
      <c r="G212" s="3" t="s">
        <v>701</v>
      </c>
      <c r="H212" s="3" t="s">
        <v>27</v>
      </c>
      <c r="I212" s="3">
        <v>1998</v>
      </c>
      <c r="J212" s="3" t="s">
        <v>27</v>
      </c>
      <c r="K212" s="3" t="s">
        <v>3048</v>
      </c>
      <c r="L212" s="3" t="s">
        <v>20</v>
      </c>
      <c r="M212" s="3" t="s">
        <v>21</v>
      </c>
      <c r="N212" s="3" t="s">
        <v>20</v>
      </c>
      <c r="O212" s="3" t="s">
        <v>36</v>
      </c>
      <c r="P212" s="3" t="s">
        <v>36</v>
      </c>
      <c r="Q212" s="3"/>
      <c r="U212" s="1"/>
    </row>
    <row r="213" spans="1:21" ht="14.25" hidden="1" customHeight="1">
      <c r="A213" s="1">
        <v>329</v>
      </c>
      <c r="B213" s="5" t="s">
        <v>1698</v>
      </c>
      <c r="C213" s="5" t="s">
        <v>1741</v>
      </c>
      <c r="D213" s="5" t="s">
        <v>256</v>
      </c>
      <c r="E213" s="5">
        <v>28</v>
      </c>
      <c r="F213" s="5" t="s">
        <v>1742</v>
      </c>
      <c r="G213" s="5" t="s">
        <v>1743</v>
      </c>
      <c r="H213" s="5" t="s">
        <v>1744</v>
      </c>
      <c r="I213" s="5">
        <v>1998</v>
      </c>
      <c r="J213" s="5" t="s">
        <v>1745</v>
      </c>
      <c r="K213" s="3" t="s">
        <v>3048</v>
      </c>
      <c r="L213" s="5" t="s">
        <v>20</v>
      </c>
      <c r="M213" s="5" t="s">
        <v>21</v>
      </c>
      <c r="N213" s="5" t="s">
        <v>20</v>
      </c>
      <c r="O213" s="5" t="s">
        <v>36</v>
      </c>
      <c r="P213" s="5" t="s">
        <v>36</v>
      </c>
      <c r="Q213" s="5"/>
      <c r="U213" s="1"/>
    </row>
    <row r="214" spans="1:21" ht="14.25" customHeight="1">
      <c r="A214" s="1">
        <v>359</v>
      </c>
      <c r="B214" s="5" t="s">
        <v>1888</v>
      </c>
      <c r="C214" s="5" t="s">
        <v>1889</v>
      </c>
      <c r="D214" s="5" t="s">
        <v>1890</v>
      </c>
      <c r="E214" s="5">
        <v>80</v>
      </c>
      <c r="F214" s="5" t="s">
        <v>1891</v>
      </c>
      <c r="G214" s="5" t="s">
        <v>1581</v>
      </c>
      <c r="H214" s="5" t="s">
        <v>1892</v>
      </c>
      <c r="I214" s="5">
        <v>2016</v>
      </c>
      <c r="J214" s="5" t="s">
        <v>1893</v>
      </c>
      <c r="K214" s="3" t="s">
        <v>3048</v>
      </c>
      <c r="L214" s="5" t="s">
        <v>22</v>
      </c>
      <c r="M214" s="5"/>
      <c r="N214" s="5" t="s">
        <v>22</v>
      </c>
      <c r="O214" s="5" t="s">
        <v>22</v>
      </c>
      <c r="P214" s="5" t="s">
        <v>23</v>
      </c>
      <c r="Q214" s="5"/>
      <c r="R214" s="12" t="s">
        <v>20</v>
      </c>
      <c r="S214" s="1" t="s">
        <v>2975</v>
      </c>
      <c r="T214" s="1" t="s">
        <v>3280</v>
      </c>
      <c r="U214" s="31" t="s">
        <v>3025</v>
      </c>
    </row>
    <row r="215" spans="1:21" ht="14.25" customHeight="1">
      <c r="A215" s="1">
        <v>562</v>
      </c>
      <c r="B215" s="3" t="s">
        <v>2809</v>
      </c>
      <c r="C215" s="3" t="s">
        <v>2810</v>
      </c>
      <c r="D215" s="3" t="s">
        <v>185</v>
      </c>
      <c r="E215" s="3">
        <v>32</v>
      </c>
      <c r="F215" s="3" t="s">
        <v>2811</v>
      </c>
      <c r="G215" s="3" t="s">
        <v>2812</v>
      </c>
      <c r="H215" s="3" t="s">
        <v>2813</v>
      </c>
      <c r="I215" s="3">
        <v>2023</v>
      </c>
      <c r="J215" s="3" t="s">
        <v>2814</v>
      </c>
      <c r="K215" s="3" t="s">
        <v>3048</v>
      </c>
      <c r="L215" s="3" t="s">
        <v>22</v>
      </c>
      <c r="M215" s="3"/>
      <c r="N215" s="3" t="s">
        <v>22</v>
      </c>
      <c r="O215" s="3" t="s">
        <v>22</v>
      </c>
      <c r="P215" s="3" t="s">
        <v>23</v>
      </c>
      <c r="Q215" s="3"/>
      <c r="R215" s="22" t="s">
        <v>22</v>
      </c>
      <c r="U215" s="31" t="s">
        <v>2910</v>
      </c>
    </row>
    <row r="216" spans="1:21" ht="14.25" customHeight="1">
      <c r="A216" s="1">
        <v>524</v>
      </c>
      <c r="B216" s="3" t="s">
        <v>2645</v>
      </c>
      <c r="C216" s="3" t="s">
        <v>2646</v>
      </c>
      <c r="D216" s="3" t="s">
        <v>2647</v>
      </c>
      <c r="E216" s="3">
        <v>7</v>
      </c>
      <c r="F216" s="3" t="s">
        <v>2648</v>
      </c>
      <c r="G216" s="3" t="s">
        <v>2649</v>
      </c>
      <c r="H216" s="3" t="s">
        <v>27</v>
      </c>
      <c r="I216" s="3">
        <v>2015</v>
      </c>
      <c r="J216" s="3" t="s">
        <v>2650</v>
      </c>
      <c r="K216" s="3" t="s">
        <v>3048</v>
      </c>
      <c r="L216" s="3" t="s">
        <v>22</v>
      </c>
      <c r="M216" s="3"/>
      <c r="N216" s="3" t="s">
        <v>22</v>
      </c>
      <c r="O216" s="3" t="s">
        <v>22</v>
      </c>
      <c r="P216" s="3" t="s">
        <v>23</v>
      </c>
      <c r="Q216" s="3"/>
      <c r="R216" s="22" t="s">
        <v>20</v>
      </c>
      <c r="S216" s="1" t="s">
        <v>2975</v>
      </c>
      <c r="T216" s="1" t="s">
        <v>2954</v>
      </c>
      <c r="U216" s="31" t="s">
        <v>3290</v>
      </c>
    </row>
    <row r="217" spans="1:21" ht="14.25" hidden="1" customHeight="1">
      <c r="A217" s="1">
        <v>423</v>
      </c>
      <c r="B217" s="5" t="s">
        <v>2177</v>
      </c>
      <c r="C217" s="5" t="s">
        <v>2178</v>
      </c>
      <c r="D217" s="5" t="s">
        <v>166</v>
      </c>
      <c r="E217" s="5">
        <v>32</v>
      </c>
      <c r="F217" s="5" t="s">
        <v>2179</v>
      </c>
      <c r="G217" s="5" t="s">
        <v>2180</v>
      </c>
      <c r="H217" s="5" t="s">
        <v>2181</v>
      </c>
      <c r="I217" s="5">
        <v>2000</v>
      </c>
      <c r="J217" s="5" t="s">
        <v>2182</v>
      </c>
      <c r="K217" s="3" t="s">
        <v>3048</v>
      </c>
      <c r="L217" s="5" t="s">
        <v>20</v>
      </c>
      <c r="M217" s="5" t="s">
        <v>21</v>
      </c>
      <c r="N217" s="5" t="s">
        <v>20</v>
      </c>
      <c r="O217" s="5" t="s">
        <v>36</v>
      </c>
      <c r="P217" s="5" t="s">
        <v>36</v>
      </c>
      <c r="Q217" s="5"/>
      <c r="U217" s="1"/>
    </row>
    <row r="218" spans="1:21" ht="14.25" customHeight="1">
      <c r="A218" s="1">
        <v>190</v>
      </c>
      <c r="B218" s="3" t="s">
        <v>1083</v>
      </c>
      <c r="C218" s="3" t="s">
        <v>1084</v>
      </c>
      <c r="D218" s="3" t="s">
        <v>934</v>
      </c>
      <c r="E218" s="3">
        <v>88</v>
      </c>
      <c r="F218" s="3" t="s">
        <v>1085</v>
      </c>
      <c r="G218" s="3" t="s">
        <v>1086</v>
      </c>
      <c r="H218" s="3" t="s">
        <v>1087</v>
      </c>
      <c r="I218" s="3">
        <v>2000</v>
      </c>
      <c r="J218" s="3" t="s">
        <v>1088</v>
      </c>
      <c r="K218" s="3" t="s">
        <v>3048</v>
      </c>
      <c r="L218" s="3" t="s">
        <v>22</v>
      </c>
      <c r="M218" s="3"/>
      <c r="N218" s="3" t="s">
        <v>22</v>
      </c>
      <c r="O218" s="3" t="s">
        <v>22</v>
      </c>
      <c r="P218" s="3" t="s">
        <v>23</v>
      </c>
      <c r="Q218" s="3"/>
      <c r="R218" s="12" t="s">
        <v>20</v>
      </c>
      <c r="S218" s="1" t="s">
        <v>2975</v>
      </c>
      <c r="T218" s="1" t="s">
        <v>3140</v>
      </c>
      <c r="U218" s="31" t="s">
        <v>3025</v>
      </c>
    </row>
    <row r="219" spans="1:21" ht="14.25" hidden="1" customHeight="1">
      <c r="A219" s="1">
        <v>418</v>
      </c>
      <c r="B219" s="3" t="s">
        <v>2153</v>
      </c>
      <c r="C219" s="3" t="s">
        <v>2154</v>
      </c>
      <c r="D219" s="3" t="s">
        <v>1831</v>
      </c>
      <c r="E219" s="3">
        <v>30</v>
      </c>
      <c r="F219" s="3" t="s">
        <v>27</v>
      </c>
      <c r="G219" s="3" t="s">
        <v>27</v>
      </c>
      <c r="H219" s="3" t="s">
        <v>2155</v>
      </c>
      <c r="I219" s="3">
        <v>2024</v>
      </c>
      <c r="J219" s="3" t="s">
        <v>2156</v>
      </c>
      <c r="K219" s="3" t="s">
        <v>3048</v>
      </c>
      <c r="L219" s="3" t="s">
        <v>20</v>
      </c>
      <c r="M219" s="3" t="s">
        <v>21</v>
      </c>
      <c r="N219" s="3" t="s">
        <v>20</v>
      </c>
      <c r="O219" s="3" t="s">
        <v>36</v>
      </c>
      <c r="P219" s="3" t="s">
        <v>36</v>
      </c>
      <c r="Q219" s="3"/>
      <c r="U219" s="1"/>
    </row>
    <row r="220" spans="1:21" ht="14.25" hidden="1" customHeight="1">
      <c r="A220" s="1">
        <v>307</v>
      </c>
      <c r="B220" s="5" t="s">
        <v>1650</v>
      </c>
      <c r="C220" s="5" t="s">
        <v>1651</v>
      </c>
      <c r="D220" s="5" t="s">
        <v>64</v>
      </c>
      <c r="E220" s="5">
        <v>214</v>
      </c>
      <c r="F220" s="5" t="s">
        <v>893</v>
      </c>
      <c r="G220" s="5" t="s">
        <v>1652</v>
      </c>
      <c r="H220" s="5" t="s">
        <v>1653</v>
      </c>
      <c r="I220" s="5">
        <v>2017</v>
      </c>
      <c r="J220" s="5" t="s">
        <v>1654</v>
      </c>
      <c r="K220" s="3" t="s">
        <v>3048</v>
      </c>
      <c r="L220" s="5" t="s">
        <v>20</v>
      </c>
      <c r="M220" s="5" t="s">
        <v>21</v>
      </c>
      <c r="N220" s="5" t="s">
        <v>20</v>
      </c>
      <c r="O220" s="5" t="s">
        <v>36</v>
      </c>
      <c r="P220" s="5" t="s">
        <v>36</v>
      </c>
      <c r="Q220" s="5"/>
      <c r="U220" s="1"/>
    </row>
    <row r="221" spans="1:21" ht="14.25" hidden="1" customHeight="1">
      <c r="A221" s="1">
        <v>162</v>
      </c>
      <c r="B221" s="3" t="s">
        <v>932</v>
      </c>
      <c r="C221" s="3" t="s">
        <v>933</v>
      </c>
      <c r="D221" s="3" t="s">
        <v>934</v>
      </c>
      <c r="E221" s="3">
        <v>106</v>
      </c>
      <c r="F221" s="3" t="s">
        <v>935</v>
      </c>
      <c r="G221" s="3" t="s">
        <v>936</v>
      </c>
      <c r="H221" s="3" t="s">
        <v>937</v>
      </c>
      <c r="I221" s="3">
        <v>2018</v>
      </c>
      <c r="J221" s="3" t="s">
        <v>938</v>
      </c>
      <c r="K221" s="3" t="s">
        <v>3048</v>
      </c>
      <c r="L221" s="3" t="s">
        <v>20</v>
      </c>
      <c r="M221" s="3" t="s">
        <v>21</v>
      </c>
      <c r="N221" s="3" t="s">
        <v>20</v>
      </c>
      <c r="O221" s="3" t="s">
        <v>36</v>
      </c>
      <c r="P221" s="3" t="s">
        <v>36</v>
      </c>
      <c r="Q221" s="3"/>
      <c r="U221" s="1"/>
    </row>
    <row r="222" spans="1:21" ht="14.1" customHeight="1">
      <c r="A222" s="1">
        <v>174</v>
      </c>
      <c r="B222" s="3" t="s">
        <v>992</v>
      </c>
      <c r="C222" s="3" t="s">
        <v>993</v>
      </c>
      <c r="D222" s="3" t="s">
        <v>102</v>
      </c>
      <c r="E222" s="3">
        <v>422</v>
      </c>
      <c r="F222" s="3" t="s">
        <v>994</v>
      </c>
      <c r="G222" s="3" t="s">
        <v>995</v>
      </c>
      <c r="H222" s="3" t="s">
        <v>996</v>
      </c>
      <c r="I222" s="3">
        <v>2018</v>
      </c>
      <c r="J222" s="3" t="s">
        <v>997</v>
      </c>
      <c r="K222" s="3" t="s">
        <v>3048</v>
      </c>
      <c r="L222" s="3" t="s">
        <v>22</v>
      </c>
      <c r="M222" s="3"/>
      <c r="N222" s="3" t="s">
        <v>22</v>
      </c>
      <c r="O222" s="3" t="s">
        <v>22</v>
      </c>
      <c r="P222" s="3" t="s">
        <v>23</v>
      </c>
      <c r="Q222" s="3"/>
      <c r="R222" s="12" t="s">
        <v>22</v>
      </c>
      <c r="U222" s="31" t="s">
        <v>3025</v>
      </c>
    </row>
    <row r="223" spans="1:21" ht="14.25" customHeight="1">
      <c r="A223" s="1">
        <v>203</v>
      </c>
      <c r="B223" s="5" t="s">
        <v>1141</v>
      </c>
      <c r="C223" s="5" t="s">
        <v>1142</v>
      </c>
      <c r="D223" s="5" t="s">
        <v>193</v>
      </c>
      <c r="E223" s="5">
        <v>42</v>
      </c>
      <c r="F223" s="5" t="s">
        <v>1143</v>
      </c>
      <c r="G223" s="5" t="s">
        <v>1144</v>
      </c>
      <c r="H223" s="5" t="s">
        <v>1145</v>
      </c>
      <c r="I223" s="5">
        <v>2005</v>
      </c>
      <c r="J223" s="5" t="s">
        <v>1146</v>
      </c>
      <c r="K223" s="3" t="s">
        <v>3048</v>
      </c>
      <c r="L223" s="5" t="s">
        <v>22</v>
      </c>
      <c r="M223" s="5"/>
      <c r="N223" s="5" t="s">
        <v>22</v>
      </c>
      <c r="O223" s="5" t="s">
        <v>22</v>
      </c>
      <c r="P223" s="5" t="s">
        <v>23</v>
      </c>
      <c r="Q223" s="5"/>
      <c r="R223" s="12" t="s">
        <v>20</v>
      </c>
      <c r="T223" s="1" t="s">
        <v>3209</v>
      </c>
      <c r="U223" s="31" t="s">
        <v>3025</v>
      </c>
    </row>
    <row r="224" spans="1:21" ht="14.25" customHeight="1">
      <c r="A224" s="1">
        <v>508</v>
      </c>
      <c r="B224" s="3" t="s">
        <v>2575</v>
      </c>
      <c r="C224" s="3" t="s">
        <v>2576</v>
      </c>
      <c r="D224" s="3" t="s">
        <v>2577</v>
      </c>
      <c r="E224" s="3"/>
      <c r="F224" s="3" t="s">
        <v>2578</v>
      </c>
      <c r="G224" s="3" t="s">
        <v>2578</v>
      </c>
      <c r="H224" s="3" t="s">
        <v>27</v>
      </c>
      <c r="I224" s="3">
        <v>1986</v>
      </c>
      <c r="J224" s="3" t="s">
        <v>2579</v>
      </c>
      <c r="K224" s="3" t="s">
        <v>3048</v>
      </c>
      <c r="L224" s="3" t="s">
        <v>22</v>
      </c>
      <c r="M224" s="3"/>
      <c r="N224" s="3" t="s">
        <v>22</v>
      </c>
      <c r="O224" s="3" t="s">
        <v>22</v>
      </c>
      <c r="P224" s="3" t="s">
        <v>23</v>
      </c>
      <c r="Q224" s="3"/>
      <c r="R224" s="22" t="s">
        <v>20</v>
      </c>
      <c r="S224" s="1" t="s">
        <v>2976</v>
      </c>
      <c r="T224" s="1" t="s">
        <v>2958</v>
      </c>
      <c r="U224" s="31" t="s">
        <v>3025</v>
      </c>
    </row>
    <row r="225" spans="1:21" ht="14.25" hidden="1" customHeight="1">
      <c r="A225" s="1">
        <v>484</v>
      </c>
      <c r="B225" s="3" t="s">
        <v>2460</v>
      </c>
      <c r="C225" s="3" t="s">
        <v>2461</v>
      </c>
      <c r="D225" s="3" t="s">
        <v>2462</v>
      </c>
      <c r="E225" s="3"/>
      <c r="F225" s="3" t="s">
        <v>2463</v>
      </c>
      <c r="G225" s="3" t="s">
        <v>2463</v>
      </c>
      <c r="H225" s="3" t="s">
        <v>27</v>
      </c>
      <c r="I225" s="3"/>
      <c r="J225" s="3" t="s">
        <v>2464</v>
      </c>
      <c r="K225" s="3" t="s">
        <v>3048</v>
      </c>
      <c r="L225" s="3" t="s">
        <v>20</v>
      </c>
      <c r="M225" s="3" t="s">
        <v>21</v>
      </c>
      <c r="N225" s="3" t="s">
        <v>20</v>
      </c>
      <c r="O225" s="3" t="s">
        <v>36</v>
      </c>
      <c r="P225" s="3" t="s">
        <v>36</v>
      </c>
      <c r="Q225" s="3"/>
      <c r="U225" s="1"/>
    </row>
    <row r="226" spans="1:21" ht="14.25" hidden="1" customHeight="1">
      <c r="A226" s="1">
        <v>487</v>
      </c>
      <c r="B226" s="5" t="s">
        <v>2460</v>
      </c>
      <c r="C226" s="5" t="s">
        <v>2476</v>
      </c>
      <c r="D226" s="5" t="s">
        <v>2477</v>
      </c>
      <c r="E226" s="5"/>
      <c r="F226" s="5" t="s">
        <v>2463</v>
      </c>
      <c r="G226" s="5" t="s">
        <v>2463</v>
      </c>
      <c r="H226" s="5" t="s">
        <v>27</v>
      </c>
      <c r="I226" s="5">
        <v>1979</v>
      </c>
      <c r="J226" s="5" t="s">
        <v>2478</v>
      </c>
      <c r="K226" s="3" t="s">
        <v>3048</v>
      </c>
      <c r="L226" s="5" t="s">
        <v>20</v>
      </c>
      <c r="M226" s="5" t="s">
        <v>21</v>
      </c>
      <c r="N226" s="5" t="s">
        <v>20</v>
      </c>
      <c r="O226" s="5" t="s">
        <v>36</v>
      </c>
      <c r="P226" s="5" t="s">
        <v>36</v>
      </c>
      <c r="Q226" s="5"/>
      <c r="U226" s="1"/>
    </row>
    <row r="227" spans="1:21" ht="14.25" hidden="1" customHeight="1">
      <c r="A227" s="1">
        <v>7</v>
      </c>
      <c r="B227" s="5" t="s">
        <v>56</v>
      </c>
      <c r="C227" s="5" t="s">
        <v>57</v>
      </c>
      <c r="D227" s="5" t="s">
        <v>58</v>
      </c>
      <c r="E227" s="5">
        <v>461</v>
      </c>
      <c r="F227" s="5" t="s">
        <v>59</v>
      </c>
      <c r="G227" s="5" t="s">
        <v>60</v>
      </c>
      <c r="H227" s="5" t="s">
        <v>27</v>
      </c>
      <c r="I227" s="5">
        <v>1999</v>
      </c>
      <c r="J227" s="5" t="s">
        <v>61</v>
      </c>
      <c r="K227" s="3" t="s">
        <v>3048</v>
      </c>
      <c r="L227" s="5" t="s">
        <v>20</v>
      </c>
      <c r="M227" s="5" t="s">
        <v>21</v>
      </c>
      <c r="N227" s="5" t="s">
        <v>20</v>
      </c>
      <c r="O227" s="5" t="s">
        <v>36</v>
      </c>
      <c r="P227" s="5" t="s">
        <v>36</v>
      </c>
      <c r="Q227" s="5"/>
      <c r="U227" s="1"/>
    </row>
    <row r="228" spans="1:21" ht="14.25" hidden="1" customHeight="1">
      <c r="A228" s="1">
        <v>69</v>
      </c>
      <c r="B228" s="5" t="s">
        <v>428</v>
      </c>
      <c r="C228" s="5" t="s">
        <v>429</v>
      </c>
      <c r="D228" s="5" t="s">
        <v>315</v>
      </c>
      <c r="E228" s="5">
        <v>24</v>
      </c>
      <c r="F228" s="5" t="s">
        <v>345</v>
      </c>
      <c r="G228" s="5" t="s">
        <v>430</v>
      </c>
      <c r="H228" s="5" t="s">
        <v>27</v>
      </c>
      <c r="I228" s="5">
        <v>1978</v>
      </c>
      <c r="J228" s="5" t="s">
        <v>431</v>
      </c>
      <c r="K228" s="3" t="s">
        <v>3048</v>
      </c>
      <c r="L228" s="5" t="s">
        <v>20</v>
      </c>
      <c r="M228" s="5" t="s">
        <v>21</v>
      </c>
      <c r="N228" s="5" t="s">
        <v>20</v>
      </c>
      <c r="O228" s="5" t="s">
        <v>36</v>
      </c>
      <c r="P228" s="5" t="s">
        <v>36</v>
      </c>
      <c r="Q228" s="5"/>
      <c r="U228" s="1"/>
    </row>
    <row r="229" spans="1:21" ht="14.25" hidden="1" customHeight="1">
      <c r="A229" s="1">
        <v>104</v>
      </c>
      <c r="B229" s="3" t="s">
        <v>428</v>
      </c>
      <c r="C229" s="3" t="s">
        <v>619</v>
      </c>
      <c r="D229" s="3" t="s">
        <v>173</v>
      </c>
      <c r="E229" s="3">
        <v>10</v>
      </c>
      <c r="F229" s="3" t="s">
        <v>512</v>
      </c>
      <c r="G229" s="3" t="s">
        <v>103</v>
      </c>
      <c r="H229" s="3" t="s">
        <v>620</v>
      </c>
      <c r="I229" s="3">
        <v>1980</v>
      </c>
      <c r="J229" s="3" t="s">
        <v>621</v>
      </c>
      <c r="K229" s="3" t="s">
        <v>3048</v>
      </c>
      <c r="L229" s="3" t="s">
        <v>20</v>
      </c>
      <c r="M229" s="3" t="s">
        <v>21</v>
      </c>
      <c r="N229" s="3" t="s">
        <v>20</v>
      </c>
      <c r="O229" s="3" t="s">
        <v>36</v>
      </c>
      <c r="P229" s="3" t="s">
        <v>36</v>
      </c>
      <c r="Q229" s="3"/>
      <c r="U229" s="1"/>
    </row>
    <row r="230" spans="1:21" ht="14.25" hidden="1" customHeight="1">
      <c r="A230" s="1">
        <v>87</v>
      </c>
      <c r="B230" s="5" t="s">
        <v>524</v>
      </c>
      <c r="C230" s="5" t="s">
        <v>525</v>
      </c>
      <c r="D230" s="5" t="s">
        <v>315</v>
      </c>
      <c r="E230" s="5">
        <v>22</v>
      </c>
      <c r="F230" s="5" t="s">
        <v>526</v>
      </c>
      <c r="G230" s="5" t="s">
        <v>527</v>
      </c>
      <c r="H230" s="5" t="s">
        <v>27</v>
      </c>
      <c r="I230" s="5">
        <v>1976</v>
      </c>
      <c r="J230" s="5" t="s">
        <v>27</v>
      </c>
      <c r="K230" s="3" t="s">
        <v>3048</v>
      </c>
      <c r="L230" s="5" t="s">
        <v>20</v>
      </c>
      <c r="M230" s="5" t="s">
        <v>21</v>
      </c>
      <c r="N230" s="5" t="s">
        <v>20</v>
      </c>
      <c r="O230" s="5" t="s">
        <v>36</v>
      </c>
      <c r="P230" s="5" t="s">
        <v>36</v>
      </c>
      <c r="Q230" s="5"/>
      <c r="U230" s="1"/>
    </row>
    <row r="231" spans="1:21" ht="14.25" customHeight="1">
      <c r="A231" s="1">
        <v>27</v>
      </c>
      <c r="B231" s="5" t="s">
        <v>171</v>
      </c>
      <c r="C231" s="5" t="s">
        <v>172</v>
      </c>
      <c r="D231" s="5" t="s">
        <v>173</v>
      </c>
      <c r="E231" s="5">
        <v>10</v>
      </c>
      <c r="F231" s="5" t="s">
        <v>174</v>
      </c>
      <c r="G231" s="5" t="s">
        <v>175</v>
      </c>
      <c r="H231" s="5" t="s">
        <v>176</v>
      </c>
      <c r="I231" s="5">
        <v>1980</v>
      </c>
      <c r="J231" s="5" t="s">
        <v>177</v>
      </c>
      <c r="K231" s="3" t="s">
        <v>3048</v>
      </c>
      <c r="L231" s="5" t="s">
        <v>22</v>
      </c>
      <c r="M231" s="5"/>
      <c r="N231" s="5" t="s">
        <v>22</v>
      </c>
      <c r="O231" s="5" t="s">
        <v>22</v>
      </c>
      <c r="P231" s="5" t="s">
        <v>23</v>
      </c>
      <c r="Q231" s="5"/>
      <c r="R231" s="12" t="s">
        <v>20</v>
      </c>
      <c r="S231" s="1" t="s">
        <v>3039</v>
      </c>
      <c r="T231" s="1" t="s">
        <v>3040</v>
      </c>
      <c r="U231" s="31" t="s">
        <v>3025</v>
      </c>
    </row>
    <row r="232" spans="1:21" ht="14.25" hidden="1" customHeight="1">
      <c r="A232" s="1">
        <v>510</v>
      </c>
      <c r="B232" s="3" t="s">
        <v>2585</v>
      </c>
      <c r="C232" s="3" t="s">
        <v>2586</v>
      </c>
      <c r="D232" s="3" t="s">
        <v>27</v>
      </c>
      <c r="E232" s="3"/>
      <c r="F232" s="3" t="s">
        <v>27</v>
      </c>
      <c r="G232" s="3" t="s">
        <v>27</v>
      </c>
      <c r="H232" s="3" t="s">
        <v>27</v>
      </c>
      <c r="I232" s="3">
        <v>2003</v>
      </c>
      <c r="J232" s="3" t="s">
        <v>27</v>
      </c>
      <c r="K232" s="3" t="s">
        <v>3048</v>
      </c>
      <c r="L232" s="3" t="s">
        <v>20</v>
      </c>
      <c r="M232" s="3" t="s">
        <v>36</v>
      </c>
      <c r="N232" s="3" t="s">
        <v>20</v>
      </c>
      <c r="O232" s="3" t="s">
        <v>36</v>
      </c>
      <c r="P232" s="3" t="s">
        <v>36</v>
      </c>
      <c r="Q232" s="3"/>
      <c r="U232" s="1"/>
    </row>
    <row r="233" spans="1:21" ht="14.25" hidden="1" customHeight="1">
      <c r="A233" s="1">
        <v>506</v>
      </c>
      <c r="B233" s="3" t="s">
        <v>2566</v>
      </c>
      <c r="C233" s="3" t="s">
        <v>2567</v>
      </c>
      <c r="D233" s="3" t="s">
        <v>27</v>
      </c>
      <c r="E233" s="3"/>
      <c r="F233" s="3" t="s">
        <v>27</v>
      </c>
      <c r="G233" s="3" t="s">
        <v>27</v>
      </c>
      <c r="H233" s="3" t="s">
        <v>27</v>
      </c>
      <c r="I233" s="3">
        <v>2009</v>
      </c>
      <c r="J233" s="3" t="s">
        <v>27</v>
      </c>
      <c r="K233" s="3" t="s">
        <v>3048</v>
      </c>
      <c r="L233" s="3" t="s">
        <v>20</v>
      </c>
      <c r="M233" s="3" t="s">
        <v>21</v>
      </c>
      <c r="N233" s="3" t="s">
        <v>20</v>
      </c>
      <c r="O233" s="3" t="s">
        <v>36</v>
      </c>
      <c r="P233" s="3" t="s">
        <v>36</v>
      </c>
      <c r="Q233" s="3"/>
      <c r="U233" s="1"/>
    </row>
    <row r="234" spans="1:21" ht="14.25" hidden="1" customHeight="1">
      <c r="A234" s="1">
        <v>539</v>
      </c>
      <c r="B234" s="5" t="s">
        <v>2709</v>
      </c>
      <c r="C234" s="5" t="s">
        <v>2710</v>
      </c>
      <c r="D234" s="5" t="s">
        <v>1121</v>
      </c>
      <c r="E234" s="5">
        <v>106</v>
      </c>
      <c r="F234" s="5" t="s">
        <v>2711</v>
      </c>
      <c r="G234" s="5" t="s">
        <v>2712</v>
      </c>
      <c r="H234" s="5" t="s">
        <v>2713</v>
      </c>
      <c r="I234" s="5">
        <v>2002</v>
      </c>
      <c r="J234" s="5" t="s">
        <v>27</v>
      </c>
      <c r="K234" s="3" t="s">
        <v>3048</v>
      </c>
      <c r="L234" s="5" t="s">
        <v>20</v>
      </c>
      <c r="M234" s="5" t="s">
        <v>36</v>
      </c>
      <c r="N234" s="5" t="s">
        <v>20</v>
      </c>
      <c r="O234" s="5" t="s">
        <v>36</v>
      </c>
      <c r="P234" s="5" t="s">
        <v>36</v>
      </c>
      <c r="Q234" s="5"/>
      <c r="U234" s="1"/>
    </row>
    <row r="235" spans="1:21" s="19" customFormat="1" ht="14.25">
      <c r="A235" s="34">
        <v>312</v>
      </c>
      <c r="B235" s="34" t="s">
        <v>3383</v>
      </c>
      <c r="C235" s="34" t="s">
        <v>3384</v>
      </c>
      <c r="D235" s="34" t="s">
        <v>3385</v>
      </c>
      <c r="E235" s="34" t="s">
        <v>27</v>
      </c>
      <c r="F235" s="34" t="s">
        <v>27</v>
      </c>
      <c r="G235" s="34" t="s">
        <v>27</v>
      </c>
      <c r="H235" s="34" t="s">
        <v>3386</v>
      </c>
      <c r="I235" s="34">
        <v>2024</v>
      </c>
      <c r="J235" s="34" t="s">
        <v>3387</v>
      </c>
      <c r="K235" s="34" t="s">
        <v>2946</v>
      </c>
      <c r="L235" s="34" t="s">
        <v>22</v>
      </c>
      <c r="M235" s="34"/>
      <c r="N235" s="34" t="s">
        <v>20</v>
      </c>
      <c r="O235" s="34" t="s">
        <v>22</v>
      </c>
      <c r="P235" s="34" t="s">
        <v>1503</v>
      </c>
      <c r="Q235" s="34"/>
      <c r="R235" s="34"/>
      <c r="S235" s="34"/>
      <c r="T235" s="34"/>
      <c r="U235" s="34"/>
    </row>
    <row r="236" spans="1:21" ht="14.25" hidden="1" customHeight="1">
      <c r="A236" s="1">
        <v>68</v>
      </c>
      <c r="B236" s="3" t="s">
        <v>423</v>
      </c>
      <c r="C236" s="3" t="s">
        <v>424</v>
      </c>
      <c r="D236" s="3" t="s">
        <v>425</v>
      </c>
      <c r="E236" s="3">
        <v>14</v>
      </c>
      <c r="F236" s="3" t="s">
        <v>27</v>
      </c>
      <c r="G236" s="3" t="s">
        <v>27</v>
      </c>
      <c r="H236" s="3" t="s">
        <v>426</v>
      </c>
      <c r="I236" s="3">
        <v>2019</v>
      </c>
      <c r="J236" s="3" t="s">
        <v>427</v>
      </c>
      <c r="K236" s="3" t="s">
        <v>3048</v>
      </c>
      <c r="L236" s="3" t="s">
        <v>20</v>
      </c>
      <c r="M236" s="3" t="s">
        <v>21</v>
      </c>
      <c r="N236" s="3" t="s">
        <v>20</v>
      </c>
      <c r="O236" s="3" t="s">
        <v>36</v>
      </c>
      <c r="P236" s="3" t="s">
        <v>36</v>
      </c>
      <c r="Q236" s="3"/>
      <c r="U236" s="1"/>
    </row>
    <row r="237" spans="1:21" ht="14.25" hidden="1" customHeight="1">
      <c r="A237" s="1">
        <v>106</v>
      </c>
      <c r="B237" s="3" t="s">
        <v>629</v>
      </c>
      <c r="C237" s="3" t="s">
        <v>630</v>
      </c>
      <c r="D237" s="3" t="s">
        <v>15</v>
      </c>
      <c r="E237" s="3">
        <v>8</v>
      </c>
      <c r="F237" s="3" t="s">
        <v>631</v>
      </c>
      <c r="G237" s="3" t="s">
        <v>513</v>
      </c>
      <c r="H237" s="3" t="s">
        <v>632</v>
      </c>
      <c r="I237" s="3">
        <v>1999</v>
      </c>
      <c r="J237" s="3" t="s">
        <v>633</v>
      </c>
      <c r="K237" s="3" t="s">
        <v>3048</v>
      </c>
      <c r="L237" s="3" t="s">
        <v>20</v>
      </c>
      <c r="M237" s="3" t="s">
        <v>21</v>
      </c>
      <c r="N237" s="3" t="s">
        <v>20</v>
      </c>
      <c r="O237" s="3" t="s">
        <v>36</v>
      </c>
      <c r="P237" s="3" t="s">
        <v>36</v>
      </c>
      <c r="Q237" s="3"/>
      <c r="U237" s="1"/>
    </row>
    <row r="238" spans="1:21" ht="14.25" customHeight="1">
      <c r="A238" s="1">
        <v>436</v>
      </c>
      <c r="B238" s="3" t="s">
        <v>2234</v>
      </c>
      <c r="C238" s="3" t="s">
        <v>2235</v>
      </c>
      <c r="D238" s="3" t="s">
        <v>102</v>
      </c>
      <c r="E238" s="3">
        <v>289</v>
      </c>
      <c r="F238" s="3" t="s">
        <v>2236</v>
      </c>
      <c r="G238" s="3" t="s">
        <v>1385</v>
      </c>
      <c r="H238" s="3" t="s">
        <v>2237</v>
      </c>
      <c r="I238" s="3">
        <v>2013</v>
      </c>
      <c r="J238" s="3" t="s">
        <v>2238</v>
      </c>
      <c r="K238" s="3" t="s">
        <v>3048</v>
      </c>
      <c r="L238" s="3" t="s">
        <v>22</v>
      </c>
      <c r="M238" s="3"/>
      <c r="N238" s="3" t="s">
        <v>22</v>
      </c>
      <c r="O238" s="3" t="s">
        <v>22</v>
      </c>
      <c r="P238" s="3" t="s">
        <v>23</v>
      </c>
      <c r="Q238" s="3"/>
      <c r="R238" s="12" t="s">
        <v>22</v>
      </c>
      <c r="U238" s="31" t="s">
        <v>2946</v>
      </c>
    </row>
    <row r="239" spans="1:21" ht="14.25" customHeight="1">
      <c r="A239" s="1">
        <v>442</v>
      </c>
      <c r="B239" s="3" t="s">
        <v>2264</v>
      </c>
      <c r="C239" s="3" t="s">
        <v>2265</v>
      </c>
      <c r="D239" s="3" t="s">
        <v>102</v>
      </c>
      <c r="E239" s="3">
        <v>353</v>
      </c>
      <c r="F239" s="3" t="s">
        <v>1714</v>
      </c>
      <c r="G239" s="3" t="s">
        <v>309</v>
      </c>
      <c r="H239" s="3" t="s">
        <v>2266</v>
      </c>
      <c r="I239" s="3">
        <v>2015</v>
      </c>
      <c r="J239" s="3" t="s">
        <v>2267</v>
      </c>
      <c r="K239" s="3" t="s">
        <v>3048</v>
      </c>
      <c r="L239" s="3" t="s">
        <v>22</v>
      </c>
      <c r="M239" s="3"/>
      <c r="N239" s="3" t="s">
        <v>22</v>
      </c>
      <c r="O239" s="3" t="s">
        <v>22</v>
      </c>
      <c r="P239" s="3" t="s">
        <v>23</v>
      </c>
      <c r="Q239" s="3"/>
      <c r="R239" s="12" t="s">
        <v>22</v>
      </c>
      <c r="U239" s="31" t="s">
        <v>2946</v>
      </c>
    </row>
    <row r="240" spans="1:21" ht="14.25" hidden="1" customHeight="1">
      <c r="A240" s="1">
        <v>476</v>
      </c>
      <c r="B240" s="3" t="s">
        <v>2424</v>
      </c>
      <c r="C240" s="3" t="s">
        <v>2425</v>
      </c>
      <c r="D240" s="3" t="s">
        <v>1668</v>
      </c>
      <c r="E240" s="3">
        <v>213</v>
      </c>
      <c r="F240" s="3" t="s">
        <v>1792</v>
      </c>
      <c r="G240" s="3" t="s">
        <v>2426</v>
      </c>
      <c r="H240" s="3" t="s">
        <v>2427</v>
      </c>
      <c r="I240" s="3">
        <v>2015</v>
      </c>
      <c r="J240" s="3" t="s">
        <v>2428</v>
      </c>
      <c r="K240" s="3" t="s">
        <v>3048</v>
      </c>
      <c r="L240" s="3" t="s">
        <v>20</v>
      </c>
      <c r="M240" s="3" t="s">
        <v>21</v>
      </c>
      <c r="N240" s="3" t="s">
        <v>20</v>
      </c>
      <c r="O240" s="3" t="s">
        <v>36</v>
      </c>
      <c r="P240" s="3" t="s">
        <v>36</v>
      </c>
      <c r="Q240" s="3"/>
      <c r="U240" s="1"/>
    </row>
    <row r="241" spans="1:21" ht="14.25" customHeight="1">
      <c r="A241" s="1">
        <v>219</v>
      </c>
      <c r="B241" s="5" t="s">
        <v>1225</v>
      </c>
      <c r="C241" s="5" t="s">
        <v>1226</v>
      </c>
      <c r="D241" s="5" t="s">
        <v>641</v>
      </c>
      <c r="E241" s="5">
        <v>4</v>
      </c>
      <c r="F241" s="5" t="s">
        <v>1227</v>
      </c>
      <c r="G241" s="5" t="s">
        <v>800</v>
      </c>
      <c r="H241" s="5" t="s">
        <v>1228</v>
      </c>
      <c r="I241" s="5">
        <v>1994</v>
      </c>
      <c r="J241" s="5" t="s">
        <v>1229</v>
      </c>
      <c r="K241" s="3" t="s">
        <v>3048</v>
      </c>
      <c r="L241" s="5" t="s">
        <v>22</v>
      </c>
      <c r="M241" s="5"/>
      <c r="N241" s="5" t="s">
        <v>22</v>
      </c>
      <c r="O241" s="5" t="s">
        <v>190</v>
      </c>
      <c r="P241" s="5" t="s">
        <v>23</v>
      </c>
      <c r="Q241" s="5" t="s">
        <v>2907</v>
      </c>
      <c r="U241" s="1"/>
    </row>
    <row r="242" spans="1:21" ht="14.25" hidden="1" customHeight="1">
      <c r="A242" s="1">
        <v>204</v>
      </c>
      <c r="B242" s="3" t="s">
        <v>1147</v>
      </c>
      <c r="C242" s="3" t="s">
        <v>1148</v>
      </c>
      <c r="D242" s="3" t="s">
        <v>27</v>
      </c>
      <c r="E242" s="3"/>
      <c r="F242" s="3" t="s">
        <v>27</v>
      </c>
      <c r="G242" s="3" t="s">
        <v>27</v>
      </c>
      <c r="H242" s="3" t="s">
        <v>27</v>
      </c>
      <c r="I242" s="3">
        <v>2013</v>
      </c>
      <c r="J242" s="3" t="s">
        <v>27</v>
      </c>
      <c r="K242" s="3" t="s">
        <v>3048</v>
      </c>
      <c r="L242" s="3" t="s">
        <v>20</v>
      </c>
      <c r="M242" s="3" t="s">
        <v>36</v>
      </c>
      <c r="N242" s="3" t="s">
        <v>20</v>
      </c>
      <c r="O242" s="3" t="s">
        <v>36</v>
      </c>
      <c r="P242" s="3" t="s">
        <v>36</v>
      </c>
      <c r="Q242" s="3"/>
      <c r="U242" s="1"/>
    </row>
    <row r="243" spans="1:21" ht="14.25" customHeight="1">
      <c r="A243" s="1">
        <v>340</v>
      </c>
      <c r="B243" s="3" t="s">
        <v>1795</v>
      </c>
      <c r="C243" s="3" t="s">
        <v>1796</v>
      </c>
      <c r="D243" s="3" t="s">
        <v>1797</v>
      </c>
      <c r="E243" s="3"/>
      <c r="F243" s="3" t="s">
        <v>1798</v>
      </c>
      <c r="G243" s="3" t="s">
        <v>1799</v>
      </c>
      <c r="H243" s="3" t="s">
        <v>27</v>
      </c>
      <c r="I243" s="3">
        <v>2011</v>
      </c>
      <c r="J243" s="3" t="s">
        <v>1800</v>
      </c>
      <c r="K243" s="3" t="s">
        <v>3048</v>
      </c>
      <c r="L243" s="3" t="s">
        <v>22</v>
      </c>
      <c r="M243" s="3" t="s">
        <v>1801</v>
      </c>
      <c r="N243" s="3" t="s">
        <v>20</v>
      </c>
      <c r="O243" s="3" t="s">
        <v>20</v>
      </c>
      <c r="P243" s="3" t="s">
        <v>1801</v>
      </c>
      <c r="Q243" s="3" t="s">
        <v>1224</v>
      </c>
      <c r="U243" s="1"/>
    </row>
    <row r="244" spans="1:21" ht="14.25" customHeight="1">
      <c r="A244" s="1">
        <v>298</v>
      </c>
      <c r="B244" s="3" t="s">
        <v>1606</v>
      </c>
      <c r="C244" s="3" t="s">
        <v>1607</v>
      </c>
      <c r="D244" s="3" t="s">
        <v>27</v>
      </c>
      <c r="E244" s="3"/>
      <c r="F244" s="3" t="s">
        <v>27</v>
      </c>
      <c r="G244" s="3" t="s">
        <v>27</v>
      </c>
      <c r="H244" s="3" t="s">
        <v>27</v>
      </c>
      <c r="I244" s="3">
        <v>2014</v>
      </c>
      <c r="J244" s="3" t="s">
        <v>27</v>
      </c>
      <c r="K244" s="3" t="s">
        <v>3048</v>
      </c>
      <c r="L244" s="3" t="s">
        <v>22</v>
      </c>
      <c r="M244" s="3" t="s">
        <v>1608</v>
      </c>
      <c r="N244" s="3" t="s">
        <v>20</v>
      </c>
      <c r="O244" s="3" t="s">
        <v>36</v>
      </c>
      <c r="P244" s="3" t="s">
        <v>1608</v>
      </c>
      <c r="Q244" s="3" t="s">
        <v>1224</v>
      </c>
      <c r="U244" s="1"/>
    </row>
    <row r="245" spans="1:21" ht="14.25" hidden="1" customHeight="1">
      <c r="A245" s="1">
        <v>206</v>
      </c>
      <c r="B245" s="3" t="s">
        <v>1153</v>
      </c>
      <c r="C245" s="3" t="s">
        <v>1154</v>
      </c>
      <c r="D245" s="3" t="s">
        <v>1155</v>
      </c>
      <c r="E245" s="3">
        <v>31</v>
      </c>
      <c r="F245" s="3" t="s">
        <v>1156</v>
      </c>
      <c r="G245" s="3" t="s">
        <v>1157</v>
      </c>
      <c r="H245" s="3" t="s">
        <v>1158</v>
      </c>
      <c r="I245" s="3">
        <v>2016</v>
      </c>
      <c r="J245" s="3" t="s">
        <v>1159</v>
      </c>
      <c r="K245" s="3" t="s">
        <v>3048</v>
      </c>
      <c r="L245" s="3" t="s">
        <v>20</v>
      </c>
      <c r="M245" s="3" t="s">
        <v>21</v>
      </c>
      <c r="N245" s="3" t="s">
        <v>20</v>
      </c>
      <c r="O245" s="3" t="s">
        <v>36</v>
      </c>
      <c r="P245" s="3" t="s">
        <v>36</v>
      </c>
      <c r="Q245" s="3"/>
      <c r="U245" s="1"/>
    </row>
    <row r="246" spans="1:21" ht="14.25" customHeight="1">
      <c r="A246" s="1">
        <v>251</v>
      </c>
      <c r="B246" s="5" t="s">
        <v>1387</v>
      </c>
      <c r="C246" s="5" t="s">
        <v>1388</v>
      </c>
      <c r="D246" s="5" t="s">
        <v>1389</v>
      </c>
      <c r="E246" s="5">
        <v>20</v>
      </c>
      <c r="F246" s="5" t="s">
        <v>777</v>
      </c>
      <c r="G246" s="5" t="s">
        <v>1390</v>
      </c>
      <c r="H246" s="5" t="s">
        <v>1391</v>
      </c>
      <c r="I246" s="5">
        <v>2013</v>
      </c>
      <c r="J246" s="5" t="s">
        <v>1392</v>
      </c>
      <c r="K246" s="3" t="s">
        <v>3048</v>
      </c>
      <c r="L246" s="5" t="s">
        <v>22</v>
      </c>
      <c r="M246" s="5"/>
      <c r="N246" s="5" t="s">
        <v>22</v>
      </c>
      <c r="O246" s="5" t="s">
        <v>22</v>
      </c>
      <c r="P246" s="5" t="s">
        <v>23</v>
      </c>
      <c r="Q246" s="5"/>
      <c r="R246" s="12" t="s">
        <v>22</v>
      </c>
      <c r="U246" s="31" t="s">
        <v>3025</v>
      </c>
    </row>
    <row r="247" spans="1:21" ht="14.25" hidden="1" customHeight="1">
      <c r="A247" s="1">
        <v>315</v>
      </c>
      <c r="B247" s="5" t="s">
        <v>1688</v>
      </c>
      <c r="C247" s="5" t="s">
        <v>1689</v>
      </c>
      <c r="D247" s="5" t="s">
        <v>425</v>
      </c>
      <c r="E247" s="5">
        <v>15</v>
      </c>
      <c r="F247" s="5" t="s">
        <v>27</v>
      </c>
      <c r="G247" s="5" t="s">
        <v>27</v>
      </c>
      <c r="H247" s="5" t="s">
        <v>1690</v>
      </c>
      <c r="I247" s="5">
        <v>2020</v>
      </c>
      <c r="J247" s="5" t="s">
        <v>1691</v>
      </c>
      <c r="K247" s="3" t="s">
        <v>3048</v>
      </c>
      <c r="L247" s="5" t="s">
        <v>20</v>
      </c>
      <c r="M247" s="5" t="s">
        <v>21</v>
      </c>
      <c r="N247" s="5" t="s">
        <v>20</v>
      </c>
      <c r="O247" s="5" t="s">
        <v>36</v>
      </c>
      <c r="P247" s="5" t="s">
        <v>36</v>
      </c>
      <c r="Q247" s="5"/>
      <c r="U247" s="1"/>
    </row>
    <row r="248" spans="1:21" ht="14.25" customHeight="1">
      <c r="A248" s="1">
        <v>305</v>
      </c>
      <c r="B248" s="5" t="s">
        <v>1640</v>
      </c>
      <c r="C248" s="5" t="s">
        <v>1641</v>
      </c>
      <c r="D248" s="5" t="s">
        <v>185</v>
      </c>
      <c r="E248" s="5">
        <v>26</v>
      </c>
      <c r="F248" s="5" t="s">
        <v>1642</v>
      </c>
      <c r="G248" s="5" t="s">
        <v>1643</v>
      </c>
      <c r="H248" s="5" t="s">
        <v>1644</v>
      </c>
      <c r="I248" s="5">
        <v>2017</v>
      </c>
      <c r="J248" s="5" t="s">
        <v>1645</v>
      </c>
      <c r="K248" s="3" t="s">
        <v>3048</v>
      </c>
      <c r="L248" s="5" t="s">
        <v>22</v>
      </c>
      <c r="M248" s="5"/>
      <c r="N248" s="5" t="s">
        <v>22</v>
      </c>
      <c r="O248" s="5" t="s">
        <v>22</v>
      </c>
      <c r="P248" s="5" t="s">
        <v>23</v>
      </c>
      <c r="Q248" s="5"/>
      <c r="R248" s="12" t="s">
        <v>20</v>
      </c>
      <c r="S248" s="1" t="s">
        <v>2975</v>
      </c>
      <c r="T248" s="1" t="s">
        <v>3132</v>
      </c>
      <c r="U248" s="31" t="s">
        <v>3025</v>
      </c>
    </row>
    <row r="249" spans="1:21" ht="14.25" customHeight="1">
      <c r="A249" s="1">
        <v>249</v>
      </c>
      <c r="B249" s="5" t="s">
        <v>1377</v>
      </c>
      <c r="C249" s="5" t="s">
        <v>1378</v>
      </c>
      <c r="D249" s="5" t="s">
        <v>217</v>
      </c>
      <c r="E249" s="5">
        <v>37</v>
      </c>
      <c r="F249" s="5" t="s">
        <v>1379</v>
      </c>
      <c r="G249" s="5" t="s">
        <v>1380</v>
      </c>
      <c r="H249" s="5" t="s">
        <v>1381</v>
      </c>
      <c r="I249" s="5">
        <v>2023</v>
      </c>
      <c r="J249" s="5" t="s">
        <v>1382</v>
      </c>
      <c r="K249" s="3" t="s">
        <v>3048</v>
      </c>
      <c r="L249" s="5" t="s">
        <v>22</v>
      </c>
      <c r="M249" s="5"/>
      <c r="N249" s="5" t="s">
        <v>268</v>
      </c>
      <c r="O249" s="5" t="s">
        <v>22</v>
      </c>
      <c r="P249" s="5" t="s">
        <v>269</v>
      </c>
      <c r="Q249" s="5"/>
      <c r="U249" s="1"/>
    </row>
    <row r="250" spans="1:21" ht="14.25" customHeight="1">
      <c r="A250" s="1">
        <v>471</v>
      </c>
      <c r="B250" s="5" t="s">
        <v>2401</v>
      </c>
      <c r="C250" s="5" t="s">
        <v>2402</v>
      </c>
      <c r="D250" s="5" t="s">
        <v>2403</v>
      </c>
      <c r="E250" s="5">
        <v>16</v>
      </c>
      <c r="F250" s="5" t="s">
        <v>27</v>
      </c>
      <c r="G250" s="5" t="s">
        <v>27</v>
      </c>
      <c r="H250" s="5" t="s">
        <v>2404</v>
      </c>
      <c r="I250" s="5">
        <v>2016</v>
      </c>
      <c r="J250" s="5" t="s">
        <v>2405</v>
      </c>
      <c r="K250" s="3" t="s">
        <v>3048</v>
      </c>
      <c r="L250" s="5" t="s">
        <v>22</v>
      </c>
      <c r="M250" s="5"/>
      <c r="N250" s="5" t="s">
        <v>22</v>
      </c>
      <c r="O250" s="5" t="s">
        <v>22</v>
      </c>
      <c r="P250" s="5" t="s">
        <v>23</v>
      </c>
      <c r="Q250" s="5"/>
      <c r="R250" s="21" t="s">
        <v>22</v>
      </c>
      <c r="U250" s="31" t="s">
        <v>3025</v>
      </c>
    </row>
    <row r="251" spans="1:21" ht="14.25" customHeight="1">
      <c r="A251" s="1">
        <v>235</v>
      </c>
      <c r="B251" s="5" t="s">
        <v>1305</v>
      </c>
      <c r="C251" s="5" t="s">
        <v>1306</v>
      </c>
      <c r="D251" s="5" t="s">
        <v>1307</v>
      </c>
      <c r="E251" s="5">
        <v>163</v>
      </c>
      <c r="F251" s="5" t="s">
        <v>1308</v>
      </c>
      <c r="G251" s="5" t="s">
        <v>598</v>
      </c>
      <c r="H251" s="5" t="s">
        <v>27</v>
      </c>
      <c r="I251" s="5">
        <v>2019</v>
      </c>
      <c r="J251" s="5" t="s">
        <v>1309</v>
      </c>
      <c r="K251" s="3" t="s">
        <v>3048</v>
      </c>
      <c r="L251" s="5" t="s">
        <v>22</v>
      </c>
      <c r="M251" s="5"/>
      <c r="N251" s="5" t="s">
        <v>20</v>
      </c>
      <c r="O251" s="5" t="s">
        <v>22</v>
      </c>
      <c r="P251" s="5" t="s">
        <v>23</v>
      </c>
      <c r="Q251" s="5" t="s">
        <v>2908</v>
      </c>
      <c r="U251" s="1"/>
    </row>
    <row r="252" spans="1:21" ht="14.25" customHeight="1">
      <c r="A252" s="1">
        <v>455</v>
      </c>
      <c r="B252" s="5" t="s">
        <v>2323</v>
      </c>
      <c r="C252" s="5" t="s">
        <v>2324</v>
      </c>
      <c r="D252" s="5" t="s">
        <v>472</v>
      </c>
      <c r="E252" s="5">
        <v>108</v>
      </c>
      <c r="F252" s="5" t="s">
        <v>2325</v>
      </c>
      <c r="G252" s="5" t="s">
        <v>2326</v>
      </c>
      <c r="H252" s="5" t="s">
        <v>2327</v>
      </c>
      <c r="I252" s="5">
        <v>2016</v>
      </c>
      <c r="J252" s="5" t="s">
        <v>2328</v>
      </c>
      <c r="K252" s="3" t="s">
        <v>3048</v>
      </c>
      <c r="L252" s="5" t="s">
        <v>22</v>
      </c>
      <c r="M252" s="5"/>
      <c r="N252" s="5" t="s">
        <v>22</v>
      </c>
      <c r="O252" s="5" t="s">
        <v>22</v>
      </c>
      <c r="P252" s="5" t="s">
        <v>23</v>
      </c>
      <c r="Q252" s="5"/>
      <c r="R252" s="12" t="s">
        <v>20</v>
      </c>
      <c r="S252" s="1" t="s">
        <v>2975</v>
      </c>
      <c r="T252" s="1" t="s">
        <v>2979</v>
      </c>
      <c r="U252" s="31" t="s">
        <v>3025</v>
      </c>
    </row>
    <row r="253" spans="1:21" ht="14.25" hidden="1" customHeight="1">
      <c r="A253" s="1">
        <v>513</v>
      </c>
      <c r="B253" s="5" t="s">
        <v>2597</v>
      </c>
      <c r="C253" s="5" t="s">
        <v>2598</v>
      </c>
      <c r="D253" s="5" t="s">
        <v>64</v>
      </c>
      <c r="E253" s="5">
        <v>92</v>
      </c>
      <c r="F253" s="5" t="s">
        <v>1425</v>
      </c>
      <c r="G253" s="5" t="s">
        <v>2599</v>
      </c>
      <c r="H253" s="5" t="s">
        <v>2600</v>
      </c>
      <c r="I253" s="5">
        <v>1982</v>
      </c>
      <c r="J253" s="5" t="s">
        <v>2601</v>
      </c>
      <c r="K253" s="3" t="s">
        <v>3048</v>
      </c>
      <c r="L253" s="5" t="s">
        <v>20</v>
      </c>
      <c r="M253" s="5" t="s">
        <v>21</v>
      </c>
      <c r="N253" s="5" t="s">
        <v>20</v>
      </c>
      <c r="O253" s="5" t="s">
        <v>36</v>
      </c>
      <c r="P253" s="5" t="s">
        <v>36</v>
      </c>
      <c r="Q253" s="5"/>
      <c r="U253" s="1"/>
    </row>
    <row r="254" spans="1:21" ht="14.25" hidden="1" customHeight="1">
      <c r="A254" s="1">
        <v>526</v>
      </c>
      <c r="B254" s="3" t="s">
        <v>2655</v>
      </c>
      <c r="C254" s="3" t="s">
        <v>2656</v>
      </c>
      <c r="D254" s="3" t="s">
        <v>934</v>
      </c>
      <c r="E254" s="3">
        <v>74</v>
      </c>
      <c r="F254" s="3" t="s">
        <v>2657</v>
      </c>
      <c r="G254" s="3" t="s">
        <v>2658</v>
      </c>
      <c r="H254" s="3" t="s">
        <v>2659</v>
      </c>
      <c r="I254" s="3">
        <v>1986</v>
      </c>
      <c r="J254" s="3" t="s">
        <v>2660</v>
      </c>
      <c r="K254" s="3" t="s">
        <v>3048</v>
      </c>
      <c r="L254" s="3" t="s">
        <v>20</v>
      </c>
      <c r="M254" s="3" t="s">
        <v>21</v>
      </c>
      <c r="N254" s="3" t="s">
        <v>20</v>
      </c>
      <c r="O254" s="3" t="s">
        <v>36</v>
      </c>
      <c r="P254" s="3" t="s">
        <v>36</v>
      </c>
      <c r="Q254" s="3"/>
      <c r="U254" s="1"/>
    </row>
    <row r="255" spans="1:21" ht="14.25" customHeight="1">
      <c r="A255" s="1">
        <v>152</v>
      </c>
      <c r="B255" s="3" t="s">
        <v>879</v>
      </c>
      <c r="C255" s="3" t="s">
        <v>880</v>
      </c>
      <c r="D255" s="3" t="s">
        <v>39</v>
      </c>
      <c r="E255" s="3">
        <v>16</v>
      </c>
      <c r="F255" s="3" t="s">
        <v>881</v>
      </c>
      <c r="G255" s="3" t="s">
        <v>143</v>
      </c>
      <c r="H255" s="3" t="s">
        <v>882</v>
      </c>
      <c r="I255" s="3">
        <v>2013</v>
      </c>
      <c r="J255" s="3" t="s">
        <v>883</v>
      </c>
      <c r="K255" s="3" t="s">
        <v>3048</v>
      </c>
      <c r="L255" s="3" t="s">
        <v>22</v>
      </c>
      <c r="M255" s="3"/>
      <c r="N255" s="3" t="s">
        <v>22</v>
      </c>
      <c r="O255" s="3" t="s">
        <v>22</v>
      </c>
      <c r="P255" s="3" t="s">
        <v>23</v>
      </c>
      <c r="Q255" s="3"/>
      <c r="R255" s="12" t="s">
        <v>22</v>
      </c>
      <c r="U255" s="31" t="s">
        <v>3025</v>
      </c>
    </row>
    <row r="256" spans="1:21" ht="14.25" hidden="1" customHeight="1">
      <c r="A256" s="1">
        <v>314</v>
      </c>
      <c r="B256" s="3" t="s">
        <v>1684</v>
      </c>
      <c r="C256" s="3" t="s">
        <v>1685</v>
      </c>
      <c r="D256" s="3" t="s">
        <v>1686</v>
      </c>
      <c r="E256" s="3"/>
      <c r="F256" s="3" t="s">
        <v>741</v>
      </c>
      <c r="G256" s="3" t="s">
        <v>1687</v>
      </c>
      <c r="H256" s="3" t="s">
        <v>27</v>
      </c>
      <c r="I256" s="3">
        <v>2000</v>
      </c>
      <c r="J256" s="3" t="s">
        <v>27</v>
      </c>
      <c r="K256" s="3" t="s">
        <v>3048</v>
      </c>
      <c r="L256" s="3" t="s">
        <v>20</v>
      </c>
      <c r="M256" s="3" t="s">
        <v>36</v>
      </c>
      <c r="N256" s="3" t="s">
        <v>20</v>
      </c>
      <c r="O256" s="3" t="s">
        <v>36</v>
      </c>
      <c r="P256" s="3" t="s">
        <v>36</v>
      </c>
      <c r="Q256" s="3"/>
      <c r="U256" s="1"/>
    </row>
    <row r="257" spans="1:21" ht="14.25" customHeight="1">
      <c r="A257" s="1">
        <v>382</v>
      </c>
      <c r="B257" s="3" t="s">
        <v>1998</v>
      </c>
      <c r="C257" s="3" t="s">
        <v>1999</v>
      </c>
      <c r="D257" s="3" t="s">
        <v>636</v>
      </c>
      <c r="E257" s="3">
        <v>915</v>
      </c>
      <c r="F257" s="3" t="s">
        <v>27</v>
      </c>
      <c r="G257" s="3" t="s">
        <v>27</v>
      </c>
      <c r="H257" s="3" t="s">
        <v>2000</v>
      </c>
      <c r="I257" s="3">
        <v>2024</v>
      </c>
      <c r="J257" s="3" t="s">
        <v>2001</v>
      </c>
      <c r="K257" s="3" t="s">
        <v>3048</v>
      </c>
      <c r="L257" s="3" t="s">
        <v>22</v>
      </c>
      <c r="M257" s="3"/>
      <c r="N257" s="3" t="s">
        <v>22</v>
      </c>
      <c r="O257" s="3" t="s">
        <v>22</v>
      </c>
      <c r="P257" s="3" t="s">
        <v>23</v>
      </c>
      <c r="Q257" s="3"/>
      <c r="R257" s="12" t="s">
        <v>1963</v>
      </c>
      <c r="S257" s="1" t="s">
        <v>2975</v>
      </c>
      <c r="T257" s="1" t="s">
        <v>3198</v>
      </c>
      <c r="U257" s="31" t="s">
        <v>2910</v>
      </c>
    </row>
    <row r="258" spans="1:21" ht="14.25" customHeight="1">
      <c r="A258" s="1">
        <v>425</v>
      </c>
      <c r="B258" s="5" t="s">
        <v>2187</v>
      </c>
      <c r="C258" s="5" t="s">
        <v>2188</v>
      </c>
      <c r="D258" s="5" t="s">
        <v>1943</v>
      </c>
      <c r="E258" s="5">
        <v>97</v>
      </c>
      <c r="F258" s="5" t="s">
        <v>27</v>
      </c>
      <c r="G258" s="5" t="s">
        <v>27</v>
      </c>
      <c r="H258" s="5" t="s">
        <v>2189</v>
      </c>
      <c r="I258" s="5">
        <v>2021</v>
      </c>
      <c r="J258" s="5" t="s">
        <v>2190</v>
      </c>
      <c r="K258" s="3" t="s">
        <v>3048</v>
      </c>
      <c r="L258" s="5" t="s">
        <v>22</v>
      </c>
      <c r="M258" s="5"/>
      <c r="N258" s="5" t="s">
        <v>22</v>
      </c>
      <c r="O258" s="5" t="s">
        <v>22</v>
      </c>
      <c r="P258" s="5" t="s">
        <v>23</v>
      </c>
      <c r="Q258" s="5"/>
      <c r="R258" s="12" t="s">
        <v>22</v>
      </c>
      <c r="U258" s="31" t="s">
        <v>3025</v>
      </c>
    </row>
    <row r="259" spans="1:21" ht="14.25" hidden="1" customHeight="1">
      <c r="A259" s="1">
        <v>50</v>
      </c>
      <c r="B259" s="3" t="s">
        <v>313</v>
      </c>
      <c r="C259" s="3" t="s">
        <v>314</v>
      </c>
      <c r="D259" s="3" t="s">
        <v>315</v>
      </c>
      <c r="E259" s="3">
        <v>60</v>
      </c>
      <c r="F259" s="3" t="s">
        <v>316</v>
      </c>
      <c r="G259" s="3" t="s">
        <v>317</v>
      </c>
      <c r="H259" s="3" t="s">
        <v>318</v>
      </c>
      <c r="I259" s="3">
        <v>2014</v>
      </c>
      <c r="J259" s="3" t="s">
        <v>319</v>
      </c>
      <c r="K259" s="3" t="s">
        <v>3048</v>
      </c>
      <c r="L259" s="3" t="s">
        <v>20</v>
      </c>
      <c r="M259" s="3" t="s">
        <v>21</v>
      </c>
      <c r="N259" s="3" t="s">
        <v>20</v>
      </c>
      <c r="O259" s="3" t="s">
        <v>36</v>
      </c>
      <c r="P259" s="3" t="s">
        <v>36</v>
      </c>
      <c r="Q259" s="3"/>
      <c r="U259" s="1"/>
    </row>
    <row r="260" spans="1:21" ht="14.25" hidden="1" customHeight="1">
      <c r="A260" s="1">
        <v>151</v>
      </c>
      <c r="B260" s="5" t="s">
        <v>873</v>
      </c>
      <c r="C260" s="5" t="s">
        <v>874</v>
      </c>
      <c r="D260" s="5" t="s">
        <v>102</v>
      </c>
      <c r="E260" s="5">
        <v>302</v>
      </c>
      <c r="F260" s="5" t="s">
        <v>875</v>
      </c>
      <c r="G260" s="5" t="s">
        <v>876</v>
      </c>
      <c r="H260" s="5" t="s">
        <v>877</v>
      </c>
      <c r="I260" s="5">
        <v>2013</v>
      </c>
      <c r="J260" s="5" t="s">
        <v>878</v>
      </c>
      <c r="K260" s="3" t="s">
        <v>3048</v>
      </c>
      <c r="L260" s="5" t="s">
        <v>20</v>
      </c>
      <c r="M260" s="5" t="s">
        <v>21</v>
      </c>
      <c r="N260" s="5" t="s">
        <v>20</v>
      </c>
      <c r="O260" s="5" t="s">
        <v>36</v>
      </c>
      <c r="P260" s="5" t="s">
        <v>36</v>
      </c>
      <c r="Q260" s="5"/>
      <c r="U260" s="1"/>
    </row>
    <row r="261" spans="1:21" ht="14.25" hidden="1" customHeight="1">
      <c r="A261" s="1">
        <v>110</v>
      </c>
      <c r="B261" s="3" t="s">
        <v>652</v>
      </c>
      <c r="C261" s="3" t="s">
        <v>653</v>
      </c>
      <c r="D261" s="3" t="s">
        <v>27</v>
      </c>
      <c r="E261" s="3"/>
      <c r="F261" s="3" t="s">
        <v>27</v>
      </c>
      <c r="G261" s="3" t="s">
        <v>27</v>
      </c>
      <c r="H261" s="3" t="s">
        <v>27</v>
      </c>
      <c r="I261" s="3">
        <v>1997</v>
      </c>
      <c r="J261" s="3" t="s">
        <v>27</v>
      </c>
      <c r="K261" s="3" t="s">
        <v>3048</v>
      </c>
      <c r="L261" s="3" t="s">
        <v>589</v>
      </c>
      <c r="M261" s="3" t="s">
        <v>36</v>
      </c>
      <c r="N261" s="3" t="s">
        <v>20</v>
      </c>
      <c r="O261" s="3" t="s">
        <v>36</v>
      </c>
      <c r="P261" s="3" t="s">
        <v>36</v>
      </c>
      <c r="Q261" s="3"/>
      <c r="U261" s="1"/>
    </row>
    <row r="262" spans="1:21" ht="14.25" customHeight="1">
      <c r="A262" s="1">
        <v>178</v>
      </c>
      <c r="B262" s="3" t="s">
        <v>1016</v>
      </c>
      <c r="C262" s="3" t="s">
        <v>1017</v>
      </c>
      <c r="D262" s="3" t="s">
        <v>15</v>
      </c>
      <c r="E262" s="3">
        <v>8</v>
      </c>
      <c r="F262" s="3" t="s">
        <v>994</v>
      </c>
      <c r="G262" s="3" t="s">
        <v>1018</v>
      </c>
      <c r="H262" s="3" t="s">
        <v>1019</v>
      </c>
      <c r="I262" s="3">
        <v>1998</v>
      </c>
      <c r="J262" s="3" t="s">
        <v>1020</v>
      </c>
      <c r="K262" s="3" t="s">
        <v>3048</v>
      </c>
      <c r="L262" s="3" t="s">
        <v>22</v>
      </c>
      <c r="M262" s="3"/>
      <c r="N262" s="3" t="s">
        <v>22</v>
      </c>
      <c r="O262" s="3" t="s">
        <v>22</v>
      </c>
      <c r="P262" s="3" t="s">
        <v>23</v>
      </c>
      <c r="Q262" s="3"/>
      <c r="R262" s="12" t="s">
        <v>20</v>
      </c>
      <c r="S262" s="1" t="s">
        <v>2975</v>
      </c>
      <c r="T262" s="1" t="s">
        <v>3136</v>
      </c>
      <c r="U262" s="31" t="s">
        <v>3025</v>
      </c>
    </row>
    <row r="263" spans="1:21" ht="14.25" hidden="1" customHeight="1">
      <c r="A263" s="1">
        <v>293</v>
      </c>
      <c r="B263" s="5" t="s">
        <v>1577</v>
      </c>
      <c r="C263" s="5" t="s">
        <v>1578</v>
      </c>
      <c r="D263" s="5" t="s">
        <v>1579</v>
      </c>
      <c r="E263" s="5">
        <v>45</v>
      </c>
      <c r="F263" s="5" t="s">
        <v>1580</v>
      </c>
      <c r="G263" s="5" t="s">
        <v>1581</v>
      </c>
      <c r="H263" s="5" t="s">
        <v>1582</v>
      </c>
      <c r="I263" s="5">
        <v>2009</v>
      </c>
      <c r="J263" s="5" t="s">
        <v>1583</v>
      </c>
      <c r="K263" s="3" t="s">
        <v>3048</v>
      </c>
      <c r="L263" s="5" t="s">
        <v>20</v>
      </c>
      <c r="M263" s="5" t="s">
        <v>21</v>
      </c>
      <c r="N263" s="5" t="s">
        <v>20</v>
      </c>
      <c r="O263" s="5" t="s">
        <v>36</v>
      </c>
      <c r="P263" s="5" t="s">
        <v>36</v>
      </c>
      <c r="Q263" s="5"/>
      <c r="U263" s="1"/>
    </row>
    <row r="264" spans="1:21" ht="14.25" customHeight="1">
      <c r="A264" s="1">
        <v>116</v>
      </c>
      <c r="B264" s="3" t="s">
        <v>681</v>
      </c>
      <c r="C264" s="3" t="s">
        <v>682</v>
      </c>
      <c r="D264" s="3" t="s">
        <v>683</v>
      </c>
      <c r="E264" s="3">
        <v>47</v>
      </c>
      <c r="F264" s="3" t="s">
        <v>684</v>
      </c>
      <c r="G264" s="3" t="s">
        <v>685</v>
      </c>
      <c r="H264" s="3" t="s">
        <v>686</v>
      </c>
      <c r="I264" s="3">
        <v>2023</v>
      </c>
      <c r="J264" s="3" t="s">
        <v>687</v>
      </c>
      <c r="K264" s="3" t="s">
        <v>3048</v>
      </c>
      <c r="L264" s="3" t="s">
        <v>22</v>
      </c>
      <c r="M264" s="3"/>
      <c r="N264" s="3" t="s">
        <v>22</v>
      </c>
      <c r="O264" s="3" t="s">
        <v>22</v>
      </c>
      <c r="P264" s="3" t="s">
        <v>23</v>
      </c>
      <c r="Q264" s="3"/>
      <c r="R264" s="12" t="s">
        <v>20</v>
      </c>
      <c r="S264" s="1" t="s">
        <v>3089</v>
      </c>
      <c r="T264" s="1" t="s">
        <v>3091</v>
      </c>
      <c r="U264" s="31" t="s">
        <v>3183</v>
      </c>
    </row>
    <row r="265" spans="1:21" ht="14.25" customHeight="1">
      <c r="A265" s="1">
        <v>47</v>
      </c>
      <c r="B265" s="5" t="s">
        <v>293</v>
      </c>
      <c r="C265" s="5" t="s">
        <v>294</v>
      </c>
      <c r="D265" s="5" t="s">
        <v>295</v>
      </c>
      <c r="E265" s="5">
        <v>31</v>
      </c>
      <c r="F265" s="5" t="s">
        <v>296</v>
      </c>
      <c r="G265" s="5" t="s">
        <v>297</v>
      </c>
      <c r="H265" s="5" t="s">
        <v>298</v>
      </c>
      <c r="I265" s="5">
        <v>2024</v>
      </c>
      <c r="J265" s="5" t="s">
        <v>299</v>
      </c>
      <c r="K265" s="3" t="s">
        <v>3048</v>
      </c>
      <c r="L265" s="5" t="s">
        <v>22</v>
      </c>
      <c r="M265" s="5"/>
      <c r="N265" s="5" t="s">
        <v>22</v>
      </c>
      <c r="O265" s="5" t="s">
        <v>22</v>
      </c>
      <c r="P265" s="5" t="s">
        <v>23</v>
      </c>
      <c r="Q265" s="5"/>
      <c r="R265" s="12" t="s">
        <v>20</v>
      </c>
      <c r="S265" s="1" t="s">
        <v>2975</v>
      </c>
      <c r="T265" s="1" t="s">
        <v>3061</v>
      </c>
      <c r="U265" s="31" t="s">
        <v>3025</v>
      </c>
    </row>
    <row r="266" spans="1:21" ht="14.25" hidden="1" customHeight="1">
      <c r="A266" s="1">
        <v>412</v>
      </c>
      <c r="B266" s="3" t="s">
        <v>2129</v>
      </c>
      <c r="C266" s="3" t="s">
        <v>2130</v>
      </c>
      <c r="D266" s="3" t="s">
        <v>2131</v>
      </c>
      <c r="E266" s="3"/>
      <c r="F266" s="3" t="s">
        <v>2132</v>
      </c>
      <c r="G266" s="3" t="s">
        <v>2132</v>
      </c>
      <c r="H266" s="3" t="s">
        <v>27</v>
      </c>
      <c r="I266" s="3">
        <v>2005</v>
      </c>
      <c r="J266" s="3" t="s">
        <v>2133</v>
      </c>
      <c r="K266" s="3" t="s">
        <v>3048</v>
      </c>
      <c r="L266" s="3" t="s">
        <v>20</v>
      </c>
      <c r="M266" s="3" t="s">
        <v>21</v>
      </c>
      <c r="N266" s="3" t="s">
        <v>20</v>
      </c>
      <c r="O266" s="3" t="s">
        <v>36</v>
      </c>
      <c r="P266" s="3" t="s">
        <v>36</v>
      </c>
      <c r="Q266" s="3"/>
      <c r="U266" s="1"/>
    </row>
    <row r="267" spans="1:21" ht="14.25" hidden="1" customHeight="1">
      <c r="A267" s="1">
        <v>274</v>
      </c>
      <c r="B267" s="3" t="s">
        <v>1494</v>
      </c>
      <c r="C267" s="3" t="s">
        <v>1495</v>
      </c>
      <c r="D267" s="3" t="s">
        <v>1496</v>
      </c>
      <c r="E267" s="3">
        <v>107</v>
      </c>
      <c r="F267" s="3" t="s">
        <v>1497</v>
      </c>
      <c r="G267" s="3" t="s">
        <v>1498</v>
      </c>
      <c r="H267" s="3" t="s">
        <v>1499</v>
      </c>
      <c r="I267" s="3">
        <v>2020</v>
      </c>
      <c r="J267" s="3" t="s">
        <v>1500</v>
      </c>
      <c r="K267" s="3" t="s">
        <v>3048</v>
      </c>
      <c r="L267" s="3" t="s">
        <v>20</v>
      </c>
      <c r="M267" s="3" t="s">
        <v>21</v>
      </c>
      <c r="N267" s="3" t="s">
        <v>22</v>
      </c>
      <c r="O267" s="3" t="s">
        <v>22</v>
      </c>
      <c r="P267" s="3" t="s">
        <v>23</v>
      </c>
      <c r="Q267" s="3"/>
      <c r="R267" s="12" t="s">
        <v>20</v>
      </c>
      <c r="S267" s="1" t="s">
        <v>3168</v>
      </c>
      <c r="T267" s="1" t="s">
        <v>3011</v>
      </c>
      <c r="U267" s="31" t="s">
        <v>3025</v>
      </c>
    </row>
    <row r="268" spans="1:21" ht="14.25" customHeight="1">
      <c r="A268" s="1">
        <v>356</v>
      </c>
      <c r="B268" s="3" t="s">
        <v>1873</v>
      </c>
      <c r="C268" s="3" t="s">
        <v>1874</v>
      </c>
      <c r="D268" s="3" t="s">
        <v>472</v>
      </c>
      <c r="E268" s="3">
        <v>112</v>
      </c>
      <c r="F268" s="3" t="s">
        <v>1875</v>
      </c>
      <c r="G268" s="3" t="s">
        <v>1876</v>
      </c>
      <c r="H268" s="3" t="s">
        <v>1877</v>
      </c>
      <c r="I268" s="3">
        <v>2020</v>
      </c>
      <c r="J268" s="3" t="s">
        <v>1878</v>
      </c>
      <c r="K268" s="3" t="s">
        <v>3048</v>
      </c>
      <c r="L268" s="3" t="s">
        <v>22</v>
      </c>
      <c r="M268" s="3"/>
      <c r="N268" s="3" t="s">
        <v>22</v>
      </c>
      <c r="O268" s="3" t="s">
        <v>22</v>
      </c>
      <c r="P268" s="3" t="s">
        <v>23</v>
      </c>
      <c r="Q268" s="3"/>
      <c r="R268" s="22" t="s">
        <v>22</v>
      </c>
      <c r="U268" s="31" t="s">
        <v>3025</v>
      </c>
    </row>
    <row r="269" spans="1:21" s="19" customFormat="1" ht="14.25" hidden="1">
      <c r="A269" s="34">
        <v>402</v>
      </c>
      <c r="B269" s="34" t="s">
        <v>3388</v>
      </c>
      <c r="C269" s="34" t="s">
        <v>3389</v>
      </c>
      <c r="D269" s="34" t="s">
        <v>27</v>
      </c>
      <c r="E269" s="34" t="s">
        <v>27</v>
      </c>
      <c r="F269" s="34" t="s">
        <v>27</v>
      </c>
      <c r="G269" s="34" t="s">
        <v>27</v>
      </c>
      <c r="H269" s="34" t="s">
        <v>27</v>
      </c>
      <c r="I269" s="34">
        <v>2018</v>
      </c>
      <c r="J269" s="34" t="s">
        <v>27</v>
      </c>
      <c r="K269" s="34" t="s">
        <v>2946</v>
      </c>
      <c r="L269" s="34" t="s">
        <v>20</v>
      </c>
      <c r="M269" s="34"/>
      <c r="N269" s="34" t="s">
        <v>27</v>
      </c>
      <c r="O269" s="34"/>
      <c r="P269" s="34"/>
      <c r="Q269" s="34"/>
      <c r="R269" s="34"/>
      <c r="S269" s="34"/>
      <c r="T269" s="34"/>
      <c r="U269" s="34"/>
    </row>
    <row r="270" spans="1:21" ht="14.25" hidden="1" customHeight="1">
      <c r="A270" s="1">
        <v>4</v>
      </c>
      <c r="B270" s="3" t="s">
        <v>37</v>
      </c>
      <c r="C270" s="3" t="s">
        <v>38</v>
      </c>
      <c r="D270" s="3" t="s">
        <v>39</v>
      </c>
      <c r="E270" s="3">
        <v>25</v>
      </c>
      <c r="F270" s="3" t="s">
        <v>40</v>
      </c>
      <c r="G270" s="3" t="s">
        <v>41</v>
      </c>
      <c r="H270" s="3" t="s">
        <v>42</v>
      </c>
      <c r="I270" s="3">
        <v>2022</v>
      </c>
      <c r="J270" s="3" t="s">
        <v>43</v>
      </c>
      <c r="K270" s="3" t="s">
        <v>3048</v>
      </c>
      <c r="L270" s="3" t="s">
        <v>20</v>
      </c>
      <c r="M270" s="3" t="s">
        <v>21</v>
      </c>
      <c r="N270" s="3" t="s">
        <v>22</v>
      </c>
      <c r="O270" s="3" t="s">
        <v>22</v>
      </c>
      <c r="P270" s="3" t="s">
        <v>23</v>
      </c>
      <c r="Q270" s="3"/>
      <c r="R270" s="22" t="s">
        <v>20</v>
      </c>
      <c r="S270" s="1" t="s">
        <v>2975</v>
      </c>
      <c r="T270" s="1" t="s">
        <v>2896</v>
      </c>
      <c r="U270" s="31" t="s">
        <v>2938</v>
      </c>
    </row>
    <row r="271" spans="1:21" ht="14.25" hidden="1" customHeight="1">
      <c r="A271" s="1">
        <v>353</v>
      </c>
      <c r="B271" s="5" t="s">
        <v>1859</v>
      </c>
      <c r="C271" s="5" t="s">
        <v>1860</v>
      </c>
      <c r="D271" s="5" t="s">
        <v>102</v>
      </c>
      <c r="E271" s="5">
        <v>461</v>
      </c>
      <c r="F271" s="5" t="s">
        <v>27</v>
      </c>
      <c r="G271" s="5" t="s">
        <v>27</v>
      </c>
      <c r="H271" s="5" t="s">
        <v>1861</v>
      </c>
      <c r="I271" s="5">
        <v>2020</v>
      </c>
      <c r="J271" s="5" t="s">
        <v>1862</v>
      </c>
      <c r="K271" s="3" t="s">
        <v>3048</v>
      </c>
      <c r="L271" s="5" t="s">
        <v>20</v>
      </c>
      <c r="M271" s="5" t="s">
        <v>21</v>
      </c>
      <c r="N271" s="5" t="s">
        <v>20</v>
      </c>
      <c r="O271" s="5" t="s">
        <v>36</v>
      </c>
      <c r="P271" s="5" t="s">
        <v>36</v>
      </c>
      <c r="Q271" s="5"/>
      <c r="U271" s="1"/>
    </row>
    <row r="272" spans="1:21" ht="14.25" hidden="1" customHeight="1">
      <c r="A272" s="1">
        <v>531</v>
      </c>
      <c r="B272" s="5" t="s">
        <v>2675</v>
      </c>
      <c r="C272" s="5" t="s">
        <v>2676</v>
      </c>
      <c r="D272" s="5" t="s">
        <v>2677</v>
      </c>
      <c r="E272" s="5">
        <v>51</v>
      </c>
      <c r="F272" s="5" t="s">
        <v>1593</v>
      </c>
      <c r="G272" s="5" t="s">
        <v>2678</v>
      </c>
      <c r="H272" s="5" t="s">
        <v>2679</v>
      </c>
      <c r="I272" s="5">
        <v>2005</v>
      </c>
      <c r="J272" s="5" t="s">
        <v>2680</v>
      </c>
      <c r="K272" s="3" t="s">
        <v>3048</v>
      </c>
      <c r="L272" s="5" t="s">
        <v>20</v>
      </c>
      <c r="M272" s="5" t="s">
        <v>21</v>
      </c>
      <c r="N272" s="5" t="s">
        <v>20</v>
      </c>
      <c r="O272" s="5" t="s">
        <v>36</v>
      </c>
      <c r="P272" s="5" t="s">
        <v>36</v>
      </c>
      <c r="Q272" s="5"/>
      <c r="U272" s="1"/>
    </row>
    <row r="273" spans="1:21" ht="14.25" hidden="1" customHeight="1">
      <c r="A273" s="1">
        <v>343</v>
      </c>
      <c r="B273" s="5" t="s">
        <v>1811</v>
      </c>
      <c r="C273" s="5" t="s">
        <v>1812</v>
      </c>
      <c r="D273" s="5" t="s">
        <v>1121</v>
      </c>
      <c r="E273" s="5">
        <v>110</v>
      </c>
      <c r="F273" s="5" t="s">
        <v>1356</v>
      </c>
      <c r="G273" s="5" t="s">
        <v>1687</v>
      </c>
      <c r="H273" s="5" t="s">
        <v>1813</v>
      </c>
      <c r="I273" s="5">
        <v>2006</v>
      </c>
      <c r="J273" s="5" t="s">
        <v>1814</v>
      </c>
      <c r="K273" s="3" t="s">
        <v>3048</v>
      </c>
      <c r="L273" s="5" t="s">
        <v>20</v>
      </c>
      <c r="M273" s="5" t="s">
        <v>21</v>
      </c>
      <c r="N273" s="5" t="s">
        <v>20</v>
      </c>
      <c r="O273" s="5" t="s">
        <v>36</v>
      </c>
      <c r="P273" s="5" t="s">
        <v>36</v>
      </c>
      <c r="Q273" s="5"/>
      <c r="U273" s="1"/>
    </row>
    <row r="274" spans="1:21" ht="14.25" hidden="1" customHeight="1">
      <c r="A274" s="1">
        <v>230</v>
      </c>
      <c r="B274" s="3" t="s">
        <v>1282</v>
      </c>
      <c r="C274" s="3" t="s">
        <v>1283</v>
      </c>
      <c r="D274" s="3" t="s">
        <v>102</v>
      </c>
      <c r="E274" s="3">
        <v>400</v>
      </c>
      <c r="F274" s="3" t="s">
        <v>1284</v>
      </c>
      <c r="G274" s="3" t="s">
        <v>1285</v>
      </c>
      <c r="H274" s="3" t="s">
        <v>1286</v>
      </c>
      <c r="I274" s="3">
        <v>2017</v>
      </c>
      <c r="J274" s="3" t="s">
        <v>1287</v>
      </c>
      <c r="K274" s="3" t="s">
        <v>3048</v>
      </c>
      <c r="L274" s="3" t="s">
        <v>20</v>
      </c>
      <c r="M274" s="3" t="s">
        <v>21</v>
      </c>
      <c r="N274" s="3" t="s">
        <v>20</v>
      </c>
      <c r="O274" s="3" t="s">
        <v>36</v>
      </c>
      <c r="P274" s="3" t="s">
        <v>36</v>
      </c>
      <c r="Q274" s="3"/>
      <c r="U274" s="1"/>
    </row>
    <row r="275" spans="1:21" ht="14.25" hidden="1" customHeight="1">
      <c r="A275" s="1">
        <v>337</v>
      </c>
      <c r="B275" s="5" t="s">
        <v>1780</v>
      </c>
      <c r="C275" s="5" t="s">
        <v>1781</v>
      </c>
      <c r="D275" s="5" t="s">
        <v>425</v>
      </c>
      <c r="E275" s="5">
        <v>8</v>
      </c>
      <c r="F275" s="5" t="s">
        <v>27</v>
      </c>
      <c r="G275" s="5" t="s">
        <v>27</v>
      </c>
      <c r="H275" s="5" t="s">
        <v>1782</v>
      </c>
      <c r="I275" s="5">
        <v>2013</v>
      </c>
      <c r="J275" s="5" t="s">
        <v>1783</v>
      </c>
      <c r="K275" s="3" t="s">
        <v>3048</v>
      </c>
      <c r="L275" s="5" t="s">
        <v>20</v>
      </c>
      <c r="M275" s="5" t="s">
        <v>21</v>
      </c>
      <c r="N275" s="5" t="s">
        <v>20</v>
      </c>
      <c r="O275" s="5" t="s">
        <v>36</v>
      </c>
      <c r="P275" s="5" t="s">
        <v>36</v>
      </c>
      <c r="Q275" s="5"/>
      <c r="U275" s="1"/>
    </row>
    <row r="276" spans="1:21" s="19" customFormat="1" ht="14.25" hidden="1">
      <c r="A276" s="34">
        <v>396</v>
      </c>
      <c r="B276" s="34" t="s">
        <v>3390</v>
      </c>
      <c r="C276" s="34" t="s">
        <v>3391</v>
      </c>
      <c r="D276" s="34" t="s">
        <v>934</v>
      </c>
      <c r="E276" s="34">
        <v>113</v>
      </c>
      <c r="F276" s="34">
        <v>1068</v>
      </c>
      <c r="G276" s="34">
        <v>1086</v>
      </c>
      <c r="H276" s="34" t="s">
        <v>3392</v>
      </c>
      <c r="I276" s="34">
        <v>2025</v>
      </c>
      <c r="J276" s="34" t="s">
        <v>3393</v>
      </c>
      <c r="K276" s="34" t="s">
        <v>2946</v>
      </c>
      <c r="L276" s="34" t="s">
        <v>20</v>
      </c>
      <c r="M276" s="34"/>
      <c r="N276" s="34" t="s">
        <v>27</v>
      </c>
      <c r="O276" s="34"/>
      <c r="P276" s="34"/>
      <c r="Q276" s="34"/>
      <c r="R276" s="34"/>
      <c r="S276" s="34"/>
      <c r="T276" s="34"/>
      <c r="U276" s="34"/>
    </row>
    <row r="277" spans="1:21" ht="14.25" hidden="1" customHeight="1">
      <c r="A277" s="1">
        <v>262</v>
      </c>
      <c r="B277" s="3" t="s">
        <v>1437</v>
      </c>
      <c r="C277" s="3" t="s">
        <v>1438</v>
      </c>
      <c r="D277" s="3" t="s">
        <v>572</v>
      </c>
      <c r="E277" s="3">
        <v>425</v>
      </c>
      <c r="F277" s="3" t="s">
        <v>1439</v>
      </c>
      <c r="G277" s="3" t="s">
        <v>1164</v>
      </c>
      <c r="H277" s="3" t="s">
        <v>1440</v>
      </c>
      <c r="I277" s="3">
        <v>2018</v>
      </c>
      <c r="J277" s="3" t="s">
        <v>1441</v>
      </c>
      <c r="K277" s="3" t="s">
        <v>3048</v>
      </c>
      <c r="L277" s="3" t="s">
        <v>20</v>
      </c>
      <c r="M277" s="3" t="s">
        <v>21</v>
      </c>
      <c r="N277" s="3" t="s">
        <v>20</v>
      </c>
      <c r="O277" s="3" t="s">
        <v>36</v>
      </c>
      <c r="P277" s="3" t="s">
        <v>36</v>
      </c>
      <c r="Q277" s="3"/>
      <c r="U277" s="1"/>
    </row>
    <row r="278" spans="1:21" ht="14.25" hidden="1" customHeight="1">
      <c r="A278" s="1">
        <v>365</v>
      </c>
      <c r="B278" s="5" t="s">
        <v>1920</v>
      </c>
      <c r="C278" s="5" t="s">
        <v>1921</v>
      </c>
      <c r="D278" s="5" t="s">
        <v>1922</v>
      </c>
      <c r="E278" s="5">
        <v>44</v>
      </c>
      <c r="F278" s="5" t="s">
        <v>1373</v>
      </c>
      <c r="G278" s="5" t="s">
        <v>1923</v>
      </c>
      <c r="H278" s="5" t="s">
        <v>27</v>
      </c>
      <c r="I278" s="5">
        <v>2016</v>
      </c>
      <c r="J278" s="5" t="s">
        <v>1924</v>
      </c>
      <c r="K278" s="3" t="s">
        <v>3048</v>
      </c>
      <c r="L278" s="5" t="s">
        <v>20</v>
      </c>
      <c r="M278" s="5" t="s">
        <v>21</v>
      </c>
      <c r="N278" s="5" t="s">
        <v>20</v>
      </c>
      <c r="O278" s="5" t="s">
        <v>36</v>
      </c>
      <c r="P278" s="5" t="s">
        <v>36</v>
      </c>
      <c r="Q278" s="5"/>
      <c r="U278" s="1"/>
    </row>
    <row r="279" spans="1:21" ht="14.25" hidden="1" customHeight="1">
      <c r="A279" s="1">
        <v>512</v>
      </c>
      <c r="B279" s="3" t="s">
        <v>2592</v>
      </c>
      <c r="C279" s="3" t="s">
        <v>2593</v>
      </c>
      <c r="D279" s="3" t="s">
        <v>2594</v>
      </c>
      <c r="E279" s="3">
        <v>5</v>
      </c>
      <c r="F279" s="3" t="s">
        <v>27</v>
      </c>
      <c r="G279" s="3" t="s">
        <v>27</v>
      </c>
      <c r="H279" s="3" t="s">
        <v>2595</v>
      </c>
      <c r="I279" s="3">
        <v>2019</v>
      </c>
      <c r="J279" s="3" t="s">
        <v>2596</v>
      </c>
      <c r="K279" s="3" t="s">
        <v>3048</v>
      </c>
      <c r="L279" s="3" t="s">
        <v>20</v>
      </c>
      <c r="M279" s="3" t="s">
        <v>21</v>
      </c>
      <c r="N279" s="3" t="s">
        <v>20</v>
      </c>
      <c r="O279" s="3" t="s">
        <v>36</v>
      </c>
      <c r="P279" s="3" t="s">
        <v>36</v>
      </c>
      <c r="Q279" s="3"/>
      <c r="U279" s="1"/>
    </row>
    <row r="280" spans="1:21" ht="14.25" hidden="1" customHeight="1">
      <c r="A280" s="1">
        <v>299</v>
      </c>
      <c r="B280" s="5" t="s">
        <v>1609</v>
      </c>
      <c r="C280" s="5" t="s">
        <v>1610</v>
      </c>
      <c r="D280" s="5" t="s">
        <v>1611</v>
      </c>
      <c r="E280" s="5">
        <v>21</v>
      </c>
      <c r="F280" s="5" t="s">
        <v>1612</v>
      </c>
      <c r="G280" s="5" t="s">
        <v>1279</v>
      </c>
      <c r="H280" s="5" t="s">
        <v>1613</v>
      </c>
      <c r="I280" s="5">
        <v>1994</v>
      </c>
      <c r="J280" s="5" t="s">
        <v>1614</v>
      </c>
      <c r="K280" s="3" t="s">
        <v>3048</v>
      </c>
      <c r="L280" s="5" t="s">
        <v>20</v>
      </c>
      <c r="M280" s="5" t="s">
        <v>21</v>
      </c>
      <c r="N280" s="5" t="s">
        <v>20</v>
      </c>
      <c r="O280" s="5" t="s">
        <v>36</v>
      </c>
      <c r="P280" s="5" t="s">
        <v>36</v>
      </c>
      <c r="Q280" s="5"/>
      <c r="U280" s="1"/>
    </row>
    <row r="281" spans="1:21" ht="14.25" customHeight="1">
      <c r="A281" s="1">
        <v>368</v>
      </c>
      <c r="B281" s="3" t="s">
        <v>1609</v>
      </c>
      <c r="C281" s="3" t="s">
        <v>1934</v>
      </c>
      <c r="D281" s="3" t="s">
        <v>282</v>
      </c>
      <c r="E281" s="3">
        <v>104</v>
      </c>
      <c r="F281" s="3" t="s">
        <v>375</v>
      </c>
      <c r="G281" s="3" t="s">
        <v>592</v>
      </c>
      <c r="H281" s="3" t="s">
        <v>1935</v>
      </c>
      <c r="I281" s="3">
        <v>1995</v>
      </c>
      <c r="J281" s="3" t="s">
        <v>1936</v>
      </c>
      <c r="K281" s="3" t="s">
        <v>3048</v>
      </c>
      <c r="L281" s="3" t="s">
        <v>22</v>
      </c>
      <c r="M281" s="3"/>
      <c r="N281" s="3" t="s">
        <v>22</v>
      </c>
      <c r="O281" s="3" t="s">
        <v>22</v>
      </c>
      <c r="P281" s="3" t="s">
        <v>23</v>
      </c>
      <c r="Q281" s="3"/>
      <c r="R281" s="12" t="s">
        <v>22</v>
      </c>
      <c r="U281" s="31" t="s">
        <v>2910</v>
      </c>
    </row>
    <row r="282" spans="1:21" ht="14.25" customHeight="1">
      <c r="A282" s="1">
        <v>419</v>
      </c>
      <c r="B282" s="5" t="s">
        <v>2157</v>
      </c>
      <c r="C282" s="5" t="s">
        <v>2158</v>
      </c>
      <c r="D282" s="5" t="s">
        <v>1865</v>
      </c>
      <c r="E282" s="5">
        <v>22</v>
      </c>
      <c r="F282" s="5" t="s">
        <v>1457</v>
      </c>
      <c r="G282" s="5" t="s">
        <v>96</v>
      </c>
      <c r="H282" s="5" t="s">
        <v>2159</v>
      </c>
      <c r="I282" s="5">
        <v>1997</v>
      </c>
      <c r="J282" s="5" t="s">
        <v>2160</v>
      </c>
      <c r="K282" s="3" t="s">
        <v>3048</v>
      </c>
      <c r="L282" s="5" t="s">
        <v>22</v>
      </c>
      <c r="M282" s="5"/>
      <c r="N282" s="5" t="s">
        <v>22</v>
      </c>
      <c r="O282" s="5" t="s">
        <v>22</v>
      </c>
      <c r="P282" s="5" t="s">
        <v>23</v>
      </c>
      <c r="Q282" s="5" t="s">
        <v>2922</v>
      </c>
      <c r="R282" s="12" t="s">
        <v>22</v>
      </c>
      <c r="U282" s="31" t="s">
        <v>2910</v>
      </c>
    </row>
    <row r="283" spans="1:21" ht="14.25" hidden="1" customHeight="1">
      <c r="A283" s="1">
        <v>282</v>
      </c>
      <c r="B283" s="3" t="s">
        <v>1530</v>
      </c>
      <c r="C283" s="3" t="s">
        <v>1531</v>
      </c>
      <c r="D283" s="3" t="s">
        <v>27</v>
      </c>
      <c r="E283" s="3"/>
      <c r="F283" s="3" t="s">
        <v>27</v>
      </c>
      <c r="G283" s="3" t="s">
        <v>27</v>
      </c>
      <c r="H283" s="3" t="s">
        <v>27</v>
      </c>
      <c r="I283" s="3">
        <v>2015</v>
      </c>
      <c r="J283" s="3" t="s">
        <v>27</v>
      </c>
      <c r="K283" s="3" t="s">
        <v>3048</v>
      </c>
      <c r="L283" s="3" t="s">
        <v>20</v>
      </c>
      <c r="M283" s="3" t="s">
        <v>1503</v>
      </c>
      <c r="N283" s="3" t="s">
        <v>20</v>
      </c>
      <c r="O283" s="3" t="s">
        <v>36</v>
      </c>
      <c r="P283" s="3" t="s">
        <v>36</v>
      </c>
      <c r="Q283" s="3"/>
      <c r="U283" s="1"/>
    </row>
    <row r="284" spans="1:21" ht="14.25" customHeight="1">
      <c r="A284" s="1">
        <v>545</v>
      </c>
      <c r="B284" s="5" t="s">
        <v>2738</v>
      </c>
      <c r="C284" s="5" t="s">
        <v>2739</v>
      </c>
      <c r="D284" s="5" t="s">
        <v>102</v>
      </c>
      <c r="E284" s="5">
        <v>563</v>
      </c>
      <c r="F284" s="5" t="s">
        <v>27</v>
      </c>
      <c r="G284" s="5" t="s">
        <v>27</v>
      </c>
      <c r="H284" s="5" t="s">
        <v>2740</v>
      </c>
      <c r="I284" s="5">
        <v>2024</v>
      </c>
      <c r="J284" s="5" t="s">
        <v>2741</v>
      </c>
      <c r="K284" s="3" t="s">
        <v>3048</v>
      </c>
      <c r="L284" s="5" t="s">
        <v>22</v>
      </c>
      <c r="M284" s="5"/>
      <c r="N284" s="5" t="s">
        <v>22</v>
      </c>
      <c r="O284" s="5" t="s">
        <v>22</v>
      </c>
      <c r="P284" s="5" t="s">
        <v>23</v>
      </c>
      <c r="Q284" s="5"/>
      <c r="R284" s="21" t="s">
        <v>22</v>
      </c>
      <c r="U284" s="31" t="s">
        <v>2910</v>
      </c>
    </row>
    <row r="285" spans="1:21" ht="14.25" hidden="1" customHeight="1">
      <c r="A285" s="1">
        <v>336</v>
      </c>
      <c r="B285" s="3" t="s">
        <v>1775</v>
      </c>
      <c r="C285" s="3" t="s">
        <v>1776</v>
      </c>
      <c r="D285" s="3" t="s">
        <v>64</v>
      </c>
      <c r="E285" s="3">
        <v>157</v>
      </c>
      <c r="F285" s="3" t="s">
        <v>369</v>
      </c>
      <c r="G285" s="3" t="s">
        <v>1777</v>
      </c>
      <c r="H285" s="3" t="s">
        <v>1778</v>
      </c>
      <c r="I285" s="3">
        <v>2003</v>
      </c>
      <c r="J285" s="3" t="s">
        <v>1779</v>
      </c>
      <c r="K285" s="3" t="s">
        <v>3048</v>
      </c>
      <c r="L285" s="3" t="s">
        <v>20</v>
      </c>
      <c r="M285" s="3" t="s">
        <v>21</v>
      </c>
      <c r="N285" s="3" t="s">
        <v>20</v>
      </c>
      <c r="O285" s="3" t="s">
        <v>36</v>
      </c>
      <c r="P285" s="3" t="s">
        <v>36</v>
      </c>
      <c r="Q285" s="3"/>
      <c r="U285" s="1"/>
    </row>
    <row r="286" spans="1:21" ht="14.25" customHeight="1">
      <c r="A286" s="1">
        <v>372</v>
      </c>
      <c r="B286" s="3" t="s">
        <v>1954</v>
      </c>
      <c r="C286" s="3" t="s">
        <v>1955</v>
      </c>
      <c r="D286" s="3" t="s">
        <v>217</v>
      </c>
      <c r="E286" s="3">
        <v>24</v>
      </c>
      <c r="F286" s="3" t="s">
        <v>1956</v>
      </c>
      <c r="G286" s="3" t="s">
        <v>1957</v>
      </c>
      <c r="H286" s="3" t="s">
        <v>1958</v>
      </c>
      <c r="I286" s="3">
        <v>2010</v>
      </c>
      <c r="J286" s="3" t="s">
        <v>1959</v>
      </c>
      <c r="K286" s="3" t="s">
        <v>3048</v>
      </c>
      <c r="L286" s="3" t="s">
        <v>22</v>
      </c>
      <c r="M286" s="3"/>
      <c r="N286" s="3" t="s">
        <v>22</v>
      </c>
      <c r="O286" s="3" t="s">
        <v>22</v>
      </c>
      <c r="P286" s="3" t="s">
        <v>23</v>
      </c>
      <c r="Q286" s="3"/>
      <c r="R286" s="12" t="s">
        <v>22</v>
      </c>
      <c r="U286" s="31" t="s">
        <v>3048</v>
      </c>
    </row>
    <row r="287" spans="1:21" ht="14.25" customHeight="1">
      <c r="A287" s="1">
        <v>502</v>
      </c>
      <c r="B287" s="3" t="s">
        <v>2546</v>
      </c>
      <c r="C287" s="3" t="s">
        <v>2547</v>
      </c>
      <c r="D287" s="3" t="s">
        <v>2548</v>
      </c>
      <c r="E287" s="3"/>
      <c r="F287" s="3" t="s">
        <v>2549</v>
      </c>
      <c r="G287" s="3" t="s">
        <v>2549</v>
      </c>
      <c r="H287" s="3" t="s">
        <v>27</v>
      </c>
      <c r="I287" s="3">
        <v>1998</v>
      </c>
      <c r="J287" s="3" t="s">
        <v>2550</v>
      </c>
      <c r="K287" s="3" t="s">
        <v>3048</v>
      </c>
      <c r="L287" s="3" t="s">
        <v>22</v>
      </c>
      <c r="M287" s="3"/>
      <c r="N287" s="3" t="s">
        <v>268</v>
      </c>
      <c r="O287" s="3" t="s">
        <v>36</v>
      </c>
      <c r="P287" s="3" t="s">
        <v>2215</v>
      </c>
      <c r="Q287" s="3" t="s">
        <v>1431</v>
      </c>
      <c r="R287" s="22" t="s">
        <v>36</v>
      </c>
      <c r="S287" s="3"/>
      <c r="U287" s="1"/>
    </row>
    <row r="288" spans="1:21" ht="14.25" customHeight="1">
      <c r="A288" s="1">
        <v>29</v>
      </c>
      <c r="B288" s="5" t="s">
        <v>183</v>
      </c>
      <c r="C288" s="5" t="s">
        <v>184</v>
      </c>
      <c r="D288" s="5" t="s">
        <v>185</v>
      </c>
      <c r="E288" s="5">
        <v>8</v>
      </c>
      <c r="F288" s="5" t="s">
        <v>186</v>
      </c>
      <c r="G288" s="5" t="s">
        <v>187</v>
      </c>
      <c r="H288" s="5" t="s">
        <v>188</v>
      </c>
      <c r="I288" s="5">
        <v>1999</v>
      </c>
      <c r="J288" s="5" t="s">
        <v>189</v>
      </c>
      <c r="K288" s="3" t="s">
        <v>3048</v>
      </c>
      <c r="L288" s="5" t="s">
        <v>22</v>
      </c>
      <c r="M288" s="5"/>
      <c r="N288" s="5" t="s">
        <v>22</v>
      </c>
      <c r="O288" s="5" t="s">
        <v>22</v>
      </c>
      <c r="P288" s="5" t="s">
        <v>23</v>
      </c>
      <c r="Q288" s="5"/>
      <c r="R288" s="21" t="s">
        <v>22</v>
      </c>
      <c r="U288" s="31" t="s">
        <v>2938</v>
      </c>
    </row>
    <row r="289" spans="1:21" ht="14.25" hidden="1" customHeight="1">
      <c r="A289" s="1">
        <v>546</v>
      </c>
      <c r="B289" s="3" t="s">
        <v>2742</v>
      </c>
      <c r="C289" s="3" t="s">
        <v>2743</v>
      </c>
      <c r="D289" s="3" t="s">
        <v>27</v>
      </c>
      <c r="E289" s="3"/>
      <c r="F289" s="3" t="s">
        <v>27</v>
      </c>
      <c r="G289" s="3" t="s">
        <v>27</v>
      </c>
      <c r="H289" s="3" t="s">
        <v>27</v>
      </c>
      <c r="I289" s="3">
        <v>1998</v>
      </c>
      <c r="J289" s="3" t="s">
        <v>27</v>
      </c>
      <c r="K289" s="3" t="s">
        <v>3048</v>
      </c>
      <c r="L289" s="3" t="s">
        <v>20</v>
      </c>
      <c r="M289" s="3" t="s">
        <v>36</v>
      </c>
      <c r="N289" s="3" t="s">
        <v>20</v>
      </c>
      <c r="O289" s="3" t="s">
        <v>36</v>
      </c>
      <c r="P289" s="3" t="s">
        <v>36</v>
      </c>
      <c r="Q289" s="3" t="s">
        <v>1431</v>
      </c>
      <c r="R289" s="22" t="s">
        <v>36</v>
      </c>
      <c r="S289" s="3"/>
      <c r="U289" s="1"/>
    </row>
    <row r="290" spans="1:21" ht="14.25" hidden="1" customHeight="1">
      <c r="A290" s="1">
        <v>560</v>
      </c>
      <c r="B290" s="3" t="s">
        <v>2796</v>
      </c>
      <c r="C290" s="3" t="s">
        <v>2797</v>
      </c>
      <c r="D290" s="3" t="s">
        <v>39</v>
      </c>
      <c r="E290" s="3">
        <v>17</v>
      </c>
      <c r="F290" s="3" t="s">
        <v>2798</v>
      </c>
      <c r="G290" s="3" t="s">
        <v>2799</v>
      </c>
      <c r="H290" s="3" t="s">
        <v>2800</v>
      </c>
      <c r="I290" s="3">
        <v>2014</v>
      </c>
      <c r="J290" s="3" t="s">
        <v>2801</v>
      </c>
      <c r="K290" s="3" t="s">
        <v>3048</v>
      </c>
      <c r="L290" s="3" t="s">
        <v>20</v>
      </c>
      <c r="M290" s="3" t="s">
        <v>21</v>
      </c>
      <c r="N290" s="3" t="s">
        <v>20</v>
      </c>
      <c r="O290" s="3" t="s">
        <v>36</v>
      </c>
      <c r="P290" s="3" t="s">
        <v>36</v>
      </c>
      <c r="Q290" s="3"/>
      <c r="U290" s="1"/>
    </row>
    <row r="291" spans="1:21" ht="14.25" customHeight="1">
      <c r="A291" s="1">
        <v>543</v>
      </c>
      <c r="B291" s="5" t="s">
        <v>2731</v>
      </c>
      <c r="C291" s="5" t="s">
        <v>2732</v>
      </c>
      <c r="D291" s="5" t="s">
        <v>2733</v>
      </c>
      <c r="E291" s="5">
        <v>46</v>
      </c>
      <c r="F291" s="5" t="s">
        <v>1632</v>
      </c>
      <c r="G291" s="5" t="s">
        <v>1507</v>
      </c>
      <c r="H291" s="5" t="s">
        <v>27</v>
      </c>
      <c r="I291" s="5">
        <v>2013</v>
      </c>
      <c r="J291" s="5" t="s">
        <v>2734</v>
      </c>
      <c r="K291" s="3" t="s">
        <v>3048</v>
      </c>
      <c r="L291" s="5" t="s">
        <v>22</v>
      </c>
      <c r="M291" s="5"/>
      <c r="N291" s="5" t="s">
        <v>22</v>
      </c>
      <c r="O291" s="5" t="s">
        <v>36</v>
      </c>
      <c r="P291" s="5" t="s">
        <v>2735</v>
      </c>
      <c r="Q291" s="5"/>
      <c r="U291" s="1"/>
    </row>
    <row r="292" spans="1:21" ht="14.25" hidden="1" customHeight="1">
      <c r="A292" s="1">
        <v>406</v>
      </c>
      <c r="B292" s="3" t="s">
        <v>2101</v>
      </c>
      <c r="C292" s="3" t="s">
        <v>2102</v>
      </c>
      <c r="D292" s="3" t="s">
        <v>315</v>
      </c>
      <c r="E292" s="3">
        <v>43</v>
      </c>
      <c r="F292" s="3" t="s">
        <v>2103</v>
      </c>
      <c r="G292" s="3" t="s">
        <v>1632</v>
      </c>
      <c r="H292" s="3" t="s">
        <v>27</v>
      </c>
      <c r="I292" s="3">
        <v>1997</v>
      </c>
      <c r="J292" s="3" t="s">
        <v>2104</v>
      </c>
      <c r="K292" s="3" t="s">
        <v>3048</v>
      </c>
      <c r="L292" s="3" t="s">
        <v>20</v>
      </c>
      <c r="M292" s="3" t="s">
        <v>21</v>
      </c>
      <c r="N292" s="3" t="s">
        <v>20</v>
      </c>
      <c r="O292" s="3" t="s">
        <v>36</v>
      </c>
      <c r="P292" s="3" t="s">
        <v>36</v>
      </c>
      <c r="Q292" s="3"/>
      <c r="U292" s="1"/>
    </row>
    <row r="293" spans="1:21" ht="14.25" hidden="1" customHeight="1">
      <c r="A293" s="1">
        <v>317</v>
      </c>
      <c r="B293" s="5" t="s">
        <v>1696</v>
      </c>
      <c r="C293" s="5" t="s">
        <v>1697</v>
      </c>
      <c r="D293" s="5" t="s">
        <v>27</v>
      </c>
      <c r="E293" s="5"/>
      <c r="F293" s="5" t="s">
        <v>27</v>
      </c>
      <c r="G293" s="5" t="s">
        <v>27</v>
      </c>
      <c r="H293" s="5" t="s">
        <v>27</v>
      </c>
      <c r="I293" s="5">
        <v>2010</v>
      </c>
      <c r="J293" s="5" t="s">
        <v>27</v>
      </c>
      <c r="K293" s="3" t="s">
        <v>3048</v>
      </c>
      <c r="L293" s="5" t="s">
        <v>20</v>
      </c>
      <c r="M293" s="5" t="s">
        <v>21</v>
      </c>
      <c r="N293" s="5" t="s">
        <v>20</v>
      </c>
      <c r="O293" s="5" t="s">
        <v>36</v>
      </c>
      <c r="P293" s="5" t="s">
        <v>36</v>
      </c>
      <c r="Q293" s="5"/>
      <c r="U293" s="1"/>
    </row>
    <row r="294" spans="1:21" s="19" customFormat="1" ht="14.25" hidden="1">
      <c r="A294" s="34">
        <v>452</v>
      </c>
      <c r="B294" s="34" t="s">
        <v>3394</v>
      </c>
      <c r="C294" s="34" t="s">
        <v>3395</v>
      </c>
      <c r="D294" s="34" t="s">
        <v>3396</v>
      </c>
      <c r="E294" s="34">
        <v>34</v>
      </c>
      <c r="F294" s="34">
        <v>571</v>
      </c>
      <c r="G294" s="34">
        <v>576</v>
      </c>
      <c r="H294" s="34" t="s">
        <v>27</v>
      </c>
      <c r="I294" s="34">
        <v>2009</v>
      </c>
      <c r="J294" s="34" t="s">
        <v>3397</v>
      </c>
      <c r="K294" s="34" t="s">
        <v>2946</v>
      </c>
      <c r="L294" s="34" t="s">
        <v>20</v>
      </c>
      <c r="M294" s="34"/>
      <c r="N294" s="34" t="s">
        <v>27</v>
      </c>
      <c r="O294" s="34"/>
      <c r="P294" s="34"/>
      <c r="Q294" s="34"/>
      <c r="R294" s="34"/>
      <c r="S294" s="34"/>
      <c r="T294" s="34"/>
      <c r="U294" s="34"/>
    </row>
    <row r="295" spans="1:21" s="19" customFormat="1" ht="14.25" hidden="1">
      <c r="A295" s="34">
        <v>361</v>
      </c>
      <c r="B295" s="34" t="s">
        <v>3398</v>
      </c>
      <c r="C295" s="34" t="s">
        <v>3399</v>
      </c>
      <c r="D295" s="34" t="s">
        <v>27</v>
      </c>
      <c r="E295" s="34" t="s">
        <v>27</v>
      </c>
      <c r="F295" s="34" t="s">
        <v>27</v>
      </c>
      <c r="G295" s="34" t="s">
        <v>27</v>
      </c>
      <c r="H295" s="34" t="s">
        <v>27</v>
      </c>
      <c r="I295" s="34">
        <v>2022</v>
      </c>
      <c r="J295" s="34" t="s">
        <v>27</v>
      </c>
      <c r="K295" s="34" t="s">
        <v>2946</v>
      </c>
      <c r="L295" s="34" t="s">
        <v>20</v>
      </c>
      <c r="M295" s="34"/>
      <c r="N295" s="34" t="s">
        <v>27</v>
      </c>
      <c r="O295" s="34"/>
      <c r="P295" s="34"/>
      <c r="Q295" s="34"/>
      <c r="R295" s="34"/>
      <c r="S295" s="34"/>
      <c r="T295" s="34"/>
      <c r="U295" s="34"/>
    </row>
    <row r="296" spans="1:21" ht="14.25" hidden="1" customHeight="1">
      <c r="A296" s="1">
        <v>374</v>
      </c>
      <c r="B296" s="3" t="s">
        <v>1964</v>
      </c>
      <c r="C296" s="3" t="s">
        <v>1965</v>
      </c>
      <c r="D296" s="3" t="s">
        <v>27</v>
      </c>
      <c r="E296" s="3"/>
      <c r="F296" s="3" t="s">
        <v>27</v>
      </c>
      <c r="G296" s="3" t="s">
        <v>27</v>
      </c>
      <c r="H296" s="3" t="s">
        <v>27</v>
      </c>
      <c r="I296" s="3"/>
      <c r="J296" s="3" t="s">
        <v>1966</v>
      </c>
      <c r="K296" s="3" t="s">
        <v>3048</v>
      </c>
      <c r="L296" s="3" t="s">
        <v>20</v>
      </c>
      <c r="M296" s="3" t="s">
        <v>21</v>
      </c>
      <c r="N296" s="3" t="s">
        <v>20</v>
      </c>
      <c r="O296" s="3" t="s">
        <v>36</v>
      </c>
      <c r="P296" s="3" t="s">
        <v>36</v>
      </c>
      <c r="Q296" s="3"/>
      <c r="U296" s="1"/>
    </row>
    <row r="297" spans="1:21" ht="14.25" hidden="1" customHeight="1">
      <c r="A297" s="1">
        <v>176</v>
      </c>
      <c r="B297" s="3" t="s">
        <v>1004</v>
      </c>
      <c r="C297" s="3" t="s">
        <v>1005</v>
      </c>
      <c r="D297" s="3" t="s">
        <v>15</v>
      </c>
      <c r="E297" s="3">
        <v>32</v>
      </c>
      <c r="F297" s="3" t="s">
        <v>1006</v>
      </c>
      <c r="G297" s="3" t="s">
        <v>1007</v>
      </c>
      <c r="H297" s="3" t="s">
        <v>1008</v>
      </c>
      <c r="I297" s="3">
        <v>2022</v>
      </c>
      <c r="J297" s="3" t="s">
        <v>1009</v>
      </c>
      <c r="K297" s="3" t="s">
        <v>3048</v>
      </c>
      <c r="L297" s="3" t="s">
        <v>20</v>
      </c>
      <c r="M297" s="3" t="s">
        <v>21</v>
      </c>
      <c r="N297" s="3" t="s">
        <v>20</v>
      </c>
      <c r="O297" s="3" t="s">
        <v>36</v>
      </c>
      <c r="P297" s="3" t="s">
        <v>36</v>
      </c>
      <c r="Q297" s="3"/>
      <c r="U297" s="1"/>
    </row>
    <row r="298" spans="1:21" ht="14.25" hidden="1" customHeight="1">
      <c r="A298" s="1">
        <v>175</v>
      </c>
      <c r="B298" s="5" t="s">
        <v>998</v>
      </c>
      <c r="C298" s="5" t="s">
        <v>999</v>
      </c>
      <c r="D298" s="5" t="s">
        <v>88</v>
      </c>
      <c r="E298" s="5">
        <v>92</v>
      </c>
      <c r="F298" s="5" t="s">
        <v>1000</v>
      </c>
      <c r="G298" s="5" t="s">
        <v>1001</v>
      </c>
      <c r="H298" s="5" t="s">
        <v>1002</v>
      </c>
      <c r="I298" s="5">
        <v>2014</v>
      </c>
      <c r="J298" s="5" t="s">
        <v>1003</v>
      </c>
      <c r="K298" s="3" t="s">
        <v>3048</v>
      </c>
      <c r="L298" s="5" t="s">
        <v>20</v>
      </c>
      <c r="M298" s="5" t="s">
        <v>21</v>
      </c>
      <c r="N298" s="5" t="s">
        <v>20</v>
      </c>
      <c r="O298" s="5" t="s">
        <v>36</v>
      </c>
      <c r="P298" s="5" t="s">
        <v>36</v>
      </c>
      <c r="Q298" s="5"/>
      <c r="U298" s="1"/>
    </row>
    <row r="299" spans="1:21" ht="14.25" hidden="1" customHeight="1">
      <c r="A299" s="1">
        <v>264</v>
      </c>
      <c r="B299" s="3" t="s">
        <v>1447</v>
      </c>
      <c r="C299" s="3" t="s">
        <v>1448</v>
      </c>
      <c r="D299" s="3" t="s">
        <v>1449</v>
      </c>
      <c r="E299" s="3">
        <v>6</v>
      </c>
      <c r="F299" s="3" t="s">
        <v>558</v>
      </c>
      <c r="G299" s="3" t="s">
        <v>1328</v>
      </c>
      <c r="H299" s="3" t="s">
        <v>27</v>
      </c>
      <c r="I299" s="3">
        <v>2012</v>
      </c>
      <c r="J299" s="3" t="s">
        <v>1450</v>
      </c>
      <c r="K299" s="3" t="s">
        <v>3048</v>
      </c>
      <c r="L299" s="3" t="s">
        <v>20</v>
      </c>
      <c r="M299" s="3" t="s">
        <v>21</v>
      </c>
      <c r="N299" s="3" t="s">
        <v>22</v>
      </c>
      <c r="O299" s="3" t="s">
        <v>22</v>
      </c>
      <c r="P299" s="3" t="s">
        <v>23</v>
      </c>
      <c r="Q299" s="3"/>
      <c r="R299" s="12" t="s">
        <v>20</v>
      </c>
      <c r="S299" s="1" t="s">
        <v>3023</v>
      </c>
      <c r="T299" s="1" t="s">
        <v>3024</v>
      </c>
      <c r="U299" s="31" t="s">
        <v>3289</v>
      </c>
    </row>
    <row r="300" spans="1:21" ht="14.25" customHeight="1">
      <c r="A300" s="1">
        <v>59</v>
      </c>
      <c r="B300" s="5" t="s">
        <v>366</v>
      </c>
      <c r="C300" s="5" t="s">
        <v>367</v>
      </c>
      <c r="D300" s="5" t="s">
        <v>368</v>
      </c>
      <c r="E300" s="5">
        <v>60</v>
      </c>
      <c r="F300" s="5" t="s">
        <v>369</v>
      </c>
      <c r="G300" s="5" t="s">
        <v>370</v>
      </c>
      <c r="H300" s="5" t="s">
        <v>371</v>
      </c>
      <c r="I300" s="5">
        <v>2015</v>
      </c>
      <c r="J300" s="5" t="s">
        <v>372</v>
      </c>
      <c r="K300" s="3" t="s">
        <v>3048</v>
      </c>
      <c r="L300" s="5" t="s">
        <v>22</v>
      </c>
      <c r="M300" s="5"/>
      <c r="N300" s="5" t="s">
        <v>22</v>
      </c>
      <c r="O300" s="5" t="s">
        <v>22</v>
      </c>
      <c r="P300" s="5" t="s">
        <v>23</v>
      </c>
      <c r="Q300" s="5"/>
      <c r="R300" s="12" t="s">
        <v>20</v>
      </c>
      <c r="S300" s="1" t="s">
        <v>2975</v>
      </c>
      <c r="T300" s="1" t="s">
        <v>3197</v>
      </c>
      <c r="U300" s="31" t="s">
        <v>3048</v>
      </c>
    </row>
    <row r="301" spans="1:21" ht="14.25" hidden="1" customHeight="1">
      <c r="A301" s="1">
        <v>148</v>
      </c>
      <c r="B301" s="3" t="s">
        <v>855</v>
      </c>
      <c r="C301" s="3" t="s">
        <v>856</v>
      </c>
      <c r="D301" s="3" t="s">
        <v>857</v>
      </c>
      <c r="E301" s="3">
        <v>48</v>
      </c>
      <c r="F301" s="3" t="s">
        <v>858</v>
      </c>
      <c r="G301" s="3" t="s">
        <v>859</v>
      </c>
      <c r="H301" s="3" t="s">
        <v>860</v>
      </c>
      <c r="I301" s="3">
        <v>2002</v>
      </c>
      <c r="J301" s="3" t="s">
        <v>861</v>
      </c>
      <c r="K301" s="3" t="s">
        <v>3048</v>
      </c>
      <c r="L301" s="3" t="s">
        <v>20</v>
      </c>
      <c r="M301" s="3" t="s">
        <v>21</v>
      </c>
      <c r="N301" s="3" t="s">
        <v>20</v>
      </c>
      <c r="O301" s="3" t="s">
        <v>36</v>
      </c>
      <c r="P301" s="3" t="s">
        <v>36</v>
      </c>
      <c r="Q301" s="3"/>
      <c r="U301" s="1"/>
    </row>
    <row r="302" spans="1:21" ht="14.25" hidden="1" customHeight="1">
      <c r="A302" s="1">
        <v>216</v>
      </c>
      <c r="B302" s="3" t="s">
        <v>1210</v>
      </c>
      <c r="C302" s="3" t="s">
        <v>1211</v>
      </c>
      <c r="D302" s="3" t="s">
        <v>1212</v>
      </c>
      <c r="E302" s="3"/>
      <c r="F302" s="3" t="s">
        <v>200</v>
      </c>
      <c r="G302" s="3" t="s">
        <v>1213</v>
      </c>
      <c r="H302" s="3" t="s">
        <v>27</v>
      </c>
      <c r="I302" s="3">
        <v>1999</v>
      </c>
      <c r="J302" s="3" t="s">
        <v>1214</v>
      </c>
      <c r="K302" s="3" t="s">
        <v>3048</v>
      </c>
      <c r="L302" s="3" t="s">
        <v>20</v>
      </c>
      <c r="M302" s="3" t="s">
        <v>21</v>
      </c>
      <c r="N302" s="3" t="s">
        <v>20</v>
      </c>
      <c r="O302" s="3" t="s">
        <v>36</v>
      </c>
      <c r="P302" s="3" t="s">
        <v>36</v>
      </c>
      <c r="Q302" s="3"/>
      <c r="U302" s="1"/>
    </row>
    <row r="303" spans="1:21" ht="14.25" customHeight="1">
      <c r="A303" s="1">
        <v>60</v>
      </c>
      <c r="B303" s="3" t="s">
        <v>373</v>
      </c>
      <c r="C303" s="3" t="s">
        <v>374</v>
      </c>
      <c r="D303" s="3" t="s">
        <v>81</v>
      </c>
      <c r="E303" s="3">
        <v>114</v>
      </c>
      <c r="F303" s="3" t="s">
        <v>375</v>
      </c>
      <c r="G303" s="3" t="s">
        <v>376</v>
      </c>
      <c r="H303" s="3" t="s">
        <v>377</v>
      </c>
      <c r="I303" s="3">
        <v>2010</v>
      </c>
      <c r="J303" s="3" t="s">
        <v>378</v>
      </c>
      <c r="K303" s="3" t="s">
        <v>3048</v>
      </c>
      <c r="L303" s="3" t="s">
        <v>22</v>
      </c>
      <c r="M303" s="3"/>
      <c r="N303" s="3" t="s">
        <v>22</v>
      </c>
      <c r="O303" s="3" t="s">
        <v>22</v>
      </c>
      <c r="P303" s="3" t="s">
        <v>23</v>
      </c>
      <c r="Q303" s="3"/>
      <c r="R303" s="12" t="s">
        <v>20</v>
      </c>
      <c r="S303" s="1" t="s">
        <v>2975</v>
      </c>
      <c r="T303" s="1" t="s">
        <v>3208</v>
      </c>
      <c r="U303" s="31" t="s">
        <v>3291</v>
      </c>
    </row>
    <row r="304" spans="1:21" ht="14.25" customHeight="1">
      <c r="A304" s="1">
        <v>65</v>
      </c>
      <c r="B304" s="5" t="s">
        <v>405</v>
      </c>
      <c r="C304" s="5" t="s">
        <v>406</v>
      </c>
      <c r="D304" s="5" t="s">
        <v>282</v>
      </c>
      <c r="E304" s="5">
        <v>167</v>
      </c>
      <c r="F304" s="5" t="s">
        <v>407</v>
      </c>
      <c r="G304" s="5" t="s">
        <v>408</v>
      </c>
      <c r="H304" s="5" t="s">
        <v>409</v>
      </c>
      <c r="I304" s="5">
        <v>2011</v>
      </c>
      <c r="J304" s="5" t="s">
        <v>410</v>
      </c>
      <c r="K304" s="3" t="s">
        <v>3048</v>
      </c>
      <c r="L304" s="5" t="s">
        <v>22</v>
      </c>
      <c r="M304" s="5"/>
      <c r="N304" s="5" t="s">
        <v>22</v>
      </c>
      <c r="O304" s="5" t="s">
        <v>22</v>
      </c>
      <c r="P304" s="5" t="s">
        <v>23</v>
      </c>
      <c r="Q304" s="5"/>
      <c r="R304" s="12" t="s">
        <v>20</v>
      </c>
      <c r="S304" s="1" t="s">
        <v>3007</v>
      </c>
      <c r="T304" s="1" t="s">
        <v>3065</v>
      </c>
      <c r="U304" s="31" t="s">
        <v>3291</v>
      </c>
    </row>
    <row r="305" spans="1:21" ht="14.25" hidden="1" customHeight="1">
      <c r="A305" s="1">
        <v>334</v>
      </c>
      <c r="B305" s="3" t="s">
        <v>1764</v>
      </c>
      <c r="C305" s="3" t="s">
        <v>1765</v>
      </c>
      <c r="D305" s="3" t="s">
        <v>46</v>
      </c>
      <c r="E305" s="3">
        <v>68</v>
      </c>
      <c r="F305" s="3" t="s">
        <v>1766</v>
      </c>
      <c r="G305" s="3" t="s">
        <v>1767</v>
      </c>
      <c r="H305" s="3" t="s">
        <v>1768</v>
      </c>
      <c r="I305" s="3">
        <v>2002</v>
      </c>
      <c r="J305" s="3" t="s">
        <v>1769</v>
      </c>
      <c r="K305" s="3" t="s">
        <v>3048</v>
      </c>
      <c r="L305" s="3" t="s">
        <v>20</v>
      </c>
      <c r="M305" s="3" t="s">
        <v>21</v>
      </c>
      <c r="N305" s="3" t="s">
        <v>20</v>
      </c>
      <c r="O305" s="3" t="s">
        <v>36</v>
      </c>
      <c r="P305" s="3" t="s">
        <v>36</v>
      </c>
      <c r="Q305" s="3"/>
      <c r="U305" s="1"/>
    </row>
    <row r="306" spans="1:21" s="19" customFormat="1" ht="14.25" hidden="1">
      <c r="A306" s="34">
        <v>368</v>
      </c>
      <c r="B306" s="34" t="s">
        <v>3400</v>
      </c>
      <c r="C306" s="34" t="s">
        <v>3401</v>
      </c>
      <c r="D306" s="34" t="s">
        <v>3402</v>
      </c>
      <c r="E306" s="34">
        <v>7</v>
      </c>
      <c r="F306" s="34" t="s">
        <v>27</v>
      </c>
      <c r="G306" s="34" t="s">
        <v>27</v>
      </c>
      <c r="H306" s="34" t="s">
        <v>3403</v>
      </c>
      <c r="I306" s="34">
        <v>2024</v>
      </c>
      <c r="J306" s="34" t="s">
        <v>3404</v>
      </c>
      <c r="K306" s="34" t="s">
        <v>2946</v>
      </c>
      <c r="L306" s="34" t="s">
        <v>20</v>
      </c>
      <c r="M306" s="34"/>
      <c r="N306" s="34" t="s">
        <v>27</v>
      </c>
      <c r="O306" s="34"/>
      <c r="P306" s="34"/>
      <c r="Q306" s="34"/>
      <c r="R306" s="34"/>
      <c r="S306" s="34"/>
      <c r="T306" s="34"/>
      <c r="U306" s="34"/>
    </row>
    <row r="307" spans="1:21" ht="14.25" customHeight="1">
      <c r="A307" s="1">
        <v>269</v>
      </c>
      <c r="B307" s="5" t="s">
        <v>1472</v>
      </c>
      <c r="C307" s="5" t="s">
        <v>1473</v>
      </c>
      <c r="D307" s="5" t="s">
        <v>193</v>
      </c>
      <c r="E307" s="5">
        <v>40</v>
      </c>
      <c r="F307" s="5" t="s">
        <v>1457</v>
      </c>
      <c r="G307" s="5" t="s">
        <v>1244</v>
      </c>
      <c r="H307" s="5" t="s">
        <v>1474</v>
      </c>
      <c r="I307" s="5">
        <v>2003</v>
      </c>
      <c r="J307" s="5" t="s">
        <v>1475</v>
      </c>
      <c r="K307" s="3" t="s">
        <v>3048</v>
      </c>
      <c r="L307" s="5" t="s">
        <v>22</v>
      </c>
      <c r="M307" s="5"/>
      <c r="N307" s="5" t="s">
        <v>22</v>
      </c>
      <c r="O307" s="5" t="s">
        <v>22</v>
      </c>
      <c r="P307" s="5" t="s">
        <v>23</v>
      </c>
      <c r="Q307" s="5"/>
      <c r="R307" s="12" t="s">
        <v>20</v>
      </c>
      <c r="S307" s="1" t="s">
        <v>2975</v>
      </c>
      <c r="T307" s="1" t="s">
        <v>3014</v>
      </c>
      <c r="U307" s="31" t="s">
        <v>3025</v>
      </c>
    </row>
    <row r="308" spans="1:21" ht="14.25" customHeight="1">
      <c r="A308" s="1">
        <v>391</v>
      </c>
      <c r="B308" s="5" t="s">
        <v>2037</v>
      </c>
      <c r="C308" s="5" t="s">
        <v>2038</v>
      </c>
      <c r="D308" s="5" t="s">
        <v>27</v>
      </c>
      <c r="E308" s="5"/>
      <c r="F308" s="5" t="s">
        <v>27</v>
      </c>
      <c r="G308" s="5" t="s">
        <v>27</v>
      </c>
      <c r="H308" s="5" t="s">
        <v>27</v>
      </c>
      <c r="I308" s="5">
        <v>2001</v>
      </c>
      <c r="J308" s="5" t="s">
        <v>27</v>
      </c>
      <c r="K308" s="3" t="s">
        <v>3048</v>
      </c>
      <c r="L308" s="5" t="s">
        <v>22</v>
      </c>
      <c r="M308" s="5" t="s">
        <v>1256</v>
      </c>
      <c r="N308" s="5" t="s">
        <v>268</v>
      </c>
      <c r="O308" s="5" t="s">
        <v>36</v>
      </c>
      <c r="P308" s="5" t="s">
        <v>1256</v>
      </c>
      <c r="Q308" s="5"/>
      <c r="U308" s="1"/>
    </row>
    <row r="309" spans="1:21" ht="14.25" customHeight="1">
      <c r="A309" s="1">
        <v>243</v>
      </c>
      <c r="B309" s="5" t="s">
        <v>1344</v>
      </c>
      <c r="C309" s="5" t="s">
        <v>1345</v>
      </c>
      <c r="D309" s="5" t="s">
        <v>611</v>
      </c>
      <c r="E309" s="5">
        <v>235</v>
      </c>
      <c r="F309" s="5" t="s">
        <v>454</v>
      </c>
      <c r="G309" s="5" t="s">
        <v>341</v>
      </c>
      <c r="H309" s="5" t="s">
        <v>1346</v>
      </c>
      <c r="I309" s="5">
        <v>2014</v>
      </c>
      <c r="J309" s="5" t="s">
        <v>1347</v>
      </c>
      <c r="K309" s="3" t="s">
        <v>3048</v>
      </c>
      <c r="L309" s="5" t="s">
        <v>22</v>
      </c>
      <c r="M309" s="5"/>
      <c r="N309" s="5" t="s">
        <v>22</v>
      </c>
      <c r="O309" s="5" t="s">
        <v>22</v>
      </c>
      <c r="P309" s="5" t="s">
        <v>23</v>
      </c>
      <c r="Q309" s="5"/>
      <c r="R309" s="12" t="s">
        <v>20</v>
      </c>
      <c r="S309" s="1" t="s">
        <v>2975</v>
      </c>
      <c r="U309" s="31" t="s">
        <v>3051</v>
      </c>
    </row>
    <row r="310" spans="1:21" ht="14.25" customHeight="1">
      <c r="A310" s="1">
        <v>208</v>
      </c>
      <c r="B310" s="3" t="s">
        <v>1167</v>
      </c>
      <c r="C310" s="3" t="s">
        <v>1168</v>
      </c>
      <c r="D310" s="3" t="s">
        <v>102</v>
      </c>
      <c r="E310" s="3">
        <v>463</v>
      </c>
      <c r="F310" s="3" t="s">
        <v>27</v>
      </c>
      <c r="G310" s="3" t="s">
        <v>27</v>
      </c>
      <c r="H310" s="3" t="s">
        <v>1169</v>
      </c>
      <c r="I310" s="3">
        <v>2020</v>
      </c>
      <c r="J310" s="3" t="s">
        <v>1170</v>
      </c>
      <c r="K310" s="3" t="s">
        <v>3048</v>
      </c>
      <c r="L310" s="3" t="s">
        <v>22</v>
      </c>
      <c r="M310" s="3"/>
      <c r="N310" s="3" t="s">
        <v>22</v>
      </c>
      <c r="O310" s="3" t="s">
        <v>22</v>
      </c>
      <c r="P310" s="3" t="s">
        <v>23</v>
      </c>
      <c r="Q310" s="3"/>
      <c r="R310" s="12" t="s">
        <v>22</v>
      </c>
      <c r="U310" s="31" t="s">
        <v>3051</v>
      </c>
    </row>
    <row r="311" spans="1:21" ht="14.25" hidden="1" customHeight="1">
      <c r="A311" s="1">
        <v>139</v>
      </c>
      <c r="B311" s="5" t="s">
        <v>812</v>
      </c>
      <c r="C311" s="5" t="s">
        <v>813</v>
      </c>
      <c r="D311" s="5" t="s">
        <v>814</v>
      </c>
      <c r="E311" s="5"/>
      <c r="F311" s="5" t="s">
        <v>815</v>
      </c>
      <c r="G311" s="5" t="s">
        <v>402</v>
      </c>
      <c r="H311" s="5" t="s">
        <v>27</v>
      </c>
      <c r="I311" s="5">
        <v>1996</v>
      </c>
      <c r="J311" s="5" t="s">
        <v>816</v>
      </c>
      <c r="K311" s="3" t="s">
        <v>3048</v>
      </c>
      <c r="L311" s="5" t="s">
        <v>20</v>
      </c>
      <c r="M311" s="5" t="s">
        <v>21</v>
      </c>
      <c r="N311" s="5" t="s">
        <v>20</v>
      </c>
      <c r="O311" s="5" t="s">
        <v>36</v>
      </c>
      <c r="P311" s="5" t="s">
        <v>36</v>
      </c>
      <c r="Q311" s="5"/>
      <c r="U311" s="1"/>
    </row>
    <row r="312" spans="1:21" ht="14.25" hidden="1" customHeight="1">
      <c r="A312" s="1">
        <v>125</v>
      </c>
      <c r="B312" s="5" t="s">
        <v>733</v>
      </c>
      <c r="C312" s="5" t="s">
        <v>734</v>
      </c>
      <c r="D312" s="5" t="s">
        <v>735</v>
      </c>
      <c r="E312" s="5">
        <v>35</v>
      </c>
      <c r="F312" s="5" t="s">
        <v>736</v>
      </c>
      <c r="G312" s="5" t="s">
        <v>388</v>
      </c>
      <c r="H312" s="5" t="s">
        <v>27</v>
      </c>
      <c r="I312" s="5">
        <v>1997</v>
      </c>
      <c r="J312" s="5" t="s">
        <v>737</v>
      </c>
      <c r="K312" s="3" t="s">
        <v>3048</v>
      </c>
      <c r="L312" s="5" t="s">
        <v>20</v>
      </c>
      <c r="M312" s="5" t="s">
        <v>21</v>
      </c>
      <c r="N312" s="5" t="s">
        <v>20</v>
      </c>
      <c r="O312" s="5" t="s">
        <v>36</v>
      </c>
      <c r="P312" s="5" t="s">
        <v>36</v>
      </c>
      <c r="Q312" s="5"/>
      <c r="U312" s="1"/>
    </row>
    <row r="313" spans="1:21" ht="14.25" hidden="1" customHeight="1">
      <c r="A313" s="1">
        <v>71</v>
      </c>
      <c r="B313" s="5" t="s">
        <v>437</v>
      </c>
      <c r="C313" s="5" t="s">
        <v>438</v>
      </c>
      <c r="D313" s="5" t="s">
        <v>439</v>
      </c>
      <c r="E313" s="5"/>
      <c r="F313" s="5" t="s">
        <v>440</v>
      </c>
      <c r="G313" s="5" t="s">
        <v>441</v>
      </c>
      <c r="H313" s="5" t="s">
        <v>27</v>
      </c>
      <c r="I313" s="5">
        <v>1997</v>
      </c>
      <c r="J313" s="5" t="s">
        <v>442</v>
      </c>
      <c r="K313" s="3" t="s">
        <v>3048</v>
      </c>
      <c r="L313" s="5" t="s">
        <v>20</v>
      </c>
      <c r="M313" s="5" t="s">
        <v>21</v>
      </c>
      <c r="N313" s="5" t="s">
        <v>20</v>
      </c>
      <c r="O313" s="5" t="s">
        <v>36</v>
      </c>
      <c r="P313" s="5" t="s">
        <v>36</v>
      </c>
      <c r="Q313" s="5"/>
      <c r="U313" s="1"/>
    </row>
    <row r="314" spans="1:21" ht="14.25" hidden="1" customHeight="1">
      <c r="A314" s="1">
        <v>105</v>
      </c>
      <c r="B314" s="5" t="s">
        <v>622</v>
      </c>
      <c r="C314" s="5" t="s">
        <v>623</v>
      </c>
      <c r="D314" s="5" t="s">
        <v>624</v>
      </c>
      <c r="E314" s="5">
        <v>1359</v>
      </c>
      <c r="F314" s="5" t="s">
        <v>625</v>
      </c>
      <c r="G314" s="5" t="s">
        <v>626</v>
      </c>
      <c r="H314" s="5" t="s">
        <v>627</v>
      </c>
      <c r="I314" s="5">
        <v>2016</v>
      </c>
      <c r="J314" s="5" t="s">
        <v>628</v>
      </c>
      <c r="K314" s="3" t="s">
        <v>3048</v>
      </c>
      <c r="L314" s="5" t="s">
        <v>20</v>
      </c>
      <c r="M314" s="5" t="s">
        <v>21</v>
      </c>
      <c r="N314" s="5" t="s">
        <v>20</v>
      </c>
      <c r="O314" s="5" t="s">
        <v>36</v>
      </c>
      <c r="P314" s="5" t="s">
        <v>36</v>
      </c>
      <c r="Q314" s="5"/>
      <c r="U314" s="1"/>
    </row>
    <row r="315" spans="1:21" ht="14.25" hidden="1" customHeight="1">
      <c r="A315" s="1">
        <v>75</v>
      </c>
      <c r="B315" s="5" t="s">
        <v>457</v>
      </c>
      <c r="C315" s="5" t="s">
        <v>458</v>
      </c>
      <c r="D315" s="5" t="s">
        <v>400</v>
      </c>
      <c r="E315" s="5">
        <v>77</v>
      </c>
      <c r="F315" s="5" t="s">
        <v>459</v>
      </c>
      <c r="G315" s="5" t="s">
        <v>460</v>
      </c>
      <c r="H315" s="5" t="s">
        <v>461</v>
      </c>
      <c r="I315" s="5">
        <v>1999</v>
      </c>
      <c r="J315" s="5" t="s">
        <v>462</v>
      </c>
      <c r="K315" s="3" t="s">
        <v>3048</v>
      </c>
      <c r="L315" s="5" t="s">
        <v>20</v>
      </c>
      <c r="M315" s="5" t="s">
        <v>21</v>
      </c>
      <c r="N315" s="5" t="s">
        <v>20</v>
      </c>
      <c r="O315" s="5" t="s">
        <v>36</v>
      </c>
      <c r="P315" s="5" t="s">
        <v>36</v>
      </c>
      <c r="Q315" s="5"/>
      <c r="U315" s="1"/>
    </row>
    <row r="316" spans="1:21" s="19" customFormat="1" ht="14.25" hidden="1">
      <c r="A316" s="34">
        <v>523</v>
      </c>
      <c r="B316" s="34" t="s">
        <v>3405</v>
      </c>
      <c r="C316" s="34" t="s">
        <v>3406</v>
      </c>
      <c r="D316" s="34" t="s">
        <v>1831</v>
      </c>
      <c r="E316" s="34">
        <v>31</v>
      </c>
      <c r="F316" s="34" t="s">
        <v>27</v>
      </c>
      <c r="G316" s="34" t="s">
        <v>27</v>
      </c>
      <c r="H316" s="34" t="s">
        <v>3407</v>
      </c>
      <c r="I316" s="34">
        <v>2025</v>
      </c>
      <c r="J316" s="34" t="s">
        <v>3408</v>
      </c>
      <c r="K316" s="34" t="s">
        <v>2946</v>
      </c>
      <c r="L316" s="34" t="s">
        <v>20</v>
      </c>
      <c r="M316" s="34"/>
      <c r="N316" s="34" t="s">
        <v>27</v>
      </c>
      <c r="O316" s="34"/>
      <c r="P316" s="34"/>
      <c r="Q316" s="34"/>
      <c r="R316" s="34"/>
      <c r="S316" s="34"/>
      <c r="T316" s="34"/>
      <c r="U316" s="34"/>
    </row>
    <row r="317" spans="1:21" ht="14.25" hidden="1" customHeight="1">
      <c r="A317" s="1">
        <v>464</v>
      </c>
      <c r="B317" s="3" t="s">
        <v>2367</v>
      </c>
      <c r="C317" s="3" t="s">
        <v>2368</v>
      </c>
      <c r="D317" s="3" t="s">
        <v>2369</v>
      </c>
      <c r="E317" s="3">
        <v>52</v>
      </c>
      <c r="F317" s="3" t="s">
        <v>2370</v>
      </c>
      <c r="G317" s="3" t="s">
        <v>2371</v>
      </c>
      <c r="H317" s="3" t="s">
        <v>2372</v>
      </c>
      <c r="I317" s="3">
        <v>2024</v>
      </c>
      <c r="J317" s="3" t="s">
        <v>2373</v>
      </c>
      <c r="K317" s="3" t="s">
        <v>3048</v>
      </c>
      <c r="L317" s="3" t="s">
        <v>20</v>
      </c>
      <c r="M317" s="3" t="s">
        <v>21</v>
      </c>
      <c r="N317" s="3" t="s">
        <v>20</v>
      </c>
      <c r="O317" s="3" t="s">
        <v>36</v>
      </c>
      <c r="P317" s="3" t="s">
        <v>36</v>
      </c>
      <c r="Q317" s="3"/>
      <c r="U317" s="1"/>
    </row>
    <row r="318" spans="1:21" ht="14.25" hidden="1" customHeight="1">
      <c r="A318" s="1">
        <v>101</v>
      </c>
      <c r="B318" s="5" t="s">
        <v>602</v>
      </c>
      <c r="C318" s="5" t="s">
        <v>603</v>
      </c>
      <c r="D318" s="5" t="s">
        <v>604</v>
      </c>
      <c r="E318" s="5">
        <v>64</v>
      </c>
      <c r="F318" s="5" t="s">
        <v>605</v>
      </c>
      <c r="G318" s="5" t="s">
        <v>606</v>
      </c>
      <c r="H318" s="5" t="s">
        <v>607</v>
      </c>
      <c r="I318" s="5">
        <v>2022</v>
      </c>
      <c r="J318" s="5" t="s">
        <v>608</v>
      </c>
      <c r="K318" s="3" t="s">
        <v>3048</v>
      </c>
      <c r="L318" s="5" t="s">
        <v>20</v>
      </c>
      <c r="M318" s="5" t="s">
        <v>21</v>
      </c>
      <c r="N318" s="5" t="s">
        <v>22</v>
      </c>
      <c r="O318" s="5" t="s">
        <v>22</v>
      </c>
      <c r="P318" s="5" t="s">
        <v>23</v>
      </c>
      <c r="Q318" s="5"/>
      <c r="R318" s="12" t="s">
        <v>20</v>
      </c>
      <c r="S318" s="1" t="s">
        <v>2975</v>
      </c>
      <c r="T318" s="1" t="s">
        <v>3083</v>
      </c>
      <c r="U318" s="31" t="s">
        <v>3292</v>
      </c>
    </row>
    <row r="319" spans="1:21" ht="14.25" hidden="1" customHeight="1">
      <c r="A319" s="1">
        <v>153</v>
      </c>
      <c r="B319" s="5" t="s">
        <v>884</v>
      </c>
      <c r="C319" s="5" t="s">
        <v>885</v>
      </c>
      <c r="D319" s="5" t="s">
        <v>886</v>
      </c>
      <c r="E319" s="5">
        <v>13</v>
      </c>
      <c r="F319" s="5" t="s">
        <v>887</v>
      </c>
      <c r="G319" s="5" t="s">
        <v>888</v>
      </c>
      <c r="H319" s="5" t="s">
        <v>27</v>
      </c>
      <c r="I319" s="5">
        <v>2020</v>
      </c>
      <c r="J319" s="5" t="s">
        <v>889</v>
      </c>
      <c r="K319" s="3" t="s">
        <v>3048</v>
      </c>
      <c r="L319" s="5" t="s">
        <v>20</v>
      </c>
      <c r="M319" s="5" t="s">
        <v>21</v>
      </c>
      <c r="N319" s="5" t="s">
        <v>20</v>
      </c>
      <c r="O319" s="5" t="s">
        <v>36</v>
      </c>
      <c r="P319" s="5" t="s">
        <v>36</v>
      </c>
      <c r="Q319" s="5"/>
      <c r="U319" s="1"/>
    </row>
    <row r="320" spans="1:21" ht="14.25" hidden="1" customHeight="1">
      <c r="A320" s="1">
        <v>492</v>
      </c>
      <c r="B320" s="3" t="s">
        <v>2500</v>
      </c>
      <c r="C320" s="3" t="s">
        <v>2501</v>
      </c>
      <c r="D320" s="3" t="s">
        <v>2502</v>
      </c>
      <c r="E320" s="3">
        <v>38</v>
      </c>
      <c r="F320" s="3" t="s">
        <v>2503</v>
      </c>
      <c r="G320" s="3" t="s">
        <v>2504</v>
      </c>
      <c r="H320" s="3" t="s">
        <v>2505</v>
      </c>
      <c r="I320" s="3">
        <v>2011</v>
      </c>
      <c r="J320" s="3" t="s">
        <v>2506</v>
      </c>
      <c r="K320" s="3" t="s">
        <v>3048</v>
      </c>
      <c r="L320" s="3" t="s">
        <v>20</v>
      </c>
      <c r="M320" s="3" t="s">
        <v>21</v>
      </c>
      <c r="N320" s="3" t="s">
        <v>20</v>
      </c>
      <c r="O320" s="3" t="s">
        <v>36</v>
      </c>
      <c r="P320" s="3" t="s">
        <v>36</v>
      </c>
      <c r="Q320" s="3"/>
      <c r="U320" s="1"/>
    </row>
    <row r="321" spans="1:21" ht="14.25" customHeight="1">
      <c r="A321" s="1">
        <v>271</v>
      </c>
      <c r="B321" s="5" t="s">
        <v>1479</v>
      </c>
      <c r="C321" s="5" t="s">
        <v>1480</v>
      </c>
      <c r="D321" s="5" t="s">
        <v>611</v>
      </c>
      <c r="E321" s="5">
        <v>191</v>
      </c>
      <c r="F321" s="5" t="s">
        <v>244</v>
      </c>
      <c r="G321" s="5" t="s">
        <v>598</v>
      </c>
      <c r="H321" s="5" t="s">
        <v>1481</v>
      </c>
      <c r="I321" s="5">
        <v>2012</v>
      </c>
      <c r="J321" s="5" t="s">
        <v>1482</v>
      </c>
      <c r="K321" s="3" t="s">
        <v>3048</v>
      </c>
      <c r="L321" s="5" t="s">
        <v>22</v>
      </c>
      <c r="M321" s="5"/>
      <c r="N321" s="5" t="s">
        <v>22</v>
      </c>
      <c r="O321" s="5" t="s">
        <v>22</v>
      </c>
      <c r="P321" s="5" t="s">
        <v>23</v>
      </c>
      <c r="Q321" s="5"/>
      <c r="R321" s="12" t="s">
        <v>22</v>
      </c>
      <c r="U321" s="31" t="s">
        <v>3012</v>
      </c>
    </row>
    <row r="322" spans="1:21" ht="14.25" hidden="1" customHeight="1">
      <c r="A322" s="1">
        <v>495</v>
      </c>
      <c r="B322" s="5" t="s">
        <v>2515</v>
      </c>
      <c r="C322" s="5" t="s">
        <v>2516</v>
      </c>
      <c r="D322" s="5" t="s">
        <v>2517</v>
      </c>
      <c r="E322" s="5"/>
      <c r="F322" s="5" t="s">
        <v>2518</v>
      </c>
      <c r="G322" s="5" t="s">
        <v>2173</v>
      </c>
      <c r="H322" s="5" t="s">
        <v>27</v>
      </c>
      <c r="I322" s="5">
        <v>2016</v>
      </c>
      <c r="J322" s="5" t="s">
        <v>2519</v>
      </c>
      <c r="K322" s="3" t="s">
        <v>3048</v>
      </c>
      <c r="L322" s="5" t="s">
        <v>20</v>
      </c>
      <c r="M322" s="5" t="s">
        <v>21</v>
      </c>
      <c r="N322" s="5" t="s">
        <v>20</v>
      </c>
      <c r="O322" s="5" t="s">
        <v>36</v>
      </c>
      <c r="P322" s="5" t="s">
        <v>36</v>
      </c>
      <c r="Q322" s="5"/>
      <c r="U322" s="1"/>
    </row>
    <row r="323" spans="1:21" ht="14.25" hidden="1" customHeight="1">
      <c r="A323" s="1">
        <v>384</v>
      </c>
      <c r="B323" s="3" t="s">
        <v>2007</v>
      </c>
      <c r="C323" s="3" t="s">
        <v>2008</v>
      </c>
      <c r="D323" s="3" t="s">
        <v>2009</v>
      </c>
      <c r="E323" s="3">
        <v>4</v>
      </c>
      <c r="F323" s="3" t="s">
        <v>1206</v>
      </c>
      <c r="G323" s="3" t="s">
        <v>1043</v>
      </c>
      <c r="H323" s="3" t="s">
        <v>27</v>
      </c>
      <c r="I323" s="3">
        <v>1995</v>
      </c>
      <c r="J323" s="3" t="s">
        <v>27</v>
      </c>
      <c r="K323" s="3" t="s">
        <v>3048</v>
      </c>
      <c r="L323" s="3" t="s">
        <v>20</v>
      </c>
      <c r="M323" s="3" t="s">
        <v>36</v>
      </c>
      <c r="N323" s="3" t="s">
        <v>20</v>
      </c>
      <c r="O323" s="3" t="s">
        <v>36</v>
      </c>
      <c r="P323" s="3" t="s">
        <v>36</v>
      </c>
      <c r="Q323" s="3"/>
      <c r="U323" s="1"/>
    </row>
    <row r="324" spans="1:21" ht="14.25" hidden="1" customHeight="1">
      <c r="A324" s="1">
        <v>362</v>
      </c>
      <c r="B324" s="3" t="s">
        <v>1903</v>
      </c>
      <c r="C324" s="3" t="s">
        <v>1904</v>
      </c>
      <c r="D324" s="3" t="s">
        <v>64</v>
      </c>
      <c r="E324" s="3">
        <v>101</v>
      </c>
      <c r="F324" s="3" t="s">
        <v>1905</v>
      </c>
      <c r="G324" s="3" t="s">
        <v>1906</v>
      </c>
      <c r="H324" s="3" t="s">
        <v>1907</v>
      </c>
      <c r="I324" s="3">
        <v>1985</v>
      </c>
      <c r="J324" s="3" t="s">
        <v>1908</v>
      </c>
      <c r="K324" s="3" t="s">
        <v>3048</v>
      </c>
      <c r="L324" s="3" t="s">
        <v>20</v>
      </c>
      <c r="M324" s="3" t="s">
        <v>21</v>
      </c>
      <c r="N324" s="3" t="s">
        <v>20</v>
      </c>
      <c r="O324" s="3" t="s">
        <v>36</v>
      </c>
      <c r="P324" s="3" t="s">
        <v>36</v>
      </c>
      <c r="Q324" s="3"/>
      <c r="U324" s="1"/>
    </row>
    <row r="325" spans="1:21" ht="14.25" hidden="1" customHeight="1">
      <c r="A325" s="1">
        <v>459</v>
      </c>
      <c r="B325" s="5" t="s">
        <v>2339</v>
      </c>
      <c r="C325" s="5" t="s">
        <v>2340</v>
      </c>
      <c r="D325" s="5" t="s">
        <v>2341</v>
      </c>
      <c r="E325" s="5">
        <v>36</v>
      </c>
      <c r="F325" s="5" t="s">
        <v>2342</v>
      </c>
      <c r="G325" s="5" t="s">
        <v>2343</v>
      </c>
      <c r="H325" s="5" t="s">
        <v>2344</v>
      </c>
      <c r="I325" s="5">
        <v>2019</v>
      </c>
      <c r="J325" s="5" t="s">
        <v>2345</v>
      </c>
      <c r="K325" s="3" t="s">
        <v>3048</v>
      </c>
      <c r="L325" s="5" t="s">
        <v>268</v>
      </c>
      <c r="M325" s="5" t="s">
        <v>2346</v>
      </c>
      <c r="N325" s="5" t="s">
        <v>268</v>
      </c>
      <c r="O325" s="5" t="s">
        <v>36</v>
      </c>
      <c r="P325" s="5" t="s">
        <v>36</v>
      </c>
      <c r="Q325" s="5"/>
      <c r="U325" s="1"/>
    </row>
    <row r="326" spans="1:21" ht="14.25" hidden="1" customHeight="1">
      <c r="A326" s="1">
        <v>296</v>
      </c>
      <c r="B326" s="3" t="s">
        <v>1596</v>
      </c>
      <c r="C326" s="3" t="s">
        <v>1597</v>
      </c>
      <c r="D326" s="3" t="s">
        <v>282</v>
      </c>
      <c r="E326" s="3">
        <v>131</v>
      </c>
      <c r="F326" s="3" t="s">
        <v>1598</v>
      </c>
      <c r="G326" s="3" t="s">
        <v>1599</v>
      </c>
      <c r="H326" s="3" t="s">
        <v>1600</v>
      </c>
      <c r="I326" s="3">
        <v>2002</v>
      </c>
      <c r="J326" s="3" t="s">
        <v>1601</v>
      </c>
      <c r="K326" s="3" t="s">
        <v>3048</v>
      </c>
      <c r="L326" s="3" t="s">
        <v>20</v>
      </c>
      <c r="M326" s="3" t="s">
        <v>21</v>
      </c>
      <c r="N326" s="3" t="s">
        <v>20</v>
      </c>
      <c r="O326" s="3" t="s">
        <v>36</v>
      </c>
      <c r="P326" s="3" t="s">
        <v>36</v>
      </c>
      <c r="Q326" s="3"/>
      <c r="U326" s="1"/>
    </row>
    <row r="327" spans="1:21" ht="14.25" customHeight="1">
      <c r="A327" s="1">
        <v>404</v>
      </c>
      <c r="B327" s="3" t="s">
        <v>2090</v>
      </c>
      <c r="C327" s="3" t="s">
        <v>2091</v>
      </c>
      <c r="D327" s="3" t="s">
        <v>572</v>
      </c>
      <c r="E327" s="3">
        <v>210</v>
      </c>
      <c r="F327" s="3" t="s">
        <v>2092</v>
      </c>
      <c r="G327" s="3" t="s">
        <v>2093</v>
      </c>
      <c r="H327" s="3" t="s">
        <v>2094</v>
      </c>
      <c r="I327" s="3">
        <v>1999</v>
      </c>
      <c r="J327" s="3" t="s">
        <v>2095</v>
      </c>
      <c r="K327" s="3" t="s">
        <v>3048</v>
      </c>
      <c r="L327" s="3" t="s">
        <v>22</v>
      </c>
      <c r="M327" s="3"/>
      <c r="N327" s="3" t="s">
        <v>22</v>
      </c>
      <c r="O327" s="3" t="s">
        <v>22</v>
      </c>
      <c r="P327" s="3" t="s">
        <v>23</v>
      </c>
      <c r="Q327" s="3"/>
      <c r="R327" s="12" t="s">
        <v>22</v>
      </c>
      <c r="T327" s="1" t="s">
        <v>2993</v>
      </c>
      <c r="U327" s="31" t="s">
        <v>2910</v>
      </c>
    </row>
    <row r="328" spans="1:21" ht="14.25" hidden="1" customHeight="1">
      <c r="A328" s="1">
        <v>522</v>
      </c>
      <c r="B328" s="3" t="s">
        <v>2638</v>
      </c>
      <c r="C328" s="3" t="s">
        <v>2639</v>
      </c>
      <c r="D328" s="3" t="s">
        <v>1205</v>
      </c>
      <c r="E328" s="3">
        <v>82</v>
      </c>
      <c r="F328" s="3" t="s">
        <v>1122</v>
      </c>
      <c r="G328" s="3" t="s">
        <v>2640</v>
      </c>
      <c r="H328" s="3" t="s">
        <v>2641</v>
      </c>
      <c r="I328" s="3">
        <v>1997</v>
      </c>
      <c r="J328" s="3" t="s">
        <v>2642</v>
      </c>
      <c r="K328" s="3" t="s">
        <v>3048</v>
      </c>
      <c r="L328" s="3" t="s">
        <v>20</v>
      </c>
      <c r="M328" s="3" t="s">
        <v>21</v>
      </c>
      <c r="N328" s="3" t="s">
        <v>20</v>
      </c>
      <c r="O328" s="3" t="s">
        <v>36</v>
      </c>
      <c r="P328" s="3" t="s">
        <v>36</v>
      </c>
      <c r="Q328" s="3"/>
      <c r="U328" s="1"/>
    </row>
    <row r="329" spans="1:21" s="19" customFormat="1" ht="14.25">
      <c r="A329" s="34">
        <v>190</v>
      </c>
      <c r="B329" s="34" t="s">
        <v>3409</v>
      </c>
      <c r="C329" s="34" t="s">
        <v>3410</v>
      </c>
      <c r="D329" s="34" t="s">
        <v>180</v>
      </c>
      <c r="E329" s="34">
        <v>15</v>
      </c>
      <c r="F329" s="34" t="s">
        <v>27</v>
      </c>
      <c r="G329" s="34" t="s">
        <v>27</v>
      </c>
      <c r="H329" s="34" t="s">
        <v>3411</v>
      </c>
      <c r="I329" s="34">
        <v>2024</v>
      </c>
      <c r="J329" s="34" t="s">
        <v>3412</v>
      </c>
      <c r="K329" s="34" t="s">
        <v>2946</v>
      </c>
      <c r="L329" s="34" t="s">
        <v>22</v>
      </c>
      <c r="M329" s="34"/>
      <c r="N329" s="34"/>
      <c r="O329" s="34" t="s">
        <v>22</v>
      </c>
      <c r="P329" s="34" t="s">
        <v>23</v>
      </c>
      <c r="Q329" s="34"/>
      <c r="R329" s="34"/>
      <c r="S329" s="34"/>
      <c r="T329" s="34"/>
      <c r="U329" s="34"/>
    </row>
    <row r="330" spans="1:21" ht="14.25" hidden="1" customHeight="1">
      <c r="A330" s="1">
        <v>242</v>
      </c>
      <c r="B330" s="3" t="s">
        <v>1342</v>
      </c>
      <c r="C330" s="3" t="s">
        <v>1343</v>
      </c>
      <c r="D330" s="3" t="s">
        <v>27</v>
      </c>
      <c r="E330" s="3"/>
      <c r="F330" s="3" t="s">
        <v>27</v>
      </c>
      <c r="G330" s="3" t="s">
        <v>27</v>
      </c>
      <c r="H330" s="3" t="s">
        <v>27</v>
      </c>
      <c r="I330" s="3">
        <v>2002</v>
      </c>
      <c r="J330" s="3" t="s">
        <v>27</v>
      </c>
      <c r="K330" s="3" t="s">
        <v>3048</v>
      </c>
      <c r="L330" s="3" t="s">
        <v>20</v>
      </c>
      <c r="M330" s="3" t="s">
        <v>21</v>
      </c>
      <c r="N330" s="3" t="s">
        <v>20</v>
      </c>
      <c r="O330" s="3" t="s">
        <v>36</v>
      </c>
      <c r="P330" s="3" t="s">
        <v>36</v>
      </c>
      <c r="Q330" s="3"/>
      <c r="U330" s="1"/>
    </row>
    <row r="331" spans="1:21" ht="14.25" customHeight="1">
      <c r="A331" s="1">
        <v>35</v>
      </c>
      <c r="B331" s="5" t="s">
        <v>222</v>
      </c>
      <c r="C331" s="5" t="s">
        <v>223</v>
      </c>
      <c r="D331" s="5" t="s">
        <v>173</v>
      </c>
      <c r="E331" s="5">
        <v>35</v>
      </c>
      <c r="F331" s="5" t="s">
        <v>224</v>
      </c>
      <c r="G331" s="5" t="s">
        <v>225</v>
      </c>
      <c r="H331" s="5" t="s">
        <v>226</v>
      </c>
      <c r="I331" s="5">
        <v>2005</v>
      </c>
      <c r="J331" s="5" t="s">
        <v>227</v>
      </c>
      <c r="K331" s="3" t="s">
        <v>3048</v>
      </c>
      <c r="L331" s="5" t="s">
        <v>22</v>
      </c>
      <c r="M331" s="5"/>
      <c r="N331" s="5" t="s">
        <v>22</v>
      </c>
      <c r="O331" s="5" t="s">
        <v>22</v>
      </c>
      <c r="P331" s="5" t="s">
        <v>23</v>
      </c>
      <c r="Q331" s="5"/>
      <c r="R331" s="12" t="s">
        <v>22</v>
      </c>
      <c r="T331" s="1" t="s">
        <v>3049</v>
      </c>
      <c r="U331" s="31" t="s">
        <v>3048</v>
      </c>
    </row>
    <row r="332" spans="1:21" ht="14.25" customHeight="1">
      <c r="A332" s="1">
        <v>45</v>
      </c>
      <c r="B332" s="5" t="s">
        <v>280</v>
      </c>
      <c r="C332" s="5" t="s">
        <v>281</v>
      </c>
      <c r="D332" s="5" t="s">
        <v>282</v>
      </c>
      <c r="E332" s="5">
        <v>172</v>
      </c>
      <c r="F332" s="5" t="s">
        <v>283</v>
      </c>
      <c r="G332" s="5" t="s">
        <v>284</v>
      </c>
      <c r="H332" s="5" t="s">
        <v>285</v>
      </c>
      <c r="I332" s="5">
        <v>2013</v>
      </c>
      <c r="J332" s="5" t="s">
        <v>286</v>
      </c>
      <c r="K332" s="3" t="s">
        <v>3048</v>
      </c>
      <c r="L332" s="5" t="s">
        <v>22</v>
      </c>
      <c r="M332" s="5" t="s">
        <v>74</v>
      </c>
      <c r="N332" s="5" t="s">
        <v>22</v>
      </c>
      <c r="O332" s="5" t="s">
        <v>22</v>
      </c>
      <c r="P332" s="5" t="s">
        <v>23</v>
      </c>
      <c r="Q332" s="5"/>
      <c r="R332" s="12" t="s">
        <v>22</v>
      </c>
      <c r="U332" s="31" t="s">
        <v>3025</v>
      </c>
    </row>
    <row r="333" spans="1:21" ht="14.25" hidden="1" customHeight="1">
      <c r="A333" s="1">
        <v>140</v>
      </c>
      <c r="B333" s="3" t="s">
        <v>817</v>
      </c>
      <c r="C333" s="3" t="s">
        <v>818</v>
      </c>
      <c r="D333" s="3" t="s">
        <v>572</v>
      </c>
      <c r="E333" s="3">
        <v>373</v>
      </c>
      <c r="F333" s="3" t="s">
        <v>819</v>
      </c>
      <c r="G333" s="3" t="s">
        <v>820</v>
      </c>
      <c r="H333" s="3" t="s">
        <v>821</v>
      </c>
      <c r="I333" s="3">
        <v>2013</v>
      </c>
      <c r="J333" s="3" t="s">
        <v>822</v>
      </c>
      <c r="K333" s="3" t="s">
        <v>3048</v>
      </c>
      <c r="L333" s="3" t="s">
        <v>20</v>
      </c>
      <c r="M333" s="3" t="s">
        <v>21</v>
      </c>
      <c r="N333" s="3" t="s">
        <v>20</v>
      </c>
      <c r="O333" s="3" t="s">
        <v>36</v>
      </c>
      <c r="P333" s="3" t="s">
        <v>36</v>
      </c>
      <c r="Q333" s="3"/>
      <c r="U333" s="1"/>
    </row>
    <row r="334" spans="1:21" ht="14.25" hidden="1" customHeight="1">
      <c r="A334" s="1">
        <v>142</v>
      </c>
      <c r="B334" s="3" t="s">
        <v>828</v>
      </c>
      <c r="C334" s="3" t="s">
        <v>829</v>
      </c>
      <c r="D334" s="3" t="s">
        <v>27</v>
      </c>
      <c r="E334" s="3"/>
      <c r="F334" s="3" t="s">
        <v>27</v>
      </c>
      <c r="G334" s="3" t="s">
        <v>27</v>
      </c>
      <c r="H334" s="3" t="s">
        <v>27</v>
      </c>
      <c r="I334" s="3">
        <v>2009</v>
      </c>
      <c r="J334" s="3" t="s">
        <v>27</v>
      </c>
      <c r="K334" s="3" t="s">
        <v>3048</v>
      </c>
      <c r="L334" s="3" t="s">
        <v>20</v>
      </c>
      <c r="M334" s="3" t="s">
        <v>36</v>
      </c>
      <c r="N334" s="3" t="s">
        <v>20</v>
      </c>
      <c r="O334" s="3" t="s">
        <v>36</v>
      </c>
      <c r="P334" s="3" t="s">
        <v>36</v>
      </c>
      <c r="Q334" s="3"/>
      <c r="U334" s="1"/>
    </row>
    <row r="335" spans="1:21" ht="14.25" hidden="1" customHeight="1">
      <c r="A335" s="1">
        <v>80</v>
      </c>
      <c r="B335" s="3" t="s">
        <v>489</v>
      </c>
      <c r="C335" s="3" t="s">
        <v>490</v>
      </c>
      <c r="D335" s="3" t="s">
        <v>102</v>
      </c>
      <c r="E335" s="3">
        <v>200</v>
      </c>
      <c r="F335" s="3" t="s">
        <v>491</v>
      </c>
      <c r="G335" s="3" t="s">
        <v>492</v>
      </c>
      <c r="H335" s="3" t="s">
        <v>493</v>
      </c>
      <c r="I335" s="3">
        <v>2004</v>
      </c>
      <c r="J335" s="3" t="s">
        <v>494</v>
      </c>
      <c r="K335" s="3" t="s">
        <v>3048</v>
      </c>
      <c r="L335" s="3" t="s">
        <v>20</v>
      </c>
      <c r="M335" s="3" t="s">
        <v>21</v>
      </c>
      <c r="N335" s="3" t="s">
        <v>20</v>
      </c>
      <c r="O335" s="3" t="s">
        <v>36</v>
      </c>
      <c r="P335" s="3" t="s">
        <v>36</v>
      </c>
      <c r="Q335" s="3"/>
      <c r="U335" s="1"/>
    </row>
    <row r="336" spans="1:21" ht="14.25" hidden="1" customHeight="1">
      <c r="A336" s="1">
        <v>563</v>
      </c>
      <c r="B336" s="5" t="s">
        <v>2815</v>
      </c>
      <c r="C336" s="5" t="s">
        <v>2816</v>
      </c>
      <c r="D336" s="5" t="s">
        <v>2817</v>
      </c>
      <c r="E336" s="5">
        <v>13</v>
      </c>
      <c r="F336" s="5" t="s">
        <v>2728</v>
      </c>
      <c r="G336" s="5" t="s">
        <v>2818</v>
      </c>
      <c r="H336" s="5" t="s">
        <v>2819</v>
      </c>
      <c r="I336" s="5">
        <v>2017</v>
      </c>
      <c r="J336" s="5" t="s">
        <v>2820</v>
      </c>
      <c r="K336" s="3" t="s">
        <v>3048</v>
      </c>
      <c r="L336" s="5" t="s">
        <v>20</v>
      </c>
      <c r="M336" s="5" t="s">
        <v>21</v>
      </c>
      <c r="N336" s="5" t="s">
        <v>20</v>
      </c>
      <c r="O336" s="5" t="s">
        <v>36</v>
      </c>
      <c r="P336" s="5" t="s">
        <v>36</v>
      </c>
      <c r="Q336" s="5"/>
      <c r="U336" s="1"/>
    </row>
    <row r="337" spans="1:21" ht="14.25" customHeight="1">
      <c r="A337" s="1">
        <v>370</v>
      </c>
      <c r="B337" s="3" t="s">
        <v>1941</v>
      </c>
      <c r="C337" s="3" t="s">
        <v>1942</v>
      </c>
      <c r="D337" s="3" t="s">
        <v>1943</v>
      </c>
      <c r="E337" s="3">
        <v>49</v>
      </c>
      <c r="F337" s="3" t="s">
        <v>1944</v>
      </c>
      <c r="G337" s="3" t="s">
        <v>1945</v>
      </c>
      <c r="H337" s="3" t="s">
        <v>1946</v>
      </c>
      <c r="I337" s="3">
        <v>2004</v>
      </c>
      <c r="J337" s="3" t="s">
        <v>1947</v>
      </c>
      <c r="K337" s="3" t="s">
        <v>3048</v>
      </c>
      <c r="L337" s="3" t="s">
        <v>22</v>
      </c>
      <c r="M337" s="3"/>
      <c r="N337" s="3" t="s">
        <v>22</v>
      </c>
      <c r="O337" s="3" t="s">
        <v>22</v>
      </c>
      <c r="P337" s="3" t="s">
        <v>23</v>
      </c>
      <c r="Q337" s="3"/>
      <c r="R337" s="12" t="s">
        <v>20</v>
      </c>
      <c r="S337" s="1" t="s">
        <v>2975</v>
      </c>
      <c r="U337" s="31" t="s">
        <v>3025</v>
      </c>
    </row>
    <row r="338" spans="1:21" ht="14.25" customHeight="1">
      <c r="A338" s="1">
        <v>525</v>
      </c>
      <c r="B338" s="5" t="s">
        <v>2651</v>
      </c>
      <c r="C338" s="5" t="s">
        <v>2652</v>
      </c>
      <c r="D338" s="5" t="s">
        <v>1943</v>
      </c>
      <c r="E338" s="5">
        <v>97</v>
      </c>
      <c r="F338" s="5" t="s">
        <v>27</v>
      </c>
      <c r="G338" s="5" t="s">
        <v>27</v>
      </c>
      <c r="H338" s="5" t="s">
        <v>2653</v>
      </c>
      <c r="I338" s="5">
        <v>2021</v>
      </c>
      <c r="J338" s="5" t="s">
        <v>2654</v>
      </c>
      <c r="K338" s="3" t="s">
        <v>3048</v>
      </c>
      <c r="L338" s="5" t="s">
        <v>22</v>
      </c>
      <c r="M338" s="5"/>
      <c r="N338" s="5" t="s">
        <v>22</v>
      </c>
      <c r="O338" s="5" t="s">
        <v>22</v>
      </c>
      <c r="P338" s="5" t="s">
        <v>23</v>
      </c>
      <c r="Q338" s="5"/>
      <c r="R338" s="21" t="s">
        <v>20</v>
      </c>
      <c r="S338" s="1" t="s">
        <v>2975</v>
      </c>
      <c r="T338" s="1" t="s">
        <v>2953</v>
      </c>
      <c r="U338" s="31" t="s">
        <v>3294</v>
      </c>
    </row>
    <row r="339" spans="1:21" ht="14.25" hidden="1" customHeight="1">
      <c r="A339" s="1">
        <v>2</v>
      </c>
      <c r="B339" s="3" t="s">
        <v>24</v>
      </c>
      <c r="C339" s="3" t="s">
        <v>25</v>
      </c>
      <c r="D339" s="3" t="s">
        <v>26</v>
      </c>
      <c r="E339" s="3">
        <v>44</v>
      </c>
      <c r="F339" s="3" t="s">
        <v>27</v>
      </c>
      <c r="G339" s="3" t="s">
        <v>27</v>
      </c>
      <c r="H339" s="3" t="s">
        <v>28</v>
      </c>
      <c r="I339" s="3">
        <v>2024</v>
      </c>
      <c r="J339" s="3" t="s">
        <v>29</v>
      </c>
      <c r="K339" s="3" t="s">
        <v>3048</v>
      </c>
      <c r="L339" s="3" t="s">
        <v>20</v>
      </c>
      <c r="M339" s="3" t="s">
        <v>21</v>
      </c>
      <c r="N339" s="3" t="s">
        <v>22</v>
      </c>
      <c r="O339" s="3" t="s">
        <v>22</v>
      </c>
      <c r="P339" s="3" t="s">
        <v>23</v>
      </c>
      <c r="Q339" s="3"/>
      <c r="R339" s="22" t="s">
        <v>20</v>
      </c>
      <c r="S339" s="1" t="s">
        <v>2974</v>
      </c>
      <c r="T339" s="1" t="s">
        <v>2906</v>
      </c>
      <c r="U339" s="31" t="s">
        <v>3293</v>
      </c>
    </row>
    <row r="340" spans="1:21" s="19" customFormat="1" ht="14.25" hidden="1">
      <c r="A340" s="34">
        <v>114</v>
      </c>
      <c r="B340" s="34" t="s">
        <v>3413</v>
      </c>
      <c r="C340" s="34" t="s">
        <v>3414</v>
      </c>
      <c r="D340" s="34" t="s">
        <v>15</v>
      </c>
      <c r="E340" s="34">
        <v>31</v>
      </c>
      <c r="F340" s="34">
        <v>325</v>
      </c>
      <c r="G340" s="34">
        <v>333</v>
      </c>
      <c r="H340" s="34" t="s">
        <v>3415</v>
      </c>
      <c r="I340" s="34">
        <v>2021</v>
      </c>
      <c r="J340" s="34" t="s">
        <v>3416</v>
      </c>
      <c r="K340" s="34" t="s">
        <v>2946</v>
      </c>
      <c r="L340" s="34" t="s">
        <v>20</v>
      </c>
      <c r="M340" s="34"/>
      <c r="N340" s="34" t="s">
        <v>27</v>
      </c>
      <c r="O340" s="34"/>
      <c r="P340" s="34"/>
      <c r="Q340" s="34"/>
      <c r="R340" s="34"/>
      <c r="S340" s="34"/>
      <c r="T340" s="34"/>
      <c r="U340" s="34"/>
    </row>
    <row r="341" spans="1:21" ht="14.25" customHeight="1">
      <c r="A341" s="1">
        <v>300</v>
      </c>
      <c r="B341" s="3" t="s">
        <v>1615</v>
      </c>
      <c r="C341" s="3" t="s">
        <v>1616</v>
      </c>
      <c r="D341" s="3" t="s">
        <v>15</v>
      </c>
      <c r="E341" s="3">
        <v>31</v>
      </c>
      <c r="F341" s="3" t="s">
        <v>345</v>
      </c>
      <c r="G341" s="3" t="s">
        <v>1617</v>
      </c>
      <c r="H341" s="3" t="s">
        <v>1618</v>
      </c>
      <c r="I341" s="3">
        <v>2021</v>
      </c>
      <c r="J341" s="3" t="s">
        <v>1619</v>
      </c>
      <c r="K341" s="3" t="s">
        <v>3048</v>
      </c>
      <c r="L341" s="3" t="s">
        <v>22</v>
      </c>
      <c r="M341" s="3"/>
      <c r="N341" s="3" t="s">
        <v>22</v>
      </c>
      <c r="O341" s="3" t="s">
        <v>22</v>
      </c>
      <c r="P341" s="3" t="s">
        <v>23</v>
      </c>
      <c r="Q341" s="3"/>
      <c r="R341" s="12" t="s">
        <v>20</v>
      </c>
      <c r="U341" s="31" t="s">
        <v>3293</v>
      </c>
    </row>
    <row r="342" spans="1:21" ht="14.25" hidden="1" customHeight="1">
      <c r="A342" s="1">
        <v>177</v>
      </c>
      <c r="B342" s="5" t="s">
        <v>1010</v>
      </c>
      <c r="C342" s="5" t="s">
        <v>1011</v>
      </c>
      <c r="D342" s="5" t="s">
        <v>315</v>
      </c>
      <c r="E342" s="5">
        <v>60</v>
      </c>
      <c r="F342" s="5" t="s">
        <v>1012</v>
      </c>
      <c r="G342" s="5" t="s">
        <v>1013</v>
      </c>
      <c r="H342" s="5" t="s">
        <v>1014</v>
      </c>
      <c r="I342" s="5">
        <v>2014</v>
      </c>
      <c r="J342" s="5" t="s">
        <v>1015</v>
      </c>
      <c r="K342" s="3" t="s">
        <v>3048</v>
      </c>
      <c r="L342" s="5" t="s">
        <v>20</v>
      </c>
      <c r="M342" s="5" t="s">
        <v>21</v>
      </c>
      <c r="N342" s="5" t="s">
        <v>20</v>
      </c>
      <c r="O342" s="5" t="s">
        <v>36</v>
      </c>
      <c r="P342" s="5" t="s">
        <v>36</v>
      </c>
      <c r="Q342" s="5"/>
      <c r="U342" s="1"/>
    </row>
    <row r="343" spans="1:21" ht="14.25" customHeight="1">
      <c r="A343" s="1">
        <v>96</v>
      </c>
      <c r="B343" s="3" t="s">
        <v>577</v>
      </c>
      <c r="C343" s="3" t="s">
        <v>578</v>
      </c>
      <c r="D343" s="3" t="s">
        <v>102</v>
      </c>
      <c r="E343" s="3">
        <v>262</v>
      </c>
      <c r="F343" s="3" t="s">
        <v>499</v>
      </c>
      <c r="G343" s="3" t="s">
        <v>579</v>
      </c>
      <c r="H343" s="3" t="s">
        <v>580</v>
      </c>
      <c r="I343" s="3">
        <v>2011</v>
      </c>
      <c r="J343" s="3" t="s">
        <v>581</v>
      </c>
      <c r="K343" s="3" t="s">
        <v>3048</v>
      </c>
      <c r="L343" s="3" t="s">
        <v>22</v>
      </c>
      <c r="M343" s="3"/>
      <c r="N343" s="3" t="s">
        <v>22</v>
      </c>
      <c r="O343" s="3" t="s">
        <v>22</v>
      </c>
      <c r="P343" s="3" t="s">
        <v>23</v>
      </c>
      <c r="Q343" s="3"/>
      <c r="R343" s="12" t="s">
        <v>22</v>
      </c>
      <c r="T343" s="1" t="s">
        <v>3079</v>
      </c>
      <c r="U343" s="31" t="s">
        <v>3076</v>
      </c>
    </row>
    <row r="344" spans="1:21" ht="14.25" customHeight="1">
      <c r="A344" s="1">
        <v>490</v>
      </c>
      <c r="B344" s="3" t="s">
        <v>2488</v>
      </c>
      <c r="C344" s="3" t="s">
        <v>2489</v>
      </c>
      <c r="D344" s="3" t="s">
        <v>2279</v>
      </c>
      <c r="E344" s="3">
        <v>21</v>
      </c>
      <c r="F344" s="3" t="s">
        <v>2490</v>
      </c>
      <c r="G344" s="3" t="s">
        <v>2491</v>
      </c>
      <c r="H344" s="3" t="s">
        <v>2492</v>
      </c>
      <c r="I344" s="3">
        <v>2012</v>
      </c>
      <c r="J344" s="3" t="s">
        <v>2493</v>
      </c>
      <c r="K344" s="3" t="s">
        <v>3048</v>
      </c>
      <c r="L344" s="3" t="s">
        <v>22</v>
      </c>
      <c r="M344" s="3"/>
      <c r="N344" s="3" t="s">
        <v>22</v>
      </c>
      <c r="O344" s="3" t="s">
        <v>22</v>
      </c>
      <c r="P344" s="3" t="s">
        <v>23</v>
      </c>
      <c r="Q344" s="3"/>
      <c r="R344" s="22" t="s">
        <v>20</v>
      </c>
      <c r="S344" s="1" t="s">
        <v>3007</v>
      </c>
      <c r="U344" s="31" t="s">
        <v>3295</v>
      </c>
    </row>
    <row r="345" spans="1:21" ht="14.25" hidden="1" customHeight="1">
      <c r="A345" s="1">
        <v>544</v>
      </c>
      <c r="B345" s="3" t="s">
        <v>2736</v>
      </c>
      <c r="C345" s="3" t="s">
        <v>2737</v>
      </c>
      <c r="D345" s="3" t="s">
        <v>27</v>
      </c>
      <c r="E345" s="3"/>
      <c r="F345" s="3" t="s">
        <v>27</v>
      </c>
      <c r="G345" s="3" t="s">
        <v>27</v>
      </c>
      <c r="H345" s="3" t="s">
        <v>27</v>
      </c>
      <c r="I345" s="3">
        <v>2016</v>
      </c>
      <c r="J345" s="3" t="s">
        <v>27</v>
      </c>
      <c r="K345" s="3" t="s">
        <v>3048</v>
      </c>
      <c r="L345" s="3" t="s">
        <v>20</v>
      </c>
      <c r="M345" s="3" t="s">
        <v>21</v>
      </c>
      <c r="N345" s="3" t="s">
        <v>20</v>
      </c>
      <c r="O345" s="3" t="s">
        <v>36</v>
      </c>
      <c r="P345" s="3" t="s">
        <v>36</v>
      </c>
      <c r="Q345" s="3"/>
      <c r="U345" s="1"/>
    </row>
    <row r="346" spans="1:21" ht="14.25" customHeight="1">
      <c r="A346" s="1">
        <v>480</v>
      </c>
      <c r="B346" s="3" t="s">
        <v>2443</v>
      </c>
      <c r="C346" s="3" t="s">
        <v>2444</v>
      </c>
      <c r="D346" s="3" t="s">
        <v>2445</v>
      </c>
      <c r="E346" s="3">
        <v>231</v>
      </c>
      <c r="F346" s="3" t="s">
        <v>27</v>
      </c>
      <c r="G346" s="3" t="s">
        <v>27</v>
      </c>
      <c r="H346" s="3" t="s">
        <v>2446</v>
      </c>
      <c r="I346" s="3">
        <v>2023</v>
      </c>
      <c r="J346" s="3" t="s">
        <v>2447</v>
      </c>
      <c r="K346" s="3" t="s">
        <v>3048</v>
      </c>
      <c r="L346" s="3" t="s">
        <v>22</v>
      </c>
      <c r="M346" s="3"/>
      <c r="N346" s="3" t="s">
        <v>22</v>
      </c>
      <c r="O346" s="3" t="s">
        <v>22</v>
      </c>
      <c r="P346" s="3" t="s">
        <v>23</v>
      </c>
      <c r="Q346" s="3"/>
      <c r="R346" s="22" t="s">
        <v>22</v>
      </c>
      <c r="U346" s="31" t="s">
        <v>3183</v>
      </c>
    </row>
    <row r="347" spans="1:21" ht="14.25" hidden="1" customHeight="1">
      <c r="A347" s="1">
        <v>547</v>
      </c>
      <c r="B347" s="5" t="s">
        <v>2744</v>
      </c>
      <c r="C347" s="5" t="s">
        <v>2745</v>
      </c>
      <c r="D347" s="5" t="s">
        <v>27</v>
      </c>
      <c r="E347" s="5"/>
      <c r="F347" s="5" t="s">
        <v>27</v>
      </c>
      <c r="G347" s="5" t="s">
        <v>27</v>
      </c>
      <c r="H347" s="5" t="s">
        <v>27</v>
      </c>
      <c r="I347" s="5">
        <v>2018</v>
      </c>
      <c r="J347" s="5" t="s">
        <v>27</v>
      </c>
      <c r="K347" s="3" t="s">
        <v>3048</v>
      </c>
      <c r="L347" s="5" t="s">
        <v>20</v>
      </c>
      <c r="M347" s="5" t="s">
        <v>21</v>
      </c>
      <c r="N347" s="5" t="s">
        <v>20</v>
      </c>
      <c r="O347" s="5" t="s">
        <v>36</v>
      </c>
      <c r="P347" s="5" t="s">
        <v>36</v>
      </c>
      <c r="Q347" s="5"/>
      <c r="U347" s="1"/>
    </row>
    <row r="348" spans="1:21" s="19" customFormat="1" ht="14.25" hidden="1">
      <c r="A348" s="34">
        <v>459</v>
      </c>
      <c r="B348" s="34" t="s">
        <v>3417</v>
      </c>
      <c r="C348" s="34" t="s">
        <v>3418</v>
      </c>
      <c r="D348" s="34" t="s">
        <v>27</v>
      </c>
      <c r="E348" s="34" t="s">
        <v>27</v>
      </c>
      <c r="F348" s="34" t="s">
        <v>27</v>
      </c>
      <c r="G348" s="34" t="s">
        <v>27</v>
      </c>
      <c r="H348" s="34" t="s">
        <v>27</v>
      </c>
      <c r="I348" s="34">
        <v>2021</v>
      </c>
      <c r="J348" s="34" t="s">
        <v>27</v>
      </c>
      <c r="K348" s="34" t="s">
        <v>2946</v>
      </c>
      <c r="L348" s="34" t="s">
        <v>20</v>
      </c>
      <c r="M348" s="34"/>
      <c r="N348" s="34" t="s">
        <v>27</v>
      </c>
      <c r="O348" s="34"/>
      <c r="P348" s="34"/>
      <c r="Q348" s="34"/>
      <c r="R348" s="34"/>
      <c r="S348" s="34"/>
      <c r="T348" s="34"/>
      <c r="U348" s="34"/>
    </row>
    <row r="349" spans="1:21" ht="14.25" hidden="1" customHeight="1">
      <c r="A349" s="1">
        <v>64</v>
      </c>
      <c r="B349" s="3" t="s">
        <v>398</v>
      </c>
      <c r="C349" s="3" t="s">
        <v>399</v>
      </c>
      <c r="D349" s="3" t="s">
        <v>400</v>
      </c>
      <c r="E349" s="3">
        <v>79</v>
      </c>
      <c r="F349" s="3" t="s">
        <v>401</v>
      </c>
      <c r="G349" s="3" t="s">
        <v>402</v>
      </c>
      <c r="H349" s="3" t="s">
        <v>403</v>
      </c>
      <c r="I349" s="3">
        <v>2001</v>
      </c>
      <c r="J349" s="3" t="s">
        <v>404</v>
      </c>
      <c r="K349" s="3" t="s">
        <v>3048</v>
      </c>
      <c r="L349" s="3" t="s">
        <v>20</v>
      </c>
      <c r="M349" s="3" t="s">
        <v>21</v>
      </c>
      <c r="N349" s="3" t="s">
        <v>20</v>
      </c>
      <c r="O349" s="3" t="s">
        <v>36</v>
      </c>
      <c r="P349" s="3" t="s">
        <v>36</v>
      </c>
      <c r="Q349" s="3"/>
      <c r="U349" s="1"/>
    </row>
    <row r="350" spans="1:21" ht="14.25" hidden="1" customHeight="1">
      <c r="A350" s="1">
        <v>77</v>
      </c>
      <c r="B350" s="5" t="s">
        <v>470</v>
      </c>
      <c r="C350" s="5" t="s">
        <v>471</v>
      </c>
      <c r="D350" s="5" t="s">
        <v>472</v>
      </c>
      <c r="E350" s="5">
        <v>115</v>
      </c>
      <c r="F350" s="5" t="s">
        <v>473</v>
      </c>
      <c r="G350" s="5" t="s">
        <v>474</v>
      </c>
      <c r="H350" s="5" t="s">
        <v>475</v>
      </c>
      <c r="I350" s="5">
        <v>2023</v>
      </c>
      <c r="J350" s="5" t="s">
        <v>476</v>
      </c>
      <c r="K350" s="3" t="s">
        <v>3048</v>
      </c>
      <c r="L350" s="5" t="s">
        <v>20</v>
      </c>
      <c r="M350" s="5" t="s">
        <v>21</v>
      </c>
      <c r="N350" s="5" t="s">
        <v>20</v>
      </c>
      <c r="O350" s="5" t="s">
        <v>36</v>
      </c>
      <c r="P350" s="5" t="s">
        <v>36</v>
      </c>
      <c r="Q350" s="5"/>
      <c r="U350" s="1"/>
    </row>
    <row r="351" spans="1:21" ht="14.25" hidden="1" customHeight="1">
      <c r="A351" s="1">
        <v>376</v>
      </c>
      <c r="B351" s="3" t="s">
        <v>1972</v>
      </c>
      <c r="C351" s="3" t="s">
        <v>1973</v>
      </c>
      <c r="D351" s="3" t="s">
        <v>1974</v>
      </c>
      <c r="E351" s="3"/>
      <c r="F351" s="3" t="s">
        <v>283</v>
      </c>
      <c r="G351" s="3" t="s">
        <v>1507</v>
      </c>
      <c r="H351" s="3" t="s">
        <v>27</v>
      </c>
      <c r="I351" s="3">
        <v>2005</v>
      </c>
      <c r="J351" s="3" t="s">
        <v>1975</v>
      </c>
      <c r="K351" s="3" t="s">
        <v>3048</v>
      </c>
      <c r="L351" s="3" t="s">
        <v>20</v>
      </c>
      <c r="M351" s="3" t="s">
        <v>21</v>
      </c>
      <c r="N351" s="3" t="s">
        <v>20</v>
      </c>
      <c r="O351" s="3" t="s">
        <v>36</v>
      </c>
      <c r="P351" s="3" t="s">
        <v>36</v>
      </c>
      <c r="Q351" s="3"/>
      <c r="U351" s="1"/>
    </row>
    <row r="352" spans="1:21" ht="14.25" hidden="1" customHeight="1">
      <c r="A352" s="1">
        <v>276</v>
      </c>
      <c r="B352" s="3" t="s">
        <v>1504</v>
      </c>
      <c r="C352" s="3" t="s">
        <v>1505</v>
      </c>
      <c r="D352" s="3" t="s">
        <v>1506</v>
      </c>
      <c r="E352" s="3">
        <v>635</v>
      </c>
      <c r="F352" s="3" t="s">
        <v>283</v>
      </c>
      <c r="G352" s="3" t="s">
        <v>1507</v>
      </c>
      <c r="H352" s="3" t="s">
        <v>27</v>
      </c>
      <c r="I352" s="3">
        <v>2004</v>
      </c>
      <c r="J352" s="3" t="s">
        <v>1508</v>
      </c>
      <c r="K352" s="3" t="s">
        <v>3048</v>
      </c>
      <c r="L352" s="3" t="s">
        <v>20</v>
      </c>
      <c r="M352" s="3" t="s">
        <v>21</v>
      </c>
      <c r="N352" s="3" t="s">
        <v>20</v>
      </c>
      <c r="O352" s="3" t="s">
        <v>36</v>
      </c>
      <c r="P352" s="3" t="s">
        <v>36</v>
      </c>
      <c r="Q352" s="3"/>
      <c r="U352" s="1"/>
    </row>
    <row r="353" spans="1:21" ht="14.25" hidden="1" customHeight="1">
      <c r="A353" s="1">
        <v>135</v>
      </c>
      <c r="B353" s="5" t="s">
        <v>792</v>
      </c>
      <c r="C353" s="5" t="s">
        <v>793</v>
      </c>
      <c r="D353" s="5" t="s">
        <v>794</v>
      </c>
      <c r="E353" s="5">
        <v>150</v>
      </c>
      <c r="F353" s="5" t="s">
        <v>27</v>
      </c>
      <c r="G353" s="5" t="s">
        <v>27</v>
      </c>
      <c r="H353" s="5" t="s">
        <v>795</v>
      </c>
      <c r="I353" s="5">
        <v>2023</v>
      </c>
      <c r="J353" s="5" t="s">
        <v>796</v>
      </c>
      <c r="K353" s="3" t="s">
        <v>3048</v>
      </c>
      <c r="L353" s="5" t="s">
        <v>20</v>
      </c>
      <c r="M353" s="5" t="s">
        <v>21</v>
      </c>
      <c r="N353" s="5" t="s">
        <v>20</v>
      </c>
      <c r="O353" s="5" t="s">
        <v>36</v>
      </c>
      <c r="P353" s="5" t="s">
        <v>36</v>
      </c>
      <c r="Q353" s="5"/>
      <c r="U353" s="1"/>
    </row>
    <row r="354" spans="1:21" ht="14.25" customHeight="1">
      <c r="A354" s="1">
        <v>57</v>
      </c>
      <c r="B354" s="5" t="s">
        <v>354</v>
      </c>
      <c r="C354" s="5" t="s">
        <v>355</v>
      </c>
      <c r="D354" s="5" t="s">
        <v>173</v>
      </c>
      <c r="E354" s="5">
        <v>31</v>
      </c>
      <c r="F354" s="5" t="s">
        <v>356</v>
      </c>
      <c r="G354" s="5" t="s">
        <v>357</v>
      </c>
      <c r="H354" s="5" t="s">
        <v>358</v>
      </c>
      <c r="I354" s="5">
        <v>2001</v>
      </c>
      <c r="J354" s="5" t="s">
        <v>359</v>
      </c>
      <c r="K354" s="3" t="s">
        <v>3048</v>
      </c>
      <c r="L354" s="5" t="s">
        <v>22</v>
      </c>
      <c r="M354" s="5"/>
      <c r="N354" s="5" t="s">
        <v>22</v>
      </c>
      <c r="O354" s="5" t="s">
        <v>22</v>
      </c>
      <c r="P354" s="5" t="s">
        <v>23</v>
      </c>
      <c r="Q354" s="5"/>
      <c r="R354" s="12" t="s">
        <v>20</v>
      </c>
      <c r="S354" s="1" t="s">
        <v>2975</v>
      </c>
      <c r="T354" s="1" t="s">
        <v>3063</v>
      </c>
      <c r="U354" s="31" t="s">
        <v>3048</v>
      </c>
    </row>
    <row r="355" spans="1:21" ht="14.25" hidden="1" customHeight="1">
      <c r="A355" s="1">
        <v>320</v>
      </c>
      <c r="B355" s="3" t="s">
        <v>1704</v>
      </c>
      <c r="C355" s="3" t="s">
        <v>1705</v>
      </c>
      <c r="D355" s="3" t="s">
        <v>102</v>
      </c>
      <c r="E355" s="3">
        <v>359</v>
      </c>
      <c r="F355" s="3" t="s">
        <v>1706</v>
      </c>
      <c r="G355" s="3" t="s">
        <v>551</v>
      </c>
      <c r="H355" s="3" t="s">
        <v>1707</v>
      </c>
      <c r="I355" s="3">
        <v>2016</v>
      </c>
      <c r="J355" s="3" t="s">
        <v>1708</v>
      </c>
      <c r="K355" s="3" t="s">
        <v>3048</v>
      </c>
      <c r="L355" s="3" t="s">
        <v>20</v>
      </c>
      <c r="M355" s="3" t="s">
        <v>21</v>
      </c>
      <c r="N355" s="3" t="s">
        <v>20</v>
      </c>
      <c r="O355" s="3" t="s">
        <v>36</v>
      </c>
      <c r="P355" s="3" t="s">
        <v>36</v>
      </c>
      <c r="Q355" s="3"/>
      <c r="U355" s="1"/>
    </row>
    <row r="356" spans="1:21" ht="14.25" hidden="1" customHeight="1">
      <c r="A356" s="1">
        <v>95</v>
      </c>
      <c r="B356" s="5" t="s">
        <v>570</v>
      </c>
      <c r="C356" s="5" t="s">
        <v>571</v>
      </c>
      <c r="D356" s="5" t="s">
        <v>572</v>
      </c>
      <c r="E356" s="5">
        <v>327</v>
      </c>
      <c r="F356" s="5" t="s">
        <v>573</v>
      </c>
      <c r="G356" s="5" t="s">
        <v>574</v>
      </c>
      <c r="H356" s="5" t="s">
        <v>575</v>
      </c>
      <c r="I356" s="5">
        <v>2010</v>
      </c>
      <c r="J356" s="5" t="s">
        <v>576</v>
      </c>
      <c r="K356" s="3" t="s">
        <v>3048</v>
      </c>
      <c r="L356" s="5" t="s">
        <v>20</v>
      </c>
      <c r="M356" s="5" t="s">
        <v>21</v>
      </c>
      <c r="N356" s="5" t="s">
        <v>20</v>
      </c>
      <c r="O356" s="5" t="s">
        <v>36</v>
      </c>
      <c r="P356" s="5" t="s">
        <v>36</v>
      </c>
      <c r="Q356" s="5"/>
      <c r="U356" s="1"/>
    </row>
    <row r="357" spans="1:21" ht="14.25" customHeight="1">
      <c r="A357" s="1">
        <v>333</v>
      </c>
      <c r="B357" s="5" t="s">
        <v>1758</v>
      </c>
      <c r="C357" s="5" t="s">
        <v>1759</v>
      </c>
      <c r="D357" s="5" t="s">
        <v>1188</v>
      </c>
      <c r="E357" s="5">
        <v>29</v>
      </c>
      <c r="F357" s="5" t="s">
        <v>1760</v>
      </c>
      <c r="G357" s="5" t="s">
        <v>1761</v>
      </c>
      <c r="H357" s="5" t="s">
        <v>1762</v>
      </c>
      <c r="I357" s="5">
        <v>1981</v>
      </c>
      <c r="J357" s="5" t="s">
        <v>1763</v>
      </c>
      <c r="K357" s="3" t="s">
        <v>3048</v>
      </c>
      <c r="L357" s="5" t="s">
        <v>22</v>
      </c>
      <c r="M357" s="5"/>
      <c r="N357" s="5" t="s">
        <v>22</v>
      </c>
      <c r="O357" s="5" t="s">
        <v>190</v>
      </c>
      <c r="P357" s="5" t="s">
        <v>23</v>
      </c>
      <c r="Q357" s="5" t="s">
        <v>2907</v>
      </c>
      <c r="U357" s="1"/>
    </row>
    <row r="358" spans="1:21" ht="14.25" hidden="1" customHeight="1">
      <c r="A358" s="1">
        <v>150</v>
      </c>
      <c r="B358" s="3" t="s">
        <v>867</v>
      </c>
      <c r="C358" s="3" t="s">
        <v>868</v>
      </c>
      <c r="D358" s="3" t="s">
        <v>869</v>
      </c>
      <c r="E358" s="3"/>
      <c r="F358" s="3" t="s">
        <v>870</v>
      </c>
      <c r="G358" s="3" t="s">
        <v>871</v>
      </c>
      <c r="H358" s="3" t="s">
        <v>27</v>
      </c>
      <c r="I358" s="3">
        <v>2005</v>
      </c>
      <c r="J358" s="3" t="s">
        <v>872</v>
      </c>
      <c r="K358" s="3" t="s">
        <v>3048</v>
      </c>
      <c r="L358" s="3" t="s">
        <v>20</v>
      </c>
      <c r="M358" s="3" t="s">
        <v>21</v>
      </c>
      <c r="N358" s="3" t="s">
        <v>20</v>
      </c>
      <c r="O358" s="3" t="s">
        <v>36</v>
      </c>
      <c r="P358" s="3" t="s">
        <v>36</v>
      </c>
      <c r="Q358" s="3"/>
      <c r="U358" s="1"/>
    </row>
    <row r="359" spans="1:21" ht="14.25" hidden="1" customHeight="1">
      <c r="A359" s="1">
        <v>360</v>
      </c>
      <c r="B359" s="3" t="s">
        <v>1894</v>
      </c>
      <c r="C359" s="3" t="s">
        <v>1895</v>
      </c>
      <c r="D359" s="3" t="s">
        <v>1896</v>
      </c>
      <c r="E359" s="3">
        <v>22</v>
      </c>
      <c r="F359" s="3" t="s">
        <v>1110</v>
      </c>
      <c r="G359" s="3" t="s">
        <v>649</v>
      </c>
      <c r="H359" s="3" t="s">
        <v>1897</v>
      </c>
      <c r="I359" s="3">
        <v>2003</v>
      </c>
      <c r="J359" s="3" t="s">
        <v>1898</v>
      </c>
      <c r="K359" s="3" t="s">
        <v>3048</v>
      </c>
      <c r="L359" s="3" t="s">
        <v>20</v>
      </c>
      <c r="M359" s="3" t="s">
        <v>21</v>
      </c>
      <c r="N359" s="3" t="s">
        <v>20</v>
      </c>
      <c r="O359" s="3" t="s">
        <v>36</v>
      </c>
      <c r="P359" s="3" t="s">
        <v>36</v>
      </c>
      <c r="Q359" s="3"/>
      <c r="U359" s="1"/>
    </row>
    <row r="360" spans="1:21" ht="14.25" hidden="1" customHeight="1">
      <c r="A360" s="1">
        <v>146</v>
      </c>
      <c r="B360" s="3" t="s">
        <v>845</v>
      </c>
      <c r="C360" s="3" t="s">
        <v>846</v>
      </c>
      <c r="D360" s="3" t="s">
        <v>102</v>
      </c>
      <c r="E360" s="3">
        <v>407</v>
      </c>
      <c r="F360" s="3" t="s">
        <v>847</v>
      </c>
      <c r="G360" s="3" t="s">
        <v>201</v>
      </c>
      <c r="H360" s="3" t="s">
        <v>848</v>
      </c>
      <c r="I360" s="3">
        <v>2018</v>
      </c>
      <c r="J360" s="3" t="s">
        <v>849</v>
      </c>
      <c r="K360" s="3" t="s">
        <v>3048</v>
      </c>
      <c r="L360" s="3" t="s">
        <v>20</v>
      </c>
      <c r="M360" s="3" t="s">
        <v>21</v>
      </c>
      <c r="N360" s="3" t="s">
        <v>20</v>
      </c>
      <c r="O360" s="3" t="s">
        <v>36</v>
      </c>
      <c r="P360" s="3" t="s">
        <v>36</v>
      </c>
      <c r="Q360" s="3"/>
      <c r="U360" s="1"/>
    </row>
    <row r="361" spans="1:21" ht="14.25" hidden="1" customHeight="1">
      <c r="A361" s="1">
        <v>74</v>
      </c>
      <c r="B361" s="3" t="s">
        <v>450</v>
      </c>
      <c r="C361" s="3" t="s">
        <v>451</v>
      </c>
      <c r="D361" s="3" t="s">
        <v>452</v>
      </c>
      <c r="E361" s="3">
        <v>43</v>
      </c>
      <c r="F361" s="3" t="s">
        <v>453</v>
      </c>
      <c r="G361" s="3" t="s">
        <v>454</v>
      </c>
      <c r="H361" s="3" t="s">
        <v>455</v>
      </c>
      <c r="I361" s="3">
        <v>2009</v>
      </c>
      <c r="J361" s="3" t="s">
        <v>456</v>
      </c>
      <c r="K361" s="3" t="s">
        <v>3048</v>
      </c>
      <c r="L361" s="3" t="s">
        <v>20</v>
      </c>
      <c r="M361" s="3" t="s">
        <v>21</v>
      </c>
      <c r="N361" s="3" t="s">
        <v>20</v>
      </c>
      <c r="O361" s="3" t="s">
        <v>36</v>
      </c>
      <c r="P361" s="3" t="s">
        <v>36</v>
      </c>
      <c r="Q361" s="3"/>
      <c r="U361" s="1"/>
    </row>
    <row r="362" spans="1:21" ht="14.25" customHeight="1">
      <c r="A362" s="1">
        <v>81</v>
      </c>
      <c r="B362" s="5" t="s">
        <v>495</v>
      </c>
      <c r="C362" s="5" t="s">
        <v>496</v>
      </c>
      <c r="D362" s="5" t="s">
        <v>497</v>
      </c>
      <c r="E362" s="5">
        <v>52</v>
      </c>
      <c r="F362" s="5" t="s">
        <v>498</v>
      </c>
      <c r="G362" s="5" t="s">
        <v>499</v>
      </c>
      <c r="H362" s="5" t="s">
        <v>500</v>
      </c>
      <c r="I362" s="5">
        <v>2018</v>
      </c>
      <c r="J362" s="5" t="s">
        <v>501</v>
      </c>
      <c r="K362" s="3" t="s">
        <v>3048</v>
      </c>
      <c r="L362" s="5" t="s">
        <v>22</v>
      </c>
      <c r="M362" s="5"/>
      <c r="N362" s="5" t="s">
        <v>22</v>
      </c>
      <c r="O362" s="5" t="s">
        <v>20</v>
      </c>
      <c r="P362" s="5" t="s">
        <v>36</v>
      </c>
      <c r="Q362" s="5"/>
      <c r="U362" s="1"/>
    </row>
    <row r="363" spans="1:21" ht="14.25" customHeight="1">
      <c r="A363" s="1">
        <v>94</v>
      </c>
      <c r="B363" s="3" t="s">
        <v>563</v>
      </c>
      <c r="C363" s="3" t="s">
        <v>564</v>
      </c>
      <c r="D363" s="3" t="s">
        <v>565</v>
      </c>
      <c r="E363" s="3">
        <v>5</v>
      </c>
      <c r="F363" s="3" t="s">
        <v>566</v>
      </c>
      <c r="G363" s="3" t="s">
        <v>567</v>
      </c>
      <c r="H363" s="3" t="s">
        <v>568</v>
      </c>
      <c r="I363" s="3">
        <v>2016</v>
      </c>
      <c r="J363" s="3" t="s">
        <v>569</v>
      </c>
      <c r="K363" s="3" t="s">
        <v>3048</v>
      </c>
      <c r="L363" s="3" t="s">
        <v>22</v>
      </c>
      <c r="M363" s="3"/>
      <c r="N363" s="3" t="s">
        <v>22</v>
      </c>
      <c r="O363" s="3" t="s">
        <v>22</v>
      </c>
      <c r="P363" s="3" t="s">
        <v>23</v>
      </c>
      <c r="Q363" s="3"/>
      <c r="R363" s="12" t="s">
        <v>22</v>
      </c>
      <c r="T363" s="1" t="s">
        <v>3075</v>
      </c>
      <c r="U363" s="31" t="s">
        <v>3296</v>
      </c>
    </row>
    <row r="364" spans="1:21" ht="14.25" customHeight="1">
      <c r="A364" s="1">
        <v>477</v>
      </c>
      <c r="B364" s="5" t="s">
        <v>2429</v>
      </c>
      <c r="C364" s="5" t="s">
        <v>2430</v>
      </c>
      <c r="D364" s="5" t="s">
        <v>2431</v>
      </c>
      <c r="E364" s="5">
        <v>5</v>
      </c>
      <c r="F364" s="5" t="s">
        <v>2432</v>
      </c>
      <c r="G364" s="5" t="s">
        <v>1284</v>
      </c>
      <c r="H364" s="5" t="s">
        <v>27</v>
      </c>
      <c r="I364" s="5">
        <v>2014</v>
      </c>
      <c r="J364" s="5" t="s">
        <v>2433</v>
      </c>
      <c r="K364" s="3" t="s">
        <v>3048</v>
      </c>
      <c r="L364" s="5" t="s">
        <v>22</v>
      </c>
      <c r="M364" s="5"/>
      <c r="N364" s="5" t="s">
        <v>22</v>
      </c>
      <c r="O364" s="5" t="s">
        <v>22</v>
      </c>
      <c r="P364" s="5" t="s">
        <v>23</v>
      </c>
      <c r="Q364" s="5"/>
      <c r="R364" s="21" t="s">
        <v>22</v>
      </c>
      <c r="U364" s="31" t="s">
        <v>2967</v>
      </c>
    </row>
    <row r="365" spans="1:21" ht="14.25" hidden="1" customHeight="1">
      <c r="A365" s="1">
        <v>465</v>
      </c>
      <c r="B365" s="5" t="s">
        <v>2374</v>
      </c>
      <c r="C365" s="5" t="s">
        <v>2375</v>
      </c>
      <c r="D365" s="5" t="s">
        <v>64</v>
      </c>
      <c r="E365" s="5">
        <v>229</v>
      </c>
      <c r="F365" s="5" t="s">
        <v>1906</v>
      </c>
      <c r="G365" s="5" t="s">
        <v>2376</v>
      </c>
      <c r="H365" s="5" t="s">
        <v>2377</v>
      </c>
      <c r="I365" s="5">
        <v>2021</v>
      </c>
      <c r="J365" s="5" t="s">
        <v>27</v>
      </c>
      <c r="K365" s="3" t="s">
        <v>3048</v>
      </c>
      <c r="L365" s="5" t="s">
        <v>268</v>
      </c>
      <c r="M365" s="5" t="s">
        <v>2346</v>
      </c>
      <c r="N365" s="5" t="s">
        <v>268</v>
      </c>
      <c r="O365" s="5" t="s">
        <v>36</v>
      </c>
      <c r="P365" s="5" t="s">
        <v>36</v>
      </c>
      <c r="Q365" s="5"/>
      <c r="U365" s="1"/>
    </row>
    <row r="366" spans="1:21" ht="14.25" hidden="1" customHeight="1">
      <c r="A366" s="1">
        <v>37</v>
      </c>
      <c r="B366" s="5" t="s">
        <v>235</v>
      </c>
      <c r="C366" s="5" t="s">
        <v>236</v>
      </c>
      <c r="D366" s="5" t="s">
        <v>237</v>
      </c>
      <c r="E366" s="5">
        <v>43</v>
      </c>
      <c r="F366" s="5" t="s">
        <v>238</v>
      </c>
      <c r="G366" s="5" t="s">
        <v>239</v>
      </c>
      <c r="H366" s="5" t="s">
        <v>240</v>
      </c>
      <c r="I366" s="5">
        <v>2012</v>
      </c>
      <c r="J366" s="5" t="s">
        <v>241</v>
      </c>
      <c r="K366" s="3" t="s">
        <v>3048</v>
      </c>
      <c r="L366" s="5" t="s">
        <v>20</v>
      </c>
      <c r="M366" s="5" t="s">
        <v>21</v>
      </c>
      <c r="N366" s="5" t="s">
        <v>20</v>
      </c>
      <c r="O366" s="5" t="s">
        <v>36</v>
      </c>
      <c r="P366" s="5" t="s">
        <v>36</v>
      </c>
      <c r="Q366" s="5"/>
      <c r="U366" s="1"/>
    </row>
    <row r="367" spans="1:21" ht="14.25" customHeight="1">
      <c r="A367" s="1">
        <v>257</v>
      </c>
      <c r="B367" s="5" t="s">
        <v>1419</v>
      </c>
      <c r="C367" s="5" t="s">
        <v>1420</v>
      </c>
      <c r="D367" s="5" t="s">
        <v>102</v>
      </c>
      <c r="E367" s="5">
        <v>225</v>
      </c>
      <c r="F367" s="5" t="s">
        <v>777</v>
      </c>
      <c r="G367" s="5" t="s">
        <v>16</v>
      </c>
      <c r="H367" s="5" t="s">
        <v>1421</v>
      </c>
      <c r="I367" s="5">
        <v>2006</v>
      </c>
      <c r="J367" s="5" t="s">
        <v>1422</v>
      </c>
      <c r="K367" s="3" t="s">
        <v>3048</v>
      </c>
      <c r="L367" s="5" t="s">
        <v>22</v>
      </c>
      <c r="M367" s="5"/>
      <c r="N367" s="5" t="s">
        <v>22</v>
      </c>
      <c r="O367" s="5" t="s">
        <v>22</v>
      </c>
      <c r="P367" s="5" t="s">
        <v>23</v>
      </c>
      <c r="Q367" s="5"/>
      <c r="R367" s="12" t="s">
        <v>22</v>
      </c>
      <c r="T367" s="1" t="s">
        <v>3165</v>
      </c>
      <c r="U367" s="31" t="s">
        <v>2946</v>
      </c>
    </row>
    <row r="368" spans="1:21" ht="14.25" customHeight="1">
      <c r="A368" s="1">
        <v>467</v>
      </c>
      <c r="B368" s="5" t="s">
        <v>2382</v>
      </c>
      <c r="C368" s="5" t="s">
        <v>2383</v>
      </c>
      <c r="D368" s="5" t="s">
        <v>636</v>
      </c>
      <c r="E368" s="5">
        <v>875</v>
      </c>
      <c r="F368" s="5" t="s">
        <v>27</v>
      </c>
      <c r="G368" s="5" t="s">
        <v>27</v>
      </c>
      <c r="H368" s="5" t="s">
        <v>2384</v>
      </c>
      <c r="I368" s="5">
        <v>2023</v>
      </c>
      <c r="J368" s="5" t="s">
        <v>2385</v>
      </c>
      <c r="K368" s="3" t="s">
        <v>3048</v>
      </c>
      <c r="L368" s="5" t="s">
        <v>22</v>
      </c>
      <c r="M368" s="5"/>
      <c r="N368" s="5" t="s">
        <v>22</v>
      </c>
      <c r="O368" s="5" t="s">
        <v>22</v>
      </c>
      <c r="P368" s="5" t="s">
        <v>23</v>
      </c>
      <c r="Q368" s="5"/>
      <c r="R368" s="12" t="s">
        <v>22</v>
      </c>
      <c r="U368" s="31" t="s">
        <v>2946</v>
      </c>
    </row>
    <row r="369" spans="1:21" ht="14.25" customHeight="1">
      <c r="A369" s="1">
        <v>460</v>
      </c>
      <c r="B369" s="3" t="s">
        <v>2347</v>
      </c>
      <c r="C369" s="3" t="s">
        <v>2348</v>
      </c>
      <c r="D369" s="3" t="s">
        <v>978</v>
      </c>
      <c r="E369" s="3">
        <v>13</v>
      </c>
      <c r="F369" s="3" t="s">
        <v>27</v>
      </c>
      <c r="G369" s="3" t="s">
        <v>27</v>
      </c>
      <c r="H369" s="3" t="s">
        <v>2349</v>
      </c>
      <c r="I369" s="3">
        <v>2023</v>
      </c>
      <c r="J369" s="3" t="s">
        <v>2350</v>
      </c>
      <c r="K369" s="3" t="s">
        <v>3048</v>
      </c>
      <c r="L369" s="3" t="s">
        <v>22</v>
      </c>
      <c r="M369" s="3"/>
      <c r="N369" s="3" t="s">
        <v>22</v>
      </c>
      <c r="O369" s="3" t="s">
        <v>22</v>
      </c>
      <c r="P369" s="3" t="s">
        <v>23</v>
      </c>
      <c r="Q369" s="3"/>
      <c r="R369" s="12" t="s">
        <v>22</v>
      </c>
      <c r="U369" s="31" t="s">
        <v>2946</v>
      </c>
    </row>
    <row r="370" spans="1:21" ht="14.25" customHeight="1">
      <c r="A370" s="1">
        <v>345</v>
      </c>
      <c r="B370" s="5" t="s">
        <v>1817</v>
      </c>
      <c r="C370" s="5" t="s">
        <v>1818</v>
      </c>
      <c r="D370" s="5" t="s">
        <v>102</v>
      </c>
      <c r="E370" s="5">
        <v>519</v>
      </c>
      <c r="F370" s="5" t="s">
        <v>27</v>
      </c>
      <c r="G370" s="5" t="s">
        <v>27</v>
      </c>
      <c r="H370" s="5" t="s">
        <v>1819</v>
      </c>
      <c r="I370" s="5">
        <v>2022</v>
      </c>
      <c r="J370" s="5" t="s">
        <v>1820</v>
      </c>
      <c r="K370" s="3" t="s">
        <v>3048</v>
      </c>
      <c r="L370" s="5" t="s">
        <v>22</v>
      </c>
      <c r="M370" s="5"/>
      <c r="N370" s="5" t="s">
        <v>22</v>
      </c>
      <c r="O370" s="5" t="s">
        <v>22</v>
      </c>
      <c r="P370" s="5" t="s">
        <v>23</v>
      </c>
      <c r="Q370" s="5"/>
      <c r="R370" s="12" t="s">
        <v>20</v>
      </c>
      <c r="S370" s="1" t="s">
        <v>2975</v>
      </c>
      <c r="T370" s="1" t="s">
        <v>3002</v>
      </c>
      <c r="U370" s="31" t="s">
        <v>2946</v>
      </c>
    </row>
    <row r="371" spans="1:21" ht="14.25" hidden="1" customHeight="1">
      <c r="A371" s="1">
        <v>158</v>
      </c>
      <c r="B371" s="3" t="s">
        <v>914</v>
      </c>
      <c r="C371" s="3" t="s">
        <v>915</v>
      </c>
      <c r="D371" s="3" t="s">
        <v>794</v>
      </c>
      <c r="E371" s="3">
        <v>132</v>
      </c>
      <c r="F371" s="3" t="s">
        <v>27</v>
      </c>
      <c r="G371" s="3" t="s">
        <v>27</v>
      </c>
      <c r="H371" s="3" t="s">
        <v>916</v>
      </c>
      <c r="I371" s="3">
        <v>2021</v>
      </c>
      <c r="J371" s="3" t="s">
        <v>917</v>
      </c>
      <c r="K371" s="3" t="s">
        <v>3048</v>
      </c>
      <c r="L371" s="3" t="s">
        <v>20</v>
      </c>
      <c r="M371" s="3" t="s">
        <v>21</v>
      </c>
      <c r="N371" s="3" t="s">
        <v>20</v>
      </c>
      <c r="O371" s="3" t="s">
        <v>36</v>
      </c>
      <c r="P371" s="3" t="s">
        <v>36</v>
      </c>
      <c r="Q371" s="3"/>
      <c r="U371" s="1"/>
    </row>
    <row r="372" spans="1:21" ht="14.25" hidden="1" customHeight="1">
      <c r="A372" s="1">
        <v>405</v>
      </c>
      <c r="B372" s="5" t="s">
        <v>2096</v>
      </c>
      <c r="C372" s="5" t="s">
        <v>2097</v>
      </c>
      <c r="D372" s="5" t="s">
        <v>2098</v>
      </c>
      <c r="E372" s="5"/>
      <c r="F372" s="5" t="s">
        <v>2099</v>
      </c>
      <c r="G372" s="5" t="s">
        <v>2099</v>
      </c>
      <c r="H372" s="5" t="s">
        <v>27</v>
      </c>
      <c r="I372" s="5">
        <v>2009</v>
      </c>
      <c r="J372" s="5" t="s">
        <v>2100</v>
      </c>
      <c r="K372" s="3" t="s">
        <v>3048</v>
      </c>
      <c r="L372" s="5" t="s">
        <v>20</v>
      </c>
      <c r="M372" s="5" t="s">
        <v>21</v>
      </c>
      <c r="N372" s="5" t="s">
        <v>20</v>
      </c>
      <c r="O372" s="5" t="s">
        <v>36</v>
      </c>
      <c r="P372" s="5" t="s">
        <v>36</v>
      </c>
      <c r="Q372" s="5"/>
      <c r="U372" s="1"/>
    </row>
    <row r="373" spans="1:21" ht="14.25" hidden="1" customHeight="1">
      <c r="A373" s="1">
        <v>394</v>
      </c>
      <c r="B373" s="3" t="s">
        <v>2050</v>
      </c>
      <c r="C373" s="3" t="s">
        <v>2051</v>
      </c>
      <c r="D373" s="3" t="s">
        <v>472</v>
      </c>
      <c r="E373" s="3">
        <v>110</v>
      </c>
      <c r="F373" s="3" t="s">
        <v>2052</v>
      </c>
      <c r="G373" s="3" t="s">
        <v>2053</v>
      </c>
      <c r="H373" s="3" t="s">
        <v>2054</v>
      </c>
      <c r="I373" s="3">
        <v>2018</v>
      </c>
      <c r="J373" s="3" t="s">
        <v>2055</v>
      </c>
      <c r="K373" s="3" t="s">
        <v>3048</v>
      </c>
      <c r="L373" s="3" t="s">
        <v>20</v>
      </c>
      <c r="M373" s="3" t="s">
        <v>21</v>
      </c>
      <c r="N373" s="3" t="s">
        <v>20</v>
      </c>
      <c r="O373" s="3" t="s">
        <v>36</v>
      </c>
      <c r="P373" s="3" t="s">
        <v>36</v>
      </c>
      <c r="Q373" s="3"/>
      <c r="U373" s="1"/>
    </row>
    <row r="374" spans="1:21" ht="14.25" customHeight="1">
      <c r="A374" s="1">
        <v>209</v>
      </c>
      <c r="B374" s="5" t="s">
        <v>1171</v>
      </c>
      <c r="C374" s="5" t="s">
        <v>1172</v>
      </c>
      <c r="D374" s="5" t="s">
        <v>1173</v>
      </c>
      <c r="E374" s="5">
        <v>6</v>
      </c>
      <c r="F374" s="5" t="s">
        <v>1174</v>
      </c>
      <c r="G374" s="5" t="s">
        <v>951</v>
      </c>
      <c r="H374" s="5" t="s">
        <v>27</v>
      </c>
      <c r="I374" s="5">
        <v>2001</v>
      </c>
      <c r="J374" s="5" t="s">
        <v>1175</v>
      </c>
      <c r="K374" s="3" t="s">
        <v>3048</v>
      </c>
      <c r="L374" s="5" t="s">
        <v>22</v>
      </c>
      <c r="M374" s="5"/>
      <c r="N374" s="5" t="s">
        <v>22</v>
      </c>
      <c r="O374" s="5" t="s">
        <v>22</v>
      </c>
      <c r="P374" s="5" t="s">
        <v>23</v>
      </c>
      <c r="Q374" s="5"/>
      <c r="R374" s="12" t="s">
        <v>22</v>
      </c>
      <c r="U374" s="31" t="s">
        <v>3025</v>
      </c>
    </row>
    <row r="375" spans="1:21" s="19" customFormat="1" ht="14.25">
      <c r="A375" s="34">
        <v>224</v>
      </c>
      <c r="B375" s="34" t="s">
        <v>3419</v>
      </c>
      <c r="C375" s="34" t="s">
        <v>3420</v>
      </c>
      <c r="D375" s="34" t="s">
        <v>3421</v>
      </c>
      <c r="E375" s="34">
        <v>21</v>
      </c>
      <c r="F375" s="34" t="s">
        <v>27</v>
      </c>
      <c r="G375" s="34" t="s">
        <v>27</v>
      </c>
      <c r="H375" s="34" t="s">
        <v>3422</v>
      </c>
      <c r="I375" s="34">
        <v>2025</v>
      </c>
      <c r="J375" s="34" t="s">
        <v>3423</v>
      </c>
      <c r="K375" s="34" t="s">
        <v>2946</v>
      </c>
      <c r="L375" s="34" t="s">
        <v>22</v>
      </c>
      <c r="M375" s="34"/>
      <c r="N375" s="34" t="s">
        <v>27</v>
      </c>
      <c r="O375" s="34" t="s">
        <v>22</v>
      </c>
      <c r="P375" s="34" t="s">
        <v>23</v>
      </c>
      <c r="Q375" s="34"/>
      <c r="R375" s="34"/>
      <c r="S375" s="34"/>
      <c r="T375" s="34"/>
      <c r="U375" s="34"/>
    </row>
    <row r="376" spans="1:21" ht="14.25" hidden="1" customHeight="1">
      <c r="A376" s="1">
        <v>322</v>
      </c>
      <c r="B376" s="3" t="s">
        <v>1711</v>
      </c>
      <c r="C376" s="3" t="s">
        <v>1712</v>
      </c>
      <c r="D376" s="3" t="s">
        <v>1713</v>
      </c>
      <c r="E376" s="3">
        <v>40</v>
      </c>
      <c r="F376" s="3" t="s">
        <v>167</v>
      </c>
      <c r="G376" s="3" t="s">
        <v>1714</v>
      </c>
      <c r="H376" s="3" t="s">
        <v>27</v>
      </c>
      <c r="I376" s="3">
        <v>1993</v>
      </c>
      <c r="J376" s="3" t="s">
        <v>1715</v>
      </c>
      <c r="K376" s="3" t="s">
        <v>3048</v>
      </c>
      <c r="L376" s="3" t="s">
        <v>20</v>
      </c>
      <c r="M376" s="3" t="s">
        <v>21</v>
      </c>
      <c r="N376" s="3" t="s">
        <v>20</v>
      </c>
      <c r="O376" s="3" t="s">
        <v>36</v>
      </c>
      <c r="P376" s="3" t="s">
        <v>36</v>
      </c>
      <c r="Q376" s="3"/>
      <c r="U376" s="1"/>
    </row>
    <row r="377" spans="1:21" ht="14.25" hidden="1" customHeight="1">
      <c r="A377" s="1">
        <v>181</v>
      </c>
      <c r="B377" s="5" t="s">
        <v>1032</v>
      </c>
      <c r="C377" s="5" t="s">
        <v>1033</v>
      </c>
      <c r="D377" s="5" t="s">
        <v>400</v>
      </c>
      <c r="E377" s="5">
        <v>64</v>
      </c>
      <c r="F377" s="5" t="s">
        <v>1034</v>
      </c>
      <c r="G377" s="5" t="s">
        <v>1035</v>
      </c>
      <c r="H377" s="5" t="s">
        <v>1036</v>
      </c>
      <c r="I377" s="5">
        <v>1986</v>
      </c>
      <c r="J377" s="5" t="s">
        <v>1037</v>
      </c>
      <c r="K377" s="3" t="s">
        <v>3048</v>
      </c>
      <c r="L377" s="5" t="s">
        <v>20</v>
      </c>
      <c r="M377" s="5" t="s">
        <v>21</v>
      </c>
      <c r="N377" s="5" t="s">
        <v>20</v>
      </c>
      <c r="O377" s="5" t="s">
        <v>36</v>
      </c>
      <c r="P377" s="5" t="s">
        <v>36</v>
      </c>
      <c r="Q377" s="5"/>
      <c r="U377" s="1"/>
    </row>
    <row r="378" spans="1:21" ht="14.25" hidden="1" customHeight="1">
      <c r="A378" s="1">
        <v>494</v>
      </c>
      <c r="B378" s="3" t="s">
        <v>2511</v>
      </c>
      <c r="C378" s="3" t="s">
        <v>2512</v>
      </c>
      <c r="D378" s="3" t="s">
        <v>530</v>
      </c>
      <c r="E378" s="3">
        <v>54</v>
      </c>
      <c r="F378" s="3" t="s">
        <v>1163</v>
      </c>
      <c r="G378" s="3" t="s">
        <v>1373</v>
      </c>
      <c r="H378" s="3" t="s">
        <v>2513</v>
      </c>
      <c r="I378" s="3">
        <v>2016</v>
      </c>
      <c r="J378" s="3" t="s">
        <v>2514</v>
      </c>
      <c r="K378" s="3" t="s">
        <v>3048</v>
      </c>
      <c r="L378" s="3" t="s">
        <v>20</v>
      </c>
      <c r="M378" s="3" t="s">
        <v>21</v>
      </c>
      <c r="N378" s="3" t="s">
        <v>20</v>
      </c>
      <c r="O378" s="3" t="s">
        <v>36</v>
      </c>
      <c r="P378" s="3" t="s">
        <v>36</v>
      </c>
      <c r="Q378" s="3"/>
      <c r="U378" s="1"/>
    </row>
    <row r="379" spans="1:21" ht="14.25" hidden="1" customHeight="1">
      <c r="A379" s="1">
        <v>413</v>
      </c>
      <c r="B379" s="5" t="s">
        <v>2134</v>
      </c>
      <c r="C379" s="5" t="s">
        <v>2135</v>
      </c>
      <c r="D379" s="5" t="s">
        <v>1188</v>
      </c>
      <c r="E379" s="5">
        <v>59</v>
      </c>
      <c r="F379" s="5" t="s">
        <v>244</v>
      </c>
      <c r="G379" s="5" t="s">
        <v>2136</v>
      </c>
      <c r="H379" s="5" t="s">
        <v>2137</v>
      </c>
      <c r="I379" s="5">
        <v>2011</v>
      </c>
      <c r="J379" s="5" t="s">
        <v>2138</v>
      </c>
      <c r="K379" s="3" t="s">
        <v>3048</v>
      </c>
      <c r="L379" s="5" t="s">
        <v>268</v>
      </c>
      <c r="M379" s="5" t="s">
        <v>269</v>
      </c>
      <c r="N379" s="5" t="s">
        <v>268</v>
      </c>
      <c r="O379" s="5" t="s">
        <v>22</v>
      </c>
      <c r="P379" s="5" t="s">
        <v>269</v>
      </c>
      <c r="Q379" s="5" t="s">
        <v>2878</v>
      </c>
      <c r="U379" s="1"/>
    </row>
    <row r="380" spans="1:21" ht="14.25" customHeight="1">
      <c r="A380" s="1">
        <v>250</v>
      </c>
      <c r="B380" s="3" t="s">
        <v>1383</v>
      </c>
      <c r="C380" s="3" t="s">
        <v>1384</v>
      </c>
      <c r="D380" s="3" t="s">
        <v>1028</v>
      </c>
      <c r="E380" s="3">
        <v>10</v>
      </c>
      <c r="F380" s="3" t="s">
        <v>1385</v>
      </c>
      <c r="G380" s="3" t="s">
        <v>401</v>
      </c>
      <c r="H380" s="3" t="s">
        <v>27</v>
      </c>
      <c r="I380" s="3">
        <v>2002</v>
      </c>
      <c r="J380" s="3" t="s">
        <v>1386</v>
      </c>
      <c r="K380" s="3" t="s">
        <v>3048</v>
      </c>
      <c r="L380" s="3" t="s">
        <v>22</v>
      </c>
      <c r="M380" s="3"/>
      <c r="N380" s="3" t="s">
        <v>22</v>
      </c>
      <c r="O380" s="3" t="s">
        <v>22</v>
      </c>
      <c r="P380" s="3" t="s">
        <v>23</v>
      </c>
      <c r="Q380" s="3"/>
      <c r="R380" s="12" t="s">
        <v>20</v>
      </c>
      <c r="S380" s="1" t="s">
        <v>2975</v>
      </c>
      <c r="U380" s="31" t="s">
        <v>2910</v>
      </c>
    </row>
    <row r="381" spans="1:21" ht="14.25" customHeight="1">
      <c r="A381" s="1">
        <v>138</v>
      </c>
      <c r="B381" s="3" t="s">
        <v>807</v>
      </c>
      <c r="C381" s="3" t="s">
        <v>808</v>
      </c>
      <c r="D381" s="3" t="s">
        <v>102</v>
      </c>
      <c r="E381" s="3">
        <v>331</v>
      </c>
      <c r="F381" s="3" t="s">
        <v>809</v>
      </c>
      <c r="G381" s="3" t="s">
        <v>402</v>
      </c>
      <c r="H381" s="3" t="s">
        <v>810</v>
      </c>
      <c r="I381" s="3">
        <v>2014</v>
      </c>
      <c r="J381" s="3" t="s">
        <v>811</v>
      </c>
      <c r="K381" s="3" t="s">
        <v>3048</v>
      </c>
      <c r="L381" s="3" t="s">
        <v>22</v>
      </c>
      <c r="M381" s="3"/>
      <c r="N381" s="3" t="s">
        <v>22</v>
      </c>
      <c r="O381" s="3" t="s">
        <v>22</v>
      </c>
      <c r="P381" s="3" t="s">
        <v>23</v>
      </c>
      <c r="Q381" s="3"/>
      <c r="R381" s="12" t="s">
        <v>22</v>
      </c>
      <c r="T381" s="1" t="s">
        <v>3075</v>
      </c>
      <c r="U381" s="31" t="s">
        <v>2946</v>
      </c>
    </row>
    <row r="382" spans="1:21" ht="14.25" customHeight="1">
      <c r="A382" s="1">
        <v>498</v>
      </c>
      <c r="B382" s="3" t="s">
        <v>2532</v>
      </c>
      <c r="C382" s="3" t="s">
        <v>2533</v>
      </c>
      <c r="D382" s="3" t="s">
        <v>102</v>
      </c>
      <c r="E382" s="3">
        <v>404</v>
      </c>
      <c r="F382" s="3" t="s">
        <v>1679</v>
      </c>
      <c r="G382" s="3" t="s">
        <v>983</v>
      </c>
      <c r="H382" s="3" t="s">
        <v>2534</v>
      </c>
      <c r="I382" s="3">
        <v>2017</v>
      </c>
      <c r="J382" s="3" t="s">
        <v>2535</v>
      </c>
      <c r="K382" s="3" t="s">
        <v>3048</v>
      </c>
      <c r="L382" s="3" t="s">
        <v>22</v>
      </c>
      <c r="M382" s="3"/>
      <c r="N382" s="3" t="s">
        <v>22</v>
      </c>
      <c r="O382" s="3" t="s">
        <v>22</v>
      </c>
      <c r="P382" s="3" t="s">
        <v>23</v>
      </c>
      <c r="Q382" s="3"/>
      <c r="R382" s="22" t="s">
        <v>20</v>
      </c>
      <c r="S382" s="1" t="s">
        <v>3023</v>
      </c>
      <c r="T382" s="1" t="s">
        <v>3194</v>
      </c>
      <c r="U382" s="31" t="s">
        <v>2946</v>
      </c>
    </row>
    <row r="383" spans="1:21" ht="14.25" hidden="1" customHeight="1">
      <c r="A383" s="1">
        <v>429</v>
      </c>
      <c r="B383" s="5" t="s">
        <v>2205</v>
      </c>
      <c r="C383" s="5" t="s">
        <v>2206</v>
      </c>
      <c r="D383" s="5" t="s">
        <v>1318</v>
      </c>
      <c r="E383" s="5">
        <v>86</v>
      </c>
      <c r="F383" s="5" t="s">
        <v>491</v>
      </c>
      <c r="G383" s="5" t="s">
        <v>454</v>
      </c>
      <c r="H383" s="5" t="s">
        <v>2207</v>
      </c>
      <c r="I383" s="5">
        <v>2023</v>
      </c>
      <c r="J383" s="5" t="s">
        <v>2208</v>
      </c>
      <c r="K383" s="3" t="s">
        <v>3048</v>
      </c>
      <c r="L383" s="5" t="s">
        <v>268</v>
      </c>
      <c r="M383" s="5" t="s">
        <v>269</v>
      </c>
      <c r="N383" s="5" t="s">
        <v>268</v>
      </c>
      <c r="O383" s="5" t="s">
        <v>22</v>
      </c>
      <c r="P383" s="5" t="s">
        <v>269</v>
      </c>
      <c r="Q383" s="5" t="s">
        <v>2878</v>
      </c>
      <c r="U383" s="1"/>
    </row>
    <row r="384" spans="1:21" ht="14.25" hidden="1" customHeight="1">
      <c r="A384" s="1">
        <v>286</v>
      </c>
      <c r="B384" s="3" t="s">
        <v>1545</v>
      </c>
      <c r="C384" s="3" t="s">
        <v>1546</v>
      </c>
      <c r="D384" s="3" t="s">
        <v>102</v>
      </c>
      <c r="E384" s="3">
        <v>266</v>
      </c>
      <c r="F384" s="3" t="s">
        <v>1547</v>
      </c>
      <c r="G384" s="3" t="s">
        <v>1548</v>
      </c>
      <c r="H384" s="3" t="s">
        <v>1549</v>
      </c>
      <c r="I384" s="3">
        <v>2012</v>
      </c>
      <c r="J384" s="3" t="s">
        <v>1550</v>
      </c>
      <c r="K384" s="3" t="s">
        <v>3048</v>
      </c>
      <c r="L384" s="3" t="s">
        <v>20</v>
      </c>
      <c r="M384" s="3" t="s">
        <v>21</v>
      </c>
      <c r="N384" s="3" t="s">
        <v>20</v>
      </c>
      <c r="O384" s="3" t="s">
        <v>36</v>
      </c>
      <c r="P384" s="3" t="s">
        <v>36</v>
      </c>
      <c r="Q384" s="3"/>
      <c r="U384" s="1"/>
    </row>
    <row r="385" spans="1:21" ht="14.25" hidden="1" customHeight="1">
      <c r="A385" s="1">
        <v>122</v>
      </c>
      <c r="B385" s="3" t="s">
        <v>716</v>
      </c>
      <c r="C385" s="3" t="s">
        <v>717</v>
      </c>
      <c r="D385" s="3" t="s">
        <v>102</v>
      </c>
      <c r="E385" s="3">
        <v>259</v>
      </c>
      <c r="F385" s="3" t="s">
        <v>369</v>
      </c>
      <c r="G385" s="3" t="s">
        <v>718</v>
      </c>
      <c r="H385" s="3" t="s">
        <v>719</v>
      </c>
      <c r="I385" s="3">
        <v>2010</v>
      </c>
      <c r="J385" s="3" t="s">
        <v>720</v>
      </c>
      <c r="K385" s="3" t="s">
        <v>3048</v>
      </c>
      <c r="L385" s="3" t="s">
        <v>20</v>
      </c>
      <c r="M385" s="3" t="s">
        <v>21</v>
      </c>
      <c r="N385" s="3" t="s">
        <v>20</v>
      </c>
      <c r="O385" s="3" t="s">
        <v>36</v>
      </c>
      <c r="P385" s="3" t="s">
        <v>36</v>
      </c>
      <c r="Q385" s="3"/>
      <c r="U385" s="1"/>
    </row>
    <row r="386" spans="1:21" ht="14.25" hidden="1" customHeight="1">
      <c r="A386" s="1">
        <v>112</v>
      </c>
      <c r="B386" s="3" t="s">
        <v>658</v>
      </c>
      <c r="C386" s="3" t="s">
        <v>659</v>
      </c>
      <c r="D386" s="3" t="s">
        <v>660</v>
      </c>
      <c r="E386" s="3">
        <v>18</v>
      </c>
      <c r="F386" s="3" t="s">
        <v>661</v>
      </c>
      <c r="G386" s="3" t="s">
        <v>382</v>
      </c>
      <c r="H386" s="3" t="s">
        <v>27</v>
      </c>
      <c r="I386" s="3">
        <v>2012</v>
      </c>
      <c r="J386" s="3" t="s">
        <v>662</v>
      </c>
      <c r="K386" s="3" t="s">
        <v>3048</v>
      </c>
      <c r="L386" s="3" t="s">
        <v>20</v>
      </c>
      <c r="M386" s="3" t="s">
        <v>21</v>
      </c>
      <c r="N386" s="3" t="s">
        <v>20</v>
      </c>
      <c r="O386" s="3" t="s">
        <v>36</v>
      </c>
      <c r="P386" s="3" t="s">
        <v>36</v>
      </c>
      <c r="Q386" s="3"/>
      <c r="U386" s="1"/>
    </row>
    <row r="387" spans="1:21" ht="14.25" hidden="1" customHeight="1">
      <c r="A387" s="1">
        <v>503</v>
      </c>
      <c r="B387" s="5" t="s">
        <v>2551</v>
      </c>
      <c r="C387" s="5" t="s">
        <v>2552</v>
      </c>
      <c r="D387" s="5" t="s">
        <v>1831</v>
      </c>
      <c r="E387" s="5">
        <v>24</v>
      </c>
      <c r="F387" s="5" t="s">
        <v>2553</v>
      </c>
      <c r="G387" s="5" t="s">
        <v>2554</v>
      </c>
      <c r="H387" s="5" t="s">
        <v>2555</v>
      </c>
      <c r="I387" s="5">
        <v>2018</v>
      </c>
      <c r="J387" s="5" t="s">
        <v>2556</v>
      </c>
      <c r="K387" s="3" t="s">
        <v>3048</v>
      </c>
      <c r="L387" s="5" t="s">
        <v>20</v>
      </c>
      <c r="M387" s="5" t="s">
        <v>21</v>
      </c>
      <c r="N387" s="5" t="s">
        <v>20</v>
      </c>
      <c r="O387" s="5" t="s">
        <v>36</v>
      </c>
      <c r="P387" s="5" t="s">
        <v>36</v>
      </c>
      <c r="Q387" s="5"/>
      <c r="U387" s="1"/>
    </row>
    <row r="388" spans="1:21" ht="14.25" customHeight="1">
      <c r="A388" s="1">
        <v>488</v>
      </c>
      <c r="B388" s="3" t="s">
        <v>2479</v>
      </c>
      <c r="C388" s="3" t="s">
        <v>2480</v>
      </c>
      <c r="D388" s="3" t="s">
        <v>2481</v>
      </c>
      <c r="E388" s="3">
        <v>4</v>
      </c>
      <c r="F388" s="3" t="s">
        <v>96</v>
      </c>
      <c r="G388" s="3" t="s">
        <v>983</v>
      </c>
      <c r="H388" s="3" t="s">
        <v>27</v>
      </c>
      <c r="I388" s="3">
        <v>2008</v>
      </c>
      <c r="J388" s="3" t="s">
        <v>2482</v>
      </c>
      <c r="K388" s="3" t="s">
        <v>3048</v>
      </c>
      <c r="L388" s="3" t="s">
        <v>22</v>
      </c>
      <c r="M388" s="3"/>
      <c r="N388" s="3" t="s">
        <v>22</v>
      </c>
      <c r="O388" s="3" t="s">
        <v>22</v>
      </c>
      <c r="P388" s="3" t="s">
        <v>23</v>
      </c>
      <c r="Q388" s="3"/>
      <c r="R388" s="22" t="s">
        <v>22</v>
      </c>
      <c r="U388" s="31" t="s">
        <v>3025</v>
      </c>
    </row>
    <row r="389" spans="1:21" ht="14.25" customHeight="1">
      <c r="A389" s="1">
        <v>478</v>
      </c>
      <c r="B389" s="3" t="s">
        <v>2434</v>
      </c>
      <c r="C389" s="3" t="s">
        <v>2435</v>
      </c>
      <c r="D389" s="3" t="s">
        <v>839</v>
      </c>
      <c r="E389" s="3">
        <v>89</v>
      </c>
      <c r="F389" s="3" t="s">
        <v>2436</v>
      </c>
      <c r="G389" s="3" t="s">
        <v>2436</v>
      </c>
      <c r="H389" s="3" t="s">
        <v>27</v>
      </c>
      <c r="I389" s="3">
        <v>2004</v>
      </c>
      <c r="J389" s="3" t="s">
        <v>27</v>
      </c>
      <c r="K389" s="3" t="s">
        <v>3048</v>
      </c>
      <c r="L389" s="3" t="s">
        <v>22</v>
      </c>
      <c r="M389" s="3"/>
      <c r="N389" s="3" t="s">
        <v>22</v>
      </c>
      <c r="O389" s="3" t="s">
        <v>36</v>
      </c>
      <c r="P389" s="3" t="s">
        <v>1801</v>
      </c>
      <c r="Q389" s="3"/>
      <c r="U389" s="1"/>
    </row>
    <row r="390" spans="1:21" ht="14.25" customHeight="1">
      <c r="A390" s="1">
        <v>434</v>
      </c>
      <c r="B390" s="3" t="s">
        <v>2224</v>
      </c>
      <c r="C390" s="3" t="s">
        <v>2225</v>
      </c>
      <c r="D390" s="3" t="s">
        <v>173</v>
      </c>
      <c r="E390" s="3">
        <v>35</v>
      </c>
      <c r="F390" s="3" t="s">
        <v>2226</v>
      </c>
      <c r="G390" s="3" t="s">
        <v>2227</v>
      </c>
      <c r="H390" s="3" t="s">
        <v>2228</v>
      </c>
      <c r="I390" s="3">
        <v>2005</v>
      </c>
      <c r="J390" s="3" t="s">
        <v>2229</v>
      </c>
      <c r="K390" s="3" t="s">
        <v>3048</v>
      </c>
      <c r="L390" s="3" t="s">
        <v>22</v>
      </c>
      <c r="M390" s="3"/>
      <c r="N390" s="3" t="s">
        <v>22</v>
      </c>
      <c r="O390" s="3" t="s">
        <v>22</v>
      </c>
      <c r="P390" s="3" t="s">
        <v>23</v>
      </c>
      <c r="Q390" s="3"/>
      <c r="R390" s="12" t="s">
        <v>22</v>
      </c>
      <c r="T390" s="1" t="s">
        <v>2997</v>
      </c>
      <c r="U390" s="31" t="s">
        <v>3025</v>
      </c>
    </row>
    <row r="391" spans="1:21" ht="14.25" hidden="1" customHeight="1">
      <c r="A391" s="1">
        <v>97</v>
      </c>
      <c r="B391" s="5" t="s">
        <v>582</v>
      </c>
      <c r="C391" s="5" t="s">
        <v>583</v>
      </c>
      <c r="D391" s="5" t="s">
        <v>173</v>
      </c>
      <c r="E391" s="5">
        <v>28</v>
      </c>
      <c r="F391" s="5" t="s">
        <v>97</v>
      </c>
      <c r="G391" s="5" t="s">
        <v>584</v>
      </c>
      <c r="H391" s="5" t="s">
        <v>585</v>
      </c>
      <c r="I391" s="5">
        <v>1998</v>
      </c>
      <c r="J391" s="5" t="s">
        <v>586</v>
      </c>
      <c r="K391" s="3" t="s">
        <v>3048</v>
      </c>
      <c r="L391" s="5" t="s">
        <v>20</v>
      </c>
      <c r="M391" s="5" t="s">
        <v>21</v>
      </c>
      <c r="N391" s="5" t="s">
        <v>22</v>
      </c>
      <c r="O391" s="5" t="s">
        <v>22</v>
      </c>
      <c r="P391" s="5" t="s">
        <v>23</v>
      </c>
      <c r="Q391" s="5"/>
      <c r="R391" s="12" t="s">
        <v>20</v>
      </c>
      <c r="S391" s="1" t="s">
        <v>2975</v>
      </c>
      <c r="T391" s="1" t="s">
        <v>3081</v>
      </c>
      <c r="U391" s="31" t="s">
        <v>3025</v>
      </c>
    </row>
    <row r="392" spans="1:21" ht="14.25" customHeight="1">
      <c r="A392" s="1">
        <v>537</v>
      </c>
      <c r="B392" s="5" t="s">
        <v>2701</v>
      </c>
      <c r="C392" s="5" t="s">
        <v>2702</v>
      </c>
      <c r="D392" s="5" t="s">
        <v>472</v>
      </c>
      <c r="E392" s="5">
        <v>86</v>
      </c>
      <c r="F392" s="5" t="s">
        <v>481</v>
      </c>
      <c r="G392" s="5" t="s">
        <v>1227</v>
      </c>
      <c r="H392" s="5" t="s">
        <v>2703</v>
      </c>
      <c r="I392" s="5">
        <v>1994</v>
      </c>
      <c r="J392" s="5" t="s">
        <v>2704</v>
      </c>
      <c r="K392" s="3" t="s">
        <v>3048</v>
      </c>
      <c r="L392" s="5" t="s">
        <v>22</v>
      </c>
      <c r="M392" s="5"/>
      <c r="N392" s="5" t="s">
        <v>22</v>
      </c>
      <c r="O392" s="5" t="s">
        <v>22</v>
      </c>
      <c r="P392" s="5" t="s">
        <v>23</v>
      </c>
      <c r="Q392" s="5"/>
      <c r="R392" s="21" t="s">
        <v>22</v>
      </c>
      <c r="T392" s="1" t="s">
        <v>2951</v>
      </c>
      <c r="U392" s="31" t="s">
        <v>3025</v>
      </c>
    </row>
    <row r="393" spans="1:21" ht="14.25" customHeight="1">
      <c r="A393" s="1">
        <v>381</v>
      </c>
      <c r="B393" s="5" t="s">
        <v>1995</v>
      </c>
      <c r="C393" s="5" t="s">
        <v>1996</v>
      </c>
      <c r="D393" s="5" t="s">
        <v>27</v>
      </c>
      <c r="E393" s="5"/>
      <c r="F393" s="5" t="s">
        <v>27</v>
      </c>
      <c r="G393" s="5" t="s">
        <v>27</v>
      </c>
      <c r="H393" s="5" t="s">
        <v>27</v>
      </c>
      <c r="I393" s="5">
        <v>2002</v>
      </c>
      <c r="J393" s="5" t="s">
        <v>27</v>
      </c>
      <c r="K393" s="3" t="s">
        <v>3048</v>
      </c>
      <c r="L393" s="5" t="s">
        <v>22</v>
      </c>
      <c r="M393" s="5" t="s">
        <v>1997</v>
      </c>
      <c r="N393" s="5" t="s">
        <v>268</v>
      </c>
      <c r="O393" s="5" t="s">
        <v>36</v>
      </c>
      <c r="P393" s="5" t="s">
        <v>1256</v>
      </c>
      <c r="Q393" s="3" t="s">
        <v>2884</v>
      </c>
      <c r="U393" s="1"/>
    </row>
    <row r="394" spans="1:21" ht="14.25" customHeight="1">
      <c r="A394" s="1">
        <v>137</v>
      </c>
      <c r="B394" s="5" t="s">
        <v>802</v>
      </c>
      <c r="C394" s="5" t="s">
        <v>803</v>
      </c>
      <c r="D394" s="5" t="s">
        <v>15</v>
      </c>
      <c r="E394" s="5">
        <v>31</v>
      </c>
      <c r="F394" s="5" t="s">
        <v>155</v>
      </c>
      <c r="G394" s="5" t="s">
        <v>804</v>
      </c>
      <c r="H394" s="5" t="s">
        <v>805</v>
      </c>
      <c r="I394" s="5">
        <v>2021</v>
      </c>
      <c r="J394" s="5" t="s">
        <v>806</v>
      </c>
      <c r="K394" s="3" t="s">
        <v>3048</v>
      </c>
      <c r="L394" s="5" t="s">
        <v>22</v>
      </c>
      <c r="M394" s="5"/>
      <c r="N394" s="5" t="s">
        <v>22</v>
      </c>
      <c r="O394" s="5" t="s">
        <v>22</v>
      </c>
      <c r="P394" s="5" t="s">
        <v>23</v>
      </c>
      <c r="Q394" s="5"/>
      <c r="R394" s="12" t="s">
        <v>22</v>
      </c>
      <c r="T394" s="1" t="s">
        <v>3075</v>
      </c>
      <c r="U394" s="31" t="s">
        <v>3296</v>
      </c>
    </row>
    <row r="395" spans="1:21" ht="14.25" customHeight="1">
      <c r="A395" s="1">
        <v>259</v>
      </c>
      <c r="B395" s="5" t="s">
        <v>802</v>
      </c>
      <c r="C395" s="5" t="s">
        <v>1428</v>
      </c>
      <c r="D395" s="5" t="s">
        <v>15</v>
      </c>
      <c r="E395" s="5">
        <v>31</v>
      </c>
      <c r="F395" s="5" t="s">
        <v>1429</v>
      </c>
      <c r="G395" s="5" t="s">
        <v>1429</v>
      </c>
      <c r="H395" s="5" t="s">
        <v>1430</v>
      </c>
      <c r="I395" s="5">
        <v>2021</v>
      </c>
      <c r="J395" s="5" t="s">
        <v>27</v>
      </c>
      <c r="K395" s="3" t="s">
        <v>3048</v>
      </c>
      <c r="L395" s="5" t="s">
        <v>22</v>
      </c>
      <c r="M395" s="5"/>
      <c r="N395" s="5" t="s">
        <v>1431</v>
      </c>
      <c r="O395" s="5" t="s">
        <v>36</v>
      </c>
      <c r="P395" s="5" t="s">
        <v>36</v>
      </c>
      <c r="Q395" s="5"/>
      <c r="U395" s="1"/>
    </row>
    <row r="396" spans="1:21" ht="14.25" hidden="1" customHeight="1">
      <c r="A396" s="1">
        <v>131</v>
      </c>
      <c r="B396" s="5" t="s">
        <v>767</v>
      </c>
      <c r="C396" s="5" t="s">
        <v>768</v>
      </c>
      <c r="D396" s="5" t="s">
        <v>544</v>
      </c>
      <c r="E396" s="5">
        <v>60</v>
      </c>
      <c r="F396" s="5" t="s">
        <v>769</v>
      </c>
      <c r="G396" s="5" t="s">
        <v>770</v>
      </c>
      <c r="H396" s="5" t="s">
        <v>771</v>
      </c>
      <c r="I396" s="5">
        <v>2019</v>
      </c>
      <c r="J396" s="5" t="s">
        <v>772</v>
      </c>
      <c r="K396" s="3" t="s">
        <v>3048</v>
      </c>
      <c r="L396" s="5" t="s">
        <v>20</v>
      </c>
      <c r="M396" s="5" t="s">
        <v>21</v>
      </c>
      <c r="N396" s="5" t="s">
        <v>20</v>
      </c>
      <c r="O396" s="5" t="s">
        <v>36</v>
      </c>
      <c r="P396" s="5" t="s">
        <v>36</v>
      </c>
      <c r="Q396" s="5"/>
      <c r="U396" s="1"/>
    </row>
    <row r="397" spans="1:21" ht="14.25" hidden="1" customHeight="1">
      <c r="A397" s="1">
        <v>17</v>
      </c>
      <c r="B397" s="5" t="s">
        <v>116</v>
      </c>
      <c r="C397" s="5" t="s">
        <v>117</v>
      </c>
      <c r="D397" s="5" t="s">
        <v>118</v>
      </c>
      <c r="E397" s="5"/>
      <c r="F397" s="5" t="s">
        <v>119</v>
      </c>
      <c r="G397" s="5" t="s">
        <v>120</v>
      </c>
      <c r="H397" s="5" t="s">
        <v>27</v>
      </c>
      <c r="I397" s="5">
        <v>2013</v>
      </c>
      <c r="J397" s="5" t="s">
        <v>121</v>
      </c>
      <c r="K397" s="3" t="s">
        <v>3048</v>
      </c>
      <c r="L397" s="5" t="s">
        <v>20</v>
      </c>
      <c r="M397" s="5" t="s">
        <v>21</v>
      </c>
      <c r="N397" s="5" t="s">
        <v>20</v>
      </c>
      <c r="O397" s="5" t="s">
        <v>36</v>
      </c>
      <c r="P397" s="5" t="s">
        <v>36</v>
      </c>
      <c r="Q397" s="5"/>
      <c r="U397" s="1"/>
    </row>
    <row r="398" spans="1:21" ht="14.25" hidden="1" customHeight="1">
      <c r="A398" s="1">
        <v>12</v>
      </c>
      <c r="B398" s="3" t="s">
        <v>86</v>
      </c>
      <c r="C398" s="3" t="s">
        <v>87</v>
      </c>
      <c r="D398" s="3" t="s">
        <v>88</v>
      </c>
      <c r="E398" s="3">
        <v>86</v>
      </c>
      <c r="F398" s="3" t="s">
        <v>89</v>
      </c>
      <c r="G398" s="3" t="s">
        <v>90</v>
      </c>
      <c r="H398" s="3" t="s">
        <v>91</v>
      </c>
      <c r="I398" s="3">
        <v>2008</v>
      </c>
      <c r="J398" s="3" t="s">
        <v>92</v>
      </c>
      <c r="K398" s="3" t="s">
        <v>3048</v>
      </c>
      <c r="L398" s="3" t="s">
        <v>20</v>
      </c>
      <c r="M398" s="3" t="s">
        <v>21</v>
      </c>
      <c r="N398" s="3" t="s">
        <v>20</v>
      </c>
      <c r="O398" s="3" t="s">
        <v>36</v>
      </c>
      <c r="P398" s="3" t="s">
        <v>36</v>
      </c>
      <c r="Q398" s="3"/>
      <c r="U398" s="1"/>
    </row>
    <row r="399" spans="1:21" ht="14.25" hidden="1" customHeight="1">
      <c r="A399" s="1">
        <v>463</v>
      </c>
      <c r="B399" s="5" t="s">
        <v>2361</v>
      </c>
      <c r="C399" s="5" t="s">
        <v>2362</v>
      </c>
      <c r="D399" s="5" t="s">
        <v>2363</v>
      </c>
      <c r="E399" s="5">
        <v>63</v>
      </c>
      <c r="F399" s="5" t="s">
        <v>2364</v>
      </c>
      <c r="G399" s="5" t="s">
        <v>1580</v>
      </c>
      <c r="H399" s="5" t="s">
        <v>2365</v>
      </c>
      <c r="I399" s="5">
        <v>2006</v>
      </c>
      <c r="J399" s="5" t="s">
        <v>2366</v>
      </c>
      <c r="K399" s="3" t="s">
        <v>3048</v>
      </c>
      <c r="L399" s="5" t="s">
        <v>20</v>
      </c>
      <c r="M399" s="5" t="s">
        <v>21</v>
      </c>
      <c r="N399" s="5" t="s">
        <v>20</v>
      </c>
      <c r="O399" s="5" t="s">
        <v>36</v>
      </c>
      <c r="P399" s="5" t="s">
        <v>36</v>
      </c>
      <c r="Q399" s="5"/>
      <c r="U399" s="1"/>
    </row>
    <row r="400" spans="1:21" s="19" customFormat="1" ht="14.25" hidden="1">
      <c r="A400" s="34">
        <v>325</v>
      </c>
      <c r="B400" s="34" t="s">
        <v>2361</v>
      </c>
      <c r="C400" s="34" t="s">
        <v>3424</v>
      </c>
      <c r="D400" s="34" t="s">
        <v>2363</v>
      </c>
      <c r="E400" s="34">
        <v>66</v>
      </c>
      <c r="F400" s="34">
        <v>677</v>
      </c>
      <c r="G400" s="34">
        <v>684</v>
      </c>
      <c r="H400" s="34" t="s">
        <v>3425</v>
      </c>
      <c r="I400" s="34">
        <v>2009</v>
      </c>
      <c r="J400" s="34" t="s">
        <v>3426</v>
      </c>
      <c r="K400" s="34" t="s">
        <v>2946</v>
      </c>
      <c r="L400" s="34" t="s">
        <v>20</v>
      </c>
      <c r="M400" s="34"/>
      <c r="N400" s="34" t="s">
        <v>27</v>
      </c>
      <c r="O400" s="34"/>
      <c r="P400" s="34"/>
      <c r="Q400" s="34"/>
      <c r="R400" s="34"/>
      <c r="S400" s="34"/>
      <c r="T400" s="34"/>
      <c r="U400" s="34"/>
    </row>
    <row r="401" spans="1:27" ht="14.25" hidden="1" customHeight="1">
      <c r="A401" s="16">
        <v>310</v>
      </c>
      <c r="B401" s="17" t="s">
        <v>1666</v>
      </c>
      <c r="C401" s="17" t="s">
        <v>1667</v>
      </c>
      <c r="D401" s="17" t="s">
        <v>1668</v>
      </c>
      <c r="E401" s="17">
        <v>319</v>
      </c>
      <c r="F401" s="17" t="s">
        <v>27</v>
      </c>
      <c r="G401" s="17" t="s">
        <v>27</v>
      </c>
      <c r="H401" s="17" t="s">
        <v>1669</v>
      </c>
      <c r="I401" s="17">
        <v>2022</v>
      </c>
      <c r="J401" s="17" t="s">
        <v>1670</v>
      </c>
      <c r="K401" s="3" t="s">
        <v>3048</v>
      </c>
      <c r="L401" s="17" t="s">
        <v>268</v>
      </c>
      <c r="M401" s="17" t="s">
        <v>1671</v>
      </c>
      <c r="N401" s="17" t="s">
        <v>20</v>
      </c>
      <c r="O401" s="17" t="s">
        <v>36</v>
      </c>
      <c r="P401" s="17" t="s">
        <v>36</v>
      </c>
      <c r="Q401" s="17"/>
      <c r="R401" s="23"/>
      <c r="S401" s="16"/>
      <c r="T401" s="16"/>
      <c r="U401" s="16"/>
      <c r="V401" s="16"/>
      <c r="W401" s="16"/>
      <c r="X401" s="16"/>
      <c r="Y401" s="16"/>
      <c r="Z401" s="16"/>
      <c r="AA401" s="16"/>
    </row>
    <row r="402" spans="1:27" ht="14.25" hidden="1" customHeight="1">
      <c r="A402" s="1">
        <v>528</v>
      </c>
      <c r="B402" s="3" t="s">
        <v>2663</v>
      </c>
      <c r="C402" s="3" t="s">
        <v>2664</v>
      </c>
      <c r="D402" s="3" t="s">
        <v>2665</v>
      </c>
      <c r="E402" s="3">
        <v>140</v>
      </c>
      <c r="F402" s="3" t="s">
        <v>1632</v>
      </c>
      <c r="G402" s="3" t="s">
        <v>776</v>
      </c>
      <c r="H402" s="3" t="s">
        <v>27</v>
      </c>
      <c r="I402" s="3">
        <v>2000</v>
      </c>
      <c r="J402" s="3" t="s">
        <v>27</v>
      </c>
      <c r="K402" s="3" t="s">
        <v>3048</v>
      </c>
      <c r="L402" s="3" t="s">
        <v>20</v>
      </c>
      <c r="M402" s="3" t="s">
        <v>21</v>
      </c>
      <c r="N402" s="3" t="s">
        <v>20</v>
      </c>
      <c r="O402" s="3" t="s">
        <v>36</v>
      </c>
      <c r="P402" s="3" t="s">
        <v>36</v>
      </c>
      <c r="Q402" s="3"/>
      <c r="U402" s="1"/>
    </row>
    <row r="403" spans="1:27" ht="14.25" customHeight="1">
      <c r="A403" s="1">
        <v>121</v>
      </c>
      <c r="B403" s="5" t="s">
        <v>709</v>
      </c>
      <c r="C403" s="5" t="s">
        <v>710</v>
      </c>
      <c r="D403" s="5" t="s">
        <v>711</v>
      </c>
      <c r="E403" s="5">
        <v>133</v>
      </c>
      <c r="F403" s="5" t="s">
        <v>712</v>
      </c>
      <c r="G403" s="5" t="s">
        <v>713</v>
      </c>
      <c r="H403" s="5" t="s">
        <v>714</v>
      </c>
      <c r="I403" s="5">
        <v>2014</v>
      </c>
      <c r="J403" s="5" t="s">
        <v>715</v>
      </c>
      <c r="K403" s="3" t="s">
        <v>3048</v>
      </c>
      <c r="L403" s="5" t="s">
        <v>22</v>
      </c>
      <c r="M403" s="5"/>
      <c r="N403" s="5" t="s">
        <v>22</v>
      </c>
      <c r="O403" s="5" t="s">
        <v>22</v>
      </c>
      <c r="P403" s="5" t="s">
        <v>23</v>
      </c>
      <c r="Q403" s="5"/>
      <c r="R403" s="12" t="s">
        <v>22</v>
      </c>
      <c r="T403" s="1" t="s">
        <v>3165</v>
      </c>
      <c r="U403" s="31" t="s">
        <v>3012</v>
      </c>
    </row>
    <row r="404" spans="1:27" ht="14.25" customHeight="1">
      <c r="A404" s="1">
        <v>159</v>
      </c>
      <c r="B404" s="5" t="s">
        <v>918</v>
      </c>
      <c r="C404" s="5" t="s">
        <v>919</v>
      </c>
      <c r="D404" s="5" t="s">
        <v>71</v>
      </c>
      <c r="E404" s="5">
        <v>4</v>
      </c>
      <c r="F404" s="5" t="s">
        <v>27</v>
      </c>
      <c r="G404" s="5" t="s">
        <v>27</v>
      </c>
      <c r="H404" s="5" t="s">
        <v>920</v>
      </c>
      <c r="I404" s="5">
        <v>2021</v>
      </c>
      <c r="J404" s="5" t="s">
        <v>921</v>
      </c>
      <c r="K404" s="3" t="s">
        <v>3048</v>
      </c>
      <c r="L404" s="5" t="s">
        <v>22</v>
      </c>
      <c r="M404" s="5"/>
      <c r="N404" s="5" t="s">
        <v>22</v>
      </c>
      <c r="O404" s="5" t="s">
        <v>22</v>
      </c>
      <c r="P404" s="5" t="s">
        <v>23</v>
      </c>
      <c r="Q404" s="5"/>
      <c r="R404" s="12" t="s">
        <v>20</v>
      </c>
      <c r="S404" s="1" t="s">
        <v>2975</v>
      </c>
      <c r="T404" s="1" t="s">
        <v>3131</v>
      </c>
      <c r="U404" s="31" t="s">
        <v>3297</v>
      </c>
    </row>
    <row r="405" spans="1:27" ht="14.25" hidden="1" customHeight="1">
      <c r="A405" s="1">
        <v>285</v>
      </c>
      <c r="B405" s="5" t="s">
        <v>1543</v>
      </c>
      <c r="C405" s="5" t="s">
        <v>1544</v>
      </c>
      <c r="D405" s="5" t="s">
        <v>839</v>
      </c>
      <c r="E405" s="5">
        <v>89</v>
      </c>
      <c r="F405" s="5" t="s">
        <v>1285</v>
      </c>
      <c r="G405" s="5" t="s">
        <v>1285</v>
      </c>
      <c r="H405" s="5" t="s">
        <v>27</v>
      </c>
      <c r="I405" s="5">
        <v>2004</v>
      </c>
      <c r="J405" s="5" t="s">
        <v>27</v>
      </c>
      <c r="K405" s="3" t="s">
        <v>3048</v>
      </c>
      <c r="L405" s="5" t="s">
        <v>20</v>
      </c>
      <c r="M405" s="5" t="s">
        <v>21</v>
      </c>
      <c r="N405" s="5" t="s">
        <v>20</v>
      </c>
      <c r="O405" s="5" t="s">
        <v>36</v>
      </c>
      <c r="P405" s="5" t="s">
        <v>36</v>
      </c>
      <c r="Q405" s="5"/>
      <c r="U405" s="1"/>
    </row>
    <row r="406" spans="1:27" ht="14.25" hidden="1" customHeight="1">
      <c r="A406" s="1">
        <v>499</v>
      </c>
      <c r="B406" s="5" t="s">
        <v>2536</v>
      </c>
      <c r="C406" s="5" t="s">
        <v>2537</v>
      </c>
      <c r="D406" s="5" t="s">
        <v>2538</v>
      </c>
      <c r="E406" s="5">
        <v>5</v>
      </c>
      <c r="F406" s="5" t="s">
        <v>2539</v>
      </c>
      <c r="G406" s="5" t="s">
        <v>60</v>
      </c>
      <c r="H406" s="5" t="s">
        <v>27</v>
      </c>
      <c r="I406" s="5">
        <v>2014</v>
      </c>
      <c r="J406" s="5" t="s">
        <v>2540</v>
      </c>
      <c r="K406" s="3" t="s">
        <v>3048</v>
      </c>
      <c r="L406" s="5" t="s">
        <v>20</v>
      </c>
      <c r="M406" s="5" t="s">
        <v>21</v>
      </c>
      <c r="N406" s="5" t="s">
        <v>20</v>
      </c>
      <c r="O406" s="5" t="s">
        <v>36</v>
      </c>
      <c r="P406" s="5" t="s">
        <v>36</v>
      </c>
      <c r="Q406" s="5"/>
      <c r="U406" s="1"/>
    </row>
    <row r="407" spans="1:27" ht="14.25" hidden="1" customHeight="1">
      <c r="A407" s="1">
        <v>548</v>
      </c>
      <c r="B407" s="3" t="s">
        <v>2746</v>
      </c>
      <c r="C407" s="3" t="s">
        <v>2747</v>
      </c>
      <c r="D407" s="3" t="s">
        <v>2748</v>
      </c>
      <c r="E407" s="3">
        <v>25</v>
      </c>
      <c r="F407" s="3" t="s">
        <v>2749</v>
      </c>
      <c r="G407" s="3" t="s">
        <v>1525</v>
      </c>
      <c r="H407" s="3" t="s">
        <v>27</v>
      </c>
      <c r="I407" s="3">
        <v>1996</v>
      </c>
      <c r="J407" s="3" t="s">
        <v>2750</v>
      </c>
      <c r="K407" s="3" t="s">
        <v>3048</v>
      </c>
      <c r="L407" s="3" t="s">
        <v>20</v>
      </c>
      <c r="M407" s="3" t="s">
        <v>21</v>
      </c>
      <c r="N407" s="3" t="s">
        <v>20</v>
      </c>
      <c r="O407" s="3" t="s">
        <v>36</v>
      </c>
      <c r="P407" s="3" t="s">
        <v>36</v>
      </c>
      <c r="Q407" s="3"/>
      <c r="U407" s="1"/>
    </row>
    <row r="408" spans="1:27" ht="14.25" hidden="1" customHeight="1">
      <c r="A408" s="1">
        <v>523</v>
      </c>
      <c r="B408" s="5" t="s">
        <v>2643</v>
      </c>
      <c r="C408" s="5" t="s">
        <v>2644</v>
      </c>
      <c r="D408" s="5" t="s">
        <v>27</v>
      </c>
      <c r="E408" s="5"/>
      <c r="F408" s="5" t="s">
        <v>27</v>
      </c>
      <c r="G408" s="5" t="s">
        <v>27</v>
      </c>
      <c r="H408" s="5" t="s">
        <v>27</v>
      </c>
      <c r="I408" s="5">
        <v>1994</v>
      </c>
      <c r="J408" s="5" t="s">
        <v>27</v>
      </c>
      <c r="K408" s="3" t="s">
        <v>3048</v>
      </c>
      <c r="L408" s="5" t="s">
        <v>20</v>
      </c>
      <c r="M408" s="5" t="s">
        <v>21</v>
      </c>
      <c r="N408" s="5" t="s">
        <v>20</v>
      </c>
      <c r="O408" s="5" t="s">
        <v>36</v>
      </c>
      <c r="P408" s="5" t="s">
        <v>36</v>
      </c>
      <c r="Q408" s="5"/>
      <c r="U408" s="1"/>
    </row>
    <row r="409" spans="1:27" ht="14.25" hidden="1" customHeight="1">
      <c r="A409" s="1">
        <v>143</v>
      </c>
      <c r="B409" s="5" t="s">
        <v>830</v>
      </c>
      <c r="C409" s="5" t="s">
        <v>831</v>
      </c>
      <c r="D409" s="5" t="s">
        <v>832</v>
      </c>
      <c r="E409" s="5">
        <v>32</v>
      </c>
      <c r="F409" s="5" t="s">
        <v>833</v>
      </c>
      <c r="G409" s="5" t="s">
        <v>834</v>
      </c>
      <c r="H409" s="5" t="s">
        <v>835</v>
      </c>
      <c r="I409" s="5">
        <v>2017</v>
      </c>
      <c r="J409" s="5" t="s">
        <v>836</v>
      </c>
      <c r="K409" s="3" t="s">
        <v>3048</v>
      </c>
      <c r="L409" s="5" t="s">
        <v>20</v>
      </c>
      <c r="M409" s="5" t="s">
        <v>21</v>
      </c>
      <c r="N409" s="5" t="s">
        <v>20</v>
      </c>
      <c r="O409" s="5" t="s">
        <v>36</v>
      </c>
      <c r="P409" s="5" t="s">
        <v>36</v>
      </c>
      <c r="Q409" s="5"/>
      <c r="U409" s="1"/>
    </row>
    <row r="410" spans="1:27" ht="14.25" hidden="1" customHeight="1">
      <c r="A410" s="1">
        <v>28</v>
      </c>
      <c r="B410" s="3" t="s">
        <v>178</v>
      </c>
      <c r="C410" s="3" t="s">
        <v>179</v>
      </c>
      <c r="D410" s="3" t="s">
        <v>180</v>
      </c>
      <c r="E410" s="3">
        <v>11</v>
      </c>
      <c r="F410" s="3" t="s">
        <v>27</v>
      </c>
      <c r="G410" s="3" t="s">
        <v>27</v>
      </c>
      <c r="H410" s="3" t="s">
        <v>181</v>
      </c>
      <c r="I410" s="3">
        <v>2020</v>
      </c>
      <c r="J410" s="3" t="s">
        <v>182</v>
      </c>
      <c r="K410" s="3" t="s">
        <v>3048</v>
      </c>
      <c r="L410" s="3" t="s">
        <v>20</v>
      </c>
      <c r="M410" s="3" t="s">
        <v>21</v>
      </c>
      <c r="N410" s="3" t="s">
        <v>20</v>
      </c>
      <c r="O410" s="3" t="s">
        <v>36</v>
      </c>
      <c r="P410" s="3" t="s">
        <v>36</v>
      </c>
      <c r="Q410" s="3"/>
      <c r="U410" s="1"/>
    </row>
    <row r="411" spans="1:27" ht="14.25" customHeight="1">
      <c r="A411" s="1">
        <v>383</v>
      </c>
      <c r="B411" s="5" t="s">
        <v>2002</v>
      </c>
      <c r="C411" s="5" t="s">
        <v>2003</v>
      </c>
      <c r="D411" s="5" t="s">
        <v>64</v>
      </c>
      <c r="E411" s="5">
        <v>185</v>
      </c>
      <c r="F411" s="5" t="s">
        <v>870</v>
      </c>
      <c r="G411" s="5" t="s">
        <v>2004</v>
      </c>
      <c r="H411" s="5" t="s">
        <v>2005</v>
      </c>
      <c r="I411" s="5">
        <v>2010</v>
      </c>
      <c r="J411" s="5" t="s">
        <v>2006</v>
      </c>
      <c r="K411" s="3" t="s">
        <v>3048</v>
      </c>
      <c r="L411" s="5" t="s">
        <v>22</v>
      </c>
      <c r="M411" s="5"/>
      <c r="N411" s="5" t="s">
        <v>22</v>
      </c>
      <c r="O411" s="5" t="s">
        <v>22</v>
      </c>
      <c r="P411" s="5" t="s">
        <v>23</v>
      </c>
      <c r="Q411" s="5"/>
      <c r="R411" s="12" t="s">
        <v>20</v>
      </c>
      <c r="S411" s="1" t="s">
        <v>2975</v>
      </c>
      <c r="T411" s="1" t="s">
        <v>2998</v>
      </c>
      <c r="U411" s="31" t="s">
        <v>3288</v>
      </c>
    </row>
    <row r="412" spans="1:27" ht="14.25" customHeight="1">
      <c r="A412" s="1">
        <v>446</v>
      </c>
      <c r="B412" s="3" t="s">
        <v>2284</v>
      </c>
      <c r="C412" s="3" t="s">
        <v>2285</v>
      </c>
      <c r="D412" s="3" t="s">
        <v>465</v>
      </c>
      <c r="E412" s="3">
        <v>18</v>
      </c>
      <c r="F412" s="3" t="s">
        <v>27</v>
      </c>
      <c r="G412" s="3" t="s">
        <v>27</v>
      </c>
      <c r="H412" s="3" t="s">
        <v>2286</v>
      </c>
      <c r="I412" s="3">
        <v>2024</v>
      </c>
      <c r="J412" s="3" t="s">
        <v>2287</v>
      </c>
      <c r="K412" s="3" t="s">
        <v>3048</v>
      </c>
      <c r="L412" s="3" t="s">
        <v>22</v>
      </c>
      <c r="M412" s="3"/>
      <c r="N412" s="3" t="s">
        <v>22</v>
      </c>
      <c r="O412" s="3" t="s">
        <v>22</v>
      </c>
      <c r="P412" s="3" t="s">
        <v>23</v>
      </c>
      <c r="Q412" s="3"/>
      <c r="R412" s="12" t="s">
        <v>20</v>
      </c>
      <c r="S412" s="1" t="s">
        <v>2975</v>
      </c>
      <c r="T412" s="1" t="s">
        <v>3191</v>
      </c>
      <c r="U412" s="31" t="s">
        <v>3025</v>
      </c>
    </row>
    <row r="413" spans="1:27" ht="14.25" customHeight="1">
      <c r="A413" s="1">
        <v>457</v>
      </c>
      <c r="B413" s="5" t="s">
        <v>2331</v>
      </c>
      <c r="C413" s="5" t="s">
        <v>2332</v>
      </c>
      <c r="D413" s="5" t="s">
        <v>2333</v>
      </c>
      <c r="E413" s="5">
        <v>7</v>
      </c>
      <c r="F413" s="5" t="s">
        <v>2334</v>
      </c>
      <c r="G413" s="5" t="s">
        <v>2309</v>
      </c>
      <c r="H413" s="5" t="s">
        <v>2335</v>
      </c>
      <c r="I413" s="5">
        <v>2022</v>
      </c>
      <c r="J413" s="5" t="s">
        <v>2336</v>
      </c>
      <c r="K413" s="3" t="s">
        <v>3048</v>
      </c>
      <c r="L413" s="5" t="s">
        <v>22</v>
      </c>
      <c r="M413" s="5"/>
      <c r="N413" s="5" t="s">
        <v>22</v>
      </c>
      <c r="O413" s="5" t="s">
        <v>22</v>
      </c>
      <c r="P413" s="5" t="s">
        <v>23</v>
      </c>
      <c r="Q413" s="5"/>
      <c r="R413" s="12" t="s">
        <v>22</v>
      </c>
      <c r="U413" s="31" t="s">
        <v>3025</v>
      </c>
    </row>
    <row r="414" spans="1:27" ht="14.25" customHeight="1">
      <c r="A414" s="1">
        <v>456</v>
      </c>
      <c r="B414" s="3" t="s">
        <v>2329</v>
      </c>
      <c r="C414" s="3" t="s">
        <v>2330</v>
      </c>
      <c r="D414" s="3" t="s">
        <v>27</v>
      </c>
      <c r="E414" s="3"/>
      <c r="F414" s="3" t="s">
        <v>27</v>
      </c>
      <c r="G414" s="3" t="s">
        <v>27</v>
      </c>
      <c r="H414" s="3" t="s">
        <v>27</v>
      </c>
      <c r="I414" s="3">
        <v>2024</v>
      </c>
      <c r="J414" s="3" t="s">
        <v>27</v>
      </c>
      <c r="K414" s="3" t="s">
        <v>3048</v>
      </c>
      <c r="L414" s="3" t="s">
        <v>22</v>
      </c>
      <c r="M414" s="3"/>
      <c r="N414" s="3" t="s">
        <v>268</v>
      </c>
      <c r="O414" s="3" t="s">
        <v>20</v>
      </c>
      <c r="P414" s="3" t="s">
        <v>2215</v>
      </c>
      <c r="Q414" s="3" t="s">
        <v>1224</v>
      </c>
      <c r="U414" s="1"/>
    </row>
    <row r="415" spans="1:27" s="19" customFormat="1" ht="14.25" hidden="1">
      <c r="A415" s="34">
        <v>55</v>
      </c>
      <c r="B415" s="34" t="s">
        <v>3427</v>
      </c>
      <c r="C415" s="34" t="s">
        <v>3428</v>
      </c>
      <c r="D415" s="34" t="s">
        <v>27</v>
      </c>
      <c r="E415" s="34" t="s">
        <v>27</v>
      </c>
      <c r="F415" s="34" t="s">
        <v>27</v>
      </c>
      <c r="G415" s="34" t="s">
        <v>27</v>
      </c>
      <c r="H415" s="34" t="s">
        <v>27</v>
      </c>
      <c r="I415" s="34">
        <v>2016</v>
      </c>
      <c r="J415" s="34" t="s">
        <v>27</v>
      </c>
      <c r="K415" s="34" t="s">
        <v>2946</v>
      </c>
      <c r="L415" s="34" t="s">
        <v>20</v>
      </c>
      <c r="M415" s="34"/>
      <c r="N415" s="34" t="s">
        <v>27</v>
      </c>
      <c r="O415" s="34"/>
      <c r="P415" s="34"/>
      <c r="Q415" s="34"/>
      <c r="R415" s="34"/>
      <c r="S415" s="34"/>
      <c r="T415" s="34"/>
      <c r="U415" s="34"/>
    </row>
    <row r="416" spans="1:27" s="19" customFormat="1" ht="14.25" hidden="1">
      <c r="A416" s="34">
        <v>363</v>
      </c>
      <c r="B416" s="34" t="s">
        <v>3429</v>
      </c>
      <c r="C416" s="34" t="s">
        <v>3430</v>
      </c>
      <c r="D416" s="34" t="s">
        <v>3431</v>
      </c>
      <c r="E416" s="34">
        <v>48</v>
      </c>
      <c r="F416" s="34">
        <v>321</v>
      </c>
      <c r="G416" s="34">
        <v>329</v>
      </c>
      <c r="H416" s="34" t="s">
        <v>3432</v>
      </c>
      <c r="I416" s="34">
        <v>2018</v>
      </c>
      <c r="J416" s="34" t="s">
        <v>3433</v>
      </c>
      <c r="K416" s="34" t="s">
        <v>2946</v>
      </c>
      <c r="L416" s="34" t="s">
        <v>20</v>
      </c>
      <c r="M416" s="34"/>
      <c r="N416" s="34" t="s">
        <v>27</v>
      </c>
      <c r="O416" s="34"/>
      <c r="P416" s="34"/>
      <c r="Q416" s="34"/>
      <c r="R416" s="34"/>
      <c r="S416" s="34"/>
      <c r="T416" s="34"/>
      <c r="U416" s="34"/>
    </row>
    <row r="417" spans="1:21" s="19" customFormat="1" ht="14.25" hidden="1">
      <c r="A417" s="34">
        <v>202</v>
      </c>
      <c r="B417" s="34" t="s">
        <v>3434</v>
      </c>
      <c r="C417" s="34" t="s">
        <v>3435</v>
      </c>
      <c r="D417" s="34" t="s">
        <v>3436</v>
      </c>
      <c r="E417" s="34">
        <v>35</v>
      </c>
      <c r="F417" s="34">
        <v>183</v>
      </c>
      <c r="G417" s="34">
        <v>192</v>
      </c>
      <c r="H417" s="34" t="s">
        <v>3437</v>
      </c>
      <c r="I417" s="34">
        <v>2011</v>
      </c>
      <c r="J417" s="34" t="s">
        <v>3438</v>
      </c>
      <c r="K417" s="34" t="s">
        <v>2946</v>
      </c>
      <c r="L417" s="34" t="s">
        <v>20</v>
      </c>
      <c r="M417" s="34"/>
      <c r="N417" s="34" t="s">
        <v>27</v>
      </c>
      <c r="O417" s="34"/>
      <c r="P417" s="34"/>
      <c r="Q417" s="34"/>
      <c r="R417" s="34"/>
      <c r="S417" s="34"/>
      <c r="T417" s="34"/>
      <c r="U417" s="34"/>
    </row>
    <row r="418" spans="1:21" ht="14.25" customHeight="1">
      <c r="A418" s="1">
        <v>475</v>
      </c>
      <c r="B418" s="5" t="s">
        <v>2420</v>
      </c>
      <c r="C418" s="5" t="s">
        <v>2421</v>
      </c>
      <c r="D418" s="5" t="s">
        <v>2422</v>
      </c>
      <c r="E418" s="5"/>
      <c r="F418" s="5" t="s">
        <v>167</v>
      </c>
      <c r="G418" s="5" t="s">
        <v>1714</v>
      </c>
      <c r="H418" s="5" t="s">
        <v>27</v>
      </c>
      <c r="I418" s="5">
        <v>2001</v>
      </c>
      <c r="J418" s="5" t="s">
        <v>2423</v>
      </c>
      <c r="K418" s="3" t="s">
        <v>3048</v>
      </c>
      <c r="L418" s="5" t="s">
        <v>22</v>
      </c>
      <c r="M418" s="5"/>
      <c r="N418" s="5" t="s">
        <v>22</v>
      </c>
      <c r="O418" s="5" t="s">
        <v>22</v>
      </c>
      <c r="P418" s="5" t="s">
        <v>1801</v>
      </c>
      <c r="Q418" s="5"/>
      <c r="R418" s="21" t="s">
        <v>20</v>
      </c>
      <c r="S418" s="1" t="s">
        <v>3185</v>
      </c>
      <c r="T418" s="1" t="s">
        <v>3192</v>
      </c>
      <c r="U418" s="31" t="s">
        <v>2967</v>
      </c>
    </row>
    <row r="419" spans="1:21" ht="14.25" hidden="1" customHeight="1">
      <c r="A419" s="1">
        <v>147</v>
      </c>
      <c r="B419" s="5" t="s">
        <v>850</v>
      </c>
      <c r="C419" s="5" t="s">
        <v>851</v>
      </c>
      <c r="D419" s="5" t="s">
        <v>852</v>
      </c>
      <c r="E419" s="5">
        <v>11</v>
      </c>
      <c r="F419" s="5" t="s">
        <v>27</v>
      </c>
      <c r="G419" s="5" t="s">
        <v>27</v>
      </c>
      <c r="H419" s="5" t="s">
        <v>853</v>
      </c>
      <c r="I419" s="5">
        <v>2020</v>
      </c>
      <c r="J419" s="5" t="s">
        <v>854</v>
      </c>
      <c r="K419" s="3" t="s">
        <v>3048</v>
      </c>
      <c r="L419" s="5" t="s">
        <v>20</v>
      </c>
      <c r="M419" s="5" t="s">
        <v>21</v>
      </c>
      <c r="N419" s="5" t="s">
        <v>20</v>
      </c>
      <c r="O419" s="5" t="s">
        <v>36</v>
      </c>
      <c r="P419" s="5" t="s">
        <v>36</v>
      </c>
      <c r="Q419" s="5"/>
      <c r="U419" s="1"/>
    </row>
    <row r="420" spans="1:21" ht="14.25" customHeight="1">
      <c r="A420" s="1">
        <v>288</v>
      </c>
      <c r="B420" s="3" t="s">
        <v>1554</v>
      </c>
      <c r="C420" s="3" t="s">
        <v>1555</v>
      </c>
      <c r="D420" s="3" t="s">
        <v>1556</v>
      </c>
      <c r="E420" s="3">
        <v>51</v>
      </c>
      <c r="F420" s="3" t="s">
        <v>776</v>
      </c>
      <c r="G420" s="3" t="s">
        <v>679</v>
      </c>
      <c r="H420" s="3" t="s">
        <v>1557</v>
      </c>
      <c r="I420" s="3">
        <v>1987</v>
      </c>
      <c r="J420" s="3" t="s">
        <v>1558</v>
      </c>
      <c r="K420" s="3" t="s">
        <v>3048</v>
      </c>
      <c r="L420" s="3" t="s">
        <v>22</v>
      </c>
      <c r="M420" s="3"/>
      <c r="N420" s="3" t="s">
        <v>22</v>
      </c>
      <c r="O420" s="3" t="s">
        <v>22</v>
      </c>
      <c r="P420" s="3" t="s">
        <v>23</v>
      </c>
      <c r="Q420" s="3"/>
      <c r="R420" s="12" t="s">
        <v>22</v>
      </c>
      <c r="T420" s="1" t="s">
        <v>3170</v>
      </c>
      <c r="U420" s="31" t="s">
        <v>3025</v>
      </c>
    </row>
    <row r="421" spans="1:21" ht="14.25" customHeight="1">
      <c r="A421" s="1">
        <v>70</v>
      </c>
      <c r="B421" s="3" t="s">
        <v>432</v>
      </c>
      <c r="C421" s="3" t="s">
        <v>433</v>
      </c>
      <c r="D421" s="3" t="s">
        <v>434</v>
      </c>
      <c r="E421" s="3">
        <v>9</v>
      </c>
      <c r="F421" s="3" t="s">
        <v>27</v>
      </c>
      <c r="G421" s="3" t="s">
        <v>27</v>
      </c>
      <c r="H421" s="3" t="s">
        <v>435</v>
      </c>
      <c r="I421" s="3">
        <v>2021</v>
      </c>
      <c r="J421" s="3" t="s">
        <v>436</v>
      </c>
      <c r="K421" s="3" t="s">
        <v>3048</v>
      </c>
      <c r="L421" s="3" t="s">
        <v>22</v>
      </c>
      <c r="M421" s="3"/>
      <c r="N421" s="3" t="s">
        <v>22</v>
      </c>
      <c r="O421" s="3" t="s">
        <v>22</v>
      </c>
      <c r="P421" s="3" t="s">
        <v>23</v>
      </c>
      <c r="Q421" s="3"/>
      <c r="R421" s="12" t="s">
        <v>22</v>
      </c>
      <c r="U421" s="31" t="s">
        <v>3066</v>
      </c>
    </row>
    <row r="422" spans="1:21" ht="14.25" customHeight="1">
      <c r="A422" s="1">
        <v>319</v>
      </c>
      <c r="B422" s="5" t="s">
        <v>1701</v>
      </c>
      <c r="C422" s="5" t="s">
        <v>1702</v>
      </c>
      <c r="D422" s="5" t="s">
        <v>1703</v>
      </c>
      <c r="E422" s="5">
        <v>103</v>
      </c>
      <c r="F422" s="5" t="s">
        <v>1548</v>
      </c>
      <c r="G422" s="5" t="s">
        <v>1548</v>
      </c>
      <c r="H422" s="5" t="s">
        <v>27</v>
      </c>
      <c r="I422" s="5">
        <v>2013</v>
      </c>
      <c r="J422" s="5" t="s">
        <v>27</v>
      </c>
      <c r="K422" s="3" t="s">
        <v>3048</v>
      </c>
      <c r="L422" s="5" t="s">
        <v>22</v>
      </c>
      <c r="M422" s="5"/>
      <c r="N422" s="5" t="s">
        <v>22</v>
      </c>
      <c r="O422" s="5" t="s">
        <v>20</v>
      </c>
      <c r="P422" s="5" t="s">
        <v>23</v>
      </c>
      <c r="Q422" s="5" t="s">
        <v>2882</v>
      </c>
      <c r="U422" s="1"/>
    </row>
    <row r="423" spans="1:21" ht="14.25" customHeight="1">
      <c r="A423" s="1">
        <v>279</v>
      </c>
      <c r="B423" s="5" t="s">
        <v>1517</v>
      </c>
      <c r="C423" s="5" t="s">
        <v>1518</v>
      </c>
      <c r="D423" s="5" t="s">
        <v>102</v>
      </c>
      <c r="E423" s="5">
        <v>345</v>
      </c>
      <c r="F423" s="5" t="s">
        <v>167</v>
      </c>
      <c r="G423" s="5" t="s">
        <v>1519</v>
      </c>
      <c r="H423" s="5" t="s">
        <v>1520</v>
      </c>
      <c r="I423" s="5">
        <v>2015</v>
      </c>
      <c r="J423" s="5" t="s">
        <v>1521</v>
      </c>
      <c r="K423" s="3" t="s">
        <v>3048</v>
      </c>
      <c r="L423" s="5" t="s">
        <v>22</v>
      </c>
      <c r="M423" s="5"/>
      <c r="N423" s="5" t="s">
        <v>22</v>
      </c>
      <c r="O423" s="5" t="s">
        <v>22</v>
      </c>
      <c r="P423" s="5" t="s">
        <v>23</v>
      </c>
      <c r="Q423" s="5"/>
      <c r="R423" s="12" t="s">
        <v>22</v>
      </c>
      <c r="U423" s="31" t="s">
        <v>3025</v>
      </c>
    </row>
    <row r="424" spans="1:21" s="19" customFormat="1" ht="14.25" hidden="1">
      <c r="A424" s="34">
        <v>530</v>
      </c>
      <c r="B424" s="34" t="s">
        <v>3439</v>
      </c>
      <c r="C424" s="34" t="s">
        <v>3440</v>
      </c>
      <c r="D424" s="34" t="s">
        <v>3441</v>
      </c>
      <c r="E424" s="34">
        <v>103</v>
      </c>
      <c r="F424" s="34">
        <v>401</v>
      </c>
      <c r="G424" s="34">
        <v>406</v>
      </c>
      <c r="H424" s="34" t="s">
        <v>3442</v>
      </c>
      <c r="I424" s="34">
        <v>2025</v>
      </c>
      <c r="J424" s="34" t="s">
        <v>3443</v>
      </c>
      <c r="K424" s="34" t="s">
        <v>2946</v>
      </c>
      <c r="L424" s="34" t="s">
        <v>20</v>
      </c>
      <c r="M424" s="34"/>
      <c r="N424" s="34" t="s">
        <v>27</v>
      </c>
      <c r="O424" s="34"/>
      <c r="P424" s="34"/>
      <c r="Q424" s="34"/>
      <c r="R424" s="34"/>
      <c r="S424" s="34"/>
      <c r="T424" s="34"/>
      <c r="U424" s="34"/>
    </row>
    <row r="425" spans="1:21" ht="14.25" customHeight="1">
      <c r="A425" s="1">
        <v>438</v>
      </c>
      <c r="B425" s="3" t="s">
        <v>2246</v>
      </c>
      <c r="C425" s="3" t="s">
        <v>2247</v>
      </c>
      <c r="D425" s="3" t="s">
        <v>2248</v>
      </c>
      <c r="E425" s="3">
        <v>324</v>
      </c>
      <c r="F425" s="3" t="s">
        <v>27</v>
      </c>
      <c r="G425" s="3" t="s">
        <v>27</v>
      </c>
      <c r="H425" s="3" t="s">
        <v>2249</v>
      </c>
      <c r="I425" s="3">
        <v>2022</v>
      </c>
      <c r="J425" s="3" t="s">
        <v>2250</v>
      </c>
      <c r="K425" s="3" t="s">
        <v>3048</v>
      </c>
      <c r="L425" s="3" t="s">
        <v>22</v>
      </c>
      <c r="M425" s="3"/>
      <c r="N425" s="3" t="s">
        <v>22</v>
      </c>
      <c r="O425" s="3" t="s">
        <v>22</v>
      </c>
      <c r="P425" s="3" t="s">
        <v>23</v>
      </c>
      <c r="Q425" s="3"/>
      <c r="R425" s="12" t="s">
        <v>22</v>
      </c>
      <c r="U425" s="31" t="s">
        <v>2910</v>
      </c>
    </row>
    <row r="426" spans="1:21" ht="14.25" customHeight="1">
      <c r="A426" s="1">
        <v>564</v>
      </c>
      <c r="B426" s="3" t="s">
        <v>2821</v>
      </c>
      <c r="C426" s="3" t="s">
        <v>2822</v>
      </c>
      <c r="D426" s="3" t="s">
        <v>636</v>
      </c>
      <c r="E426" s="3">
        <v>895</v>
      </c>
      <c r="F426" s="3" t="s">
        <v>27</v>
      </c>
      <c r="G426" s="3" t="s">
        <v>27</v>
      </c>
      <c r="H426" s="3" t="s">
        <v>2823</v>
      </c>
      <c r="I426" s="3">
        <v>2023</v>
      </c>
      <c r="J426" s="3" t="s">
        <v>2824</v>
      </c>
      <c r="K426" s="3" t="s">
        <v>3048</v>
      </c>
      <c r="L426" s="3" t="s">
        <v>22</v>
      </c>
      <c r="M426" s="3"/>
      <c r="N426" s="3" t="s">
        <v>22</v>
      </c>
      <c r="O426" s="3" t="s">
        <v>22</v>
      </c>
      <c r="P426" s="3" t="s">
        <v>23</v>
      </c>
      <c r="Q426" s="3"/>
      <c r="R426" s="22" t="s">
        <v>22</v>
      </c>
      <c r="U426" s="31" t="s">
        <v>2910</v>
      </c>
    </row>
    <row r="427" spans="1:21" ht="14.25" customHeight="1">
      <c r="A427" s="1">
        <v>107</v>
      </c>
      <c r="B427" s="5" t="s">
        <v>634</v>
      </c>
      <c r="C427" s="5" t="s">
        <v>635</v>
      </c>
      <c r="D427" s="5" t="s">
        <v>636</v>
      </c>
      <c r="E427" s="5">
        <v>851</v>
      </c>
      <c r="F427" s="5" t="s">
        <v>27</v>
      </c>
      <c r="G427" s="5" t="s">
        <v>27</v>
      </c>
      <c r="H427" s="5" t="s">
        <v>637</v>
      </c>
      <c r="I427" s="5">
        <v>2022</v>
      </c>
      <c r="J427" s="5" t="s">
        <v>638</v>
      </c>
      <c r="K427" s="3" t="s">
        <v>3048</v>
      </c>
      <c r="L427" s="5" t="s">
        <v>22</v>
      </c>
      <c r="M427" s="5"/>
      <c r="N427" s="5" t="s">
        <v>22</v>
      </c>
      <c r="O427" s="5" t="s">
        <v>22</v>
      </c>
      <c r="P427" s="5" t="s">
        <v>23</v>
      </c>
      <c r="Q427" s="5"/>
      <c r="R427" s="12" t="s">
        <v>22</v>
      </c>
      <c r="U427" s="31" t="s">
        <v>3086</v>
      </c>
    </row>
    <row r="428" spans="1:21" ht="14.25" hidden="1" customHeight="1">
      <c r="A428" s="1">
        <v>342</v>
      </c>
      <c r="B428" s="3" t="s">
        <v>1807</v>
      </c>
      <c r="C428" s="3" t="s">
        <v>1808</v>
      </c>
      <c r="D428" s="3" t="s">
        <v>102</v>
      </c>
      <c r="E428" s="3">
        <v>496</v>
      </c>
      <c r="F428" s="3" t="s">
        <v>27</v>
      </c>
      <c r="G428" s="3" t="s">
        <v>27</v>
      </c>
      <c r="H428" s="3" t="s">
        <v>1809</v>
      </c>
      <c r="I428" s="3">
        <v>2021</v>
      </c>
      <c r="J428" s="3" t="s">
        <v>1810</v>
      </c>
      <c r="K428" s="3" t="s">
        <v>3048</v>
      </c>
      <c r="L428" s="3" t="s">
        <v>20</v>
      </c>
      <c r="M428" s="3" t="s">
        <v>21</v>
      </c>
      <c r="N428" s="3" t="s">
        <v>20</v>
      </c>
      <c r="O428" s="3" t="s">
        <v>36</v>
      </c>
      <c r="P428" s="3" t="s">
        <v>36</v>
      </c>
      <c r="Q428" s="3"/>
      <c r="U428" s="1"/>
    </row>
    <row r="429" spans="1:21" ht="14.25" customHeight="1">
      <c r="A429" s="1">
        <v>199</v>
      </c>
      <c r="B429" s="5" t="s">
        <v>1126</v>
      </c>
      <c r="C429" s="5" t="s">
        <v>1127</v>
      </c>
      <c r="D429" s="5" t="s">
        <v>166</v>
      </c>
      <c r="E429" s="5">
        <v>139</v>
      </c>
      <c r="F429" s="5" t="s">
        <v>27</v>
      </c>
      <c r="G429" s="5" t="s">
        <v>27</v>
      </c>
      <c r="H429" s="5" t="s">
        <v>1128</v>
      </c>
      <c r="I429" s="5">
        <v>2019</v>
      </c>
      <c r="J429" s="5" t="s">
        <v>1129</v>
      </c>
      <c r="K429" s="3" t="s">
        <v>3048</v>
      </c>
      <c r="L429" s="5" t="s">
        <v>22</v>
      </c>
      <c r="M429" s="5"/>
      <c r="N429" s="5" t="s">
        <v>22</v>
      </c>
      <c r="O429" s="5" t="s">
        <v>22</v>
      </c>
      <c r="P429" s="5" t="s">
        <v>23</v>
      </c>
      <c r="Q429" s="5"/>
      <c r="R429" s="12" t="s">
        <v>22</v>
      </c>
      <c r="U429" s="31" t="s">
        <v>3025</v>
      </c>
    </row>
    <row r="430" spans="1:21" ht="14.25" customHeight="1">
      <c r="A430" s="1">
        <v>277</v>
      </c>
      <c r="B430" s="5" t="s">
        <v>1509</v>
      </c>
      <c r="C430" s="5" t="s">
        <v>1510</v>
      </c>
      <c r="D430" s="5" t="s">
        <v>27</v>
      </c>
      <c r="E430" s="5"/>
      <c r="F430" s="5" t="s">
        <v>27</v>
      </c>
      <c r="G430" s="5" t="s">
        <v>27</v>
      </c>
      <c r="H430" s="5" t="s">
        <v>27</v>
      </c>
      <c r="I430" s="5">
        <v>2019</v>
      </c>
      <c r="J430" s="5" t="s">
        <v>27</v>
      </c>
      <c r="K430" s="3" t="s">
        <v>3048</v>
      </c>
      <c r="L430" s="5" t="s">
        <v>22</v>
      </c>
      <c r="M430" s="5" t="s">
        <v>1511</v>
      </c>
      <c r="N430" s="5" t="s">
        <v>20</v>
      </c>
      <c r="O430" s="5" t="s">
        <v>36</v>
      </c>
      <c r="P430" s="5" t="s">
        <v>1256</v>
      </c>
      <c r="Q430" s="3" t="s">
        <v>1224</v>
      </c>
      <c r="U430" s="1"/>
    </row>
    <row r="431" spans="1:21" ht="14.25" hidden="1" customHeight="1">
      <c r="A431" s="1">
        <v>91</v>
      </c>
      <c r="B431" s="5" t="s">
        <v>549</v>
      </c>
      <c r="C431" s="5" t="s">
        <v>550</v>
      </c>
      <c r="D431" s="5" t="s">
        <v>39</v>
      </c>
      <c r="E431" s="5">
        <v>22</v>
      </c>
      <c r="F431" s="5" t="s">
        <v>551</v>
      </c>
      <c r="G431" s="5" t="s">
        <v>552</v>
      </c>
      <c r="H431" s="5" t="s">
        <v>553</v>
      </c>
      <c r="I431" s="5">
        <v>2019</v>
      </c>
      <c r="J431" s="5" t="s">
        <v>554</v>
      </c>
      <c r="K431" s="3" t="s">
        <v>3048</v>
      </c>
      <c r="L431" s="5" t="s">
        <v>20</v>
      </c>
      <c r="M431" s="5" t="s">
        <v>21</v>
      </c>
      <c r="N431" s="5" t="s">
        <v>20</v>
      </c>
      <c r="O431" s="5" t="s">
        <v>36</v>
      </c>
      <c r="P431" s="5" t="s">
        <v>36</v>
      </c>
      <c r="Q431" s="5"/>
      <c r="U431" s="1"/>
    </row>
    <row r="432" spans="1:21" ht="14.25" customHeight="1">
      <c r="A432" s="1">
        <v>43</v>
      </c>
      <c r="B432" s="5" t="s">
        <v>270</v>
      </c>
      <c r="C432" s="5" t="s">
        <v>271</v>
      </c>
      <c r="D432" s="5" t="s">
        <v>53</v>
      </c>
      <c r="E432" s="5">
        <v>63</v>
      </c>
      <c r="F432" s="5" t="s">
        <v>27</v>
      </c>
      <c r="G432" s="5" t="s">
        <v>27</v>
      </c>
      <c r="H432" s="5" t="s">
        <v>272</v>
      </c>
      <c r="I432" s="5">
        <v>2023</v>
      </c>
      <c r="J432" s="5" t="s">
        <v>273</v>
      </c>
      <c r="K432" s="3" t="s">
        <v>3048</v>
      </c>
      <c r="L432" s="5" t="s">
        <v>22</v>
      </c>
      <c r="M432" s="5"/>
      <c r="N432" s="5" t="s">
        <v>22</v>
      </c>
      <c r="O432" s="5" t="s">
        <v>22</v>
      </c>
      <c r="P432" s="5" t="s">
        <v>23</v>
      </c>
      <c r="Q432" s="5"/>
      <c r="R432" s="12" t="s">
        <v>22</v>
      </c>
      <c r="U432" s="31" t="s">
        <v>3048</v>
      </c>
    </row>
    <row r="433" spans="1:21" ht="14.25" customHeight="1">
      <c r="A433" s="1">
        <v>366</v>
      </c>
      <c r="B433" s="3" t="s">
        <v>1925</v>
      </c>
      <c r="C433" s="3" t="s">
        <v>1926</v>
      </c>
      <c r="D433" s="3" t="s">
        <v>1073</v>
      </c>
      <c r="E433" s="3">
        <v>27</v>
      </c>
      <c r="F433" s="3" t="s">
        <v>1042</v>
      </c>
      <c r="G433" s="3" t="s">
        <v>1207</v>
      </c>
      <c r="H433" s="3" t="s">
        <v>1927</v>
      </c>
      <c r="I433" s="3">
        <v>2002</v>
      </c>
      <c r="J433" s="3" t="s">
        <v>1928</v>
      </c>
      <c r="K433" s="3" t="s">
        <v>3048</v>
      </c>
      <c r="L433" s="3" t="s">
        <v>22</v>
      </c>
      <c r="M433" s="3"/>
      <c r="N433" s="3" t="s">
        <v>22</v>
      </c>
      <c r="O433" s="3" t="s">
        <v>22</v>
      </c>
      <c r="P433" s="3" t="s">
        <v>23</v>
      </c>
      <c r="Q433" s="3"/>
      <c r="R433" s="22" t="s">
        <v>20</v>
      </c>
      <c r="S433" s="1" t="s">
        <v>3185</v>
      </c>
      <c r="T433" s="1" t="s">
        <v>3205</v>
      </c>
      <c r="U433" s="31" t="s">
        <v>2910</v>
      </c>
    </row>
    <row r="434" spans="1:21" ht="14.25" customHeight="1">
      <c r="A434" s="1">
        <v>225</v>
      </c>
      <c r="B434" s="5" t="s">
        <v>1257</v>
      </c>
      <c r="C434" s="5" t="s">
        <v>1258</v>
      </c>
      <c r="D434" s="5" t="s">
        <v>572</v>
      </c>
      <c r="E434" s="5">
        <v>313</v>
      </c>
      <c r="F434" s="5" t="s">
        <v>870</v>
      </c>
      <c r="G434" s="5" t="s">
        <v>1259</v>
      </c>
      <c r="H434" s="5" t="s">
        <v>1260</v>
      </c>
      <c r="I434" s="5">
        <v>2008</v>
      </c>
      <c r="J434" s="5" t="s">
        <v>1261</v>
      </c>
      <c r="K434" s="3" t="s">
        <v>3048</v>
      </c>
      <c r="L434" s="5" t="s">
        <v>22</v>
      </c>
      <c r="M434" s="5"/>
      <c r="N434" s="5" t="s">
        <v>22</v>
      </c>
      <c r="O434" s="5" t="s">
        <v>22</v>
      </c>
      <c r="P434" s="5" t="s">
        <v>23</v>
      </c>
      <c r="Q434" s="5"/>
      <c r="R434" s="12" t="s">
        <v>22</v>
      </c>
      <c r="U434" s="31" t="s">
        <v>3146</v>
      </c>
    </row>
    <row r="435" spans="1:21" ht="14.25" customHeight="1">
      <c r="A435" s="1">
        <v>119</v>
      </c>
      <c r="B435" s="5" t="s">
        <v>699</v>
      </c>
      <c r="C435" s="5" t="s">
        <v>700</v>
      </c>
      <c r="D435" s="5" t="s">
        <v>15</v>
      </c>
      <c r="E435" s="5">
        <v>4</v>
      </c>
      <c r="F435" s="5" t="s">
        <v>701</v>
      </c>
      <c r="G435" s="5" t="s">
        <v>702</v>
      </c>
      <c r="H435" s="5" t="s">
        <v>703</v>
      </c>
      <c r="I435" s="5">
        <v>1994</v>
      </c>
      <c r="J435" s="5" t="s">
        <v>704</v>
      </c>
      <c r="K435" s="3" t="s">
        <v>3048</v>
      </c>
      <c r="L435" s="5" t="s">
        <v>22</v>
      </c>
      <c r="M435" s="5"/>
      <c r="N435" s="5" t="s">
        <v>22</v>
      </c>
      <c r="O435" s="5" t="s">
        <v>22</v>
      </c>
      <c r="P435" s="5" t="s">
        <v>23</v>
      </c>
      <c r="Q435" s="5"/>
      <c r="R435" s="12" t="s">
        <v>22</v>
      </c>
      <c r="T435" s="1" t="s">
        <v>3075</v>
      </c>
      <c r="U435" s="31" t="s">
        <v>3025</v>
      </c>
    </row>
    <row r="436" spans="1:21" ht="14.25" hidden="1" customHeight="1">
      <c r="A436" s="1">
        <v>220</v>
      </c>
      <c r="B436" s="3" t="s">
        <v>1230</v>
      </c>
      <c r="C436" s="3" t="s">
        <v>1231</v>
      </c>
      <c r="D436" s="3" t="s">
        <v>102</v>
      </c>
      <c r="E436" s="3">
        <v>237</v>
      </c>
      <c r="F436" s="3" t="s">
        <v>649</v>
      </c>
      <c r="G436" s="3" t="s">
        <v>1232</v>
      </c>
      <c r="H436" s="3" t="s">
        <v>1233</v>
      </c>
      <c r="I436" s="3">
        <v>2006</v>
      </c>
      <c r="J436" s="3" t="s">
        <v>1234</v>
      </c>
      <c r="K436" s="3" t="s">
        <v>3048</v>
      </c>
      <c r="L436" s="3" t="s">
        <v>20</v>
      </c>
      <c r="M436" s="3" t="s">
        <v>21</v>
      </c>
      <c r="N436" s="3" t="s">
        <v>20</v>
      </c>
      <c r="O436" s="3" t="s">
        <v>36</v>
      </c>
      <c r="P436" s="3" t="s">
        <v>36</v>
      </c>
      <c r="Q436" s="3"/>
      <c r="U436" s="1"/>
    </row>
    <row r="437" spans="1:21" ht="14.25" hidden="1" customHeight="1">
      <c r="A437" s="1">
        <v>166</v>
      </c>
      <c r="B437" s="3" t="s">
        <v>954</v>
      </c>
      <c r="C437" s="3" t="s">
        <v>955</v>
      </c>
      <c r="D437" s="3" t="s">
        <v>27</v>
      </c>
      <c r="E437" s="3"/>
      <c r="F437" s="3" t="s">
        <v>27</v>
      </c>
      <c r="G437" s="3" t="s">
        <v>27</v>
      </c>
      <c r="H437" s="3" t="s">
        <v>27</v>
      </c>
      <c r="I437" s="3">
        <v>1983</v>
      </c>
      <c r="J437" s="3" t="s">
        <v>27</v>
      </c>
      <c r="K437" s="3" t="s">
        <v>3048</v>
      </c>
      <c r="L437" s="3" t="s">
        <v>20</v>
      </c>
      <c r="M437" s="3" t="s">
        <v>21</v>
      </c>
      <c r="N437" s="3" t="s">
        <v>20</v>
      </c>
      <c r="O437" s="3" t="s">
        <v>36</v>
      </c>
      <c r="P437" s="3" t="s">
        <v>36</v>
      </c>
      <c r="Q437" s="3"/>
      <c r="U437" s="1"/>
    </row>
    <row r="438" spans="1:21" ht="14.25" customHeight="1">
      <c r="A438" s="1">
        <v>84</v>
      </c>
      <c r="B438" s="3" t="s">
        <v>510</v>
      </c>
      <c r="C438" s="3" t="s">
        <v>511</v>
      </c>
      <c r="D438" s="3" t="s">
        <v>315</v>
      </c>
      <c r="E438" s="3">
        <v>30</v>
      </c>
      <c r="F438" s="3" t="s">
        <v>512</v>
      </c>
      <c r="G438" s="3" t="s">
        <v>513</v>
      </c>
      <c r="H438" s="3" t="s">
        <v>27</v>
      </c>
      <c r="I438" s="3">
        <v>1984</v>
      </c>
      <c r="J438" s="3" t="s">
        <v>27</v>
      </c>
      <c r="K438" s="3" t="s">
        <v>3048</v>
      </c>
      <c r="L438" s="3" t="s">
        <v>22</v>
      </c>
      <c r="M438" s="3"/>
      <c r="N438" s="3" t="s">
        <v>22</v>
      </c>
      <c r="O438" s="3" t="s">
        <v>22</v>
      </c>
      <c r="P438" s="3" t="s">
        <v>23</v>
      </c>
      <c r="Q438" s="3"/>
      <c r="R438" s="12" t="s">
        <v>20</v>
      </c>
      <c r="S438" s="1" t="s">
        <v>2990</v>
      </c>
      <c r="T438" s="1" t="s">
        <v>3071</v>
      </c>
      <c r="U438" s="31" t="s">
        <v>3025</v>
      </c>
    </row>
    <row r="439" spans="1:21" ht="14.25" hidden="1" customHeight="1">
      <c r="A439" s="1">
        <v>120</v>
      </c>
      <c r="B439" s="3" t="s">
        <v>510</v>
      </c>
      <c r="C439" s="3" t="s">
        <v>705</v>
      </c>
      <c r="D439" s="3" t="s">
        <v>173</v>
      </c>
      <c r="E439" s="3">
        <v>13</v>
      </c>
      <c r="F439" s="3" t="s">
        <v>328</v>
      </c>
      <c r="G439" s="3" t="s">
        <v>706</v>
      </c>
      <c r="H439" s="3" t="s">
        <v>707</v>
      </c>
      <c r="I439" s="3">
        <v>1983</v>
      </c>
      <c r="J439" s="3" t="s">
        <v>708</v>
      </c>
      <c r="K439" s="3" t="s">
        <v>3048</v>
      </c>
      <c r="L439" s="3" t="s">
        <v>20</v>
      </c>
      <c r="M439" s="3" t="s">
        <v>21</v>
      </c>
      <c r="N439" s="3" t="s">
        <v>20</v>
      </c>
      <c r="O439" s="3" t="s">
        <v>36</v>
      </c>
      <c r="P439" s="3" t="s">
        <v>36</v>
      </c>
      <c r="Q439" s="3"/>
      <c r="U439" s="1"/>
    </row>
    <row r="440" spans="1:21" ht="14.25" hidden="1" customHeight="1">
      <c r="A440" s="1">
        <v>530</v>
      </c>
      <c r="B440" s="3" t="s">
        <v>2668</v>
      </c>
      <c r="C440" s="3" t="s">
        <v>2669</v>
      </c>
      <c r="D440" s="3" t="s">
        <v>2670</v>
      </c>
      <c r="E440" s="3">
        <v>6</v>
      </c>
      <c r="F440" s="3" t="s">
        <v>2671</v>
      </c>
      <c r="G440" s="3" t="s">
        <v>2672</v>
      </c>
      <c r="H440" s="3" t="s">
        <v>2673</v>
      </c>
      <c r="I440" s="3">
        <v>2015</v>
      </c>
      <c r="J440" s="3" t="s">
        <v>2674</v>
      </c>
      <c r="K440" s="3" t="s">
        <v>3048</v>
      </c>
      <c r="L440" s="3" t="s">
        <v>20</v>
      </c>
      <c r="M440" s="3" t="s">
        <v>21</v>
      </c>
      <c r="N440" s="3" t="s">
        <v>20</v>
      </c>
      <c r="O440" s="3" t="s">
        <v>36</v>
      </c>
      <c r="P440" s="3" t="s">
        <v>36</v>
      </c>
      <c r="Q440" s="3"/>
      <c r="U440" s="1"/>
    </row>
    <row r="441" spans="1:21" ht="14.25" hidden="1" customHeight="1">
      <c r="A441" s="1">
        <v>167</v>
      </c>
      <c r="B441" s="5" t="s">
        <v>956</v>
      </c>
      <c r="C441" s="5" t="s">
        <v>957</v>
      </c>
      <c r="D441" s="5" t="s">
        <v>572</v>
      </c>
      <c r="E441" s="5">
        <v>330</v>
      </c>
      <c r="F441" s="5" t="s">
        <v>958</v>
      </c>
      <c r="G441" s="5" t="s">
        <v>959</v>
      </c>
      <c r="H441" s="5" t="s">
        <v>960</v>
      </c>
      <c r="I441" s="5">
        <v>2010</v>
      </c>
      <c r="J441" s="5" t="s">
        <v>961</v>
      </c>
      <c r="K441" s="3" t="s">
        <v>3048</v>
      </c>
      <c r="L441" s="5" t="s">
        <v>20</v>
      </c>
      <c r="M441" s="5" t="s">
        <v>21</v>
      </c>
      <c r="N441" s="5" t="s">
        <v>20</v>
      </c>
      <c r="O441" s="5" t="s">
        <v>36</v>
      </c>
      <c r="P441" s="5" t="s">
        <v>36</v>
      </c>
      <c r="Q441" s="5"/>
      <c r="U441" s="1"/>
    </row>
    <row r="442" spans="1:21" ht="14.25" hidden="1" customHeight="1">
      <c r="A442" s="1">
        <v>363</v>
      </c>
      <c r="B442" s="5" t="s">
        <v>1909</v>
      </c>
      <c r="C442" s="5" t="s">
        <v>1910</v>
      </c>
      <c r="D442" s="5" t="s">
        <v>934</v>
      </c>
      <c r="E442" s="5">
        <v>97</v>
      </c>
      <c r="F442" s="5" t="s">
        <v>1911</v>
      </c>
      <c r="G442" s="5" t="s">
        <v>1912</v>
      </c>
      <c r="H442" s="5" t="s">
        <v>1913</v>
      </c>
      <c r="I442" s="5">
        <v>2009</v>
      </c>
      <c r="J442" s="5" t="s">
        <v>1914</v>
      </c>
      <c r="K442" s="3" t="s">
        <v>3048</v>
      </c>
      <c r="L442" s="5" t="s">
        <v>20</v>
      </c>
      <c r="M442" s="5" t="s">
        <v>21</v>
      </c>
      <c r="N442" s="5" t="s">
        <v>20</v>
      </c>
      <c r="O442" s="5" t="s">
        <v>36</v>
      </c>
      <c r="P442" s="5" t="s">
        <v>36</v>
      </c>
      <c r="Q442" s="5"/>
      <c r="U442" s="1"/>
    </row>
    <row r="443" spans="1:21" ht="14.25" hidden="1" customHeight="1">
      <c r="A443" s="1">
        <v>283</v>
      </c>
      <c r="B443" s="5" t="s">
        <v>1532</v>
      </c>
      <c r="C443" s="5" t="s">
        <v>1533</v>
      </c>
      <c r="D443" s="5" t="s">
        <v>1534</v>
      </c>
      <c r="E443" s="5">
        <v>89</v>
      </c>
      <c r="F443" s="5" t="s">
        <v>1535</v>
      </c>
      <c r="G443" s="5" t="s">
        <v>1280</v>
      </c>
      <c r="H443" s="5" t="s">
        <v>1536</v>
      </c>
      <c r="I443" s="5">
        <v>2004</v>
      </c>
      <c r="J443" s="5" t="s">
        <v>1537</v>
      </c>
      <c r="K443" s="3" t="s">
        <v>3048</v>
      </c>
      <c r="L443" s="5" t="s">
        <v>20</v>
      </c>
      <c r="M443" s="5" t="s">
        <v>21</v>
      </c>
      <c r="N443" s="5" t="s">
        <v>20</v>
      </c>
      <c r="O443" s="5" t="s">
        <v>36</v>
      </c>
      <c r="P443" s="5" t="s">
        <v>36</v>
      </c>
      <c r="Q443" s="5"/>
      <c r="U443" s="1"/>
    </row>
    <row r="444" spans="1:21" ht="14.25" hidden="1" customHeight="1">
      <c r="A444" s="1">
        <v>437</v>
      </c>
      <c r="B444" s="5" t="s">
        <v>2239</v>
      </c>
      <c r="C444" s="5" t="s">
        <v>2240</v>
      </c>
      <c r="D444" s="5" t="s">
        <v>2241</v>
      </c>
      <c r="E444" s="5">
        <v>22</v>
      </c>
      <c r="F444" s="5" t="s">
        <v>2242</v>
      </c>
      <c r="G444" s="5" t="s">
        <v>2243</v>
      </c>
      <c r="H444" s="5" t="s">
        <v>2244</v>
      </c>
      <c r="I444" s="5">
        <v>2011</v>
      </c>
      <c r="J444" s="5" t="s">
        <v>2245</v>
      </c>
      <c r="K444" s="3" t="s">
        <v>3048</v>
      </c>
      <c r="L444" s="5" t="s">
        <v>20</v>
      </c>
      <c r="M444" s="5" t="s">
        <v>21</v>
      </c>
      <c r="N444" s="5" t="s">
        <v>20</v>
      </c>
      <c r="O444" s="5" t="s">
        <v>36</v>
      </c>
      <c r="P444" s="5" t="s">
        <v>36</v>
      </c>
      <c r="Q444" s="5"/>
      <c r="U444" s="1"/>
    </row>
    <row r="445" spans="1:21" ht="14.25" hidden="1" customHeight="1">
      <c r="A445" s="1">
        <v>451</v>
      </c>
      <c r="B445" s="5" t="s">
        <v>2306</v>
      </c>
      <c r="C445" s="5" t="s">
        <v>2307</v>
      </c>
      <c r="D445" s="5" t="s">
        <v>2308</v>
      </c>
      <c r="E445" s="5">
        <v>5</v>
      </c>
      <c r="F445" s="5" t="s">
        <v>1328</v>
      </c>
      <c r="G445" s="5" t="s">
        <v>2309</v>
      </c>
      <c r="H445" s="5" t="s">
        <v>2310</v>
      </c>
      <c r="I445" s="5">
        <v>2021</v>
      </c>
      <c r="J445" s="5" t="s">
        <v>2311</v>
      </c>
      <c r="K445" s="3" t="s">
        <v>3048</v>
      </c>
      <c r="L445" s="5" t="s">
        <v>20</v>
      </c>
      <c r="M445" s="5" t="s">
        <v>21</v>
      </c>
      <c r="N445" s="5" t="s">
        <v>20</v>
      </c>
      <c r="O445" s="5" t="s">
        <v>36</v>
      </c>
      <c r="P445" s="5" t="s">
        <v>36</v>
      </c>
      <c r="Q445" s="5"/>
      <c r="U445" s="1"/>
    </row>
    <row r="446" spans="1:21" ht="14.25" hidden="1" customHeight="1">
      <c r="A446" s="1">
        <v>234</v>
      </c>
      <c r="B446" s="3" t="s">
        <v>1301</v>
      </c>
      <c r="C446" s="3" t="s">
        <v>1302</v>
      </c>
      <c r="D446" s="3" t="s">
        <v>1303</v>
      </c>
      <c r="E446" s="3"/>
      <c r="F446" s="3" t="s">
        <v>1304</v>
      </c>
      <c r="G446" s="3" t="s">
        <v>1218</v>
      </c>
      <c r="H446" s="3" t="s">
        <v>27</v>
      </c>
      <c r="I446" s="3">
        <v>2014</v>
      </c>
      <c r="J446" s="3" t="s">
        <v>27</v>
      </c>
      <c r="K446" s="3" t="s">
        <v>3048</v>
      </c>
      <c r="L446" s="3" t="s">
        <v>20</v>
      </c>
      <c r="M446" s="3" t="s">
        <v>36</v>
      </c>
      <c r="N446" s="3" t="s">
        <v>20</v>
      </c>
      <c r="O446" s="3" t="s">
        <v>36</v>
      </c>
      <c r="P446" s="3" t="s">
        <v>36</v>
      </c>
      <c r="Q446" s="3"/>
      <c r="U446" s="1"/>
    </row>
    <row r="447" spans="1:21" ht="14.25" customHeight="1">
      <c r="A447" s="1">
        <v>308</v>
      </c>
      <c r="B447" s="3" t="s">
        <v>1655</v>
      </c>
      <c r="C447" s="3" t="s">
        <v>1656</v>
      </c>
      <c r="D447" s="3" t="s">
        <v>1657</v>
      </c>
      <c r="E447" s="3">
        <v>13</v>
      </c>
      <c r="F447" s="3" t="s">
        <v>27</v>
      </c>
      <c r="G447" s="3" t="s">
        <v>27</v>
      </c>
      <c r="H447" s="3" t="s">
        <v>1658</v>
      </c>
      <c r="I447" s="3">
        <v>2023</v>
      </c>
      <c r="J447" s="3" t="s">
        <v>1659</v>
      </c>
      <c r="K447" s="3" t="s">
        <v>3048</v>
      </c>
      <c r="L447" s="3" t="s">
        <v>22</v>
      </c>
      <c r="M447" s="3"/>
      <c r="N447" s="3" t="s">
        <v>22</v>
      </c>
      <c r="O447" s="3" t="s">
        <v>22</v>
      </c>
      <c r="P447" s="3" t="s">
        <v>23</v>
      </c>
      <c r="Q447" s="3"/>
      <c r="R447" s="12" t="s">
        <v>20</v>
      </c>
      <c r="S447" s="1" t="s">
        <v>2975</v>
      </c>
      <c r="T447" s="1" t="s">
        <v>3174</v>
      </c>
      <c r="U447" s="31" t="s">
        <v>2938</v>
      </c>
    </row>
    <row r="448" spans="1:21" ht="14.25" customHeight="1">
      <c r="A448" s="1">
        <v>414</v>
      </c>
      <c r="B448" s="3" t="s">
        <v>1655</v>
      </c>
      <c r="C448" s="3" t="s">
        <v>2139</v>
      </c>
      <c r="D448" s="3" t="s">
        <v>2140</v>
      </c>
      <c r="E448" s="3">
        <v>13</v>
      </c>
      <c r="F448" s="3" t="s">
        <v>167</v>
      </c>
      <c r="G448" s="3" t="s">
        <v>566</v>
      </c>
      <c r="H448" s="3" t="s">
        <v>27</v>
      </c>
      <c r="I448" s="3">
        <v>2023</v>
      </c>
      <c r="J448" s="3" t="s">
        <v>2141</v>
      </c>
      <c r="K448" s="3" t="s">
        <v>3048</v>
      </c>
      <c r="L448" s="3" t="s">
        <v>22</v>
      </c>
      <c r="M448" s="3"/>
      <c r="N448" s="3" t="s">
        <v>1431</v>
      </c>
      <c r="O448" s="3" t="s">
        <v>36</v>
      </c>
      <c r="P448" s="3" t="s">
        <v>36</v>
      </c>
      <c r="Q448" s="3"/>
      <c r="U448" s="1"/>
    </row>
    <row r="449" spans="1:21" ht="14.25" customHeight="1">
      <c r="A449" s="1">
        <v>239</v>
      </c>
      <c r="B449" s="5" t="s">
        <v>1326</v>
      </c>
      <c r="C449" s="5" t="s">
        <v>1327</v>
      </c>
      <c r="D449" s="5" t="s">
        <v>934</v>
      </c>
      <c r="E449" s="5">
        <v>109</v>
      </c>
      <c r="F449" s="5" t="s">
        <v>1328</v>
      </c>
      <c r="G449" s="5" t="s">
        <v>1329</v>
      </c>
      <c r="H449" s="5" t="s">
        <v>1330</v>
      </c>
      <c r="I449" s="5">
        <v>2021</v>
      </c>
      <c r="J449" s="5" t="s">
        <v>1331</v>
      </c>
      <c r="K449" s="3" t="s">
        <v>3048</v>
      </c>
      <c r="L449" s="5" t="s">
        <v>22</v>
      </c>
      <c r="M449" s="5"/>
      <c r="N449" s="5" t="s">
        <v>22</v>
      </c>
      <c r="O449" s="5" t="s">
        <v>22</v>
      </c>
      <c r="P449" s="5" t="s">
        <v>23</v>
      </c>
      <c r="Q449" s="5"/>
      <c r="R449" s="12" t="s">
        <v>22</v>
      </c>
      <c r="U449" s="31" t="s">
        <v>2938</v>
      </c>
    </row>
    <row r="450" spans="1:21" ht="14.25" customHeight="1">
      <c r="A450" s="1">
        <v>63</v>
      </c>
      <c r="B450" s="5" t="s">
        <v>392</v>
      </c>
      <c r="C450" s="5" t="s">
        <v>393</v>
      </c>
      <c r="D450" s="5" t="s">
        <v>185</v>
      </c>
      <c r="E450" s="5">
        <v>29</v>
      </c>
      <c r="F450" s="5" t="s">
        <v>394</v>
      </c>
      <c r="G450" s="5" t="s">
        <v>395</v>
      </c>
      <c r="H450" s="5" t="s">
        <v>396</v>
      </c>
      <c r="I450" s="5">
        <v>2020</v>
      </c>
      <c r="J450" s="5" t="s">
        <v>397</v>
      </c>
      <c r="K450" s="3" t="s">
        <v>3048</v>
      </c>
      <c r="L450" s="5" t="s">
        <v>22</v>
      </c>
      <c r="M450" s="5"/>
      <c r="N450" s="5" t="s">
        <v>22</v>
      </c>
      <c r="O450" s="5" t="s">
        <v>22</v>
      </c>
      <c r="P450" s="5" t="s">
        <v>23</v>
      </c>
      <c r="Q450" s="5"/>
      <c r="R450" s="12" t="s">
        <v>20</v>
      </c>
      <c r="U450" s="31" t="s">
        <v>2946</v>
      </c>
    </row>
    <row r="451" spans="1:21" ht="14.25" customHeight="1">
      <c r="A451" s="1">
        <v>559</v>
      </c>
      <c r="B451" s="5" t="s">
        <v>2790</v>
      </c>
      <c r="C451" s="5" t="s">
        <v>2791</v>
      </c>
      <c r="D451" s="5" t="s">
        <v>185</v>
      </c>
      <c r="E451" s="5">
        <v>27</v>
      </c>
      <c r="F451" s="5" t="s">
        <v>2792</v>
      </c>
      <c r="G451" s="5" t="s">
        <v>2793</v>
      </c>
      <c r="H451" s="5" t="s">
        <v>2794</v>
      </c>
      <c r="I451" s="5">
        <v>2018</v>
      </c>
      <c r="J451" s="5" t="s">
        <v>2795</v>
      </c>
      <c r="K451" s="3" t="s">
        <v>3048</v>
      </c>
      <c r="L451" s="5" t="s">
        <v>22</v>
      </c>
      <c r="M451" s="5"/>
      <c r="N451" s="5" t="s">
        <v>22</v>
      </c>
      <c r="O451" s="5" t="s">
        <v>22</v>
      </c>
      <c r="P451" s="5" t="s">
        <v>23</v>
      </c>
      <c r="Q451" s="5"/>
      <c r="R451" s="21" t="s">
        <v>22</v>
      </c>
      <c r="T451" s="1" t="s">
        <v>2947</v>
      </c>
      <c r="U451" s="31" t="s">
        <v>2946</v>
      </c>
    </row>
    <row r="452" spans="1:21" ht="14.25" hidden="1" customHeight="1">
      <c r="A452" s="1">
        <v>196</v>
      </c>
      <c r="B452" s="3" t="s">
        <v>1112</v>
      </c>
      <c r="C452" s="3" t="s">
        <v>1113</v>
      </c>
      <c r="D452" s="3" t="s">
        <v>102</v>
      </c>
      <c r="E452" s="3">
        <v>349</v>
      </c>
      <c r="F452" s="3" t="s">
        <v>155</v>
      </c>
      <c r="G452" s="3" t="s">
        <v>492</v>
      </c>
      <c r="H452" s="3" t="s">
        <v>1114</v>
      </c>
      <c r="I452" s="3">
        <v>2015</v>
      </c>
      <c r="J452" s="3" t="s">
        <v>1115</v>
      </c>
      <c r="K452" s="3" t="s">
        <v>3048</v>
      </c>
      <c r="L452" s="3" t="s">
        <v>20</v>
      </c>
      <c r="M452" s="3" t="s">
        <v>21</v>
      </c>
      <c r="N452" s="3" t="s">
        <v>20</v>
      </c>
      <c r="O452" s="3" t="s">
        <v>36</v>
      </c>
      <c r="P452" s="3" t="s">
        <v>36</v>
      </c>
      <c r="Q452" s="3"/>
      <c r="U452" s="1"/>
    </row>
    <row r="453" spans="1:21" ht="14.25" hidden="1" customHeight="1">
      <c r="A453" s="1">
        <v>549</v>
      </c>
      <c r="B453" s="5" t="s">
        <v>2751</v>
      </c>
      <c r="C453" s="5" t="s">
        <v>2752</v>
      </c>
      <c r="D453" s="5" t="s">
        <v>452</v>
      </c>
      <c r="E453" s="5">
        <v>147</v>
      </c>
      <c r="F453" s="5" t="s">
        <v>27</v>
      </c>
      <c r="G453" s="5" t="s">
        <v>27</v>
      </c>
      <c r="H453" s="5" t="s">
        <v>2753</v>
      </c>
      <c r="I453" s="5">
        <v>2020</v>
      </c>
      <c r="J453" s="5" t="s">
        <v>2754</v>
      </c>
      <c r="K453" s="3" t="s">
        <v>3048</v>
      </c>
      <c r="L453" s="5" t="s">
        <v>20</v>
      </c>
      <c r="M453" s="5" t="s">
        <v>21</v>
      </c>
      <c r="N453" s="5" t="s">
        <v>20</v>
      </c>
      <c r="O453" s="5" t="s">
        <v>36</v>
      </c>
      <c r="P453" s="5" t="s">
        <v>36</v>
      </c>
      <c r="Q453" s="5"/>
      <c r="U453" s="1"/>
    </row>
    <row r="454" spans="1:21" s="19" customFormat="1" ht="14.25">
      <c r="A454" s="34">
        <v>257</v>
      </c>
      <c r="B454" s="34" t="s">
        <v>3444</v>
      </c>
      <c r="C454" s="34" t="s">
        <v>3445</v>
      </c>
      <c r="D454" s="34" t="s">
        <v>611</v>
      </c>
      <c r="E454" s="34">
        <v>454</v>
      </c>
      <c r="F454" s="34" t="s">
        <v>27</v>
      </c>
      <c r="G454" s="34" t="s">
        <v>27</v>
      </c>
      <c r="H454" s="34" t="s">
        <v>3446</v>
      </c>
      <c r="I454" s="34">
        <v>2025</v>
      </c>
      <c r="J454" s="34" t="s">
        <v>3447</v>
      </c>
      <c r="K454" s="34" t="s">
        <v>2946</v>
      </c>
      <c r="L454" s="34" t="s">
        <v>22</v>
      </c>
      <c r="M454" s="34"/>
      <c r="N454" s="34" t="s">
        <v>27</v>
      </c>
      <c r="O454" s="34" t="s">
        <v>22</v>
      </c>
      <c r="P454" s="34" t="s">
        <v>23</v>
      </c>
      <c r="Q454" s="34"/>
      <c r="R454" s="34"/>
      <c r="S454" s="34"/>
      <c r="T454" s="34"/>
      <c r="U454" s="34"/>
    </row>
    <row r="455" spans="1:21" ht="14.25" customHeight="1">
      <c r="A455" s="1">
        <v>364</v>
      </c>
      <c r="B455" s="3" t="s">
        <v>1915</v>
      </c>
      <c r="C455" s="3" t="s">
        <v>1916</v>
      </c>
      <c r="D455" s="3" t="s">
        <v>173</v>
      </c>
      <c r="E455" s="3">
        <v>14</v>
      </c>
      <c r="F455" s="3" t="s">
        <v>1547</v>
      </c>
      <c r="G455" s="3" t="s">
        <v>1917</v>
      </c>
      <c r="H455" s="3" t="s">
        <v>1918</v>
      </c>
      <c r="I455" s="3">
        <v>1984</v>
      </c>
      <c r="J455" s="3" t="s">
        <v>1919</v>
      </c>
      <c r="K455" s="3" t="s">
        <v>3048</v>
      </c>
      <c r="L455" s="3" t="s">
        <v>22</v>
      </c>
      <c r="M455" s="3"/>
      <c r="N455" s="3" t="s">
        <v>22</v>
      </c>
      <c r="O455" s="3" t="s">
        <v>22</v>
      </c>
      <c r="P455" s="3" t="s">
        <v>23</v>
      </c>
      <c r="Q455" s="3"/>
      <c r="R455" s="12" t="s">
        <v>20</v>
      </c>
      <c r="S455" s="1" t="s">
        <v>2975</v>
      </c>
      <c r="T455" s="1" t="s">
        <v>3196</v>
      </c>
      <c r="U455" s="31" t="s">
        <v>3025</v>
      </c>
    </row>
    <row r="456" spans="1:21" s="19" customFormat="1" ht="14.25" hidden="1">
      <c r="A456" s="34">
        <v>517</v>
      </c>
      <c r="B456" s="34" t="s">
        <v>2697</v>
      </c>
      <c r="C456" s="34" t="s">
        <v>3448</v>
      </c>
      <c r="D456" s="34" t="s">
        <v>27</v>
      </c>
      <c r="E456" s="34" t="s">
        <v>27</v>
      </c>
      <c r="F456" s="34" t="s">
        <v>27</v>
      </c>
      <c r="G456" s="34" t="s">
        <v>27</v>
      </c>
      <c r="H456" s="34" t="s">
        <v>27</v>
      </c>
      <c r="I456" s="34">
        <v>2009</v>
      </c>
      <c r="J456" s="34" t="s">
        <v>27</v>
      </c>
      <c r="K456" s="34" t="s">
        <v>2946</v>
      </c>
      <c r="L456" s="34" t="s">
        <v>20</v>
      </c>
      <c r="M456" s="34"/>
      <c r="N456" s="34" t="s">
        <v>27</v>
      </c>
      <c r="O456" s="34"/>
      <c r="P456" s="34"/>
      <c r="Q456" s="34"/>
      <c r="R456" s="34"/>
      <c r="S456" s="34"/>
      <c r="T456" s="34"/>
      <c r="U456" s="34"/>
    </row>
    <row r="457" spans="1:21" ht="14.25" hidden="1" customHeight="1">
      <c r="A457" s="1">
        <v>535</v>
      </c>
      <c r="B457" s="5" t="s">
        <v>2697</v>
      </c>
      <c r="C457" s="5" t="s">
        <v>2698</v>
      </c>
      <c r="D457" s="5" t="s">
        <v>27</v>
      </c>
      <c r="E457" s="5"/>
      <c r="F457" s="5" t="s">
        <v>27</v>
      </c>
      <c r="G457" s="5" t="s">
        <v>27</v>
      </c>
      <c r="H457" s="5" t="s">
        <v>27</v>
      </c>
      <c r="I457" s="5">
        <v>2009</v>
      </c>
      <c r="J457" s="5" t="s">
        <v>27</v>
      </c>
      <c r="K457" s="3" t="s">
        <v>3048</v>
      </c>
      <c r="L457" s="5" t="s">
        <v>20</v>
      </c>
      <c r="M457" s="5" t="s">
        <v>21</v>
      </c>
      <c r="N457" s="5" t="s">
        <v>20</v>
      </c>
      <c r="O457" s="5" t="s">
        <v>36</v>
      </c>
      <c r="P457" s="5" t="s">
        <v>36</v>
      </c>
      <c r="Q457" s="5"/>
      <c r="U457" s="1"/>
    </row>
    <row r="458" spans="1:21" ht="14.25" hidden="1" customHeight="1">
      <c r="A458" s="1">
        <v>214</v>
      </c>
      <c r="B458" s="3" t="s">
        <v>1197</v>
      </c>
      <c r="C458" s="3" t="s">
        <v>1198</v>
      </c>
      <c r="D458" s="3" t="s">
        <v>950</v>
      </c>
      <c r="E458" s="3">
        <v>79</v>
      </c>
      <c r="F458" s="3" t="s">
        <v>1199</v>
      </c>
      <c r="G458" s="3" t="s">
        <v>1200</v>
      </c>
      <c r="H458" s="3" t="s">
        <v>1201</v>
      </c>
      <c r="I458" s="3">
        <v>2006</v>
      </c>
      <c r="J458" s="3" t="s">
        <v>1202</v>
      </c>
      <c r="K458" s="3" t="s">
        <v>3048</v>
      </c>
      <c r="L458" s="3" t="s">
        <v>20</v>
      </c>
      <c r="M458" s="3" t="s">
        <v>21</v>
      </c>
      <c r="N458" s="3" t="s">
        <v>20</v>
      </c>
      <c r="O458" s="3" t="s">
        <v>36</v>
      </c>
      <c r="P458" s="3" t="s">
        <v>36</v>
      </c>
      <c r="Q458" s="3"/>
      <c r="U458" s="1"/>
    </row>
    <row r="459" spans="1:21" ht="14.25" hidden="1" customHeight="1">
      <c r="A459" s="1">
        <v>126</v>
      </c>
      <c r="B459" s="3" t="s">
        <v>738</v>
      </c>
      <c r="C459" s="3" t="s">
        <v>739</v>
      </c>
      <c r="D459" s="3" t="s">
        <v>740</v>
      </c>
      <c r="E459" s="3">
        <v>55</v>
      </c>
      <c r="F459" s="3" t="s">
        <v>741</v>
      </c>
      <c r="G459" s="3" t="s">
        <v>552</v>
      </c>
      <c r="H459" s="3" t="s">
        <v>742</v>
      </c>
      <c r="I459" s="3">
        <v>2008</v>
      </c>
      <c r="J459" s="3" t="s">
        <v>743</v>
      </c>
      <c r="K459" s="3" t="s">
        <v>3048</v>
      </c>
      <c r="L459" s="3" t="s">
        <v>20</v>
      </c>
      <c r="M459" s="3" t="s">
        <v>21</v>
      </c>
      <c r="N459" s="3" t="s">
        <v>20</v>
      </c>
      <c r="O459" s="3" t="s">
        <v>36</v>
      </c>
      <c r="P459" s="3" t="s">
        <v>36</v>
      </c>
      <c r="Q459" s="3"/>
      <c r="U459" s="1"/>
    </row>
    <row r="460" spans="1:21" ht="14.25" hidden="1" customHeight="1">
      <c r="A460" s="1">
        <v>42</v>
      </c>
      <c r="B460" s="3" t="s">
        <v>264</v>
      </c>
      <c r="C460" s="3" t="s">
        <v>265</v>
      </c>
      <c r="D460" s="3" t="s">
        <v>71</v>
      </c>
      <c r="E460" s="3">
        <v>3</v>
      </c>
      <c r="F460" s="3" t="s">
        <v>27</v>
      </c>
      <c r="G460" s="3" t="s">
        <v>27</v>
      </c>
      <c r="H460" s="3" t="s">
        <v>266</v>
      </c>
      <c r="I460" s="3">
        <v>2020</v>
      </c>
      <c r="J460" s="3" t="s">
        <v>267</v>
      </c>
      <c r="K460" s="3" t="s">
        <v>3048</v>
      </c>
      <c r="L460" s="3" t="s">
        <v>268</v>
      </c>
      <c r="M460" s="3" t="s">
        <v>269</v>
      </c>
      <c r="N460" s="3" t="s">
        <v>268</v>
      </c>
      <c r="O460" s="3" t="s">
        <v>22</v>
      </c>
      <c r="P460" s="3" t="s">
        <v>269</v>
      </c>
      <c r="Q460" s="3" t="s">
        <v>2878</v>
      </c>
      <c r="U460" s="1"/>
    </row>
    <row r="461" spans="1:21" s="19" customFormat="1" ht="14.25" hidden="1">
      <c r="A461" s="34">
        <v>474</v>
      </c>
      <c r="B461" s="34" t="s">
        <v>3449</v>
      </c>
      <c r="C461" s="34" t="s">
        <v>3450</v>
      </c>
      <c r="D461" s="34" t="s">
        <v>27</v>
      </c>
      <c r="E461" s="34" t="s">
        <v>27</v>
      </c>
      <c r="F461" s="34" t="s">
        <v>27</v>
      </c>
      <c r="G461" s="34" t="s">
        <v>27</v>
      </c>
      <c r="H461" s="34" t="s">
        <v>27</v>
      </c>
      <c r="I461" s="34">
        <v>2008</v>
      </c>
      <c r="J461" s="34" t="s">
        <v>27</v>
      </c>
      <c r="K461" s="34" t="s">
        <v>2946</v>
      </c>
      <c r="L461" s="34" t="s">
        <v>20</v>
      </c>
      <c r="M461" s="34"/>
      <c r="N461" s="34" t="s">
        <v>27</v>
      </c>
      <c r="O461" s="34"/>
      <c r="P461" s="34"/>
      <c r="Q461" s="34"/>
      <c r="R461" s="34"/>
      <c r="S461" s="34"/>
      <c r="T461" s="34"/>
      <c r="U461" s="34"/>
    </row>
    <row r="462" spans="1:21" ht="14.25" customHeight="1">
      <c r="A462" s="1">
        <v>398</v>
      </c>
      <c r="B462" s="3" t="s">
        <v>2070</v>
      </c>
      <c r="C462" s="3" t="s">
        <v>2071</v>
      </c>
      <c r="D462" s="3" t="s">
        <v>978</v>
      </c>
      <c r="E462" s="3">
        <v>13</v>
      </c>
      <c r="F462" s="3" t="s">
        <v>27</v>
      </c>
      <c r="G462" s="3" t="s">
        <v>27</v>
      </c>
      <c r="H462" s="3" t="s">
        <v>2072</v>
      </c>
      <c r="I462" s="3">
        <v>2023</v>
      </c>
      <c r="J462" s="3" t="s">
        <v>2073</v>
      </c>
      <c r="K462" s="3" t="s">
        <v>3048</v>
      </c>
      <c r="L462" s="3" t="s">
        <v>22</v>
      </c>
      <c r="M462" s="3"/>
      <c r="N462" s="3" t="s">
        <v>22</v>
      </c>
      <c r="O462" s="3" t="s">
        <v>22</v>
      </c>
      <c r="P462" s="3" t="s">
        <v>23</v>
      </c>
      <c r="Q462" s="3"/>
      <c r="R462" s="12" t="s">
        <v>22</v>
      </c>
      <c r="U462" s="31" t="s">
        <v>3025</v>
      </c>
    </row>
    <row r="463" spans="1:21" ht="14.25" customHeight="1">
      <c r="A463" s="1">
        <v>470</v>
      </c>
      <c r="B463" s="3" t="s">
        <v>2397</v>
      </c>
      <c r="C463" s="3" t="s">
        <v>2398</v>
      </c>
      <c r="D463" s="3" t="s">
        <v>308</v>
      </c>
      <c r="E463" s="3">
        <v>65</v>
      </c>
      <c r="F463" s="3" t="s">
        <v>389</v>
      </c>
      <c r="G463" s="3" t="s">
        <v>491</v>
      </c>
      <c r="H463" s="3" t="s">
        <v>2399</v>
      </c>
      <c r="I463" s="3">
        <v>2017</v>
      </c>
      <c r="J463" s="3" t="s">
        <v>2400</v>
      </c>
      <c r="K463" s="3" t="s">
        <v>3048</v>
      </c>
      <c r="L463" s="3" t="s">
        <v>22</v>
      </c>
      <c r="M463" s="3"/>
      <c r="N463" s="3" t="s">
        <v>22</v>
      </c>
      <c r="O463" s="3" t="s">
        <v>22</v>
      </c>
      <c r="P463" s="3" t="s">
        <v>23</v>
      </c>
      <c r="Q463" s="3"/>
      <c r="R463" s="22" t="s">
        <v>20</v>
      </c>
      <c r="S463" s="1" t="s">
        <v>2975</v>
      </c>
      <c r="T463" s="1" t="s">
        <v>2972</v>
      </c>
      <c r="U463" s="31" t="s">
        <v>2910</v>
      </c>
    </row>
    <row r="464" spans="1:21" ht="14.25" customHeight="1">
      <c r="A464" s="1">
        <v>468</v>
      </c>
      <c r="B464" s="3" t="s">
        <v>2386</v>
      </c>
      <c r="C464" s="3" t="s">
        <v>2387</v>
      </c>
      <c r="D464" s="3" t="s">
        <v>2388</v>
      </c>
      <c r="E464" s="3"/>
      <c r="F464" s="3" t="s">
        <v>2389</v>
      </c>
      <c r="G464" s="3" t="s">
        <v>2389</v>
      </c>
      <c r="H464" s="3" t="s">
        <v>27</v>
      </c>
      <c r="I464" s="3">
        <v>2002</v>
      </c>
      <c r="J464" s="3" t="s">
        <v>2390</v>
      </c>
      <c r="K464" s="3" t="s">
        <v>3048</v>
      </c>
      <c r="L464" s="3" t="s">
        <v>22</v>
      </c>
      <c r="M464" s="3"/>
      <c r="N464" s="3" t="s">
        <v>268</v>
      </c>
      <c r="O464" s="3" t="s">
        <v>36</v>
      </c>
      <c r="P464" s="3" t="s">
        <v>2391</v>
      </c>
      <c r="Q464" s="3"/>
      <c r="U464" s="1"/>
    </row>
    <row r="465" spans="1:21" ht="14.25" customHeight="1">
      <c r="A465" s="1">
        <v>238</v>
      </c>
      <c r="B465" s="3" t="s">
        <v>1322</v>
      </c>
      <c r="C465" s="3" t="s">
        <v>1323</v>
      </c>
      <c r="D465" s="3" t="s">
        <v>102</v>
      </c>
      <c r="E465" s="3">
        <v>485</v>
      </c>
      <c r="F465" s="3" t="s">
        <v>27</v>
      </c>
      <c r="G465" s="3" t="s">
        <v>27</v>
      </c>
      <c r="H465" s="3" t="s">
        <v>1324</v>
      </c>
      <c r="I465" s="3">
        <v>2021</v>
      </c>
      <c r="J465" s="3" t="s">
        <v>1325</v>
      </c>
      <c r="K465" s="3" t="s">
        <v>3048</v>
      </c>
      <c r="L465" s="3" t="s">
        <v>22</v>
      </c>
      <c r="M465" s="3"/>
      <c r="N465" s="3" t="s">
        <v>22</v>
      </c>
      <c r="O465" s="3" t="s">
        <v>22</v>
      </c>
      <c r="P465" s="3" t="s">
        <v>23</v>
      </c>
      <c r="Q465" s="3"/>
      <c r="R465" s="12" t="s">
        <v>22</v>
      </c>
      <c r="U465" s="31" t="s">
        <v>3025</v>
      </c>
    </row>
    <row r="466" spans="1:21" ht="14.25" customHeight="1">
      <c r="A466" s="1">
        <v>534</v>
      </c>
      <c r="B466" s="3" t="s">
        <v>2691</v>
      </c>
      <c r="C466" s="3" t="s">
        <v>2692</v>
      </c>
      <c r="D466" s="3" t="s">
        <v>185</v>
      </c>
      <c r="E466" s="3">
        <v>32</v>
      </c>
      <c r="F466" s="3" t="s">
        <v>2693</v>
      </c>
      <c r="G466" s="3" t="s">
        <v>2694</v>
      </c>
      <c r="H466" s="3" t="s">
        <v>2695</v>
      </c>
      <c r="I466" s="3">
        <v>2023</v>
      </c>
      <c r="J466" s="3" t="s">
        <v>2696</v>
      </c>
      <c r="K466" s="3" t="s">
        <v>3048</v>
      </c>
      <c r="L466" s="3" t="s">
        <v>22</v>
      </c>
      <c r="M466" s="3"/>
      <c r="N466" s="3" t="s">
        <v>22</v>
      </c>
      <c r="O466" s="3" t="s">
        <v>22</v>
      </c>
      <c r="P466" s="3" t="s">
        <v>23</v>
      </c>
      <c r="Q466" s="3"/>
      <c r="R466" s="22" t="s">
        <v>22</v>
      </c>
      <c r="U466" s="31" t="s">
        <v>3025</v>
      </c>
    </row>
    <row r="467" spans="1:21" ht="14.25" customHeight="1">
      <c r="A467" s="1">
        <v>218</v>
      </c>
      <c r="B467" s="3" t="s">
        <v>1222</v>
      </c>
      <c r="C467" s="3" t="s">
        <v>1223</v>
      </c>
      <c r="D467" s="3" t="s">
        <v>27</v>
      </c>
      <c r="E467" s="3"/>
      <c r="F467" s="3" t="s">
        <v>27</v>
      </c>
      <c r="G467" s="3" t="s">
        <v>27</v>
      </c>
      <c r="H467" s="3" t="s">
        <v>27</v>
      </c>
      <c r="I467" s="3">
        <v>2018</v>
      </c>
      <c r="J467" s="3" t="s">
        <v>27</v>
      </c>
      <c r="K467" s="3" t="s">
        <v>3048</v>
      </c>
      <c r="L467" s="3" t="s">
        <v>22</v>
      </c>
      <c r="M467" s="3" t="s">
        <v>1106</v>
      </c>
      <c r="N467" s="3" t="s">
        <v>20</v>
      </c>
      <c r="O467" s="3" t="s">
        <v>36</v>
      </c>
      <c r="P467" s="3" t="s">
        <v>1106</v>
      </c>
      <c r="Q467" s="3" t="s">
        <v>1224</v>
      </c>
      <c r="U467" s="1"/>
    </row>
    <row r="468" spans="1:21" ht="14.25" customHeight="1">
      <c r="A468" s="1">
        <v>301</v>
      </c>
      <c r="B468" s="5" t="s">
        <v>1620</v>
      </c>
      <c r="C468" s="5" t="s">
        <v>1621</v>
      </c>
      <c r="D468" s="5" t="s">
        <v>1622</v>
      </c>
      <c r="E468" s="5">
        <v>12</v>
      </c>
      <c r="F468" s="5" t="s">
        <v>34</v>
      </c>
      <c r="G468" s="5" t="s">
        <v>513</v>
      </c>
      <c r="H468" s="5" t="s">
        <v>27</v>
      </c>
      <c r="I468" s="5">
        <v>1991</v>
      </c>
      <c r="J468" s="5" t="s">
        <v>1623</v>
      </c>
      <c r="K468" s="3" t="s">
        <v>3048</v>
      </c>
      <c r="L468" s="5" t="s">
        <v>22</v>
      </c>
      <c r="M468" s="5"/>
      <c r="N468" s="5" t="s">
        <v>22</v>
      </c>
      <c r="O468" s="5" t="s">
        <v>190</v>
      </c>
      <c r="P468" s="5" t="s">
        <v>23</v>
      </c>
      <c r="Q468" s="6" t="s">
        <v>2881</v>
      </c>
      <c r="U468" s="1"/>
    </row>
    <row r="469" spans="1:21" ht="14.25" customHeight="1">
      <c r="A469" s="1">
        <v>157</v>
      </c>
      <c r="B469" s="5" t="s">
        <v>908</v>
      </c>
      <c r="C469" s="5" t="s">
        <v>909</v>
      </c>
      <c r="D469" s="5" t="s">
        <v>413</v>
      </c>
      <c r="E469" s="5">
        <v>36</v>
      </c>
      <c r="F469" s="5" t="s">
        <v>910</v>
      </c>
      <c r="G469" s="5" t="s">
        <v>911</v>
      </c>
      <c r="H469" s="5" t="s">
        <v>912</v>
      </c>
      <c r="I469" s="5">
        <v>2002</v>
      </c>
      <c r="J469" s="5" t="s">
        <v>913</v>
      </c>
      <c r="K469" s="3" t="s">
        <v>3048</v>
      </c>
      <c r="L469" s="5" t="s">
        <v>22</v>
      </c>
      <c r="M469" s="5"/>
      <c r="N469" s="5" t="s">
        <v>22</v>
      </c>
      <c r="O469" s="5" t="s">
        <v>22</v>
      </c>
      <c r="P469" s="5" t="s">
        <v>23</v>
      </c>
      <c r="Q469" s="5"/>
      <c r="R469" s="12" t="s">
        <v>20</v>
      </c>
      <c r="S469" s="1" t="s">
        <v>2975</v>
      </c>
      <c r="U469" s="31" t="s">
        <v>3048</v>
      </c>
    </row>
    <row r="470" spans="1:21" s="19" customFormat="1" ht="14.25" hidden="1">
      <c r="A470" s="34">
        <v>359</v>
      </c>
      <c r="B470" s="34" t="s">
        <v>3451</v>
      </c>
      <c r="C470" s="34" t="s">
        <v>3452</v>
      </c>
      <c r="D470" s="34" t="s">
        <v>3453</v>
      </c>
      <c r="E470" s="34">
        <v>36</v>
      </c>
      <c r="F470" s="34" t="s">
        <v>27</v>
      </c>
      <c r="G470" s="34" t="s">
        <v>27</v>
      </c>
      <c r="H470" s="34" t="s">
        <v>3454</v>
      </c>
      <c r="I470" s="34">
        <v>2024</v>
      </c>
      <c r="J470" s="34" t="s">
        <v>3455</v>
      </c>
      <c r="K470" s="34" t="s">
        <v>2946</v>
      </c>
      <c r="L470" s="34" t="s">
        <v>20</v>
      </c>
      <c r="M470" s="34"/>
      <c r="N470" s="34" t="s">
        <v>27</v>
      </c>
      <c r="O470" s="34"/>
      <c r="P470" s="34"/>
      <c r="Q470" s="34"/>
      <c r="R470" s="34"/>
      <c r="S470" s="34"/>
      <c r="T470" s="34"/>
      <c r="U470" s="34"/>
    </row>
    <row r="471" spans="1:21" ht="14.25" hidden="1" customHeight="1">
      <c r="A471" s="1">
        <v>571</v>
      </c>
      <c r="B471" s="5" t="s">
        <v>2850</v>
      </c>
      <c r="C471" s="5" t="s">
        <v>2851</v>
      </c>
      <c r="D471" s="5" t="s">
        <v>15</v>
      </c>
      <c r="E471" s="5">
        <v>27</v>
      </c>
      <c r="F471" s="5" t="s">
        <v>2852</v>
      </c>
      <c r="G471" s="5" t="s">
        <v>2853</v>
      </c>
      <c r="H471" s="5" t="s">
        <v>2854</v>
      </c>
      <c r="I471" s="5">
        <v>2017</v>
      </c>
      <c r="J471" s="5" t="s">
        <v>2855</v>
      </c>
      <c r="K471" s="3" t="s">
        <v>3048</v>
      </c>
      <c r="L471" s="5" t="s">
        <v>20</v>
      </c>
      <c r="M471" s="5" t="s">
        <v>21</v>
      </c>
      <c r="N471" s="5" t="s">
        <v>20</v>
      </c>
      <c r="O471" s="5" t="s">
        <v>36</v>
      </c>
      <c r="P471" s="5" t="s">
        <v>36</v>
      </c>
      <c r="Q471" s="5"/>
      <c r="U471" s="1"/>
    </row>
    <row r="472" spans="1:21" ht="14.25" customHeight="1">
      <c r="A472" s="1">
        <v>415</v>
      </c>
      <c r="B472" s="5" t="s">
        <v>2142</v>
      </c>
      <c r="C472" s="5" t="s">
        <v>2143</v>
      </c>
      <c r="D472" s="5" t="s">
        <v>2144</v>
      </c>
      <c r="E472" s="5">
        <v>33</v>
      </c>
      <c r="F472" s="5" t="s">
        <v>2145</v>
      </c>
      <c r="G472" s="5" t="s">
        <v>1402</v>
      </c>
      <c r="H472" s="5" t="s">
        <v>27</v>
      </c>
      <c r="I472" s="5">
        <v>2008</v>
      </c>
      <c r="J472" s="5" t="s">
        <v>2146</v>
      </c>
      <c r="K472" s="3" t="s">
        <v>3048</v>
      </c>
      <c r="L472" s="5" t="s">
        <v>22</v>
      </c>
      <c r="M472" s="5"/>
      <c r="N472" s="5" t="s">
        <v>22</v>
      </c>
      <c r="O472" s="5" t="s">
        <v>22</v>
      </c>
      <c r="P472" s="5" t="s">
        <v>23</v>
      </c>
      <c r="Q472" s="5"/>
      <c r="R472" s="12" t="s">
        <v>20</v>
      </c>
      <c r="S472" s="1" t="s">
        <v>3185</v>
      </c>
      <c r="T472" s="1" t="s">
        <v>3186</v>
      </c>
      <c r="U472" s="31" t="s">
        <v>3298</v>
      </c>
    </row>
    <row r="473" spans="1:21" ht="14.25" hidden="1" customHeight="1">
      <c r="A473" s="1">
        <v>567</v>
      </c>
      <c r="B473" s="5" t="s">
        <v>2829</v>
      </c>
      <c r="C473" s="5" t="s">
        <v>2830</v>
      </c>
      <c r="D473" s="5" t="s">
        <v>2241</v>
      </c>
      <c r="E473" s="5">
        <v>29</v>
      </c>
      <c r="F473" s="5" t="s">
        <v>2707</v>
      </c>
      <c r="G473" s="5" t="s">
        <v>777</v>
      </c>
      <c r="H473" s="5" t="s">
        <v>2831</v>
      </c>
      <c r="I473" s="5">
        <v>2018</v>
      </c>
      <c r="J473" s="5" t="s">
        <v>2832</v>
      </c>
      <c r="K473" s="3" t="s">
        <v>3048</v>
      </c>
      <c r="L473" s="5" t="s">
        <v>20</v>
      </c>
      <c r="M473" s="5" t="s">
        <v>21</v>
      </c>
      <c r="N473" s="5" t="s">
        <v>20</v>
      </c>
      <c r="O473" s="5" t="s">
        <v>36</v>
      </c>
      <c r="P473" s="5" t="s">
        <v>36</v>
      </c>
      <c r="Q473" s="5"/>
      <c r="U473" s="1"/>
    </row>
    <row r="474" spans="1:21" s="19" customFormat="1" ht="14.25" hidden="1">
      <c r="A474" s="34">
        <v>354</v>
      </c>
      <c r="B474" s="34" t="s">
        <v>3456</v>
      </c>
      <c r="C474" s="34" t="s">
        <v>3457</v>
      </c>
      <c r="D474" s="34" t="s">
        <v>3458</v>
      </c>
      <c r="E474" s="34">
        <v>31</v>
      </c>
      <c r="F474" s="34">
        <v>364</v>
      </c>
      <c r="G474" s="34">
        <v>370</v>
      </c>
      <c r="H474" s="34" t="s">
        <v>27</v>
      </c>
      <c r="I474" s="34">
        <v>2006</v>
      </c>
      <c r="J474" s="34" t="s">
        <v>3459</v>
      </c>
      <c r="K474" s="34" t="s">
        <v>2946</v>
      </c>
      <c r="L474" s="34" t="s">
        <v>20</v>
      </c>
      <c r="M474" s="34"/>
      <c r="N474" s="34" t="s">
        <v>27</v>
      </c>
      <c r="O474" s="34"/>
      <c r="P474" s="34"/>
      <c r="Q474" s="34"/>
      <c r="R474" s="34"/>
      <c r="S474" s="34"/>
      <c r="T474" s="34"/>
      <c r="U474" s="34"/>
    </row>
    <row r="475" spans="1:21" ht="14.25" hidden="1" customHeight="1">
      <c r="A475" s="1">
        <v>73</v>
      </c>
      <c r="B475" s="5" t="s">
        <v>447</v>
      </c>
      <c r="C475" s="5" t="s">
        <v>448</v>
      </c>
      <c r="D475" s="5" t="s">
        <v>27</v>
      </c>
      <c r="E475" s="5"/>
      <c r="F475" s="5" t="s">
        <v>27</v>
      </c>
      <c r="G475" s="5" t="s">
        <v>27</v>
      </c>
      <c r="H475" s="5" t="s">
        <v>27</v>
      </c>
      <c r="I475" s="5">
        <v>2016</v>
      </c>
      <c r="J475" s="5" t="s">
        <v>27</v>
      </c>
      <c r="K475" s="3" t="s">
        <v>3048</v>
      </c>
      <c r="L475" s="5" t="s">
        <v>268</v>
      </c>
      <c r="M475" s="5" t="s">
        <v>449</v>
      </c>
      <c r="N475" s="5" t="s">
        <v>20</v>
      </c>
      <c r="O475" s="5" t="s">
        <v>36</v>
      </c>
      <c r="P475" s="5" t="s">
        <v>449</v>
      </c>
      <c r="Q475" s="5" t="s">
        <v>1224</v>
      </c>
      <c r="U475" s="1"/>
    </row>
    <row r="476" spans="1:21" ht="14.25" customHeight="1">
      <c r="A476" s="1">
        <v>316</v>
      </c>
      <c r="B476" s="3" t="s">
        <v>1692</v>
      </c>
      <c r="C476" s="3" t="s">
        <v>1693</v>
      </c>
      <c r="D476" s="3" t="s">
        <v>852</v>
      </c>
      <c r="E476" s="3">
        <v>9</v>
      </c>
      <c r="F476" s="3" t="s">
        <v>27</v>
      </c>
      <c r="G476" s="3" t="s">
        <v>27</v>
      </c>
      <c r="H476" s="3" t="s">
        <v>1694</v>
      </c>
      <c r="I476" s="3">
        <v>2018</v>
      </c>
      <c r="J476" s="3" t="s">
        <v>1695</v>
      </c>
      <c r="K476" s="3" t="s">
        <v>3048</v>
      </c>
      <c r="L476" s="3" t="s">
        <v>22</v>
      </c>
      <c r="M476" s="3"/>
      <c r="N476" s="3" t="s">
        <v>22</v>
      </c>
      <c r="O476" s="3" t="s">
        <v>22</v>
      </c>
      <c r="P476" s="3" t="s">
        <v>23</v>
      </c>
      <c r="Q476" s="3"/>
      <c r="R476" s="12" t="s">
        <v>20</v>
      </c>
      <c r="S476" s="1" t="s">
        <v>2975</v>
      </c>
      <c r="U476" s="31" t="s">
        <v>3025</v>
      </c>
    </row>
    <row r="477" spans="1:21" ht="14.25" customHeight="1">
      <c r="A477" s="1">
        <v>332</v>
      </c>
      <c r="B477" s="3" t="s">
        <v>1754</v>
      </c>
      <c r="C477" s="3" t="s">
        <v>1755</v>
      </c>
      <c r="D477" s="3" t="s">
        <v>1756</v>
      </c>
      <c r="E477" s="3">
        <v>18</v>
      </c>
      <c r="F477" s="3" t="s">
        <v>155</v>
      </c>
      <c r="G477" s="3" t="s">
        <v>804</v>
      </c>
      <c r="H477" s="3" t="s">
        <v>27</v>
      </c>
      <c r="I477" s="3">
        <v>2009</v>
      </c>
      <c r="J477" s="3" t="s">
        <v>1757</v>
      </c>
      <c r="K477" s="3" t="s">
        <v>3048</v>
      </c>
      <c r="L477" s="3" t="s">
        <v>22</v>
      </c>
      <c r="M477" s="3"/>
      <c r="N477" s="3" t="s">
        <v>22</v>
      </c>
      <c r="O477" s="3" t="s">
        <v>22</v>
      </c>
      <c r="P477" s="3" t="s">
        <v>23</v>
      </c>
      <c r="Q477" s="3"/>
      <c r="R477" s="12" t="s">
        <v>20</v>
      </c>
      <c r="S477" s="1" t="s">
        <v>3004</v>
      </c>
      <c r="U477" s="31" t="s">
        <v>2910</v>
      </c>
    </row>
    <row r="478" spans="1:21" ht="14.25" customHeight="1">
      <c r="A478" s="1">
        <v>520</v>
      </c>
      <c r="B478" s="3" t="s">
        <v>2630</v>
      </c>
      <c r="C478" s="3" t="s">
        <v>2631</v>
      </c>
      <c r="D478" s="3" t="s">
        <v>53</v>
      </c>
      <c r="E478" s="3">
        <v>43</v>
      </c>
      <c r="F478" s="3" t="s">
        <v>27</v>
      </c>
      <c r="G478" s="3" t="s">
        <v>27</v>
      </c>
      <c r="H478" s="3" t="s">
        <v>2632</v>
      </c>
      <c r="I478" s="3">
        <v>2020</v>
      </c>
      <c r="J478" s="3" t="s">
        <v>2633</v>
      </c>
      <c r="K478" s="3" t="s">
        <v>3048</v>
      </c>
      <c r="L478" s="3" t="s">
        <v>22</v>
      </c>
      <c r="M478" s="3"/>
      <c r="N478" s="3" t="s">
        <v>22</v>
      </c>
      <c r="O478" s="3" t="s">
        <v>22</v>
      </c>
      <c r="P478" s="3" t="s">
        <v>23</v>
      </c>
      <c r="Q478" s="3"/>
      <c r="R478" s="22" t="s">
        <v>22</v>
      </c>
      <c r="U478" s="31" t="s">
        <v>3025</v>
      </c>
    </row>
    <row r="479" spans="1:21" ht="14.25" customHeight="1">
      <c r="A479" s="1">
        <v>294</v>
      </c>
      <c r="B479" s="3" t="s">
        <v>1584</v>
      </c>
      <c r="C479" s="3" t="s">
        <v>1585</v>
      </c>
      <c r="D479" s="3" t="s">
        <v>102</v>
      </c>
      <c r="E479" s="3">
        <v>377</v>
      </c>
      <c r="F479" s="3" t="s">
        <v>1586</v>
      </c>
      <c r="G479" s="3" t="s">
        <v>1587</v>
      </c>
      <c r="H479" s="3" t="s">
        <v>1588</v>
      </c>
      <c r="I479" s="3">
        <v>2016</v>
      </c>
      <c r="J479" s="3" t="s">
        <v>1589</v>
      </c>
      <c r="K479" s="3" t="s">
        <v>3048</v>
      </c>
      <c r="L479" s="3" t="s">
        <v>22</v>
      </c>
      <c r="M479" s="3"/>
      <c r="N479" s="3" t="s">
        <v>22</v>
      </c>
      <c r="O479" s="3" t="s">
        <v>22</v>
      </c>
      <c r="P479" s="3" t="s">
        <v>23</v>
      </c>
      <c r="Q479" s="3"/>
      <c r="R479" s="12" t="s">
        <v>22</v>
      </c>
      <c r="U479" s="31" t="s">
        <v>3025</v>
      </c>
    </row>
    <row r="480" spans="1:21" ht="14.25" hidden="1" customHeight="1">
      <c r="A480" s="1">
        <v>349</v>
      </c>
      <c r="B480" s="5" t="s">
        <v>1836</v>
      </c>
      <c r="C480" s="5" t="s">
        <v>1837</v>
      </c>
      <c r="D480" s="5" t="s">
        <v>1188</v>
      </c>
      <c r="E480" s="5">
        <v>32</v>
      </c>
      <c r="F480" s="5" t="s">
        <v>1838</v>
      </c>
      <c r="G480" s="5" t="s">
        <v>1839</v>
      </c>
      <c r="H480" s="5" t="s">
        <v>1840</v>
      </c>
      <c r="I480" s="5">
        <v>1984</v>
      </c>
      <c r="J480" s="5" t="s">
        <v>1841</v>
      </c>
      <c r="K480" s="3" t="s">
        <v>3048</v>
      </c>
      <c r="L480" s="5" t="s">
        <v>20</v>
      </c>
      <c r="M480" s="5" t="s">
        <v>21</v>
      </c>
      <c r="N480" s="5" t="s">
        <v>20</v>
      </c>
      <c r="O480" s="5" t="s">
        <v>36</v>
      </c>
      <c r="P480" s="5" t="s">
        <v>36</v>
      </c>
      <c r="Q480" s="5"/>
      <c r="U480" s="1"/>
    </row>
    <row r="481" spans="1:21" s="19" customFormat="1" ht="14.25">
      <c r="A481" s="34">
        <v>249</v>
      </c>
      <c r="B481" s="34" t="s">
        <v>3460</v>
      </c>
      <c r="C481" s="34" t="s">
        <v>3461</v>
      </c>
      <c r="D481" s="34" t="s">
        <v>27</v>
      </c>
      <c r="E481" s="34" t="s">
        <v>27</v>
      </c>
      <c r="F481" s="34" t="s">
        <v>27</v>
      </c>
      <c r="G481" s="34" t="s">
        <v>27</v>
      </c>
      <c r="H481" s="34" t="s">
        <v>27</v>
      </c>
      <c r="I481" s="34">
        <v>2024</v>
      </c>
      <c r="J481" s="34" t="s">
        <v>27</v>
      </c>
      <c r="K481" s="34" t="s">
        <v>2946</v>
      </c>
      <c r="L481" s="34" t="s">
        <v>22</v>
      </c>
      <c r="M481" s="34"/>
      <c r="N481" s="34" t="s">
        <v>27</v>
      </c>
      <c r="O481" s="34" t="s">
        <v>22</v>
      </c>
      <c r="P481" s="34" t="s">
        <v>1256</v>
      </c>
      <c r="Q481" s="34"/>
      <c r="R481" s="34"/>
      <c r="S481" s="34"/>
      <c r="T481" s="34"/>
      <c r="U481" s="34"/>
    </row>
    <row r="482" spans="1:21" ht="14.25" hidden="1" customHeight="1">
      <c r="A482" s="1">
        <v>90</v>
      </c>
      <c r="B482" s="3" t="s">
        <v>542</v>
      </c>
      <c r="C482" s="3" t="s">
        <v>543</v>
      </c>
      <c r="D482" s="3" t="s">
        <v>544</v>
      </c>
      <c r="E482" s="3">
        <v>56</v>
      </c>
      <c r="F482" s="3" t="s">
        <v>545</v>
      </c>
      <c r="G482" s="3" t="s">
        <v>546</v>
      </c>
      <c r="H482" s="3" t="s">
        <v>547</v>
      </c>
      <c r="I482" s="3">
        <v>2015</v>
      </c>
      <c r="J482" s="3" t="s">
        <v>548</v>
      </c>
      <c r="K482" s="3" t="s">
        <v>3048</v>
      </c>
      <c r="L482" s="3" t="s">
        <v>20</v>
      </c>
      <c r="M482" s="3" t="s">
        <v>21</v>
      </c>
      <c r="N482" s="3" t="s">
        <v>20</v>
      </c>
      <c r="O482" s="3" t="s">
        <v>36</v>
      </c>
      <c r="P482" s="3" t="s">
        <v>36</v>
      </c>
      <c r="Q482" s="3"/>
      <c r="U482" s="1"/>
    </row>
    <row r="483" spans="1:21" ht="14.25" hidden="1" customHeight="1">
      <c r="A483" s="1">
        <v>145</v>
      </c>
      <c r="B483" s="5" t="s">
        <v>841</v>
      </c>
      <c r="C483" s="5" t="s">
        <v>842</v>
      </c>
      <c r="D483" s="5" t="s">
        <v>843</v>
      </c>
      <c r="E483" s="5">
        <v>11</v>
      </c>
      <c r="F483" s="5" t="s">
        <v>27</v>
      </c>
      <c r="G483" s="5" t="s">
        <v>27</v>
      </c>
      <c r="H483" s="5" t="s">
        <v>844</v>
      </c>
      <c r="I483" s="5">
        <v>2020</v>
      </c>
      <c r="J483" s="5" t="s">
        <v>27</v>
      </c>
      <c r="K483" s="3" t="s">
        <v>3048</v>
      </c>
      <c r="L483" s="5" t="s">
        <v>20</v>
      </c>
      <c r="M483" s="5" t="s">
        <v>21</v>
      </c>
      <c r="N483" s="5" t="s">
        <v>20</v>
      </c>
      <c r="O483" s="5" t="s">
        <v>36</v>
      </c>
      <c r="P483" s="5" t="s">
        <v>36</v>
      </c>
      <c r="Q483" s="5"/>
      <c r="U483" s="1"/>
    </row>
    <row r="484" spans="1:21" ht="14.25" hidden="1" customHeight="1">
      <c r="A484" s="1">
        <v>83</v>
      </c>
      <c r="B484" s="5" t="s">
        <v>506</v>
      </c>
      <c r="C484" s="5" t="s">
        <v>507</v>
      </c>
      <c r="D484" s="5" t="s">
        <v>102</v>
      </c>
      <c r="E484" s="5">
        <v>490</v>
      </c>
      <c r="F484" s="5" t="s">
        <v>27</v>
      </c>
      <c r="G484" s="5" t="s">
        <v>27</v>
      </c>
      <c r="H484" s="5" t="s">
        <v>508</v>
      </c>
      <c r="I484" s="5">
        <v>2021</v>
      </c>
      <c r="J484" s="5" t="s">
        <v>509</v>
      </c>
      <c r="K484" s="3" t="s">
        <v>3048</v>
      </c>
      <c r="L484" s="5" t="s">
        <v>20</v>
      </c>
      <c r="M484" s="5" t="s">
        <v>21</v>
      </c>
      <c r="N484" s="5" t="s">
        <v>20</v>
      </c>
      <c r="O484" s="5" t="s">
        <v>36</v>
      </c>
      <c r="P484" s="5" t="s">
        <v>36</v>
      </c>
      <c r="Q484" s="5"/>
      <c r="U484" s="1"/>
    </row>
    <row r="485" spans="1:21" ht="14.25" customHeight="1">
      <c r="A485" s="1">
        <v>453</v>
      </c>
      <c r="B485" s="5" t="s">
        <v>2316</v>
      </c>
      <c r="C485" s="5" t="s">
        <v>2317</v>
      </c>
      <c r="D485" s="5" t="s">
        <v>27</v>
      </c>
      <c r="E485" s="5"/>
      <c r="F485" s="5" t="s">
        <v>27</v>
      </c>
      <c r="G485" s="5" t="s">
        <v>27</v>
      </c>
      <c r="H485" s="5" t="s">
        <v>27</v>
      </c>
      <c r="I485" s="5">
        <v>1997</v>
      </c>
      <c r="J485" s="5" t="s">
        <v>27</v>
      </c>
      <c r="K485" s="3" t="s">
        <v>3048</v>
      </c>
      <c r="L485" s="5" t="s">
        <v>22</v>
      </c>
      <c r="M485" s="5"/>
      <c r="N485" s="5" t="s">
        <v>268</v>
      </c>
      <c r="O485" s="5" t="s">
        <v>36</v>
      </c>
      <c r="P485" s="5" t="s">
        <v>1608</v>
      </c>
      <c r="Q485" s="3" t="s">
        <v>2884</v>
      </c>
      <c r="U485" s="1"/>
    </row>
    <row r="486" spans="1:21" ht="14.25" customHeight="1">
      <c r="A486" s="1">
        <v>213</v>
      </c>
      <c r="B486" s="5" t="s">
        <v>1192</v>
      </c>
      <c r="C486" s="5" t="s">
        <v>1193</v>
      </c>
      <c r="D486" s="5" t="s">
        <v>15</v>
      </c>
      <c r="E486" s="5">
        <v>24</v>
      </c>
      <c r="F486" s="5" t="s">
        <v>1164</v>
      </c>
      <c r="G486" s="5" t="s">
        <v>1194</v>
      </c>
      <c r="H486" s="5" t="s">
        <v>1195</v>
      </c>
      <c r="I486" s="5">
        <v>2014</v>
      </c>
      <c r="J486" s="5" t="s">
        <v>1196</v>
      </c>
      <c r="K486" s="3" t="s">
        <v>3048</v>
      </c>
      <c r="L486" s="5" t="s">
        <v>22</v>
      </c>
      <c r="M486" s="5"/>
      <c r="N486" s="5" t="s">
        <v>22</v>
      </c>
      <c r="O486" s="5" t="s">
        <v>22</v>
      </c>
      <c r="P486" s="5" t="s">
        <v>23</v>
      </c>
      <c r="Q486" s="5"/>
      <c r="R486" s="12" t="s">
        <v>22</v>
      </c>
      <c r="U486" s="31" t="s">
        <v>2946</v>
      </c>
    </row>
    <row r="487" spans="1:21" ht="14.25" customHeight="1">
      <c r="A487" s="1">
        <v>295</v>
      </c>
      <c r="B487" s="5" t="s">
        <v>1590</v>
      </c>
      <c r="C487" s="5" t="s">
        <v>1591</v>
      </c>
      <c r="D487" s="5" t="s">
        <v>102</v>
      </c>
      <c r="E487" s="5">
        <v>260</v>
      </c>
      <c r="F487" s="5" t="s">
        <v>1592</v>
      </c>
      <c r="G487" s="5" t="s">
        <v>1593</v>
      </c>
      <c r="H487" s="5" t="s">
        <v>1594</v>
      </c>
      <c r="I487" s="5">
        <v>2010</v>
      </c>
      <c r="J487" s="5" t="s">
        <v>1595</v>
      </c>
      <c r="K487" s="3" t="s">
        <v>3048</v>
      </c>
      <c r="L487" s="5" t="s">
        <v>22</v>
      </c>
      <c r="M487" s="5"/>
      <c r="N487" s="5" t="s">
        <v>22</v>
      </c>
      <c r="O487" s="5" t="s">
        <v>22</v>
      </c>
      <c r="P487" s="5" t="s">
        <v>23</v>
      </c>
      <c r="Q487" s="5"/>
      <c r="R487" s="12" t="s">
        <v>22</v>
      </c>
      <c r="U487" s="31" t="s">
        <v>2946</v>
      </c>
    </row>
    <row r="488" spans="1:21" ht="14.25" customHeight="1">
      <c r="A488" s="1">
        <v>188</v>
      </c>
      <c r="B488" s="3" t="s">
        <v>1071</v>
      </c>
      <c r="C488" s="3" t="s">
        <v>1072</v>
      </c>
      <c r="D488" s="3" t="s">
        <v>1073</v>
      </c>
      <c r="E488" s="3">
        <v>33</v>
      </c>
      <c r="F488" s="3" t="s">
        <v>1074</v>
      </c>
      <c r="G488" s="3" t="s">
        <v>1075</v>
      </c>
      <c r="H488" s="3" t="s">
        <v>1076</v>
      </c>
      <c r="I488" s="3">
        <v>2008</v>
      </c>
      <c r="J488" s="3" t="s">
        <v>1077</v>
      </c>
      <c r="K488" s="3" t="s">
        <v>3048</v>
      </c>
      <c r="L488" s="3" t="s">
        <v>22</v>
      </c>
      <c r="M488" s="3"/>
      <c r="N488" s="3" t="s">
        <v>22</v>
      </c>
      <c r="O488" s="3" t="s">
        <v>22</v>
      </c>
      <c r="P488" s="3" t="s">
        <v>23</v>
      </c>
      <c r="Q488" s="3"/>
      <c r="R488" s="22" t="s">
        <v>22</v>
      </c>
      <c r="U488" s="31" t="s">
        <v>2910</v>
      </c>
    </row>
    <row r="489" spans="1:21" ht="14.25" customHeight="1">
      <c r="A489" s="1">
        <v>268</v>
      </c>
      <c r="B489" s="3" t="s">
        <v>1466</v>
      </c>
      <c r="C489" s="3" t="s">
        <v>1467</v>
      </c>
      <c r="D489" s="3" t="s">
        <v>1468</v>
      </c>
      <c r="E489" s="3">
        <v>74</v>
      </c>
      <c r="F489" s="3" t="s">
        <v>1469</v>
      </c>
      <c r="G489" s="3" t="s">
        <v>959</v>
      </c>
      <c r="H489" s="3" t="s">
        <v>1470</v>
      </c>
      <c r="I489" s="3">
        <v>2011</v>
      </c>
      <c r="J489" s="3" t="s">
        <v>1471</v>
      </c>
      <c r="K489" s="3" t="s">
        <v>3048</v>
      </c>
      <c r="L489" s="3" t="s">
        <v>22</v>
      </c>
      <c r="M489" s="3"/>
      <c r="N489" s="3" t="s">
        <v>22</v>
      </c>
      <c r="O489" s="3" t="s">
        <v>22</v>
      </c>
      <c r="P489" s="3" t="s">
        <v>23</v>
      </c>
      <c r="Q489" s="3"/>
      <c r="R489" s="12" t="s">
        <v>20</v>
      </c>
      <c r="S489" s="1" t="s">
        <v>2975</v>
      </c>
      <c r="T489" s="1" t="s">
        <v>3014</v>
      </c>
      <c r="U489" s="31" t="s">
        <v>2910</v>
      </c>
    </row>
    <row r="490" spans="1:21" ht="14.25" hidden="1" customHeight="1">
      <c r="A490" s="1">
        <v>306</v>
      </c>
      <c r="B490" s="3" t="s">
        <v>1646</v>
      </c>
      <c r="C490" s="3" t="s">
        <v>1647</v>
      </c>
      <c r="D490" s="3" t="s">
        <v>1648</v>
      </c>
      <c r="E490" s="3"/>
      <c r="F490" s="3" t="s">
        <v>284</v>
      </c>
      <c r="G490" s="3" t="s">
        <v>910</v>
      </c>
      <c r="H490" s="3" t="s">
        <v>27</v>
      </c>
      <c r="I490" s="3">
        <v>2003</v>
      </c>
      <c r="J490" s="3" t="s">
        <v>27</v>
      </c>
      <c r="K490" s="3" t="s">
        <v>3048</v>
      </c>
      <c r="L490" s="3" t="s">
        <v>268</v>
      </c>
      <c r="M490" s="3" t="s">
        <v>1649</v>
      </c>
      <c r="N490" s="3" t="s">
        <v>268</v>
      </c>
      <c r="O490" s="3" t="s">
        <v>36</v>
      </c>
      <c r="P490" s="3" t="s">
        <v>1649</v>
      </c>
      <c r="Q490" s="3"/>
      <c r="U490" s="1"/>
    </row>
    <row r="491" spans="1:21" ht="14.25" hidden="1" customHeight="1">
      <c r="A491" s="1">
        <v>136</v>
      </c>
      <c r="B491" s="3" t="s">
        <v>797</v>
      </c>
      <c r="C491" s="3" t="s">
        <v>798</v>
      </c>
      <c r="D491" s="3" t="s">
        <v>520</v>
      </c>
      <c r="E491" s="3">
        <v>18</v>
      </c>
      <c r="F491" s="3" t="s">
        <v>799</v>
      </c>
      <c r="G491" s="3" t="s">
        <v>800</v>
      </c>
      <c r="H491" s="3" t="s">
        <v>27</v>
      </c>
      <c r="I491" s="3">
        <v>2009</v>
      </c>
      <c r="J491" s="3" t="s">
        <v>801</v>
      </c>
      <c r="K491" s="3" t="s">
        <v>3048</v>
      </c>
      <c r="L491" s="3" t="s">
        <v>20</v>
      </c>
      <c r="M491" s="3" t="s">
        <v>760</v>
      </c>
      <c r="N491" s="3" t="s">
        <v>268</v>
      </c>
      <c r="O491" s="3" t="s">
        <v>36</v>
      </c>
      <c r="P491" s="3" t="s">
        <v>760</v>
      </c>
      <c r="Q491" s="3"/>
      <c r="U491" s="1"/>
    </row>
    <row r="492" spans="1:21" ht="14.25" customHeight="1">
      <c r="A492" s="1">
        <v>46</v>
      </c>
      <c r="B492" s="3" t="s">
        <v>287</v>
      </c>
      <c r="C492" s="3" t="s">
        <v>288</v>
      </c>
      <c r="D492" s="3" t="s">
        <v>193</v>
      </c>
      <c r="E492" s="3">
        <v>59</v>
      </c>
      <c r="F492" s="3" t="s">
        <v>289</v>
      </c>
      <c r="G492" s="3" t="s">
        <v>290</v>
      </c>
      <c r="H492" s="3" t="s">
        <v>291</v>
      </c>
      <c r="I492" s="3">
        <v>2022</v>
      </c>
      <c r="J492" s="3" t="s">
        <v>292</v>
      </c>
      <c r="K492" s="3" t="s">
        <v>3048</v>
      </c>
      <c r="L492" s="3" t="s">
        <v>22</v>
      </c>
      <c r="M492" s="3"/>
      <c r="N492" s="3" t="s">
        <v>22</v>
      </c>
      <c r="O492" s="3" t="s">
        <v>22</v>
      </c>
      <c r="P492" s="3" t="s">
        <v>23</v>
      </c>
      <c r="Q492" s="3"/>
      <c r="R492" s="12" t="s">
        <v>20</v>
      </c>
      <c r="S492" s="1" t="s">
        <v>2975</v>
      </c>
      <c r="T492" s="1" t="s">
        <v>3060</v>
      </c>
      <c r="U492" s="31" t="s">
        <v>3048</v>
      </c>
    </row>
    <row r="493" spans="1:21" ht="14.25" customHeight="1">
      <c r="A493" s="1">
        <v>221</v>
      </c>
      <c r="B493" s="5" t="s">
        <v>1235</v>
      </c>
      <c r="C493" s="5" t="s">
        <v>1236</v>
      </c>
      <c r="D493" s="5" t="s">
        <v>64</v>
      </c>
      <c r="E493" s="5">
        <v>229</v>
      </c>
      <c r="F493" s="5" t="s">
        <v>1237</v>
      </c>
      <c r="G493" s="5" t="s">
        <v>1238</v>
      </c>
      <c r="H493" s="5" t="s">
        <v>1239</v>
      </c>
      <c r="I493" s="5">
        <v>2021</v>
      </c>
      <c r="J493" s="5" t="s">
        <v>1240</v>
      </c>
      <c r="K493" s="3" t="s">
        <v>3048</v>
      </c>
      <c r="L493" s="5" t="s">
        <v>22</v>
      </c>
      <c r="M493" s="5"/>
      <c r="N493" s="5" t="s">
        <v>22</v>
      </c>
      <c r="O493" s="5" t="s">
        <v>22</v>
      </c>
      <c r="P493" s="5" t="s">
        <v>23</v>
      </c>
      <c r="Q493" s="5"/>
      <c r="R493" s="12" t="s">
        <v>22</v>
      </c>
      <c r="U493" s="31" t="s">
        <v>3048</v>
      </c>
    </row>
    <row r="494" spans="1:21" s="19" customFormat="1" ht="14.25" hidden="1">
      <c r="A494" s="34">
        <v>336</v>
      </c>
      <c r="B494" s="34" t="s">
        <v>3462</v>
      </c>
      <c r="C494" s="34" t="s">
        <v>3463</v>
      </c>
      <c r="D494" s="34" t="s">
        <v>3464</v>
      </c>
      <c r="E494" s="34">
        <v>35</v>
      </c>
      <c r="F494" s="34">
        <v>72</v>
      </c>
      <c r="G494" s="34">
        <v>72</v>
      </c>
      <c r="H494" s="34" t="s">
        <v>27</v>
      </c>
      <c r="I494" s="34">
        <v>2009</v>
      </c>
      <c r="J494" s="34" t="s">
        <v>27</v>
      </c>
      <c r="K494" s="34" t="s">
        <v>2946</v>
      </c>
      <c r="L494" s="34" t="s">
        <v>20</v>
      </c>
      <c r="M494" s="34"/>
      <c r="N494" s="34" t="s">
        <v>27</v>
      </c>
      <c r="O494" s="34"/>
      <c r="P494" s="34"/>
      <c r="Q494" s="34"/>
      <c r="R494" s="34"/>
      <c r="S494" s="34"/>
      <c r="T494" s="34"/>
      <c r="U494" s="34"/>
    </row>
    <row r="495" spans="1:21" ht="14.25" hidden="1" customHeight="1">
      <c r="A495" s="1">
        <v>88</v>
      </c>
      <c r="B495" s="3" t="s">
        <v>528</v>
      </c>
      <c r="C495" s="3" t="s">
        <v>529</v>
      </c>
      <c r="D495" s="3" t="s">
        <v>530</v>
      </c>
      <c r="E495" s="3">
        <v>60</v>
      </c>
      <c r="F495" s="3" t="s">
        <v>531</v>
      </c>
      <c r="G495" s="3" t="s">
        <v>532</v>
      </c>
      <c r="H495" s="3" t="s">
        <v>533</v>
      </c>
      <c r="I495" s="3">
        <v>2022</v>
      </c>
      <c r="J495" s="3" t="s">
        <v>534</v>
      </c>
      <c r="K495" s="3" t="s">
        <v>3048</v>
      </c>
      <c r="L495" s="3" t="s">
        <v>20</v>
      </c>
      <c r="M495" s="3" t="s">
        <v>21</v>
      </c>
      <c r="N495" s="3" t="s">
        <v>20</v>
      </c>
      <c r="O495" s="3" t="s">
        <v>36</v>
      </c>
      <c r="P495" s="3" t="s">
        <v>36</v>
      </c>
      <c r="Q495" s="3"/>
      <c r="U495" s="1"/>
    </row>
    <row r="496" spans="1:21" ht="14.25" hidden="1" customHeight="1">
      <c r="A496" s="1">
        <v>49</v>
      </c>
      <c r="B496" s="5" t="s">
        <v>306</v>
      </c>
      <c r="C496" s="5" t="s">
        <v>307</v>
      </c>
      <c r="D496" s="5" t="s">
        <v>308</v>
      </c>
      <c r="E496" s="5">
        <v>71</v>
      </c>
      <c r="F496" s="5" t="s">
        <v>309</v>
      </c>
      <c r="G496" s="5" t="s">
        <v>310</v>
      </c>
      <c r="H496" s="5" t="s">
        <v>311</v>
      </c>
      <c r="I496" s="5">
        <v>2018</v>
      </c>
      <c r="J496" s="5" t="s">
        <v>312</v>
      </c>
      <c r="K496" s="3" t="s">
        <v>3048</v>
      </c>
      <c r="L496" s="5" t="s">
        <v>20</v>
      </c>
      <c r="M496" s="5" t="s">
        <v>21</v>
      </c>
      <c r="N496" s="5" t="s">
        <v>20</v>
      </c>
      <c r="O496" s="5" t="s">
        <v>36</v>
      </c>
      <c r="P496" s="5" t="s">
        <v>36</v>
      </c>
      <c r="Q496" s="5"/>
      <c r="U496" s="1"/>
    </row>
    <row r="497" spans="1:21" s="19" customFormat="1" ht="14.25">
      <c r="A497" s="34">
        <v>193</v>
      </c>
      <c r="B497" s="34" t="s">
        <v>3465</v>
      </c>
      <c r="C497" s="34" t="s">
        <v>3466</v>
      </c>
      <c r="D497" s="34" t="s">
        <v>27</v>
      </c>
      <c r="E497" s="34" t="s">
        <v>27</v>
      </c>
      <c r="F497" s="34" t="s">
        <v>27</v>
      </c>
      <c r="G497" s="34" t="s">
        <v>27</v>
      </c>
      <c r="H497" s="34" t="s">
        <v>27</v>
      </c>
      <c r="I497" s="34">
        <v>2025</v>
      </c>
      <c r="J497" s="34" t="s">
        <v>27</v>
      </c>
      <c r="K497" s="34" t="s">
        <v>2946</v>
      </c>
      <c r="L497" s="34" t="s">
        <v>22</v>
      </c>
      <c r="M497" s="34"/>
      <c r="N497" s="34" t="s">
        <v>27</v>
      </c>
      <c r="O497" s="34" t="s">
        <v>22</v>
      </c>
      <c r="P497" s="34" t="s">
        <v>1256</v>
      </c>
      <c r="Q497" s="34"/>
      <c r="R497" s="34"/>
      <c r="S497" s="34"/>
      <c r="T497" s="34"/>
      <c r="U497" s="34"/>
    </row>
    <row r="498" spans="1:21" ht="14.25" customHeight="1">
      <c r="A498" s="1">
        <v>32</v>
      </c>
      <c r="B498" s="3" t="s">
        <v>204</v>
      </c>
      <c r="C498" s="3" t="s">
        <v>205</v>
      </c>
      <c r="D498" s="3" t="s">
        <v>206</v>
      </c>
      <c r="E498" s="3"/>
      <c r="F498" s="3" t="s">
        <v>207</v>
      </c>
      <c r="G498" s="3" t="s">
        <v>207</v>
      </c>
      <c r="H498" s="3" t="s">
        <v>27</v>
      </c>
      <c r="I498" s="3">
        <v>2019</v>
      </c>
      <c r="J498" s="3" t="s">
        <v>208</v>
      </c>
      <c r="K498" s="3" t="s">
        <v>3048</v>
      </c>
      <c r="L498" s="3" t="s">
        <v>22</v>
      </c>
      <c r="M498" s="3"/>
      <c r="N498" s="3" t="s">
        <v>20</v>
      </c>
      <c r="O498" s="3" t="s">
        <v>22</v>
      </c>
      <c r="P498" s="3" t="s">
        <v>1256</v>
      </c>
      <c r="Q498" s="3"/>
      <c r="U498" s="1"/>
    </row>
    <row r="499" spans="1:21" ht="14.25" customHeight="1">
      <c r="A499" s="1">
        <v>38</v>
      </c>
      <c r="B499" s="3" t="s">
        <v>242</v>
      </c>
      <c r="C499" s="3" t="s">
        <v>243</v>
      </c>
      <c r="D499" s="3" t="s">
        <v>102</v>
      </c>
      <c r="E499" s="3">
        <v>415</v>
      </c>
      <c r="F499" s="3" t="s">
        <v>244</v>
      </c>
      <c r="G499" s="3" t="s">
        <v>245</v>
      </c>
      <c r="H499" s="3" t="s">
        <v>246</v>
      </c>
      <c r="I499" s="3">
        <v>2018</v>
      </c>
      <c r="J499" s="3" t="s">
        <v>247</v>
      </c>
      <c r="K499" s="3" t="s">
        <v>3048</v>
      </c>
      <c r="L499" s="3" t="s">
        <v>22</v>
      </c>
      <c r="M499" s="3"/>
      <c r="N499" s="3" t="s">
        <v>22</v>
      </c>
      <c r="O499" s="3" t="s">
        <v>22</v>
      </c>
      <c r="P499" s="3" t="s">
        <v>23</v>
      </c>
      <c r="Q499" s="3"/>
      <c r="R499" s="12" t="s">
        <v>22</v>
      </c>
      <c r="U499" s="31" t="s">
        <v>3051</v>
      </c>
    </row>
    <row r="500" spans="1:21" ht="14.25" hidden="1" customHeight="1">
      <c r="A500" s="1">
        <v>273</v>
      </c>
      <c r="B500" s="5" t="s">
        <v>1488</v>
      </c>
      <c r="C500" s="5" t="s">
        <v>1489</v>
      </c>
      <c r="D500" s="5" t="s">
        <v>15</v>
      </c>
      <c r="E500" s="5">
        <v>24</v>
      </c>
      <c r="F500" s="5" t="s">
        <v>1490</v>
      </c>
      <c r="G500" s="5" t="s">
        <v>1491</v>
      </c>
      <c r="H500" s="5" t="s">
        <v>1492</v>
      </c>
      <c r="I500" s="5">
        <v>2014</v>
      </c>
      <c r="J500" s="5" t="s">
        <v>1493</v>
      </c>
      <c r="K500" s="3" t="s">
        <v>3048</v>
      </c>
      <c r="L500" s="5" t="s">
        <v>20</v>
      </c>
      <c r="M500" s="5" t="s">
        <v>21</v>
      </c>
      <c r="N500" s="5" t="s">
        <v>20</v>
      </c>
      <c r="O500" s="5" t="s">
        <v>36</v>
      </c>
      <c r="P500" s="5" t="s">
        <v>36</v>
      </c>
      <c r="Q500" s="5"/>
      <c r="U500" s="1"/>
    </row>
    <row r="501" spans="1:21" ht="14.25" hidden="1" customHeight="1">
      <c r="A501" s="1">
        <v>380</v>
      </c>
      <c r="B501" s="3" t="s">
        <v>1989</v>
      </c>
      <c r="C501" s="3" t="s">
        <v>1990</v>
      </c>
      <c r="D501" s="3" t="s">
        <v>1991</v>
      </c>
      <c r="E501" s="3">
        <v>655</v>
      </c>
      <c r="F501" s="3" t="s">
        <v>211</v>
      </c>
      <c r="G501" s="3" t="s">
        <v>1992</v>
      </c>
      <c r="H501" s="3" t="s">
        <v>1993</v>
      </c>
      <c r="I501" s="3">
        <v>2024</v>
      </c>
      <c r="J501" s="3" t="s">
        <v>1994</v>
      </c>
      <c r="K501" s="3" t="s">
        <v>3048</v>
      </c>
      <c r="L501" s="3" t="s">
        <v>20</v>
      </c>
      <c r="M501" s="3" t="s">
        <v>21</v>
      </c>
      <c r="N501" s="3" t="s">
        <v>20</v>
      </c>
      <c r="O501" s="3" t="s">
        <v>36</v>
      </c>
      <c r="P501" s="3" t="s">
        <v>36</v>
      </c>
      <c r="Q501" s="3"/>
      <c r="U501" s="1"/>
    </row>
    <row r="502" spans="1:21" ht="14.25" hidden="1" customHeight="1">
      <c r="A502" s="1">
        <v>197</v>
      </c>
      <c r="B502" s="5" t="s">
        <v>1116</v>
      </c>
      <c r="C502" s="5" t="s">
        <v>1117</v>
      </c>
      <c r="D502" s="5" t="s">
        <v>102</v>
      </c>
      <c r="E502" s="5">
        <v>503</v>
      </c>
      <c r="F502" s="5" t="s">
        <v>27</v>
      </c>
      <c r="G502" s="5" t="s">
        <v>27</v>
      </c>
      <c r="H502" s="5" t="s">
        <v>1118</v>
      </c>
      <c r="I502" s="5">
        <v>2022</v>
      </c>
      <c r="J502" s="5" t="s">
        <v>1119</v>
      </c>
      <c r="K502" s="3" t="s">
        <v>3048</v>
      </c>
      <c r="L502" s="5" t="s">
        <v>20</v>
      </c>
      <c r="M502" s="5" t="s">
        <v>21</v>
      </c>
      <c r="N502" s="5" t="s">
        <v>20</v>
      </c>
      <c r="O502" s="5" t="s">
        <v>36</v>
      </c>
      <c r="P502" s="5" t="s">
        <v>36</v>
      </c>
      <c r="Q502" s="5"/>
      <c r="U502" s="1"/>
    </row>
    <row r="503" spans="1:21" ht="14.25" hidden="1" customHeight="1">
      <c r="A503" s="1">
        <v>540</v>
      </c>
      <c r="B503" s="3" t="s">
        <v>2714</v>
      </c>
      <c r="C503" s="3" t="s">
        <v>2715</v>
      </c>
      <c r="D503" s="3" t="s">
        <v>2716</v>
      </c>
      <c r="E503" s="3">
        <v>98</v>
      </c>
      <c r="F503" s="3" t="s">
        <v>27</v>
      </c>
      <c r="G503" s="3" t="s">
        <v>27</v>
      </c>
      <c r="H503" s="3" t="s">
        <v>2717</v>
      </c>
      <c r="I503" s="3">
        <v>2019</v>
      </c>
      <c r="J503" s="3" t="s">
        <v>2718</v>
      </c>
      <c r="K503" s="3" t="s">
        <v>3048</v>
      </c>
      <c r="L503" s="3" t="s">
        <v>20</v>
      </c>
      <c r="M503" s="3" t="s">
        <v>21</v>
      </c>
      <c r="N503" s="3" t="s">
        <v>20</v>
      </c>
      <c r="O503" s="3" t="s">
        <v>36</v>
      </c>
      <c r="P503" s="3" t="s">
        <v>36</v>
      </c>
      <c r="Q503" s="3"/>
      <c r="U503" s="1"/>
    </row>
    <row r="504" spans="1:21" ht="14.25" hidden="1" customHeight="1">
      <c r="A504" s="1">
        <v>338</v>
      </c>
      <c r="B504" s="3" t="s">
        <v>1784</v>
      </c>
      <c r="C504" s="3" t="s">
        <v>1785</v>
      </c>
      <c r="D504" s="3" t="s">
        <v>282</v>
      </c>
      <c r="E504" s="3">
        <v>134</v>
      </c>
      <c r="F504" s="3" t="s">
        <v>1786</v>
      </c>
      <c r="G504" s="3" t="s">
        <v>1787</v>
      </c>
      <c r="H504" s="3" t="s">
        <v>1788</v>
      </c>
      <c r="I504" s="3">
        <v>2003</v>
      </c>
      <c r="J504" s="3" t="s">
        <v>1789</v>
      </c>
      <c r="K504" s="3" t="s">
        <v>3048</v>
      </c>
      <c r="L504" s="3" t="s">
        <v>20</v>
      </c>
      <c r="M504" s="3" t="s">
        <v>21</v>
      </c>
      <c r="N504" s="3" t="s">
        <v>20</v>
      </c>
      <c r="O504" s="3" t="s">
        <v>36</v>
      </c>
      <c r="P504" s="3" t="s">
        <v>36</v>
      </c>
      <c r="Q504" s="3"/>
      <c r="U504" s="1"/>
    </row>
    <row r="505" spans="1:21" ht="14.25" hidden="1" customHeight="1">
      <c r="A505" s="1">
        <v>572</v>
      </c>
      <c r="B505" s="3" t="s">
        <v>1784</v>
      </c>
      <c r="C505" s="3" t="s">
        <v>2856</v>
      </c>
      <c r="D505" s="3" t="s">
        <v>2726</v>
      </c>
      <c r="E505" s="3">
        <v>20</v>
      </c>
      <c r="F505" s="3" t="s">
        <v>2857</v>
      </c>
      <c r="G505" s="3" t="s">
        <v>2858</v>
      </c>
      <c r="H505" s="3" t="s">
        <v>2859</v>
      </c>
      <c r="I505" s="3">
        <v>1997</v>
      </c>
      <c r="J505" s="3" t="s">
        <v>2860</v>
      </c>
      <c r="K505" s="3" t="s">
        <v>3048</v>
      </c>
      <c r="L505" s="3" t="s">
        <v>20</v>
      </c>
      <c r="M505" s="3" t="s">
        <v>21</v>
      </c>
      <c r="N505" s="3" t="s">
        <v>20</v>
      </c>
      <c r="O505" s="3" t="s">
        <v>36</v>
      </c>
      <c r="P505" s="3" t="s">
        <v>36</v>
      </c>
      <c r="Q505" s="3"/>
      <c r="U505" s="1"/>
    </row>
    <row r="506" spans="1:21" ht="14.25" customHeight="1">
      <c r="A506" s="1">
        <v>311</v>
      </c>
      <c r="B506" s="5" t="s">
        <v>1672</v>
      </c>
      <c r="C506" s="5" t="s">
        <v>1673</v>
      </c>
      <c r="D506" s="5" t="s">
        <v>173</v>
      </c>
      <c r="E506" s="5">
        <v>12</v>
      </c>
      <c r="F506" s="5" t="s">
        <v>1674</v>
      </c>
      <c r="G506" s="5" t="s">
        <v>1284</v>
      </c>
      <c r="H506" s="5" t="s">
        <v>1675</v>
      </c>
      <c r="I506" s="5">
        <v>1982</v>
      </c>
      <c r="J506" s="5" t="s">
        <v>1676</v>
      </c>
      <c r="K506" s="3" t="s">
        <v>3048</v>
      </c>
      <c r="L506" s="5" t="s">
        <v>22</v>
      </c>
      <c r="M506" s="5"/>
      <c r="N506" s="5" t="s">
        <v>22</v>
      </c>
      <c r="O506" s="5" t="s">
        <v>22</v>
      </c>
      <c r="P506" s="5" t="s">
        <v>23</v>
      </c>
      <c r="Q506" s="5"/>
      <c r="R506" s="12" t="s">
        <v>20</v>
      </c>
      <c r="S506" s="1" t="s">
        <v>2975</v>
      </c>
      <c r="T506" s="1" t="s">
        <v>3014</v>
      </c>
      <c r="U506" s="31" t="s">
        <v>3025</v>
      </c>
    </row>
    <row r="507" spans="1:21" ht="14.25" hidden="1" customHeight="1">
      <c r="A507" s="1">
        <v>244</v>
      </c>
      <c r="B507" s="3" t="s">
        <v>1348</v>
      </c>
      <c r="C507" s="3" t="s">
        <v>1349</v>
      </c>
      <c r="D507" s="3" t="s">
        <v>282</v>
      </c>
      <c r="E507" s="3">
        <v>181</v>
      </c>
      <c r="F507" s="3" t="s">
        <v>1350</v>
      </c>
      <c r="G507" s="3" t="s">
        <v>1351</v>
      </c>
      <c r="H507" s="3" t="s">
        <v>1352</v>
      </c>
      <c r="I507" s="3">
        <v>2016</v>
      </c>
      <c r="J507" s="3" t="s">
        <v>1353</v>
      </c>
      <c r="K507" s="3" t="s">
        <v>3048</v>
      </c>
      <c r="L507" s="3" t="s">
        <v>20</v>
      </c>
      <c r="M507" s="3" t="s">
        <v>21</v>
      </c>
      <c r="N507" s="3" t="s">
        <v>20</v>
      </c>
      <c r="O507" s="3" t="s">
        <v>36</v>
      </c>
      <c r="P507" s="3" t="s">
        <v>36</v>
      </c>
      <c r="Q507" s="3"/>
      <c r="U507" s="1"/>
    </row>
    <row r="508" spans="1:21" ht="14.25" hidden="1" customHeight="1">
      <c r="A508" s="1">
        <v>280</v>
      </c>
      <c r="B508" s="3" t="s">
        <v>1522</v>
      </c>
      <c r="C508" s="3" t="s">
        <v>1523</v>
      </c>
      <c r="D508" s="3" t="s">
        <v>1524</v>
      </c>
      <c r="E508" s="3">
        <v>100</v>
      </c>
      <c r="F508" s="3" t="s">
        <v>66</v>
      </c>
      <c r="G508" s="3" t="s">
        <v>1525</v>
      </c>
      <c r="H508" s="3" t="s">
        <v>1526</v>
      </c>
      <c r="I508" s="3">
        <v>2003</v>
      </c>
      <c r="J508" s="3" t="s">
        <v>1527</v>
      </c>
      <c r="K508" s="3" t="s">
        <v>3048</v>
      </c>
      <c r="L508" s="3" t="s">
        <v>20</v>
      </c>
      <c r="M508" s="3" t="s">
        <v>21</v>
      </c>
      <c r="N508" s="3" t="s">
        <v>20</v>
      </c>
      <c r="O508" s="3" t="s">
        <v>36</v>
      </c>
      <c r="P508" s="3" t="s">
        <v>36</v>
      </c>
      <c r="Q508" s="3"/>
      <c r="U508" s="1"/>
    </row>
    <row r="509" spans="1:21" ht="14.25" customHeight="1">
      <c r="A509" s="1">
        <v>267</v>
      </c>
      <c r="B509" s="5" t="s">
        <v>1460</v>
      </c>
      <c r="C509" s="5" t="s">
        <v>1461</v>
      </c>
      <c r="D509" s="5" t="s">
        <v>64</v>
      </c>
      <c r="E509" s="5">
        <v>224</v>
      </c>
      <c r="F509" s="5" t="s">
        <v>1462</v>
      </c>
      <c r="G509" s="5" t="s">
        <v>1463</v>
      </c>
      <c r="H509" s="5" t="s">
        <v>1464</v>
      </c>
      <c r="I509" s="5">
        <v>2019</v>
      </c>
      <c r="J509" s="5" t="s">
        <v>1465</v>
      </c>
      <c r="K509" s="3" t="s">
        <v>3048</v>
      </c>
      <c r="L509" s="5" t="s">
        <v>22</v>
      </c>
      <c r="M509" s="5"/>
      <c r="N509" s="5" t="s">
        <v>22</v>
      </c>
      <c r="O509" s="5" t="s">
        <v>22</v>
      </c>
      <c r="P509" s="5" t="s">
        <v>23</v>
      </c>
      <c r="Q509" s="5"/>
      <c r="R509" s="12" t="s">
        <v>20</v>
      </c>
      <c r="S509" s="1" t="s">
        <v>3166</v>
      </c>
      <c r="T509" s="1" t="s">
        <v>3167</v>
      </c>
      <c r="U509" s="31" t="s">
        <v>3025</v>
      </c>
    </row>
    <row r="510" spans="1:21" s="19" customFormat="1" ht="14.25" hidden="1">
      <c r="A510" s="34">
        <v>541</v>
      </c>
      <c r="B510" s="34" t="s">
        <v>3467</v>
      </c>
      <c r="C510" s="34" t="s">
        <v>3468</v>
      </c>
      <c r="D510" s="34" t="s">
        <v>27</v>
      </c>
      <c r="E510" s="34" t="s">
        <v>27</v>
      </c>
      <c r="F510" s="34" t="s">
        <v>27</v>
      </c>
      <c r="G510" s="34" t="s">
        <v>27</v>
      </c>
      <c r="H510" s="34" t="s">
        <v>27</v>
      </c>
      <c r="I510" s="34">
        <v>2019</v>
      </c>
      <c r="J510" s="34" t="s">
        <v>27</v>
      </c>
      <c r="K510" s="34" t="s">
        <v>2946</v>
      </c>
      <c r="L510" s="34" t="s">
        <v>20</v>
      </c>
      <c r="M510" s="34"/>
      <c r="N510" s="34" t="s">
        <v>27</v>
      </c>
      <c r="O510" s="34"/>
      <c r="P510" s="34"/>
      <c r="Q510" s="34"/>
      <c r="R510" s="34"/>
      <c r="S510" s="34"/>
      <c r="T510" s="34"/>
      <c r="U510" s="34"/>
    </row>
    <row r="511" spans="1:21" s="19" customFormat="1" ht="14.25">
      <c r="A511" s="34">
        <v>369</v>
      </c>
      <c r="B511" s="34" t="s">
        <v>3469</v>
      </c>
      <c r="C511" s="34" t="s">
        <v>3470</v>
      </c>
      <c r="D511" s="34" t="s">
        <v>3366</v>
      </c>
      <c r="E511" s="34">
        <v>31</v>
      </c>
      <c r="F511" s="34">
        <v>1910</v>
      </c>
      <c r="G511" s="34">
        <v>1929</v>
      </c>
      <c r="H511" s="34" t="s">
        <v>3471</v>
      </c>
      <c r="I511" s="34">
        <v>2021</v>
      </c>
      <c r="J511" s="34" t="s">
        <v>3472</v>
      </c>
      <c r="K511" s="34" t="s">
        <v>2946</v>
      </c>
      <c r="L511" s="34" t="s">
        <v>22</v>
      </c>
      <c r="M511" s="34"/>
      <c r="N511" s="34" t="s">
        <v>20</v>
      </c>
      <c r="O511" s="34" t="s">
        <v>22</v>
      </c>
      <c r="P511" s="34" t="s">
        <v>23</v>
      </c>
      <c r="Q511" s="34" t="s">
        <v>3501</v>
      </c>
      <c r="R511" s="34"/>
      <c r="S511" s="34"/>
      <c r="T511" s="34"/>
      <c r="U511" s="34"/>
    </row>
    <row r="512" spans="1:21" ht="14.25" hidden="1" customHeight="1">
      <c r="A512" s="1">
        <v>3</v>
      </c>
      <c r="B512" s="5" t="s">
        <v>30</v>
      </c>
      <c r="C512" s="5" t="s">
        <v>31</v>
      </c>
      <c r="D512" s="5" t="s">
        <v>32</v>
      </c>
      <c r="E512" s="5">
        <v>21</v>
      </c>
      <c r="F512" s="5" t="s">
        <v>33</v>
      </c>
      <c r="G512" s="5" t="s">
        <v>34</v>
      </c>
      <c r="H512" s="5" t="s">
        <v>35</v>
      </c>
      <c r="I512" s="5">
        <v>2020</v>
      </c>
      <c r="J512" s="5" t="s">
        <v>27</v>
      </c>
      <c r="K512" s="3" t="s">
        <v>3048</v>
      </c>
      <c r="L512" s="5" t="s">
        <v>20</v>
      </c>
      <c r="M512" s="5" t="s">
        <v>36</v>
      </c>
      <c r="N512" s="5" t="s">
        <v>20</v>
      </c>
      <c r="O512" s="5" t="s">
        <v>36</v>
      </c>
      <c r="P512" s="5" t="s">
        <v>36</v>
      </c>
      <c r="Q512" s="5"/>
      <c r="U512" s="1"/>
    </row>
    <row r="513" spans="1:21" ht="14.25" customHeight="1">
      <c r="A513" s="1">
        <v>129</v>
      </c>
      <c r="B513" s="5" t="s">
        <v>754</v>
      </c>
      <c r="C513" s="5" t="s">
        <v>755</v>
      </c>
      <c r="D513" s="5" t="s">
        <v>756</v>
      </c>
      <c r="E513" s="5"/>
      <c r="F513" s="5" t="s">
        <v>757</v>
      </c>
      <c r="G513" s="5" t="s">
        <v>186</v>
      </c>
      <c r="H513" s="5" t="s">
        <v>758</v>
      </c>
      <c r="I513" s="5">
        <v>2009</v>
      </c>
      <c r="J513" s="5" t="s">
        <v>759</v>
      </c>
      <c r="K513" s="3" t="s">
        <v>3048</v>
      </c>
      <c r="L513" s="5" t="s">
        <v>22</v>
      </c>
      <c r="M513" s="5" t="s">
        <v>760</v>
      </c>
      <c r="N513" s="5" t="s">
        <v>268</v>
      </c>
      <c r="O513" s="5" t="s">
        <v>36</v>
      </c>
      <c r="P513" s="5" t="s">
        <v>760</v>
      </c>
      <c r="Q513" s="5"/>
      <c r="U513" s="1"/>
    </row>
    <row r="514" spans="1:21" ht="14.25" hidden="1" customHeight="1">
      <c r="A514" s="1">
        <v>62</v>
      </c>
      <c r="B514" s="3" t="s">
        <v>385</v>
      </c>
      <c r="C514" s="3" t="s">
        <v>386</v>
      </c>
      <c r="D514" s="3" t="s">
        <v>387</v>
      </c>
      <c r="E514" s="3"/>
      <c r="F514" s="3" t="s">
        <v>388</v>
      </c>
      <c r="G514" s="3" t="s">
        <v>389</v>
      </c>
      <c r="H514" s="3" t="s">
        <v>390</v>
      </c>
      <c r="I514" s="3">
        <v>2019</v>
      </c>
      <c r="J514" s="3" t="s">
        <v>391</v>
      </c>
      <c r="K514" s="3" t="s">
        <v>3048</v>
      </c>
      <c r="L514" s="3" t="s">
        <v>20</v>
      </c>
      <c r="M514" s="3" t="s">
        <v>21</v>
      </c>
      <c r="N514" s="3" t="s">
        <v>20</v>
      </c>
      <c r="O514" s="3" t="s">
        <v>36</v>
      </c>
      <c r="P514" s="3" t="s">
        <v>36</v>
      </c>
      <c r="Q514" s="3"/>
      <c r="U514" s="1"/>
    </row>
    <row r="515" spans="1:21" s="19" customFormat="1" ht="14.25" hidden="1">
      <c r="A515" s="34">
        <v>279</v>
      </c>
      <c r="B515" s="34" t="s">
        <v>3473</v>
      </c>
      <c r="C515" s="34" t="s">
        <v>3474</v>
      </c>
      <c r="D515" s="34" t="s">
        <v>3475</v>
      </c>
      <c r="E515" s="34">
        <v>90</v>
      </c>
      <c r="F515" s="34">
        <v>67</v>
      </c>
      <c r="G515" s="34">
        <v>79</v>
      </c>
      <c r="H515" s="34" t="s">
        <v>3476</v>
      </c>
      <c r="I515" s="34">
        <v>2025</v>
      </c>
      <c r="J515" s="34" t="s">
        <v>3477</v>
      </c>
      <c r="K515" s="34" t="s">
        <v>2946</v>
      </c>
      <c r="L515" s="34" t="s">
        <v>20</v>
      </c>
      <c r="M515" s="34"/>
      <c r="N515" s="34" t="s">
        <v>27</v>
      </c>
      <c r="O515" s="34"/>
      <c r="P515" s="34"/>
      <c r="Q515" s="34"/>
      <c r="R515" s="34"/>
      <c r="S515" s="34"/>
      <c r="T515" s="34"/>
      <c r="U515" s="34"/>
    </row>
    <row r="516" spans="1:21" ht="14.25" hidden="1" customHeight="1">
      <c r="A516" s="1">
        <v>321</v>
      </c>
      <c r="B516" s="5" t="s">
        <v>1709</v>
      </c>
      <c r="C516" s="5" t="s">
        <v>1710</v>
      </c>
      <c r="D516" s="5" t="s">
        <v>27</v>
      </c>
      <c r="E516" s="5"/>
      <c r="F516" s="5" t="s">
        <v>27</v>
      </c>
      <c r="G516" s="5" t="s">
        <v>27</v>
      </c>
      <c r="H516" s="5" t="s">
        <v>27</v>
      </c>
      <c r="I516" s="5">
        <v>2008</v>
      </c>
      <c r="J516" s="5" t="s">
        <v>27</v>
      </c>
      <c r="K516" s="3" t="s">
        <v>3048</v>
      </c>
      <c r="L516" s="5" t="s">
        <v>20</v>
      </c>
      <c r="M516" s="5" t="s">
        <v>21</v>
      </c>
      <c r="N516" s="5" t="s">
        <v>20</v>
      </c>
      <c r="O516" s="5" t="s">
        <v>36</v>
      </c>
      <c r="P516" s="5" t="s">
        <v>36</v>
      </c>
      <c r="Q516" s="5"/>
      <c r="U516" s="1"/>
    </row>
    <row r="517" spans="1:21" ht="14.25" customHeight="1">
      <c r="A517" s="1">
        <v>565</v>
      </c>
      <c r="B517" s="5" t="s">
        <v>2825</v>
      </c>
      <c r="C517" s="5" t="s">
        <v>2826</v>
      </c>
      <c r="D517" s="5" t="s">
        <v>27</v>
      </c>
      <c r="E517" s="5"/>
      <c r="F517" s="5" t="s">
        <v>27</v>
      </c>
      <c r="G517" s="5" t="s">
        <v>27</v>
      </c>
      <c r="H517" s="5" t="s">
        <v>27</v>
      </c>
      <c r="I517" s="5">
        <v>2021</v>
      </c>
      <c r="J517" s="5" t="s">
        <v>27</v>
      </c>
      <c r="K517" s="3" t="s">
        <v>3048</v>
      </c>
      <c r="L517" s="5" t="s">
        <v>22</v>
      </c>
      <c r="M517" s="5"/>
      <c r="N517" s="5" t="s">
        <v>20</v>
      </c>
      <c r="O517" s="5" t="s">
        <v>36</v>
      </c>
      <c r="P517" s="5" t="s">
        <v>1256</v>
      </c>
      <c r="Q517" s="3" t="s">
        <v>1224</v>
      </c>
      <c r="U517" s="1"/>
    </row>
    <row r="518" spans="1:21" ht="14.25" customHeight="1">
      <c r="A518" s="1">
        <v>170</v>
      </c>
      <c r="B518" s="3" t="s">
        <v>970</v>
      </c>
      <c r="C518" s="3" t="s">
        <v>971</v>
      </c>
      <c r="D518" s="3" t="s">
        <v>185</v>
      </c>
      <c r="E518" s="3">
        <v>30</v>
      </c>
      <c r="F518" s="3" t="s">
        <v>972</v>
      </c>
      <c r="G518" s="3" t="s">
        <v>973</v>
      </c>
      <c r="H518" s="3" t="s">
        <v>974</v>
      </c>
      <c r="I518" s="3">
        <v>2021</v>
      </c>
      <c r="J518" s="3" t="s">
        <v>975</v>
      </c>
      <c r="K518" s="3" t="s">
        <v>3048</v>
      </c>
      <c r="L518" s="3" t="s">
        <v>22</v>
      </c>
      <c r="M518" s="3"/>
      <c r="N518" s="3" t="s">
        <v>22</v>
      </c>
      <c r="O518" s="3" t="s">
        <v>22</v>
      </c>
      <c r="P518" s="3" t="s">
        <v>23</v>
      </c>
      <c r="Q518" s="3"/>
      <c r="R518" s="22" t="s">
        <v>22</v>
      </c>
      <c r="U518" s="31" t="s">
        <v>3025</v>
      </c>
    </row>
    <row r="519" spans="1:21" ht="14.25" customHeight="1">
      <c r="A519" s="1">
        <v>34</v>
      </c>
      <c r="B519" s="3" t="s">
        <v>215</v>
      </c>
      <c r="C519" s="3" t="s">
        <v>216</v>
      </c>
      <c r="D519" s="3" t="s">
        <v>217</v>
      </c>
      <c r="E519" s="3">
        <v>37</v>
      </c>
      <c r="F519" s="3" t="s">
        <v>218</v>
      </c>
      <c r="G519" s="3" t="s">
        <v>219</v>
      </c>
      <c r="H519" s="3" t="s">
        <v>220</v>
      </c>
      <c r="I519" s="3">
        <v>2023</v>
      </c>
      <c r="J519" s="3" t="s">
        <v>221</v>
      </c>
      <c r="K519" s="3" t="s">
        <v>3048</v>
      </c>
      <c r="L519" s="3" t="s">
        <v>22</v>
      </c>
      <c r="M519" s="3"/>
      <c r="N519" s="3" t="s">
        <v>22</v>
      </c>
      <c r="O519" s="3" t="s">
        <v>22</v>
      </c>
      <c r="P519" s="3" t="s">
        <v>23</v>
      </c>
      <c r="Q519" s="3"/>
      <c r="R519" s="12" t="s">
        <v>20</v>
      </c>
      <c r="S519" s="1" t="s">
        <v>2975</v>
      </c>
      <c r="T519" s="1" t="s">
        <v>3044</v>
      </c>
      <c r="U519" s="31" t="s">
        <v>3025</v>
      </c>
    </row>
    <row r="520" spans="1:21" ht="14.25" hidden="1" customHeight="1">
      <c r="A520" s="1">
        <v>168</v>
      </c>
      <c r="B520" s="3" t="s">
        <v>962</v>
      </c>
      <c r="C520" s="3" t="s">
        <v>963</v>
      </c>
      <c r="D520" s="3" t="s">
        <v>27</v>
      </c>
      <c r="E520" s="3"/>
      <c r="F520" s="3" t="s">
        <v>27</v>
      </c>
      <c r="G520" s="3" t="s">
        <v>27</v>
      </c>
      <c r="H520" s="3" t="s">
        <v>27</v>
      </c>
      <c r="I520" s="3">
        <v>2004</v>
      </c>
      <c r="J520" s="3" t="s">
        <v>27</v>
      </c>
      <c r="K520" s="3" t="s">
        <v>3048</v>
      </c>
      <c r="L520" s="3" t="s">
        <v>20</v>
      </c>
      <c r="M520" s="3" t="s">
        <v>36</v>
      </c>
      <c r="N520" s="3" t="s">
        <v>20</v>
      </c>
      <c r="O520" s="3" t="s">
        <v>36</v>
      </c>
      <c r="P520" s="3" t="s">
        <v>36</v>
      </c>
      <c r="Q520" s="3"/>
      <c r="U520" s="1"/>
    </row>
    <row r="521" spans="1:21" ht="14.25" customHeight="1">
      <c r="A521" s="1">
        <v>428</v>
      </c>
      <c r="B521" s="3" t="s">
        <v>2199</v>
      </c>
      <c r="C521" s="3" t="s">
        <v>2200</v>
      </c>
      <c r="D521" s="3" t="s">
        <v>102</v>
      </c>
      <c r="E521" s="3">
        <v>391</v>
      </c>
      <c r="F521" s="3" t="s">
        <v>2201</v>
      </c>
      <c r="G521" s="3" t="s">
        <v>2202</v>
      </c>
      <c r="H521" s="3" t="s">
        <v>2203</v>
      </c>
      <c r="I521" s="3">
        <v>2017</v>
      </c>
      <c r="J521" s="3" t="s">
        <v>2204</v>
      </c>
      <c r="K521" s="3" t="s">
        <v>3048</v>
      </c>
      <c r="L521" s="3" t="s">
        <v>22</v>
      </c>
      <c r="M521" s="3"/>
      <c r="N521" s="3" t="s">
        <v>22</v>
      </c>
      <c r="O521" s="3" t="s">
        <v>22</v>
      </c>
      <c r="P521" s="3" t="s">
        <v>23</v>
      </c>
      <c r="Q521" s="3"/>
      <c r="R521" s="12" t="s">
        <v>20</v>
      </c>
      <c r="S521" s="1" t="s">
        <v>2975</v>
      </c>
      <c r="T521" s="1" t="s">
        <v>2988</v>
      </c>
      <c r="U521" s="31" t="s">
        <v>3025</v>
      </c>
    </row>
    <row r="522" spans="1:21" ht="14.25" customHeight="1">
      <c r="A522" s="1">
        <v>30</v>
      </c>
      <c r="B522" s="3" t="s">
        <v>191</v>
      </c>
      <c r="C522" s="3" t="s">
        <v>192</v>
      </c>
      <c r="D522" s="3" t="s">
        <v>193</v>
      </c>
      <c r="E522" s="3">
        <v>42</v>
      </c>
      <c r="F522" s="3" t="s">
        <v>194</v>
      </c>
      <c r="G522" s="3" t="s">
        <v>195</v>
      </c>
      <c r="H522" s="3" t="s">
        <v>196</v>
      </c>
      <c r="I522" s="3">
        <v>2005</v>
      </c>
      <c r="J522" s="3" t="s">
        <v>197</v>
      </c>
      <c r="K522" s="3" t="s">
        <v>3048</v>
      </c>
      <c r="L522" s="3" t="s">
        <v>22</v>
      </c>
      <c r="M522" s="3"/>
      <c r="N522" s="3" t="s">
        <v>22</v>
      </c>
      <c r="O522" s="3" t="s">
        <v>22</v>
      </c>
      <c r="P522" s="3" t="s">
        <v>23</v>
      </c>
      <c r="Q522" s="3"/>
      <c r="R522" s="12" t="s">
        <v>3041</v>
      </c>
      <c r="U522" s="31" t="s">
        <v>3025</v>
      </c>
    </row>
    <row r="523" spans="1:21" ht="14.25" customHeight="1">
      <c r="A523" s="1">
        <v>155</v>
      </c>
      <c r="B523" s="5" t="s">
        <v>896</v>
      </c>
      <c r="C523" s="5" t="s">
        <v>897</v>
      </c>
      <c r="D523" s="5" t="s">
        <v>173</v>
      </c>
      <c r="E523" s="5">
        <v>34</v>
      </c>
      <c r="F523" s="5" t="s">
        <v>898</v>
      </c>
      <c r="G523" s="5" t="s">
        <v>899</v>
      </c>
      <c r="H523" s="5" t="s">
        <v>900</v>
      </c>
      <c r="I523" s="5">
        <v>2004</v>
      </c>
      <c r="J523" s="5" t="s">
        <v>901</v>
      </c>
      <c r="K523" s="3" t="s">
        <v>3048</v>
      </c>
      <c r="L523" s="5" t="s">
        <v>22</v>
      </c>
      <c r="M523" s="5"/>
      <c r="N523" s="5" t="s">
        <v>22</v>
      </c>
      <c r="O523" s="5" t="s">
        <v>22</v>
      </c>
      <c r="P523" s="5" t="s">
        <v>23</v>
      </c>
      <c r="Q523" s="5"/>
      <c r="R523" s="12" t="s">
        <v>22</v>
      </c>
      <c r="U523" s="31" t="s">
        <v>3025</v>
      </c>
    </row>
    <row r="524" spans="1:21" ht="14.25" hidden="1" customHeight="1">
      <c r="A524" s="1">
        <v>258</v>
      </c>
      <c r="B524" s="3" t="s">
        <v>1423</v>
      </c>
      <c r="C524" s="3" t="s">
        <v>1424</v>
      </c>
      <c r="D524" s="3" t="s">
        <v>15</v>
      </c>
      <c r="E524" s="3">
        <v>30</v>
      </c>
      <c r="F524" s="3" t="s">
        <v>1425</v>
      </c>
      <c r="G524" s="3" t="s">
        <v>625</v>
      </c>
      <c r="H524" s="3" t="s">
        <v>1426</v>
      </c>
      <c r="I524" s="3">
        <v>2020</v>
      </c>
      <c r="J524" s="3" t="s">
        <v>1427</v>
      </c>
      <c r="K524" s="3" t="s">
        <v>3048</v>
      </c>
      <c r="L524" s="3" t="s">
        <v>20</v>
      </c>
      <c r="M524" s="3" t="s">
        <v>21</v>
      </c>
      <c r="N524" s="3" t="s">
        <v>20</v>
      </c>
      <c r="O524" s="3" t="s">
        <v>36</v>
      </c>
      <c r="P524" s="3" t="s">
        <v>36</v>
      </c>
      <c r="Q524" s="3"/>
      <c r="U524" s="1"/>
    </row>
    <row r="525" spans="1:21" ht="14.25" hidden="1" customHeight="1">
      <c r="A525" s="1">
        <v>371</v>
      </c>
      <c r="B525" s="5" t="s">
        <v>1948</v>
      </c>
      <c r="C525" s="5" t="s">
        <v>1949</v>
      </c>
      <c r="D525" s="5" t="s">
        <v>39</v>
      </c>
      <c r="E525" s="5">
        <v>8</v>
      </c>
      <c r="F525" s="5" t="s">
        <v>1950</v>
      </c>
      <c r="G525" s="5" t="s">
        <v>1951</v>
      </c>
      <c r="H525" s="5" t="s">
        <v>1952</v>
      </c>
      <c r="I525" s="5">
        <v>2005</v>
      </c>
      <c r="J525" s="5" t="s">
        <v>1953</v>
      </c>
      <c r="K525" s="3" t="s">
        <v>3048</v>
      </c>
      <c r="L525" s="5" t="s">
        <v>20</v>
      </c>
      <c r="M525" s="5" t="s">
        <v>21</v>
      </c>
      <c r="N525" s="5" t="s">
        <v>20</v>
      </c>
      <c r="O525" s="5" t="s">
        <v>36</v>
      </c>
      <c r="P525" s="5" t="s">
        <v>36</v>
      </c>
      <c r="Q525" s="5"/>
      <c r="U525" s="1"/>
    </row>
    <row r="526" spans="1:21" ht="14.25" hidden="1" customHeight="1">
      <c r="A526" s="1">
        <v>24</v>
      </c>
      <c r="B526" s="3" t="s">
        <v>152</v>
      </c>
      <c r="C526" s="3" t="s">
        <v>153</v>
      </c>
      <c r="D526" s="3" t="s">
        <v>102</v>
      </c>
      <c r="E526" s="3">
        <v>320</v>
      </c>
      <c r="F526" s="3" t="s">
        <v>154</v>
      </c>
      <c r="G526" s="3" t="s">
        <v>155</v>
      </c>
      <c r="H526" s="3" t="s">
        <v>156</v>
      </c>
      <c r="I526" s="3">
        <v>2014</v>
      </c>
      <c r="J526" s="3" t="s">
        <v>157</v>
      </c>
      <c r="K526" s="3" t="s">
        <v>3048</v>
      </c>
      <c r="L526" s="3" t="s">
        <v>20</v>
      </c>
      <c r="M526" s="3" t="s">
        <v>21</v>
      </c>
      <c r="N526" s="3" t="s">
        <v>20</v>
      </c>
      <c r="O526" s="3" t="s">
        <v>36</v>
      </c>
      <c r="P526" s="3" t="s">
        <v>36</v>
      </c>
      <c r="Q526" s="3"/>
      <c r="U526" s="1"/>
    </row>
    <row r="527" spans="1:21" ht="14.25" hidden="1" customHeight="1">
      <c r="A527" s="1">
        <v>156</v>
      </c>
      <c r="B527" s="3" t="s">
        <v>902</v>
      </c>
      <c r="C527" s="3" t="s">
        <v>903</v>
      </c>
      <c r="D527" s="3" t="s">
        <v>166</v>
      </c>
      <c r="E527" s="3">
        <v>43</v>
      </c>
      <c r="F527" s="3" t="s">
        <v>904</v>
      </c>
      <c r="G527" s="3" t="s">
        <v>905</v>
      </c>
      <c r="H527" s="3" t="s">
        <v>906</v>
      </c>
      <c r="I527" s="3">
        <v>2011</v>
      </c>
      <c r="J527" s="3" t="s">
        <v>907</v>
      </c>
      <c r="K527" s="3" t="s">
        <v>3048</v>
      </c>
      <c r="L527" s="3" t="s">
        <v>20</v>
      </c>
      <c r="M527" s="3" t="s">
        <v>21</v>
      </c>
      <c r="N527" s="3" t="s">
        <v>22</v>
      </c>
      <c r="O527" s="3" t="s">
        <v>22</v>
      </c>
      <c r="P527" s="3" t="s">
        <v>23</v>
      </c>
      <c r="Q527" s="3"/>
      <c r="R527" s="12" t="s">
        <v>20</v>
      </c>
      <c r="S527" s="1" t="s">
        <v>2975</v>
      </c>
      <c r="U527" s="31" t="s">
        <v>2902</v>
      </c>
    </row>
    <row r="528" spans="1:21" ht="14.25" hidden="1" customHeight="1">
      <c r="A528" s="1">
        <v>72</v>
      </c>
      <c r="B528" s="3" t="s">
        <v>443</v>
      </c>
      <c r="C528" s="3" t="s">
        <v>444</v>
      </c>
      <c r="D528" s="3" t="s">
        <v>71</v>
      </c>
      <c r="E528" s="3">
        <v>4</v>
      </c>
      <c r="F528" s="3" t="s">
        <v>27</v>
      </c>
      <c r="G528" s="3" t="s">
        <v>27</v>
      </c>
      <c r="H528" s="3" t="s">
        <v>445</v>
      </c>
      <c r="I528" s="3">
        <v>2022</v>
      </c>
      <c r="J528" s="3" t="s">
        <v>446</v>
      </c>
      <c r="K528" s="3" t="s">
        <v>3048</v>
      </c>
      <c r="L528" s="3" t="s">
        <v>20</v>
      </c>
      <c r="M528" s="3" t="s">
        <v>21</v>
      </c>
      <c r="N528" s="3" t="s">
        <v>20</v>
      </c>
      <c r="O528" s="3" t="s">
        <v>36</v>
      </c>
      <c r="P528" s="3" t="s">
        <v>36</v>
      </c>
      <c r="Q528" s="3"/>
      <c r="U528" s="1"/>
    </row>
    <row r="529" spans="1:21" ht="14.25" customHeight="1">
      <c r="A529" s="1">
        <v>108</v>
      </c>
      <c r="B529" s="3" t="s">
        <v>639</v>
      </c>
      <c r="C529" s="3" t="s">
        <v>640</v>
      </c>
      <c r="D529" s="3" t="s">
        <v>641</v>
      </c>
      <c r="E529" s="3">
        <v>20</v>
      </c>
      <c r="F529" s="3" t="s">
        <v>642</v>
      </c>
      <c r="G529" s="3" t="s">
        <v>643</v>
      </c>
      <c r="H529" s="3" t="s">
        <v>644</v>
      </c>
      <c r="I529" s="3">
        <v>2011</v>
      </c>
      <c r="J529" s="3" t="s">
        <v>645</v>
      </c>
      <c r="K529" s="3" t="s">
        <v>3048</v>
      </c>
      <c r="L529" s="3" t="s">
        <v>22</v>
      </c>
      <c r="M529" s="3"/>
      <c r="N529" s="3" t="s">
        <v>22</v>
      </c>
      <c r="O529" s="3" t="s">
        <v>22</v>
      </c>
      <c r="P529" s="3" t="s">
        <v>23</v>
      </c>
      <c r="Q529" s="3"/>
      <c r="R529" s="12" t="s">
        <v>22</v>
      </c>
      <c r="U529" s="31" t="s">
        <v>3025</v>
      </c>
    </row>
    <row r="530" spans="1:21" ht="14.25" hidden="1" customHeight="1">
      <c r="A530" s="1">
        <v>496</v>
      </c>
      <c r="B530" s="3" t="s">
        <v>2520</v>
      </c>
      <c r="C530" s="3" t="s">
        <v>2521</v>
      </c>
      <c r="D530" s="3" t="s">
        <v>2522</v>
      </c>
      <c r="E530" s="3">
        <v>29</v>
      </c>
      <c r="F530" s="3" t="s">
        <v>2523</v>
      </c>
      <c r="G530" s="3" t="s">
        <v>1732</v>
      </c>
      <c r="H530" s="3" t="s">
        <v>2524</v>
      </c>
      <c r="I530" s="3">
        <v>2015</v>
      </c>
      <c r="J530" s="3" t="s">
        <v>2525</v>
      </c>
      <c r="K530" s="3" t="s">
        <v>3048</v>
      </c>
      <c r="L530" s="3" t="s">
        <v>268</v>
      </c>
      <c r="M530" s="3" t="s">
        <v>2261</v>
      </c>
      <c r="N530" s="3" t="s">
        <v>268</v>
      </c>
      <c r="O530" s="3" t="s">
        <v>22</v>
      </c>
      <c r="P530" s="3" t="s">
        <v>2261</v>
      </c>
      <c r="Q530" s="3" t="s">
        <v>2878</v>
      </c>
      <c r="U530" s="1"/>
    </row>
    <row r="531" spans="1:21" ht="14.25" hidden="1" customHeight="1">
      <c r="A531" s="1">
        <v>52</v>
      </c>
      <c r="B531" s="3" t="s">
        <v>326</v>
      </c>
      <c r="C531" s="3" t="s">
        <v>327</v>
      </c>
      <c r="D531" s="3" t="s">
        <v>173</v>
      </c>
      <c r="E531" s="3">
        <v>46</v>
      </c>
      <c r="F531" s="3" t="s">
        <v>328</v>
      </c>
      <c r="G531" s="3" t="s">
        <v>329</v>
      </c>
      <c r="H531" s="3" t="s">
        <v>330</v>
      </c>
      <c r="I531" s="3">
        <v>2016</v>
      </c>
      <c r="J531" s="3" t="s">
        <v>331</v>
      </c>
      <c r="K531" s="3" t="s">
        <v>3048</v>
      </c>
      <c r="L531" s="3" t="s">
        <v>20</v>
      </c>
      <c r="M531" s="3" t="s">
        <v>21</v>
      </c>
      <c r="N531" s="3" t="s">
        <v>20</v>
      </c>
      <c r="O531" s="3" t="s">
        <v>36</v>
      </c>
      <c r="P531" s="3" t="s">
        <v>36</v>
      </c>
      <c r="Q531" s="3"/>
      <c r="U531" s="1"/>
    </row>
    <row r="532" spans="1:21" ht="14.25" hidden="1" customHeight="1">
      <c r="A532" s="1">
        <v>387</v>
      </c>
      <c r="B532" s="5" t="s">
        <v>2019</v>
      </c>
      <c r="C532" s="5" t="s">
        <v>2020</v>
      </c>
      <c r="D532" s="5" t="s">
        <v>1611</v>
      </c>
      <c r="E532" s="5">
        <v>50</v>
      </c>
      <c r="F532" s="5" t="s">
        <v>126</v>
      </c>
      <c r="G532" s="5" t="s">
        <v>840</v>
      </c>
      <c r="H532" s="5" t="s">
        <v>2021</v>
      </c>
      <c r="I532" s="5">
        <v>2023</v>
      </c>
      <c r="J532" s="5" t="s">
        <v>2022</v>
      </c>
      <c r="K532" s="3" t="s">
        <v>3048</v>
      </c>
      <c r="L532" s="5" t="s">
        <v>20</v>
      </c>
      <c r="M532" s="5" t="s">
        <v>21</v>
      </c>
      <c r="N532" s="5" t="s">
        <v>20</v>
      </c>
      <c r="O532" s="5" t="s">
        <v>36</v>
      </c>
      <c r="P532" s="5" t="s">
        <v>36</v>
      </c>
      <c r="Q532" s="5"/>
      <c r="U532" s="1"/>
    </row>
    <row r="533" spans="1:21" ht="14.25" hidden="1" customHeight="1">
      <c r="A533" s="1">
        <v>518</v>
      </c>
      <c r="B533" s="3" t="s">
        <v>2619</v>
      </c>
      <c r="C533" s="3" t="s">
        <v>2620</v>
      </c>
      <c r="D533" s="3" t="s">
        <v>472</v>
      </c>
      <c r="E533" s="3">
        <v>102</v>
      </c>
      <c r="F533" s="3" t="s">
        <v>2621</v>
      </c>
      <c r="G533" s="3" t="s">
        <v>2622</v>
      </c>
      <c r="H533" s="3" t="s">
        <v>2623</v>
      </c>
      <c r="I533" s="3">
        <v>2010</v>
      </c>
      <c r="J533" s="3" t="s">
        <v>2624</v>
      </c>
      <c r="K533" s="3" t="s">
        <v>3048</v>
      </c>
      <c r="L533" s="3" t="s">
        <v>20</v>
      </c>
      <c r="M533" s="3" t="s">
        <v>21</v>
      </c>
      <c r="N533" s="3" t="s">
        <v>20</v>
      </c>
      <c r="O533" s="3" t="s">
        <v>36</v>
      </c>
      <c r="P533" s="3" t="s">
        <v>36</v>
      </c>
      <c r="Q533" s="3"/>
      <c r="U533" s="1"/>
    </row>
    <row r="534" spans="1:21" ht="14.25" hidden="1" customHeight="1">
      <c r="A534" s="1">
        <v>171</v>
      </c>
      <c r="B534" s="5" t="s">
        <v>976</v>
      </c>
      <c r="C534" s="5" t="s">
        <v>977</v>
      </c>
      <c r="D534" s="5" t="s">
        <v>978</v>
      </c>
      <c r="E534" s="5">
        <v>8</v>
      </c>
      <c r="F534" s="5" t="s">
        <v>27</v>
      </c>
      <c r="G534" s="5" t="s">
        <v>27</v>
      </c>
      <c r="H534" s="5" t="s">
        <v>979</v>
      </c>
      <c r="I534" s="5">
        <v>2018</v>
      </c>
      <c r="J534" s="5" t="s">
        <v>980</v>
      </c>
      <c r="K534" s="3" t="s">
        <v>3048</v>
      </c>
      <c r="L534" s="5" t="s">
        <v>20</v>
      </c>
      <c r="M534" s="5" t="s">
        <v>21</v>
      </c>
      <c r="N534" s="5" t="s">
        <v>20</v>
      </c>
      <c r="O534" s="5" t="s">
        <v>36</v>
      </c>
      <c r="P534" s="5" t="s">
        <v>36</v>
      </c>
      <c r="Q534" s="5"/>
      <c r="U534" s="1"/>
    </row>
    <row r="535" spans="1:21" ht="14.25" customHeight="1">
      <c r="A535" s="1">
        <v>350</v>
      </c>
      <c r="B535" s="3" t="s">
        <v>1842</v>
      </c>
      <c r="C535" s="3" t="s">
        <v>1843</v>
      </c>
      <c r="D535" s="3" t="s">
        <v>1121</v>
      </c>
      <c r="E535" s="3">
        <v>103</v>
      </c>
      <c r="F535" s="3" t="s">
        <v>1844</v>
      </c>
      <c r="G535" s="3" t="s">
        <v>1845</v>
      </c>
      <c r="H535" s="3" t="s">
        <v>1846</v>
      </c>
      <c r="I535" s="3">
        <v>1999</v>
      </c>
      <c r="J535" s="3" t="s">
        <v>1847</v>
      </c>
      <c r="K535" s="3" t="s">
        <v>3048</v>
      </c>
      <c r="L535" s="3" t="s">
        <v>22</v>
      </c>
      <c r="M535" s="3"/>
      <c r="N535" s="3" t="s">
        <v>22</v>
      </c>
      <c r="O535" s="3" t="s">
        <v>22</v>
      </c>
      <c r="P535" s="3" t="s">
        <v>23</v>
      </c>
      <c r="Q535" s="3"/>
      <c r="R535" s="12" t="s">
        <v>22</v>
      </c>
      <c r="U535" s="31" t="s">
        <v>3025</v>
      </c>
    </row>
    <row r="536" spans="1:21" ht="14.25" hidden="1" customHeight="1">
      <c r="A536" s="1">
        <v>115</v>
      </c>
      <c r="B536" s="5" t="s">
        <v>675</v>
      </c>
      <c r="C536" s="5" t="s">
        <v>676</v>
      </c>
      <c r="D536" s="5" t="s">
        <v>677</v>
      </c>
      <c r="E536" s="5">
        <v>28</v>
      </c>
      <c r="F536" s="5" t="s">
        <v>678</v>
      </c>
      <c r="G536" s="5" t="s">
        <v>679</v>
      </c>
      <c r="H536" s="5" t="s">
        <v>27</v>
      </c>
      <c r="I536" s="5">
        <v>2008</v>
      </c>
      <c r="J536" s="5" t="s">
        <v>680</v>
      </c>
      <c r="K536" s="3" t="s">
        <v>3048</v>
      </c>
      <c r="L536" s="5" t="s">
        <v>20</v>
      </c>
      <c r="M536" s="5" t="s">
        <v>21</v>
      </c>
      <c r="N536" s="5" t="s">
        <v>20</v>
      </c>
      <c r="O536" s="5" t="s">
        <v>36</v>
      </c>
      <c r="P536" s="5" t="s">
        <v>36</v>
      </c>
      <c r="Q536" s="5"/>
      <c r="U536" s="1"/>
    </row>
    <row r="537" spans="1:21" ht="14.25" hidden="1" customHeight="1">
      <c r="A537" s="1">
        <v>479</v>
      </c>
      <c r="B537" s="5" t="s">
        <v>2437</v>
      </c>
      <c r="C537" s="5" t="s">
        <v>2438</v>
      </c>
      <c r="D537" s="5" t="s">
        <v>2439</v>
      </c>
      <c r="E537" s="5"/>
      <c r="F537" s="5" t="s">
        <v>2440</v>
      </c>
      <c r="G537" s="5" t="s">
        <v>2441</v>
      </c>
      <c r="H537" s="5" t="s">
        <v>27</v>
      </c>
      <c r="I537" s="5">
        <v>1997</v>
      </c>
      <c r="J537" s="5" t="s">
        <v>2442</v>
      </c>
      <c r="K537" s="3" t="s">
        <v>3048</v>
      </c>
      <c r="L537" s="5" t="s">
        <v>20</v>
      </c>
      <c r="M537" s="5" t="s">
        <v>21</v>
      </c>
      <c r="N537" s="5" t="s">
        <v>20</v>
      </c>
      <c r="O537" s="5" t="s">
        <v>36</v>
      </c>
      <c r="P537" s="5" t="s">
        <v>36</v>
      </c>
      <c r="Q537" s="5"/>
      <c r="U537" s="1"/>
    </row>
    <row r="538" spans="1:21" ht="14.25" hidden="1" customHeight="1">
      <c r="A538" s="1">
        <v>542</v>
      </c>
      <c r="B538" s="3" t="s">
        <v>2724</v>
      </c>
      <c r="C538" s="3" t="s">
        <v>2725</v>
      </c>
      <c r="D538" s="3" t="s">
        <v>2726</v>
      </c>
      <c r="E538" s="3">
        <v>16</v>
      </c>
      <c r="F538" s="3" t="s">
        <v>2727</v>
      </c>
      <c r="G538" s="3" t="s">
        <v>2728</v>
      </c>
      <c r="H538" s="3" t="s">
        <v>2729</v>
      </c>
      <c r="I538" s="3">
        <v>1993</v>
      </c>
      <c r="J538" s="3" t="s">
        <v>2730</v>
      </c>
      <c r="K538" s="3" t="s">
        <v>3048</v>
      </c>
      <c r="L538" s="3" t="s">
        <v>20</v>
      </c>
      <c r="M538" s="3" t="s">
        <v>21</v>
      </c>
      <c r="N538" s="3" t="s">
        <v>20</v>
      </c>
      <c r="O538" s="3" t="s">
        <v>36</v>
      </c>
      <c r="P538" s="3" t="s">
        <v>36</v>
      </c>
      <c r="Q538" s="3"/>
      <c r="U538" s="1"/>
    </row>
    <row r="539" spans="1:21" ht="14.25" customHeight="1">
      <c r="A539" s="1">
        <v>211</v>
      </c>
      <c r="B539" s="5" t="s">
        <v>1182</v>
      </c>
      <c r="C539" s="5" t="s">
        <v>1183</v>
      </c>
      <c r="D539" s="5" t="s">
        <v>1162</v>
      </c>
      <c r="E539" s="5"/>
      <c r="F539" s="5" t="s">
        <v>648</v>
      </c>
      <c r="G539" s="5" t="s">
        <v>1184</v>
      </c>
      <c r="H539" s="5" t="s">
        <v>27</v>
      </c>
      <c r="I539" s="5">
        <v>2013</v>
      </c>
      <c r="J539" s="5" t="s">
        <v>1185</v>
      </c>
      <c r="K539" s="3" t="s">
        <v>3048</v>
      </c>
      <c r="L539" s="5" t="s">
        <v>22</v>
      </c>
      <c r="M539" s="5"/>
      <c r="N539" s="5" t="s">
        <v>22</v>
      </c>
      <c r="O539" s="5" t="s">
        <v>22</v>
      </c>
      <c r="P539" s="5" t="s">
        <v>1166</v>
      </c>
      <c r="Q539" s="5"/>
      <c r="R539" s="12" t="s">
        <v>22</v>
      </c>
      <c r="T539" s="1" t="s">
        <v>3149</v>
      </c>
      <c r="U539" s="31" t="s">
        <v>3025</v>
      </c>
    </row>
    <row r="540" spans="1:21" ht="14.25" hidden="1" customHeight="1">
      <c r="A540" s="1">
        <v>93</v>
      </c>
      <c r="B540" s="5" t="s">
        <v>561</v>
      </c>
      <c r="C540" s="5" t="s">
        <v>562</v>
      </c>
      <c r="D540" s="5" t="s">
        <v>27</v>
      </c>
      <c r="E540" s="5"/>
      <c r="F540" s="5" t="s">
        <v>27</v>
      </c>
      <c r="G540" s="5" t="s">
        <v>27</v>
      </c>
      <c r="H540" s="5" t="s">
        <v>27</v>
      </c>
      <c r="I540" s="5">
        <v>2011</v>
      </c>
      <c r="J540" s="5" t="s">
        <v>27</v>
      </c>
      <c r="K540" s="3" t="s">
        <v>3048</v>
      </c>
      <c r="L540" s="5" t="s">
        <v>20</v>
      </c>
      <c r="M540" s="5" t="s">
        <v>21</v>
      </c>
      <c r="N540" s="5" t="s">
        <v>20</v>
      </c>
      <c r="O540" s="5" t="s">
        <v>36</v>
      </c>
      <c r="P540" s="5" t="s">
        <v>36</v>
      </c>
      <c r="Q540" s="5"/>
      <c r="U540" s="1"/>
    </row>
    <row r="541" spans="1:21" ht="14.25" customHeight="1">
      <c r="A541" s="1">
        <v>227</v>
      </c>
      <c r="B541" s="5" t="s">
        <v>1266</v>
      </c>
      <c r="C541" s="5" t="s">
        <v>1267</v>
      </c>
      <c r="D541" s="5" t="s">
        <v>46</v>
      </c>
      <c r="E541" s="5">
        <v>81</v>
      </c>
      <c r="F541" s="5" t="s">
        <v>1268</v>
      </c>
      <c r="G541" s="5" t="s">
        <v>1269</v>
      </c>
      <c r="H541" s="5" t="s">
        <v>1270</v>
      </c>
      <c r="I541" s="5">
        <v>2015</v>
      </c>
      <c r="J541" s="5" t="s">
        <v>1271</v>
      </c>
      <c r="K541" s="3" t="s">
        <v>3048</v>
      </c>
      <c r="L541" s="5" t="s">
        <v>22</v>
      </c>
      <c r="M541" s="5"/>
      <c r="N541" s="5" t="s">
        <v>22</v>
      </c>
      <c r="O541" s="5" t="s">
        <v>22</v>
      </c>
      <c r="P541" s="5" t="s">
        <v>23</v>
      </c>
      <c r="Q541" s="5"/>
      <c r="R541" s="12" t="s">
        <v>22</v>
      </c>
      <c r="U541" s="31" t="s">
        <v>3051</v>
      </c>
    </row>
    <row r="542" spans="1:21" ht="14.25" hidden="1" customHeight="1">
      <c r="A542" s="1">
        <v>253</v>
      </c>
      <c r="B542" s="5" t="s">
        <v>1399</v>
      </c>
      <c r="C542" s="5" t="s">
        <v>1400</v>
      </c>
      <c r="D542" s="5" t="s">
        <v>1401</v>
      </c>
      <c r="E542" s="5">
        <v>285</v>
      </c>
      <c r="F542" s="5" t="s">
        <v>296</v>
      </c>
      <c r="G542" s="5" t="s">
        <v>1402</v>
      </c>
      <c r="H542" s="5" t="s">
        <v>1403</v>
      </c>
      <c r="I542" s="5">
        <v>2008</v>
      </c>
      <c r="J542" s="5" t="s">
        <v>1404</v>
      </c>
      <c r="K542" s="3" t="s">
        <v>3048</v>
      </c>
      <c r="L542" s="5" t="s">
        <v>20</v>
      </c>
      <c r="M542" s="5" t="s">
        <v>21</v>
      </c>
      <c r="N542" s="5" t="s">
        <v>20</v>
      </c>
      <c r="O542" s="5" t="s">
        <v>36</v>
      </c>
      <c r="P542" s="5" t="s">
        <v>36</v>
      </c>
      <c r="Q542" s="5"/>
      <c r="U542" s="1"/>
    </row>
    <row r="543" spans="1:21" ht="14.25" hidden="1" customHeight="1">
      <c r="A543" s="1">
        <v>303</v>
      </c>
      <c r="B543" s="5" t="s">
        <v>1630</v>
      </c>
      <c r="C543" s="5" t="s">
        <v>1631</v>
      </c>
      <c r="D543" s="5" t="s">
        <v>1401</v>
      </c>
      <c r="E543" s="5">
        <v>254</v>
      </c>
      <c r="F543" s="5" t="s">
        <v>1632</v>
      </c>
      <c r="G543" s="5" t="s">
        <v>283</v>
      </c>
      <c r="H543" s="5" t="s">
        <v>1633</v>
      </c>
      <c r="I543" s="5">
        <v>2006</v>
      </c>
      <c r="J543" s="5" t="s">
        <v>1634</v>
      </c>
      <c r="K543" s="3" t="s">
        <v>3048</v>
      </c>
      <c r="L543" s="5" t="s">
        <v>20</v>
      </c>
      <c r="M543" s="5" t="s">
        <v>21</v>
      </c>
      <c r="N543" s="5" t="s">
        <v>20</v>
      </c>
      <c r="O543" s="5" t="s">
        <v>36</v>
      </c>
      <c r="P543" s="5" t="s">
        <v>36</v>
      </c>
      <c r="Q543" s="5"/>
      <c r="U543" s="1"/>
    </row>
    <row r="544" spans="1:21" ht="14.25" customHeight="1">
      <c r="A544" s="1">
        <v>352</v>
      </c>
      <c r="B544" s="3" t="s">
        <v>1852</v>
      </c>
      <c r="C544" s="3" t="s">
        <v>1853</v>
      </c>
      <c r="D544" s="3" t="s">
        <v>1854</v>
      </c>
      <c r="E544" s="3">
        <v>69</v>
      </c>
      <c r="F544" s="3" t="s">
        <v>1855</v>
      </c>
      <c r="G544" s="3" t="s">
        <v>1856</v>
      </c>
      <c r="H544" s="3" t="s">
        <v>27</v>
      </c>
      <c r="I544" s="3">
        <v>2015</v>
      </c>
      <c r="J544" s="3" t="s">
        <v>1857</v>
      </c>
      <c r="K544" s="3" t="s">
        <v>3048</v>
      </c>
      <c r="L544" s="3" t="s">
        <v>22</v>
      </c>
      <c r="M544" s="3" t="s">
        <v>1858</v>
      </c>
      <c r="N544" s="3" t="s">
        <v>268</v>
      </c>
      <c r="O544" s="3" t="s">
        <v>36</v>
      </c>
      <c r="P544" s="3" t="s">
        <v>1858</v>
      </c>
      <c r="Q544" s="3"/>
      <c r="U544" s="1"/>
    </row>
    <row r="545" spans="1:21" ht="14.25" hidden="1" customHeight="1">
      <c r="A545" s="1">
        <v>427</v>
      </c>
      <c r="B545" s="5" t="s">
        <v>2196</v>
      </c>
      <c r="C545" s="5" t="s">
        <v>2197</v>
      </c>
      <c r="D545" s="5" t="s">
        <v>27</v>
      </c>
      <c r="E545" s="5"/>
      <c r="F545" s="5" t="s">
        <v>27</v>
      </c>
      <c r="G545" s="5" t="s">
        <v>27</v>
      </c>
      <c r="H545" s="5" t="s">
        <v>27</v>
      </c>
      <c r="I545" s="5"/>
      <c r="J545" s="5" t="s">
        <v>2198</v>
      </c>
      <c r="K545" s="3" t="s">
        <v>3048</v>
      </c>
      <c r="L545" s="5" t="s">
        <v>20</v>
      </c>
      <c r="M545" s="5" t="s">
        <v>21</v>
      </c>
      <c r="N545" s="5" t="s">
        <v>20</v>
      </c>
      <c r="O545" s="5" t="s">
        <v>36</v>
      </c>
      <c r="P545" s="5" t="s">
        <v>36</v>
      </c>
      <c r="Q545" s="5"/>
      <c r="U545" s="1"/>
    </row>
    <row r="546" spans="1:21" ht="14.25" hidden="1" customHeight="1">
      <c r="A546" s="1">
        <v>187</v>
      </c>
      <c r="B546" s="5" t="s">
        <v>1065</v>
      </c>
      <c r="C546" s="5" t="s">
        <v>1066</v>
      </c>
      <c r="D546" s="5" t="s">
        <v>102</v>
      </c>
      <c r="E546" s="5">
        <v>391</v>
      </c>
      <c r="F546" s="5" t="s">
        <v>1067</v>
      </c>
      <c r="G546" s="5" t="s">
        <v>1068</v>
      </c>
      <c r="H546" s="5" t="s">
        <v>1069</v>
      </c>
      <c r="I546" s="5">
        <v>2017</v>
      </c>
      <c r="J546" s="5" t="s">
        <v>1070</v>
      </c>
      <c r="K546" s="3" t="s">
        <v>3048</v>
      </c>
      <c r="L546" s="5" t="s">
        <v>268</v>
      </c>
      <c r="M546" s="5" t="s">
        <v>269</v>
      </c>
      <c r="N546" s="5" t="s">
        <v>268</v>
      </c>
      <c r="O546" s="5" t="s">
        <v>22</v>
      </c>
      <c r="P546" s="5" t="s">
        <v>269</v>
      </c>
      <c r="Q546" s="3" t="s">
        <v>2878</v>
      </c>
      <c r="U546" s="1"/>
    </row>
    <row r="547" spans="1:21" ht="14.25" hidden="1" customHeight="1">
      <c r="A547" s="1">
        <v>123</v>
      </c>
      <c r="B547" s="5" t="s">
        <v>721</v>
      </c>
      <c r="C547" s="5" t="s">
        <v>722</v>
      </c>
      <c r="D547" s="5" t="s">
        <v>256</v>
      </c>
      <c r="E547" s="5">
        <v>40</v>
      </c>
      <c r="F547" s="5" t="s">
        <v>723</v>
      </c>
      <c r="G547" s="5" t="s">
        <v>724</v>
      </c>
      <c r="H547" s="5" t="s">
        <v>725</v>
      </c>
      <c r="I547" s="5">
        <v>2010</v>
      </c>
      <c r="J547" s="5" t="s">
        <v>726</v>
      </c>
      <c r="K547" s="3" t="s">
        <v>3048</v>
      </c>
      <c r="L547" s="5" t="s">
        <v>20</v>
      </c>
      <c r="M547" s="5" t="s">
        <v>21</v>
      </c>
      <c r="N547" s="5" t="s">
        <v>20</v>
      </c>
      <c r="O547" s="5" t="s">
        <v>36</v>
      </c>
      <c r="P547" s="5" t="s">
        <v>36</v>
      </c>
      <c r="Q547" s="5"/>
      <c r="U547" s="1"/>
    </row>
    <row r="548" spans="1:21" ht="14.25" hidden="1" customHeight="1">
      <c r="A548" s="1">
        <v>241</v>
      </c>
      <c r="B548" s="5" t="s">
        <v>1336</v>
      </c>
      <c r="C548" s="5" t="s">
        <v>1337</v>
      </c>
      <c r="D548" s="5" t="s">
        <v>185</v>
      </c>
      <c r="E548" s="5">
        <v>8</v>
      </c>
      <c r="F548" s="5" t="s">
        <v>1338</v>
      </c>
      <c r="G548" s="5" t="s">
        <v>1339</v>
      </c>
      <c r="H548" s="5" t="s">
        <v>1340</v>
      </c>
      <c r="I548" s="5">
        <v>1999</v>
      </c>
      <c r="J548" s="5" t="s">
        <v>1341</v>
      </c>
      <c r="K548" s="3" t="s">
        <v>3048</v>
      </c>
      <c r="L548" s="5" t="s">
        <v>20</v>
      </c>
      <c r="M548" s="5" t="s">
        <v>21</v>
      </c>
      <c r="N548" s="5" t="s">
        <v>20</v>
      </c>
      <c r="O548" s="5" t="s">
        <v>36</v>
      </c>
      <c r="P548" s="5" t="s">
        <v>36</v>
      </c>
      <c r="Q548" s="5"/>
      <c r="U548" s="1"/>
    </row>
    <row r="549" spans="1:21" ht="14.25" hidden="1" customHeight="1">
      <c r="A549" s="1">
        <v>386</v>
      </c>
      <c r="B549" s="3" t="s">
        <v>2014</v>
      </c>
      <c r="C549" s="3" t="s">
        <v>2015</v>
      </c>
      <c r="D549" s="3" t="s">
        <v>1249</v>
      </c>
      <c r="E549" s="3">
        <v>6</v>
      </c>
      <c r="F549" s="3" t="s">
        <v>167</v>
      </c>
      <c r="G549" s="3" t="s">
        <v>2016</v>
      </c>
      <c r="H549" s="3" t="s">
        <v>2017</v>
      </c>
      <c r="I549" s="3">
        <v>1996</v>
      </c>
      <c r="J549" s="3" t="s">
        <v>2018</v>
      </c>
      <c r="K549" s="3" t="s">
        <v>3048</v>
      </c>
      <c r="L549" s="3" t="s">
        <v>20</v>
      </c>
      <c r="M549" s="3" t="s">
        <v>21</v>
      </c>
      <c r="N549" s="3" t="s">
        <v>20</v>
      </c>
      <c r="O549" s="3" t="s">
        <v>36</v>
      </c>
      <c r="P549" s="3" t="s">
        <v>36</v>
      </c>
      <c r="Q549" s="3"/>
      <c r="U549" s="1"/>
    </row>
    <row r="550" spans="1:21" s="19" customFormat="1" ht="14.25">
      <c r="A550" s="34">
        <v>95</v>
      </c>
      <c r="B550" s="34" t="s">
        <v>3478</v>
      </c>
      <c r="C550" s="34" t="s">
        <v>3479</v>
      </c>
      <c r="D550" s="34" t="s">
        <v>27</v>
      </c>
      <c r="E550" s="34" t="s">
        <v>27</v>
      </c>
      <c r="F550" s="34" t="s">
        <v>27</v>
      </c>
      <c r="G550" s="34" t="s">
        <v>27</v>
      </c>
      <c r="H550" s="34" t="s">
        <v>27</v>
      </c>
      <c r="I550" s="34">
        <v>2024</v>
      </c>
      <c r="J550" s="34" t="s">
        <v>27</v>
      </c>
      <c r="K550" s="34" t="s">
        <v>2946</v>
      </c>
      <c r="L550" s="34" t="s">
        <v>22</v>
      </c>
      <c r="M550" s="34"/>
      <c r="N550" s="34" t="s">
        <v>27</v>
      </c>
      <c r="O550" s="34" t="s">
        <v>22</v>
      </c>
      <c r="P550" s="34" t="s">
        <v>1256</v>
      </c>
      <c r="Q550" s="34"/>
      <c r="R550" s="34"/>
      <c r="S550" s="34"/>
      <c r="T550" s="34"/>
      <c r="U550" s="34"/>
    </row>
    <row r="551" spans="1:21" ht="14.25" customHeight="1">
      <c r="A551" s="1">
        <v>302</v>
      </c>
      <c r="B551" s="3" t="s">
        <v>1624</v>
      </c>
      <c r="C551" s="3" t="s">
        <v>1625</v>
      </c>
      <c r="D551" s="3" t="s">
        <v>173</v>
      </c>
      <c r="E551" s="3">
        <v>34</v>
      </c>
      <c r="F551" s="3" t="s">
        <v>1626</v>
      </c>
      <c r="G551" s="3" t="s">
        <v>1627</v>
      </c>
      <c r="H551" s="3" t="s">
        <v>1628</v>
      </c>
      <c r="I551" s="3">
        <v>2004</v>
      </c>
      <c r="J551" s="3" t="s">
        <v>1629</v>
      </c>
      <c r="K551" s="3" t="s">
        <v>3048</v>
      </c>
      <c r="L551" s="3" t="s">
        <v>22</v>
      </c>
      <c r="M551" s="3"/>
      <c r="N551" s="3" t="s">
        <v>22</v>
      </c>
      <c r="O551" s="3" t="s">
        <v>22</v>
      </c>
      <c r="P551" s="3" t="s">
        <v>23</v>
      </c>
      <c r="Q551" s="3"/>
      <c r="R551" s="12" t="s">
        <v>20</v>
      </c>
      <c r="S551" s="1" t="s">
        <v>2975</v>
      </c>
      <c r="T551" s="1" t="s">
        <v>3009</v>
      </c>
      <c r="U551" s="31" t="s">
        <v>3048</v>
      </c>
    </row>
    <row r="552" spans="1:21" ht="14.25" hidden="1" customHeight="1">
      <c r="A552" s="1">
        <v>19</v>
      </c>
      <c r="B552" s="5" t="s">
        <v>124</v>
      </c>
      <c r="C552" s="5" t="s">
        <v>125</v>
      </c>
      <c r="D552" s="5" t="s">
        <v>15</v>
      </c>
      <c r="E552" s="5">
        <v>17</v>
      </c>
      <c r="F552" s="5" t="s">
        <v>126</v>
      </c>
      <c r="G552" s="5" t="s">
        <v>127</v>
      </c>
      <c r="H552" s="5" t="s">
        <v>128</v>
      </c>
      <c r="I552" s="5">
        <v>2007</v>
      </c>
      <c r="J552" s="5" t="s">
        <v>129</v>
      </c>
      <c r="K552" s="3" t="s">
        <v>3048</v>
      </c>
      <c r="L552" s="5" t="s">
        <v>20</v>
      </c>
      <c r="M552" s="5" t="s">
        <v>21</v>
      </c>
      <c r="N552" s="5" t="s">
        <v>20</v>
      </c>
      <c r="O552" s="5" t="s">
        <v>36</v>
      </c>
      <c r="P552" s="5" t="s">
        <v>36</v>
      </c>
      <c r="Q552" s="5"/>
      <c r="U552" s="1"/>
    </row>
    <row r="553" spans="1:21" ht="14.25" hidden="1" customHeight="1">
      <c r="A553" s="1">
        <v>98</v>
      </c>
      <c r="B553" s="3" t="s">
        <v>587</v>
      </c>
      <c r="C553" s="3" t="s">
        <v>588</v>
      </c>
      <c r="D553" s="3" t="s">
        <v>27</v>
      </c>
      <c r="E553" s="3"/>
      <c r="F553" s="3" t="s">
        <v>27</v>
      </c>
      <c r="G553" s="3" t="s">
        <v>27</v>
      </c>
      <c r="H553" s="3" t="s">
        <v>27</v>
      </c>
      <c r="I553" s="3">
        <v>2002</v>
      </c>
      <c r="J553" s="3" t="s">
        <v>27</v>
      </c>
      <c r="K553" s="3" t="s">
        <v>3048</v>
      </c>
      <c r="L553" s="3" t="s">
        <v>589</v>
      </c>
      <c r="M553" s="3" t="s">
        <v>36</v>
      </c>
      <c r="N553" s="3" t="s">
        <v>20</v>
      </c>
      <c r="O553" s="3" t="s">
        <v>36</v>
      </c>
      <c r="P553" s="3" t="s">
        <v>36</v>
      </c>
      <c r="Q553" s="3"/>
      <c r="U553" s="1"/>
    </row>
    <row r="554" spans="1:21" ht="14.25" hidden="1" customHeight="1">
      <c r="A554" s="1">
        <v>533</v>
      </c>
      <c r="B554" s="5" t="s">
        <v>2687</v>
      </c>
      <c r="C554" s="5" t="s">
        <v>2688</v>
      </c>
      <c r="D554" s="5" t="s">
        <v>636</v>
      </c>
      <c r="E554" s="5">
        <v>655</v>
      </c>
      <c r="F554" s="5" t="s">
        <v>388</v>
      </c>
      <c r="G554" s="5" t="s">
        <v>881</v>
      </c>
      <c r="H554" s="5" t="s">
        <v>2689</v>
      </c>
      <c r="I554" s="5">
        <v>2019</v>
      </c>
      <c r="J554" s="5" t="s">
        <v>2690</v>
      </c>
      <c r="K554" s="3" t="s">
        <v>3048</v>
      </c>
      <c r="L554" s="5" t="s">
        <v>20</v>
      </c>
      <c r="M554" s="5" t="s">
        <v>21</v>
      </c>
      <c r="N554" s="5" t="s">
        <v>20</v>
      </c>
      <c r="O554" s="5" t="s">
        <v>36</v>
      </c>
      <c r="P554" s="5" t="s">
        <v>36</v>
      </c>
      <c r="Q554" s="5"/>
      <c r="U554" s="1"/>
    </row>
    <row r="555" spans="1:21" ht="14.25" customHeight="1">
      <c r="A555" s="1">
        <v>379</v>
      </c>
      <c r="B555" s="5" t="s">
        <v>1985</v>
      </c>
      <c r="C555" s="5" t="s">
        <v>1986</v>
      </c>
      <c r="D555" s="5" t="s">
        <v>102</v>
      </c>
      <c r="E555" s="5">
        <v>457</v>
      </c>
      <c r="F555" s="5" t="s">
        <v>27</v>
      </c>
      <c r="G555" s="5" t="s">
        <v>27</v>
      </c>
      <c r="H555" s="5" t="s">
        <v>1987</v>
      </c>
      <c r="I555" s="5">
        <v>2020</v>
      </c>
      <c r="J555" s="5" t="s">
        <v>1988</v>
      </c>
      <c r="K555" s="3" t="s">
        <v>3048</v>
      </c>
      <c r="L555" s="5" t="s">
        <v>22</v>
      </c>
      <c r="M555" s="5"/>
      <c r="N555" s="5" t="s">
        <v>268</v>
      </c>
      <c r="O555" s="5" t="s">
        <v>22</v>
      </c>
      <c r="P555" s="5" t="s">
        <v>269</v>
      </c>
      <c r="Q555" s="5"/>
      <c r="U555" s="1"/>
    </row>
    <row r="556" spans="1:21" ht="14.25" customHeight="1">
      <c r="A556" s="1">
        <v>245</v>
      </c>
      <c r="B556" s="5" t="s">
        <v>1354</v>
      </c>
      <c r="C556" s="5" t="s">
        <v>1355</v>
      </c>
      <c r="D556" s="5" t="s">
        <v>102</v>
      </c>
      <c r="E556" s="5">
        <v>96</v>
      </c>
      <c r="F556" s="5" t="s">
        <v>551</v>
      </c>
      <c r="G556" s="5" t="s">
        <v>1356</v>
      </c>
      <c r="H556" s="5" t="s">
        <v>1357</v>
      </c>
      <c r="I556" s="5">
        <v>1997</v>
      </c>
      <c r="J556" s="5" t="s">
        <v>1358</v>
      </c>
      <c r="K556" s="3" t="s">
        <v>3048</v>
      </c>
      <c r="L556" s="5" t="s">
        <v>22</v>
      </c>
      <c r="M556" s="5"/>
      <c r="N556" s="5" t="s">
        <v>22</v>
      </c>
      <c r="O556" s="5" t="s">
        <v>22</v>
      </c>
      <c r="P556" s="5" t="s">
        <v>23</v>
      </c>
      <c r="Q556" s="5"/>
      <c r="R556" s="12" t="s">
        <v>22</v>
      </c>
      <c r="U556" s="31" t="s">
        <v>2946</v>
      </c>
    </row>
    <row r="557" spans="1:21" ht="14.25" customHeight="1">
      <c r="A557" s="1">
        <v>432</v>
      </c>
      <c r="B557" s="3" t="s">
        <v>2216</v>
      </c>
      <c r="C557" s="3" t="s">
        <v>2217</v>
      </c>
      <c r="D557" s="3" t="s">
        <v>1121</v>
      </c>
      <c r="E557" s="3">
        <v>110</v>
      </c>
      <c r="F557" s="3" t="s">
        <v>2218</v>
      </c>
      <c r="G557" s="3" t="s">
        <v>2219</v>
      </c>
      <c r="H557" s="3" t="s">
        <v>2220</v>
      </c>
      <c r="I557" s="3">
        <v>2006</v>
      </c>
      <c r="J557" s="3" t="s">
        <v>2221</v>
      </c>
      <c r="K557" s="3" t="s">
        <v>3048</v>
      </c>
      <c r="L557" s="3" t="s">
        <v>22</v>
      </c>
      <c r="M557" s="3"/>
      <c r="N557" s="3" t="s">
        <v>22</v>
      </c>
      <c r="O557" s="3" t="s">
        <v>22</v>
      </c>
      <c r="P557" s="3" t="s">
        <v>23</v>
      </c>
      <c r="Q557" s="3"/>
      <c r="R557" s="12" t="s">
        <v>22</v>
      </c>
      <c r="U557" s="31" t="s">
        <v>2910</v>
      </c>
    </row>
    <row r="558" spans="1:21" ht="14.25" hidden="1" customHeight="1">
      <c r="A558" s="1">
        <v>433</v>
      </c>
      <c r="B558" s="5" t="s">
        <v>2222</v>
      </c>
      <c r="C558" s="5" t="s">
        <v>2223</v>
      </c>
      <c r="D558" s="5" t="s">
        <v>27</v>
      </c>
      <c r="E558" s="5"/>
      <c r="F558" s="5" t="s">
        <v>27</v>
      </c>
      <c r="G558" s="5" t="s">
        <v>27</v>
      </c>
      <c r="H558" s="5" t="s">
        <v>27</v>
      </c>
      <c r="I558" s="5">
        <v>2015</v>
      </c>
      <c r="J558" s="5" t="s">
        <v>27</v>
      </c>
      <c r="K558" s="3" t="s">
        <v>3048</v>
      </c>
      <c r="L558" s="5" t="s">
        <v>20</v>
      </c>
      <c r="M558" s="5" t="s">
        <v>21</v>
      </c>
      <c r="N558" s="5" t="s">
        <v>20</v>
      </c>
      <c r="O558" s="5" t="s">
        <v>36</v>
      </c>
      <c r="P558" s="5" t="s">
        <v>36</v>
      </c>
      <c r="Q558" s="5"/>
      <c r="U558" s="1"/>
    </row>
    <row r="559" spans="1:21" ht="14.25" hidden="1" customHeight="1">
      <c r="A559" s="1">
        <v>511</v>
      </c>
      <c r="B559" s="5" t="s">
        <v>2587</v>
      </c>
      <c r="C559" s="5" t="s">
        <v>2588</v>
      </c>
      <c r="D559" s="5" t="s">
        <v>64</v>
      </c>
      <c r="E559" s="5">
        <v>147</v>
      </c>
      <c r="F559" s="5" t="s">
        <v>551</v>
      </c>
      <c r="G559" s="5" t="s">
        <v>2589</v>
      </c>
      <c r="H559" s="5" t="s">
        <v>2590</v>
      </c>
      <c r="I559" s="5">
        <v>2000</v>
      </c>
      <c r="J559" s="5" t="s">
        <v>2591</v>
      </c>
      <c r="K559" s="3" t="s">
        <v>3048</v>
      </c>
      <c r="L559" s="5" t="s">
        <v>20</v>
      </c>
      <c r="M559" s="5" t="s">
        <v>21</v>
      </c>
      <c r="N559" s="5" t="s">
        <v>20</v>
      </c>
      <c r="O559" s="5" t="s">
        <v>36</v>
      </c>
      <c r="P559" s="5" t="s">
        <v>36</v>
      </c>
      <c r="Q559" s="5"/>
      <c r="U559" s="1"/>
    </row>
    <row r="560" spans="1:21" ht="14.25" customHeight="1">
      <c r="A560" s="1">
        <v>396</v>
      </c>
      <c r="B560" s="3" t="s">
        <v>2061</v>
      </c>
      <c r="C560" s="3" t="s">
        <v>2062</v>
      </c>
      <c r="D560" s="3" t="s">
        <v>2063</v>
      </c>
      <c r="E560" s="3">
        <v>14</v>
      </c>
      <c r="F560" s="3" t="s">
        <v>2064</v>
      </c>
      <c r="G560" s="3" t="s">
        <v>2065</v>
      </c>
      <c r="H560" s="3" t="s">
        <v>2066</v>
      </c>
      <c r="I560" s="3">
        <v>2004</v>
      </c>
      <c r="J560" s="3" t="s">
        <v>2067</v>
      </c>
      <c r="K560" s="3" t="s">
        <v>3048</v>
      </c>
      <c r="L560" s="3" t="s">
        <v>22</v>
      </c>
      <c r="M560" s="3"/>
      <c r="N560" s="3" t="s">
        <v>22</v>
      </c>
      <c r="O560" s="3" t="s">
        <v>22</v>
      </c>
      <c r="P560" s="3" t="s">
        <v>23</v>
      </c>
      <c r="Q560" s="3"/>
      <c r="R560" s="22" t="s">
        <v>22</v>
      </c>
      <c r="T560" s="1" t="s">
        <v>2926</v>
      </c>
      <c r="U560" s="31" t="s">
        <v>3025</v>
      </c>
    </row>
    <row r="561" spans="1:21" ht="14.25" hidden="1" customHeight="1">
      <c r="A561" s="1">
        <v>408</v>
      </c>
      <c r="B561" s="3" t="s">
        <v>2109</v>
      </c>
      <c r="C561" s="3" t="s">
        <v>2110</v>
      </c>
      <c r="D561" s="3" t="s">
        <v>27</v>
      </c>
      <c r="E561" s="3"/>
      <c r="F561" s="3" t="s">
        <v>27</v>
      </c>
      <c r="G561" s="3" t="s">
        <v>27</v>
      </c>
      <c r="H561" s="3" t="s">
        <v>27</v>
      </c>
      <c r="I561" s="3">
        <v>2023</v>
      </c>
      <c r="J561" s="3" t="s">
        <v>27</v>
      </c>
      <c r="K561" s="3" t="s">
        <v>3048</v>
      </c>
      <c r="L561" s="3" t="s">
        <v>20</v>
      </c>
      <c r="M561" s="3" t="s">
        <v>36</v>
      </c>
      <c r="N561" s="3" t="s">
        <v>20</v>
      </c>
      <c r="O561" s="3" t="s">
        <v>36</v>
      </c>
      <c r="P561" s="3" t="s">
        <v>36</v>
      </c>
      <c r="Q561" s="3"/>
      <c r="U561" s="1"/>
    </row>
    <row r="562" spans="1:21" ht="14.25" hidden="1" customHeight="1">
      <c r="A562" s="1">
        <v>15</v>
      </c>
      <c r="B562" s="5" t="s">
        <v>107</v>
      </c>
      <c r="C562" s="5" t="s">
        <v>108</v>
      </c>
      <c r="D562" s="5" t="s">
        <v>109</v>
      </c>
      <c r="E562" s="5">
        <v>9</v>
      </c>
      <c r="F562" s="5" t="s">
        <v>27</v>
      </c>
      <c r="G562" s="5" t="s">
        <v>27</v>
      </c>
      <c r="H562" s="5" t="s">
        <v>110</v>
      </c>
      <c r="I562" s="5">
        <v>2023</v>
      </c>
      <c r="J562" s="5" t="s">
        <v>111</v>
      </c>
      <c r="K562" s="3" t="s">
        <v>3048</v>
      </c>
      <c r="L562" s="5" t="s">
        <v>20</v>
      </c>
      <c r="M562" s="5" t="s">
        <v>21</v>
      </c>
      <c r="N562" s="5" t="s">
        <v>22</v>
      </c>
      <c r="O562" s="5" t="s">
        <v>22</v>
      </c>
      <c r="P562" s="5" t="s">
        <v>23</v>
      </c>
      <c r="Q562" s="5"/>
      <c r="R562" s="12" t="s">
        <v>20</v>
      </c>
      <c r="S562" s="1" t="s">
        <v>2990</v>
      </c>
      <c r="T562" s="1" t="s">
        <v>3031</v>
      </c>
      <c r="U562" s="31" t="s">
        <v>3048</v>
      </c>
    </row>
    <row r="563" spans="1:21" ht="14.25" hidden="1" customHeight="1">
      <c r="A563" s="1">
        <v>435</v>
      </c>
      <c r="B563" s="5" t="s">
        <v>2230</v>
      </c>
      <c r="C563" s="5" t="s">
        <v>2231</v>
      </c>
      <c r="D563" s="5" t="s">
        <v>15</v>
      </c>
      <c r="E563" s="5">
        <v>14</v>
      </c>
      <c r="F563" s="5" t="s">
        <v>2093</v>
      </c>
      <c r="G563" s="5" t="s">
        <v>485</v>
      </c>
      <c r="H563" s="5" t="s">
        <v>2232</v>
      </c>
      <c r="I563" s="5">
        <v>2004</v>
      </c>
      <c r="J563" s="5" t="s">
        <v>2233</v>
      </c>
      <c r="K563" s="3" t="s">
        <v>3048</v>
      </c>
      <c r="L563" s="5" t="s">
        <v>20</v>
      </c>
      <c r="M563" s="5" t="s">
        <v>21</v>
      </c>
      <c r="N563" s="5" t="s">
        <v>20</v>
      </c>
      <c r="O563" s="5" t="s">
        <v>36</v>
      </c>
      <c r="P563" s="5" t="s">
        <v>36</v>
      </c>
      <c r="Q563" s="5"/>
      <c r="U563" s="1"/>
    </row>
    <row r="564" spans="1:21" ht="14.25" customHeight="1">
      <c r="A564" s="1">
        <v>373</v>
      </c>
      <c r="B564" s="5" t="s">
        <v>1960</v>
      </c>
      <c r="C564" s="5" t="s">
        <v>1961</v>
      </c>
      <c r="D564" s="5" t="s">
        <v>672</v>
      </c>
      <c r="E564" s="5">
        <v>63</v>
      </c>
      <c r="F564" s="5" t="s">
        <v>1962</v>
      </c>
      <c r="G564" s="5" t="s">
        <v>1687</v>
      </c>
      <c r="H564" s="5" t="s">
        <v>27</v>
      </c>
      <c r="I564" s="5">
        <v>2011</v>
      </c>
      <c r="J564" s="5" t="s">
        <v>27</v>
      </c>
      <c r="K564" s="3" t="s">
        <v>3048</v>
      </c>
      <c r="L564" s="5" t="s">
        <v>22</v>
      </c>
      <c r="M564" s="5"/>
      <c r="N564" s="5" t="s">
        <v>22</v>
      </c>
      <c r="O564" s="5" t="s">
        <v>22</v>
      </c>
      <c r="P564" s="5" t="s">
        <v>1963</v>
      </c>
      <c r="Q564" s="5"/>
      <c r="R564" s="12" t="s">
        <v>22</v>
      </c>
      <c r="T564" s="1" t="s">
        <v>3181</v>
      </c>
      <c r="U564" s="31" t="s">
        <v>3025</v>
      </c>
    </row>
    <row r="565" spans="1:21" ht="14.25" customHeight="1">
      <c r="A565" s="1">
        <v>538</v>
      </c>
      <c r="B565" s="3" t="s">
        <v>2705</v>
      </c>
      <c r="C565" s="3" t="s">
        <v>2706</v>
      </c>
      <c r="D565" s="3" t="s">
        <v>839</v>
      </c>
      <c r="E565" s="3">
        <v>87</v>
      </c>
      <c r="F565" s="3" t="s">
        <v>2707</v>
      </c>
      <c r="G565" s="3" t="s">
        <v>2707</v>
      </c>
      <c r="H565" s="3" t="s">
        <v>27</v>
      </c>
      <c r="I565" s="3">
        <v>2002</v>
      </c>
      <c r="J565" s="3" t="s">
        <v>27</v>
      </c>
      <c r="K565" s="3" t="s">
        <v>3048</v>
      </c>
      <c r="L565" s="3" t="s">
        <v>22</v>
      </c>
      <c r="M565" s="3"/>
      <c r="N565" s="3" t="s">
        <v>22</v>
      </c>
      <c r="O565" s="3" t="s">
        <v>20</v>
      </c>
      <c r="P565" s="3" t="s">
        <v>2708</v>
      </c>
      <c r="Q565" s="3"/>
      <c r="U565" s="1"/>
    </row>
    <row r="566" spans="1:21" ht="14.25" customHeight="1">
      <c r="A566" s="1">
        <v>431</v>
      </c>
      <c r="B566" s="5" t="s">
        <v>2213</v>
      </c>
      <c r="C566" s="5" t="s">
        <v>2214</v>
      </c>
      <c r="D566" s="5" t="s">
        <v>27</v>
      </c>
      <c r="E566" s="5"/>
      <c r="F566" s="5" t="s">
        <v>27</v>
      </c>
      <c r="G566" s="5" t="s">
        <v>27</v>
      </c>
      <c r="H566" s="5" t="s">
        <v>27</v>
      </c>
      <c r="I566" s="5">
        <v>2000</v>
      </c>
      <c r="J566" s="5" t="s">
        <v>27</v>
      </c>
      <c r="K566" s="3" t="s">
        <v>3048</v>
      </c>
      <c r="L566" s="5" t="s">
        <v>22</v>
      </c>
      <c r="M566" s="5" t="s">
        <v>2215</v>
      </c>
      <c r="N566" s="5" t="s">
        <v>20</v>
      </c>
      <c r="O566" s="5" t="s">
        <v>36</v>
      </c>
      <c r="P566" s="5" t="s">
        <v>2215</v>
      </c>
      <c r="Q566" s="3" t="s">
        <v>1224</v>
      </c>
      <c r="U566" s="1"/>
    </row>
    <row r="567" spans="1:21" ht="14.25" customHeight="1">
      <c r="A567" s="1">
        <v>133</v>
      </c>
      <c r="B567" s="5" t="s">
        <v>780</v>
      </c>
      <c r="C567" s="5" t="s">
        <v>781</v>
      </c>
      <c r="D567" s="5" t="s">
        <v>256</v>
      </c>
      <c r="E567" s="5">
        <v>34</v>
      </c>
      <c r="F567" s="5" t="s">
        <v>782</v>
      </c>
      <c r="G567" s="5" t="s">
        <v>783</v>
      </c>
      <c r="H567" s="5" t="s">
        <v>784</v>
      </c>
      <c r="I567" s="5">
        <v>2004</v>
      </c>
      <c r="J567" s="5" t="s">
        <v>785</v>
      </c>
      <c r="K567" s="3" t="s">
        <v>3048</v>
      </c>
      <c r="L567" s="5" t="s">
        <v>22</v>
      </c>
      <c r="M567" s="5"/>
      <c r="N567" s="5" t="s">
        <v>22</v>
      </c>
      <c r="O567" s="5" t="s">
        <v>22</v>
      </c>
      <c r="P567" s="5" t="s">
        <v>23</v>
      </c>
      <c r="Q567" s="5"/>
      <c r="R567" s="12" t="s">
        <v>22</v>
      </c>
      <c r="U567" s="31" t="s">
        <v>3025</v>
      </c>
    </row>
    <row r="568" spans="1:21" s="19" customFormat="1" ht="14.25">
      <c r="A568" s="34">
        <v>320</v>
      </c>
      <c r="B568" s="34" t="s">
        <v>3480</v>
      </c>
      <c r="C568" s="34" t="s">
        <v>3481</v>
      </c>
      <c r="D568" s="34" t="s">
        <v>3421</v>
      </c>
      <c r="E568" s="34">
        <v>18</v>
      </c>
      <c r="F568" s="34" t="s">
        <v>27</v>
      </c>
      <c r="G568" s="34" t="s">
        <v>27</v>
      </c>
      <c r="H568" s="34" t="s">
        <v>3482</v>
      </c>
      <c r="I568" s="34">
        <v>2024</v>
      </c>
      <c r="J568" s="34" t="s">
        <v>3483</v>
      </c>
      <c r="K568" s="34" t="s">
        <v>2946</v>
      </c>
      <c r="L568" s="34" t="s">
        <v>22</v>
      </c>
      <c r="M568" s="34"/>
      <c r="N568" s="34" t="s">
        <v>27</v>
      </c>
      <c r="O568" s="34" t="s">
        <v>22</v>
      </c>
      <c r="P568" s="34" t="s">
        <v>23</v>
      </c>
      <c r="Q568" s="34"/>
      <c r="R568" s="34"/>
      <c r="S568" s="34"/>
      <c r="T568" s="34"/>
      <c r="U568" s="34"/>
    </row>
    <row r="569" spans="1:21" ht="14.25" hidden="1" customHeight="1">
      <c r="A569" s="1">
        <v>189</v>
      </c>
      <c r="B569" s="5" t="s">
        <v>1078</v>
      </c>
      <c r="C569" s="5" t="s">
        <v>1079</v>
      </c>
      <c r="D569" s="5" t="s">
        <v>1080</v>
      </c>
      <c r="E569" s="5">
        <v>100</v>
      </c>
      <c r="F569" s="5" t="s">
        <v>27</v>
      </c>
      <c r="G569" s="5" t="s">
        <v>27</v>
      </c>
      <c r="H569" s="5" t="s">
        <v>1081</v>
      </c>
      <c r="I569" s="5">
        <v>2019</v>
      </c>
      <c r="J569" s="5" t="s">
        <v>1082</v>
      </c>
      <c r="K569" s="3" t="s">
        <v>3048</v>
      </c>
      <c r="L569" s="5" t="s">
        <v>20</v>
      </c>
      <c r="M569" s="5" t="s">
        <v>21</v>
      </c>
      <c r="N569" s="5" t="s">
        <v>20</v>
      </c>
      <c r="O569" s="5" t="s">
        <v>36</v>
      </c>
      <c r="P569" s="5" t="s">
        <v>36</v>
      </c>
      <c r="Q569" s="5"/>
      <c r="U569" s="1"/>
    </row>
    <row r="570" spans="1:21" ht="14.25" customHeight="1">
      <c r="A570" s="1">
        <v>8</v>
      </c>
      <c r="B570" s="3" t="s">
        <v>62</v>
      </c>
      <c r="C570" s="3" t="s">
        <v>63</v>
      </c>
      <c r="D570" s="3" t="s">
        <v>64</v>
      </c>
      <c r="E570" s="3">
        <v>176</v>
      </c>
      <c r="F570" s="3" t="s">
        <v>65</v>
      </c>
      <c r="G570" s="3" t="s">
        <v>66</v>
      </c>
      <c r="H570" s="3" t="s">
        <v>67</v>
      </c>
      <c r="I570" s="3">
        <v>2007</v>
      </c>
      <c r="J570" s="3" t="s">
        <v>68</v>
      </c>
      <c r="K570" s="3" t="s">
        <v>3048</v>
      </c>
      <c r="L570" s="3" t="s">
        <v>22</v>
      </c>
      <c r="M570" s="3"/>
      <c r="N570" s="3" t="s">
        <v>22</v>
      </c>
      <c r="O570" s="3" t="s">
        <v>22</v>
      </c>
      <c r="P570" s="3" t="s">
        <v>23</v>
      </c>
      <c r="Q570" s="3"/>
      <c r="R570" s="21" t="s">
        <v>22</v>
      </c>
      <c r="U570" s="31" t="s">
        <v>3048</v>
      </c>
    </row>
    <row r="571" spans="1:21" ht="14.25" hidden="1" customHeight="1">
      <c r="A571" s="1">
        <v>1</v>
      </c>
      <c r="B571" s="5" t="s">
        <v>13</v>
      </c>
      <c r="C571" s="5" t="s">
        <v>14</v>
      </c>
      <c r="D571" s="5" t="s">
        <v>15</v>
      </c>
      <c r="E571" s="5">
        <v>19</v>
      </c>
      <c r="F571" s="5" t="s">
        <v>16</v>
      </c>
      <c r="G571" s="5" t="s">
        <v>17</v>
      </c>
      <c r="H571" s="5" t="s">
        <v>18</v>
      </c>
      <c r="I571" s="5">
        <v>2009</v>
      </c>
      <c r="J571" s="5" t="s">
        <v>19</v>
      </c>
      <c r="K571" s="3" t="s">
        <v>3048</v>
      </c>
      <c r="L571" s="5" t="s">
        <v>20</v>
      </c>
      <c r="M571" s="5" t="s">
        <v>21</v>
      </c>
      <c r="N571" s="5" t="s">
        <v>22</v>
      </c>
      <c r="O571" s="5" t="s">
        <v>22</v>
      </c>
      <c r="P571" s="5" t="s">
        <v>23</v>
      </c>
      <c r="Q571" s="5"/>
      <c r="R571" s="21" t="s">
        <v>22</v>
      </c>
      <c r="T571" s="1" t="s">
        <v>2898</v>
      </c>
      <c r="U571" s="31" t="s">
        <v>3048</v>
      </c>
    </row>
    <row r="572" spans="1:21" ht="14.25" hidden="1" customHeight="1">
      <c r="A572" s="1">
        <v>472</v>
      </c>
      <c r="B572" s="3" t="s">
        <v>2406</v>
      </c>
      <c r="C572" s="3" t="s">
        <v>2407</v>
      </c>
      <c r="D572" s="3" t="s">
        <v>1556</v>
      </c>
      <c r="E572" s="3">
        <v>67</v>
      </c>
      <c r="F572" s="3" t="s">
        <v>492</v>
      </c>
      <c r="G572" s="3" t="s">
        <v>296</v>
      </c>
      <c r="H572" s="3" t="s">
        <v>2408</v>
      </c>
      <c r="I572" s="3">
        <v>2003</v>
      </c>
      <c r="J572" s="3" t="s">
        <v>2409</v>
      </c>
      <c r="K572" s="3" t="s">
        <v>3048</v>
      </c>
      <c r="L572" s="3" t="s">
        <v>20</v>
      </c>
      <c r="M572" s="3" t="s">
        <v>21</v>
      </c>
      <c r="N572" s="3" t="s">
        <v>20</v>
      </c>
      <c r="O572" s="3" t="s">
        <v>36</v>
      </c>
      <c r="P572" s="3" t="s">
        <v>36</v>
      </c>
      <c r="Q572" s="3"/>
      <c r="U572" s="1"/>
    </row>
    <row r="573" spans="1:21" ht="14.25" hidden="1" customHeight="1">
      <c r="A573" s="1">
        <v>556</v>
      </c>
      <c r="B573" s="3" t="s">
        <v>2779</v>
      </c>
      <c r="C573" s="3" t="s">
        <v>2780</v>
      </c>
      <c r="D573" s="3" t="s">
        <v>2781</v>
      </c>
      <c r="E573" s="3">
        <v>10</v>
      </c>
      <c r="F573" s="3" t="s">
        <v>598</v>
      </c>
      <c r="G573" s="3" t="s">
        <v>1102</v>
      </c>
      <c r="H573" s="3" t="s">
        <v>27</v>
      </c>
      <c r="I573" s="3">
        <v>2010</v>
      </c>
      <c r="J573" s="3" t="s">
        <v>27</v>
      </c>
      <c r="K573" s="3" t="s">
        <v>3048</v>
      </c>
      <c r="L573" s="3" t="s">
        <v>20</v>
      </c>
      <c r="M573" s="3" t="s">
        <v>21</v>
      </c>
      <c r="N573" s="3" t="s">
        <v>20</v>
      </c>
      <c r="O573" s="3" t="s">
        <v>36</v>
      </c>
      <c r="P573" s="3" t="s">
        <v>36</v>
      </c>
      <c r="Q573" s="3"/>
      <c r="U573" s="1"/>
    </row>
    <row r="574" spans="1:21" s="19" customFormat="1" ht="14.25" hidden="1">
      <c r="A574" s="34">
        <v>496</v>
      </c>
      <c r="B574" s="34" t="s">
        <v>3484</v>
      </c>
      <c r="C574" s="34" t="s">
        <v>3485</v>
      </c>
      <c r="D574" s="34" t="s">
        <v>3486</v>
      </c>
      <c r="E574" s="34">
        <v>21</v>
      </c>
      <c r="F574" s="34" t="s">
        <v>27</v>
      </c>
      <c r="G574" s="34" t="s">
        <v>27</v>
      </c>
      <c r="H574" s="34" t="s">
        <v>3487</v>
      </c>
      <c r="I574" s="34">
        <v>2021</v>
      </c>
      <c r="J574" s="34" t="s">
        <v>3488</v>
      </c>
      <c r="K574" s="34" t="s">
        <v>2946</v>
      </c>
      <c r="L574" s="35" t="s">
        <v>20</v>
      </c>
      <c r="M574" s="34"/>
      <c r="N574" s="34" t="s">
        <v>27</v>
      </c>
      <c r="O574" s="34"/>
      <c r="P574" s="34"/>
      <c r="Q574" s="34"/>
      <c r="R574" s="34"/>
      <c r="S574" s="34"/>
      <c r="T574" s="34"/>
      <c r="U574" s="34"/>
    </row>
    <row r="575" spans="1:21" ht="14.25" customHeight="1">
      <c r="A575" s="1">
        <v>228</v>
      </c>
      <c r="B575" s="3" t="s">
        <v>1272</v>
      </c>
      <c r="C575" s="3" t="s">
        <v>1273</v>
      </c>
      <c r="D575" s="3" t="s">
        <v>102</v>
      </c>
      <c r="E575" s="3">
        <v>544</v>
      </c>
      <c r="F575" s="3" t="s">
        <v>27</v>
      </c>
      <c r="G575" s="3" t="s">
        <v>27</v>
      </c>
      <c r="H575" s="3" t="s">
        <v>1274</v>
      </c>
      <c r="I575" s="3">
        <v>2023</v>
      </c>
      <c r="J575" s="3" t="s">
        <v>1275</v>
      </c>
      <c r="K575" s="3" t="s">
        <v>3048</v>
      </c>
      <c r="L575" s="3" t="s">
        <v>22</v>
      </c>
      <c r="M575" s="3"/>
      <c r="N575" s="3" t="s">
        <v>22</v>
      </c>
      <c r="O575" s="3" t="s">
        <v>22</v>
      </c>
      <c r="P575" s="3" t="s">
        <v>23</v>
      </c>
      <c r="Q575" s="3"/>
      <c r="R575" s="12" t="s">
        <v>20</v>
      </c>
      <c r="S575" s="1" t="s">
        <v>3552</v>
      </c>
      <c r="U575" s="31" t="s">
        <v>3025</v>
      </c>
    </row>
    <row r="576" spans="1:21" ht="14.25" customHeight="1">
      <c r="A576" s="1">
        <v>193</v>
      </c>
      <c r="B576" s="5" t="s">
        <v>1099</v>
      </c>
      <c r="C576" s="5" t="s">
        <v>1100</v>
      </c>
      <c r="D576" s="5" t="s">
        <v>1101</v>
      </c>
      <c r="E576" s="5">
        <v>21</v>
      </c>
      <c r="F576" s="5" t="s">
        <v>150</v>
      </c>
      <c r="G576" s="5" t="s">
        <v>1102</v>
      </c>
      <c r="H576" s="5" t="s">
        <v>27</v>
      </c>
      <c r="I576" s="5">
        <v>2009</v>
      </c>
      <c r="J576" s="5" t="s">
        <v>1103</v>
      </c>
      <c r="K576" s="3" t="s">
        <v>3048</v>
      </c>
      <c r="L576" s="5" t="s">
        <v>22</v>
      </c>
      <c r="M576" s="5"/>
      <c r="N576" s="5" t="s">
        <v>22</v>
      </c>
      <c r="O576" s="5" t="s">
        <v>22</v>
      </c>
      <c r="P576" s="5" t="s">
        <v>23</v>
      </c>
      <c r="Q576" s="5"/>
      <c r="R576" s="12" t="s">
        <v>20</v>
      </c>
      <c r="S576" s="1" t="s">
        <v>2975</v>
      </c>
      <c r="T576" s="1" t="s">
        <v>3145</v>
      </c>
      <c r="U576" s="31" t="s">
        <v>3298</v>
      </c>
    </row>
    <row r="577" spans="1:21" ht="14.25" hidden="1" customHeight="1">
      <c r="A577" s="1">
        <v>130</v>
      </c>
      <c r="B577" s="3" t="s">
        <v>761</v>
      </c>
      <c r="C577" s="3" t="s">
        <v>762</v>
      </c>
      <c r="D577" s="3" t="s">
        <v>15</v>
      </c>
      <c r="E577" s="3">
        <v>16</v>
      </c>
      <c r="F577" s="3" t="s">
        <v>763</v>
      </c>
      <c r="G577" s="3" t="s">
        <v>764</v>
      </c>
      <c r="H577" s="3" t="s">
        <v>765</v>
      </c>
      <c r="I577" s="3">
        <v>2006</v>
      </c>
      <c r="J577" s="3" t="s">
        <v>766</v>
      </c>
      <c r="K577" s="3" t="s">
        <v>3048</v>
      </c>
      <c r="L577" s="3" t="s">
        <v>20</v>
      </c>
      <c r="M577" s="3" t="s">
        <v>21</v>
      </c>
      <c r="N577" s="3" t="s">
        <v>20</v>
      </c>
      <c r="O577" s="3" t="s">
        <v>36</v>
      </c>
      <c r="P577" s="3" t="s">
        <v>36</v>
      </c>
      <c r="Q577" s="3"/>
      <c r="U577" s="1"/>
    </row>
    <row r="578" spans="1:21" ht="14.25" customHeight="1">
      <c r="A578" s="1">
        <v>312</v>
      </c>
      <c r="B578" s="3" t="s">
        <v>1677</v>
      </c>
      <c r="C578" s="3" t="s">
        <v>1678</v>
      </c>
      <c r="D578" s="3" t="s">
        <v>95</v>
      </c>
      <c r="E578" s="3">
        <v>18</v>
      </c>
      <c r="F578" s="3" t="s">
        <v>1457</v>
      </c>
      <c r="G578" s="3" t="s">
        <v>1679</v>
      </c>
      <c r="H578" s="3" t="s">
        <v>1680</v>
      </c>
      <c r="I578" s="3">
        <v>2003</v>
      </c>
      <c r="J578" s="3" t="s">
        <v>1681</v>
      </c>
      <c r="K578" s="3" t="s">
        <v>3048</v>
      </c>
      <c r="L578" s="3" t="s">
        <v>22</v>
      </c>
      <c r="M578" s="3"/>
      <c r="N578" s="3" t="s">
        <v>22</v>
      </c>
      <c r="O578" s="3" t="s">
        <v>22</v>
      </c>
      <c r="P578" s="3" t="s">
        <v>23</v>
      </c>
      <c r="Q578" s="3"/>
      <c r="R578" s="12" t="s">
        <v>20</v>
      </c>
      <c r="S578" s="1" t="s">
        <v>2975</v>
      </c>
      <c r="T578" s="1" t="s">
        <v>3175</v>
      </c>
      <c r="U578" s="31" t="s">
        <v>3298</v>
      </c>
    </row>
    <row r="579" spans="1:21" ht="14.25" hidden="1" customHeight="1">
      <c r="A579" s="1">
        <v>144</v>
      </c>
      <c r="B579" s="3" t="s">
        <v>837</v>
      </c>
      <c r="C579" s="3" t="s">
        <v>838</v>
      </c>
      <c r="D579" s="3" t="s">
        <v>839</v>
      </c>
      <c r="E579" s="3">
        <v>89</v>
      </c>
      <c r="F579" s="3" t="s">
        <v>840</v>
      </c>
      <c r="G579" s="3" t="s">
        <v>127</v>
      </c>
      <c r="H579" s="3" t="s">
        <v>27</v>
      </c>
      <c r="I579" s="3">
        <v>2004</v>
      </c>
      <c r="J579" s="3" t="s">
        <v>27</v>
      </c>
      <c r="K579" s="3" t="s">
        <v>3048</v>
      </c>
      <c r="L579" s="3" t="s">
        <v>20</v>
      </c>
      <c r="M579" s="3" t="s">
        <v>36</v>
      </c>
      <c r="N579" s="3" t="s">
        <v>20</v>
      </c>
      <c r="O579" s="3" t="s">
        <v>36</v>
      </c>
      <c r="P579" s="3" t="s">
        <v>36</v>
      </c>
      <c r="Q579" s="3"/>
      <c r="U579" s="1"/>
    </row>
    <row r="580" spans="1:21" ht="14.25" hidden="1" customHeight="1">
      <c r="A580" s="1">
        <v>149</v>
      </c>
      <c r="B580" s="5" t="s">
        <v>862</v>
      </c>
      <c r="C580" s="5" t="s">
        <v>863</v>
      </c>
      <c r="D580" s="5" t="s">
        <v>400</v>
      </c>
      <c r="E580" s="5">
        <v>82</v>
      </c>
      <c r="F580" s="5" t="s">
        <v>864</v>
      </c>
      <c r="G580" s="5" t="s">
        <v>847</v>
      </c>
      <c r="H580" s="5" t="s">
        <v>865</v>
      </c>
      <c r="I580" s="5">
        <v>2004</v>
      </c>
      <c r="J580" s="5" t="s">
        <v>866</v>
      </c>
      <c r="K580" s="3" t="s">
        <v>3048</v>
      </c>
      <c r="L580" s="5" t="s">
        <v>20</v>
      </c>
      <c r="M580" s="5" t="s">
        <v>21</v>
      </c>
      <c r="N580" s="5" t="s">
        <v>20</v>
      </c>
      <c r="O580" s="5" t="s">
        <v>36</v>
      </c>
      <c r="P580" s="5" t="s">
        <v>36</v>
      </c>
      <c r="Q580" s="5"/>
      <c r="U580" s="1"/>
    </row>
    <row r="581" spans="1:21" ht="14.25" customHeight="1">
      <c r="A581" s="1">
        <v>232</v>
      </c>
      <c r="B581" s="3" t="s">
        <v>1290</v>
      </c>
      <c r="C581" s="3" t="s">
        <v>1291</v>
      </c>
      <c r="D581" s="3" t="s">
        <v>1292</v>
      </c>
      <c r="E581" s="3">
        <v>19</v>
      </c>
      <c r="F581" s="3" t="s">
        <v>499</v>
      </c>
      <c r="G581" s="3" t="s">
        <v>1293</v>
      </c>
      <c r="H581" s="3" t="s">
        <v>1294</v>
      </c>
      <c r="I581" s="3">
        <v>2014</v>
      </c>
      <c r="J581" s="3" t="s">
        <v>1295</v>
      </c>
      <c r="K581" s="3" t="s">
        <v>3048</v>
      </c>
      <c r="L581" s="3" t="s">
        <v>22</v>
      </c>
      <c r="M581" s="3"/>
      <c r="N581" s="3" t="s">
        <v>22</v>
      </c>
      <c r="O581" s="3" t="s">
        <v>22</v>
      </c>
      <c r="P581" s="3" t="s">
        <v>23</v>
      </c>
      <c r="Q581" s="3"/>
      <c r="R581" s="12" t="s">
        <v>22</v>
      </c>
      <c r="T581" s="1" t="s">
        <v>3154</v>
      </c>
      <c r="U581" s="31" t="s">
        <v>2946</v>
      </c>
    </row>
    <row r="582" spans="1:21" ht="14.25" customHeight="1">
      <c r="A582" s="1">
        <v>252</v>
      </c>
      <c r="B582" s="3" t="s">
        <v>1393</v>
      </c>
      <c r="C582" s="3" t="s">
        <v>1394</v>
      </c>
      <c r="D582" s="3" t="s">
        <v>102</v>
      </c>
      <c r="E582" s="3">
        <v>262</v>
      </c>
      <c r="F582" s="3" t="s">
        <v>1395</v>
      </c>
      <c r="G582" s="3" t="s">
        <v>1396</v>
      </c>
      <c r="H582" s="3" t="s">
        <v>1397</v>
      </c>
      <c r="I582" s="3">
        <v>2011</v>
      </c>
      <c r="J582" s="3" t="s">
        <v>1398</v>
      </c>
      <c r="K582" s="3" t="s">
        <v>3048</v>
      </c>
      <c r="L582" s="3" t="s">
        <v>22</v>
      </c>
      <c r="M582" s="3"/>
      <c r="N582" s="3" t="s">
        <v>22</v>
      </c>
      <c r="O582" s="3" t="s">
        <v>22</v>
      </c>
      <c r="P582" s="3" t="s">
        <v>23</v>
      </c>
      <c r="Q582" s="3"/>
      <c r="R582" s="12" t="s">
        <v>22</v>
      </c>
      <c r="T582" s="1" t="s">
        <v>3154</v>
      </c>
      <c r="U582" s="31" t="s">
        <v>2946</v>
      </c>
    </row>
    <row r="583" spans="1:21" ht="14.25" customHeight="1">
      <c r="A583" s="1">
        <v>192</v>
      </c>
      <c r="B583" s="3" t="s">
        <v>1095</v>
      </c>
      <c r="C583" s="3" t="s">
        <v>1096</v>
      </c>
      <c r="D583" s="3" t="s">
        <v>825</v>
      </c>
      <c r="E583" s="3">
        <v>25</v>
      </c>
      <c r="F583" s="3" t="s">
        <v>27</v>
      </c>
      <c r="G583" s="3" t="s">
        <v>27</v>
      </c>
      <c r="H583" s="3" t="s">
        <v>1097</v>
      </c>
      <c r="I583" s="3">
        <v>2016</v>
      </c>
      <c r="J583" s="3" t="s">
        <v>1098</v>
      </c>
      <c r="K583" s="3" t="s">
        <v>3048</v>
      </c>
      <c r="L583" s="3" t="s">
        <v>22</v>
      </c>
      <c r="M583" s="3"/>
      <c r="N583" s="3" t="s">
        <v>22</v>
      </c>
      <c r="O583" s="3" t="s">
        <v>22</v>
      </c>
      <c r="P583" s="3" t="s">
        <v>23</v>
      </c>
      <c r="Q583" s="3"/>
      <c r="R583" s="12" t="s">
        <v>22</v>
      </c>
      <c r="T583" s="1" t="s">
        <v>3144</v>
      </c>
      <c r="U583" s="31" t="s">
        <v>2946</v>
      </c>
    </row>
    <row r="584" spans="1:21" ht="14.25" customHeight="1">
      <c r="A584" s="1">
        <v>33</v>
      </c>
      <c r="B584" s="5" t="s">
        <v>209</v>
      </c>
      <c r="C584" s="5" t="s">
        <v>210</v>
      </c>
      <c r="D584" s="5" t="s">
        <v>15</v>
      </c>
      <c r="E584" s="5">
        <v>28</v>
      </c>
      <c r="F584" s="5" t="s">
        <v>211</v>
      </c>
      <c r="G584" s="5" t="s">
        <v>212</v>
      </c>
      <c r="H584" s="5" t="s">
        <v>213</v>
      </c>
      <c r="I584" s="5">
        <v>2018</v>
      </c>
      <c r="J584" s="5" t="s">
        <v>214</v>
      </c>
      <c r="K584" s="3" t="s">
        <v>3048</v>
      </c>
      <c r="L584" s="5" t="s">
        <v>22</v>
      </c>
      <c r="M584" s="5"/>
      <c r="N584" s="5" t="s">
        <v>22</v>
      </c>
      <c r="O584" s="5" t="s">
        <v>22</v>
      </c>
      <c r="P584" s="5" t="s">
        <v>23</v>
      </c>
      <c r="Q584" s="5"/>
      <c r="R584" s="12" t="s">
        <v>20</v>
      </c>
      <c r="S584" s="1" t="s">
        <v>2975</v>
      </c>
      <c r="T584" s="1" t="s">
        <v>3043</v>
      </c>
      <c r="U584" s="31" t="s">
        <v>3299</v>
      </c>
    </row>
    <row r="585" spans="1:21" ht="14.25" customHeight="1">
      <c r="A585" s="1">
        <v>327</v>
      </c>
      <c r="B585" s="5" t="s">
        <v>1735</v>
      </c>
      <c r="C585" s="5" t="s">
        <v>1736</v>
      </c>
      <c r="D585" s="5" t="s">
        <v>102</v>
      </c>
      <c r="E585" s="5">
        <v>512</v>
      </c>
      <c r="F585" s="5" t="s">
        <v>27</v>
      </c>
      <c r="G585" s="5" t="s">
        <v>27</v>
      </c>
      <c r="H585" s="5" t="s">
        <v>1737</v>
      </c>
      <c r="I585" s="5">
        <v>2022</v>
      </c>
      <c r="J585" s="5" t="s">
        <v>1738</v>
      </c>
      <c r="K585" s="3" t="s">
        <v>3048</v>
      </c>
      <c r="L585" s="5" t="s">
        <v>22</v>
      </c>
      <c r="M585" s="5"/>
      <c r="N585" s="5" t="s">
        <v>22</v>
      </c>
      <c r="O585" s="5" t="s">
        <v>22</v>
      </c>
      <c r="P585" s="5" t="s">
        <v>23</v>
      </c>
      <c r="Q585" s="5"/>
      <c r="R585" s="12" t="s">
        <v>22</v>
      </c>
      <c r="U585" s="31" t="s">
        <v>2946</v>
      </c>
    </row>
    <row r="586" spans="1:21" ht="14.25" hidden="1" customHeight="1">
      <c r="A586" s="1">
        <v>195</v>
      </c>
      <c r="B586" s="5" t="s">
        <v>1107</v>
      </c>
      <c r="C586" s="5" t="s">
        <v>1108</v>
      </c>
      <c r="D586" s="5" t="s">
        <v>1109</v>
      </c>
      <c r="E586" s="5">
        <v>115</v>
      </c>
      <c r="F586" s="5" t="s">
        <v>876</v>
      </c>
      <c r="G586" s="5" t="s">
        <v>1110</v>
      </c>
      <c r="H586" s="5" t="s">
        <v>27</v>
      </c>
      <c r="I586" s="5">
        <v>1989</v>
      </c>
      <c r="J586" s="5" t="s">
        <v>1111</v>
      </c>
      <c r="K586" s="3" t="s">
        <v>3048</v>
      </c>
      <c r="L586" s="5" t="s">
        <v>20</v>
      </c>
      <c r="M586" s="5" t="s">
        <v>21</v>
      </c>
      <c r="N586" s="5" t="s">
        <v>20</v>
      </c>
      <c r="O586" s="5" t="s">
        <v>36</v>
      </c>
      <c r="P586" s="5" t="s">
        <v>36</v>
      </c>
      <c r="Q586" s="5"/>
      <c r="U586" s="1"/>
    </row>
    <row r="587" spans="1:21" ht="14.25" customHeight="1">
      <c r="A587" s="1">
        <v>561</v>
      </c>
      <c r="B587" s="5" t="s">
        <v>2802</v>
      </c>
      <c r="C587" s="5" t="s">
        <v>2803</v>
      </c>
      <c r="D587" s="5" t="s">
        <v>2804</v>
      </c>
      <c r="E587" s="5">
        <v>70</v>
      </c>
      <c r="F587" s="5" t="s">
        <v>2805</v>
      </c>
      <c r="G587" s="5" t="s">
        <v>2806</v>
      </c>
      <c r="H587" s="5" t="s">
        <v>2807</v>
      </c>
      <c r="I587" s="5">
        <v>2001</v>
      </c>
      <c r="J587" s="5" t="s">
        <v>2808</v>
      </c>
      <c r="K587" s="3" t="s">
        <v>3048</v>
      </c>
      <c r="L587" s="5" t="s">
        <v>22</v>
      </c>
      <c r="M587" s="5"/>
      <c r="N587" s="5" t="s">
        <v>22</v>
      </c>
      <c r="O587" s="5" t="s">
        <v>22</v>
      </c>
      <c r="P587" s="5" t="s">
        <v>23</v>
      </c>
      <c r="Q587" s="5"/>
      <c r="R587" s="21" t="s">
        <v>20</v>
      </c>
      <c r="S587" s="1" t="s">
        <v>2974</v>
      </c>
      <c r="T587" s="1" t="s">
        <v>2965</v>
      </c>
      <c r="U587" s="31" t="s">
        <v>2910</v>
      </c>
    </row>
    <row r="588" spans="1:21" ht="14.25" customHeight="1">
      <c r="A588" s="1">
        <v>491</v>
      </c>
      <c r="B588" s="5" t="s">
        <v>2494</v>
      </c>
      <c r="C588" s="5" t="s">
        <v>2495</v>
      </c>
      <c r="D588" s="5" t="s">
        <v>1121</v>
      </c>
      <c r="E588" s="5">
        <v>108</v>
      </c>
      <c r="F588" s="5" t="s">
        <v>2496</v>
      </c>
      <c r="G588" s="5" t="s">
        <v>2497</v>
      </c>
      <c r="H588" s="5" t="s">
        <v>2498</v>
      </c>
      <c r="I588" s="5">
        <v>2004</v>
      </c>
      <c r="J588" s="5" t="s">
        <v>2499</v>
      </c>
      <c r="K588" s="3" t="s">
        <v>3048</v>
      </c>
      <c r="L588" s="5" t="s">
        <v>22</v>
      </c>
      <c r="M588" s="5"/>
      <c r="N588" s="5" t="s">
        <v>22</v>
      </c>
      <c r="O588" s="5" t="s">
        <v>22</v>
      </c>
      <c r="P588" s="5" t="s">
        <v>23</v>
      </c>
      <c r="Q588" s="5"/>
      <c r="R588" s="21" t="s">
        <v>22</v>
      </c>
      <c r="U588" s="31" t="s">
        <v>2910</v>
      </c>
    </row>
    <row r="589" spans="1:21" ht="14.25" hidden="1" customHeight="1">
      <c r="A589" s="1">
        <v>504</v>
      </c>
      <c r="B589" s="3" t="s">
        <v>2557</v>
      </c>
      <c r="C589" s="3" t="s">
        <v>2558</v>
      </c>
      <c r="D589" s="3" t="s">
        <v>1073</v>
      </c>
      <c r="E589" s="3">
        <v>34</v>
      </c>
      <c r="F589" s="3" t="s">
        <v>414</v>
      </c>
      <c r="G589" s="3" t="s">
        <v>401</v>
      </c>
      <c r="H589" s="3" t="s">
        <v>2559</v>
      </c>
      <c r="I589" s="3">
        <v>2009</v>
      </c>
      <c r="J589" s="3" t="s">
        <v>2560</v>
      </c>
      <c r="K589" s="3" t="s">
        <v>3048</v>
      </c>
      <c r="L589" s="3" t="s">
        <v>20</v>
      </c>
      <c r="M589" s="3" t="s">
        <v>21</v>
      </c>
      <c r="N589" s="3" t="s">
        <v>20</v>
      </c>
      <c r="O589" s="3" t="s">
        <v>36</v>
      </c>
      <c r="P589" s="3" t="s">
        <v>36</v>
      </c>
      <c r="Q589" s="3"/>
      <c r="U589" s="1"/>
    </row>
    <row r="590" spans="1:21" ht="14.25" hidden="1" customHeight="1">
      <c r="A590" s="1">
        <v>473</v>
      </c>
      <c r="B590" s="5" t="s">
        <v>2410</v>
      </c>
      <c r="C590" s="5" t="s">
        <v>2411</v>
      </c>
      <c r="D590" s="5" t="s">
        <v>2412</v>
      </c>
      <c r="E590" s="5">
        <v>36</v>
      </c>
      <c r="F590" s="5" t="s">
        <v>1163</v>
      </c>
      <c r="G590" s="5" t="s">
        <v>2174</v>
      </c>
      <c r="H590" s="5" t="s">
        <v>2413</v>
      </c>
      <c r="I590" s="5">
        <v>2014</v>
      </c>
      <c r="J590" s="5" t="s">
        <v>2414</v>
      </c>
      <c r="K590" s="3" t="s">
        <v>3048</v>
      </c>
      <c r="L590" s="5" t="s">
        <v>20</v>
      </c>
      <c r="M590" s="5" t="s">
        <v>21</v>
      </c>
      <c r="N590" s="5" t="s">
        <v>20</v>
      </c>
      <c r="O590" s="5" t="s">
        <v>36</v>
      </c>
      <c r="P590" s="5" t="s">
        <v>36</v>
      </c>
      <c r="Q590" s="5"/>
      <c r="U590" s="1"/>
    </row>
    <row r="591" spans="1:21" ht="14.25" customHeight="1">
      <c r="A591" s="1">
        <v>292</v>
      </c>
      <c r="B591" s="3" t="s">
        <v>1572</v>
      </c>
      <c r="C591" s="3" t="s">
        <v>1573</v>
      </c>
      <c r="D591" s="3" t="s">
        <v>1574</v>
      </c>
      <c r="E591" s="3"/>
      <c r="F591" s="3" t="s">
        <v>521</v>
      </c>
      <c r="G591" s="3" t="s">
        <v>1308</v>
      </c>
      <c r="H591" s="3" t="s">
        <v>27</v>
      </c>
      <c r="I591" s="3">
        <v>2014</v>
      </c>
      <c r="J591" s="3" t="s">
        <v>1575</v>
      </c>
      <c r="K591" s="3" t="s">
        <v>3048</v>
      </c>
      <c r="L591" s="3" t="s">
        <v>22</v>
      </c>
      <c r="M591" s="3"/>
      <c r="N591" s="3" t="s">
        <v>20</v>
      </c>
      <c r="O591" s="3" t="s">
        <v>20</v>
      </c>
      <c r="P591" s="3" t="s">
        <v>23</v>
      </c>
      <c r="Q591" s="3" t="s">
        <v>1576</v>
      </c>
      <c r="U591" s="1"/>
    </row>
    <row r="592" spans="1:21" ht="14.25" customHeight="1">
      <c r="A592" s="1">
        <v>89</v>
      </c>
      <c r="B592" s="5" t="s">
        <v>535</v>
      </c>
      <c r="C592" s="5" t="s">
        <v>536</v>
      </c>
      <c r="D592" s="5" t="s">
        <v>537</v>
      </c>
      <c r="E592" s="5">
        <v>41</v>
      </c>
      <c r="F592" s="5" t="s">
        <v>538</v>
      </c>
      <c r="G592" s="5" t="s">
        <v>539</v>
      </c>
      <c r="H592" s="5" t="s">
        <v>540</v>
      </c>
      <c r="I592" s="5">
        <v>2010</v>
      </c>
      <c r="J592" s="5" t="s">
        <v>541</v>
      </c>
      <c r="K592" s="3" t="s">
        <v>3048</v>
      </c>
      <c r="L592" s="5" t="s">
        <v>22</v>
      </c>
      <c r="M592" s="5"/>
      <c r="N592" s="5" t="s">
        <v>22</v>
      </c>
      <c r="O592" s="5" t="s">
        <v>22</v>
      </c>
      <c r="P592" s="5" t="s">
        <v>23</v>
      </c>
      <c r="Q592" s="5"/>
      <c r="R592" s="12" t="s">
        <v>20</v>
      </c>
      <c r="S592" s="1" t="s">
        <v>2975</v>
      </c>
      <c r="T592" s="1" t="s">
        <v>3072</v>
      </c>
      <c r="U592" s="31" t="s">
        <v>3296</v>
      </c>
    </row>
    <row r="593" spans="1:21" ht="14.25" hidden="1" customHeight="1">
      <c r="A593" s="1">
        <v>570</v>
      </c>
      <c r="B593" s="3" t="s">
        <v>2845</v>
      </c>
      <c r="C593" s="3" t="s">
        <v>2846</v>
      </c>
      <c r="D593" s="3" t="s">
        <v>2847</v>
      </c>
      <c r="E593" s="3">
        <v>7</v>
      </c>
      <c r="F593" s="3" t="s">
        <v>27</v>
      </c>
      <c r="G593" s="3" t="s">
        <v>27</v>
      </c>
      <c r="H593" s="3" t="s">
        <v>2848</v>
      </c>
      <c r="I593" s="3">
        <v>2020</v>
      </c>
      <c r="J593" s="3" t="s">
        <v>2849</v>
      </c>
      <c r="K593" s="3" t="s">
        <v>3048</v>
      </c>
      <c r="L593" s="3" t="s">
        <v>20</v>
      </c>
      <c r="M593" s="3" t="s">
        <v>21</v>
      </c>
      <c r="N593" s="3" t="s">
        <v>20</v>
      </c>
      <c r="O593" s="3" t="s">
        <v>36</v>
      </c>
      <c r="P593" s="3" t="s">
        <v>36</v>
      </c>
      <c r="Q593" s="3"/>
      <c r="U593" s="1"/>
    </row>
    <row r="594" spans="1:21" ht="14.25" customHeight="1">
      <c r="A594" s="1">
        <v>256</v>
      </c>
      <c r="B594" s="3" t="s">
        <v>1413</v>
      </c>
      <c r="C594" s="3" t="s">
        <v>1414</v>
      </c>
      <c r="D594" s="3" t="s">
        <v>64</v>
      </c>
      <c r="E594" s="3">
        <v>129</v>
      </c>
      <c r="F594" s="3" t="s">
        <v>1415</v>
      </c>
      <c r="G594" s="3" t="s">
        <v>1416</v>
      </c>
      <c r="H594" s="3" t="s">
        <v>1417</v>
      </c>
      <c r="I594" s="3">
        <v>1995</v>
      </c>
      <c r="J594" s="3" t="s">
        <v>1418</v>
      </c>
      <c r="K594" s="3" t="s">
        <v>3048</v>
      </c>
      <c r="L594" s="3" t="s">
        <v>22</v>
      </c>
      <c r="M594" s="3"/>
      <c r="N594" s="3" t="s">
        <v>22</v>
      </c>
      <c r="O594" s="3" t="s">
        <v>22</v>
      </c>
      <c r="P594" s="3" t="s">
        <v>23</v>
      </c>
      <c r="Q594" s="3"/>
      <c r="R594" s="12" t="s">
        <v>22</v>
      </c>
      <c r="U594" s="31" t="s">
        <v>3048</v>
      </c>
    </row>
    <row r="595" spans="1:21" ht="14.25" customHeight="1">
      <c r="A595" s="1">
        <v>290</v>
      </c>
      <c r="B595" s="3" t="s">
        <v>1563</v>
      </c>
      <c r="C595" s="3" t="s">
        <v>1564</v>
      </c>
      <c r="D595" s="3" t="s">
        <v>27</v>
      </c>
      <c r="E595" s="3"/>
      <c r="F595" s="3" t="s">
        <v>27</v>
      </c>
      <c r="G595" s="3" t="s">
        <v>27</v>
      </c>
      <c r="H595" s="3" t="s">
        <v>27</v>
      </c>
      <c r="I595" s="3">
        <v>1994</v>
      </c>
      <c r="J595" s="3" t="s">
        <v>27</v>
      </c>
      <c r="K595" s="3" t="s">
        <v>3048</v>
      </c>
      <c r="L595" s="3" t="s">
        <v>22</v>
      </c>
      <c r="M595" s="3"/>
      <c r="N595" s="3" t="s">
        <v>1565</v>
      </c>
      <c r="O595" s="3" t="s">
        <v>36</v>
      </c>
      <c r="P595" s="3" t="s">
        <v>36</v>
      </c>
      <c r="Q595" s="3"/>
      <c r="U595" s="1"/>
    </row>
    <row r="596" spans="1:21" ht="14.25" hidden="1" customHeight="1">
      <c r="A596" s="1">
        <v>172</v>
      </c>
      <c r="B596" s="3" t="s">
        <v>981</v>
      </c>
      <c r="C596" s="3" t="s">
        <v>982</v>
      </c>
      <c r="D596" s="3" t="s">
        <v>58</v>
      </c>
      <c r="E596" s="3">
        <v>461</v>
      </c>
      <c r="F596" s="3" t="s">
        <v>983</v>
      </c>
      <c r="G596" s="3" t="s">
        <v>864</v>
      </c>
      <c r="H596" s="3" t="s">
        <v>27</v>
      </c>
      <c r="I596" s="3">
        <v>1999</v>
      </c>
      <c r="J596" s="3" t="s">
        <v>984</v>
      </c>
      <c r="K596" s="3" t="s">
        <v>3048</v>
      </c>
      <c r="L596" s="3" t="s">
        <v>268</v>
      </c>
      <c r="M596" s="3" t="s">
        <v>985</v>
      </c>
      <c r="N596" s="3" t="s">
        <v>268</v>
      </c>
      <c r="O596" s="3" t="s">
        <v>36</v>
      </c>
      <c r="P596" s="3" t="s">
        <v>985</v>
      </c>
      <c r="Q596" s="3"/>
      <c r="U596" s="1"/>
    </row>
    <row r="597" spans="1:21" ht="14.25" customHeight="1">
      <c r="A597" s="1">
        <v>351</v>
      </c>
      <c r="B597" s="5" t="s">
        <v>1848</v>
      </c>
      <c r="C597" s="5" t="s">
        <v>1849</v>
      </c>
      <c r="D597" s="5" t="s">
        <v>1477</v>
      </c>
      <c r="E597" s="5">
        <v>91</v>
      </c>
      <c r="F597" s="5" t="s">
        <v>1850</v>
      </c>
      <c r="G597" s="5" t="s">
        <v>1850</v>
      </c>
      <c r="H597" s="5" t="s">
        <v>27</v>
      </c>
      <c r="I597" s="5">
        <v>2001</v>
      </c>
      <c r="J597" s="5" t="s">
        <v>1851</v>
      </c>
      <c r="K597" s="3" t="s">
        <v>3048</v>
      </c>
      <c r="L597" s="5" t="s">
        <v>22</v>
      </c>
      <c r="M597" s="5"/>
      <c r="N597" s="5" t="s">
        <v>22</v>
      </c>
      <c r="O597" s="5" t="s">
        <v>20</v>
      </c>
      <c r="P597" s="5" t="s">
        <v>36</v>
      </c>
      <c r="Q597" s="5" t="s">
        <v>2883</v>
      </c>
      <c r="U597" s="1"/>
    </row>
    <row r="598" spans="1:21" ht="14.25" hidden="1" customHeight="1">
      <c r="A598" s="1">
        <v>53</v>
      </c>
      <c r="B598" s="5" t="s">
        <v>332</v>
      </c>
      <c r="C598" s="5" t="s">
        <v>333</v>
      </c>
      <c r="D598" s="5" t="s">
        <v>185</v>
      </c>
      <c r="E598" s="5">
        <v>7</v>
      </c>
      <c r="F598" s="5" t="s">
        <v>334</v>
      </c>
      <c r="G598" s="5" t="s">
        <v>335</v>
      </c>
      <c r="H598" s="5" t="s">
        <v>336</v>
      </c>
      <c r="I598" s="5">
        <v>1998</v>
      </c>
      <c r="J598" s="5" t="s">
        <v>337</v>
      </c>
      <c r="K598" s="3" t="s">
        <v>3048</v>
      </c>
      <c r="L598" s="5" t="s">
        <v>20</v>
      </c>
      <c r="M598" s="5" t="s">
        <v>21</v>
      </c>
      <c r="N598" s="5" t="s">
        <v>20</v>
      </c>
      <c r="O598" s="5" t="s">
        <v>36</v>
      </c>
      <c r="P598" s="5" t="s">
        <v>36</v>
      </c>
      <c r="Q598" s="5"/>
      <c r="U598" s="1"/>
    </row>
    <row r="599" spans="1:21" ht="14.25" customHeight="1">
      <c r="A599" s="1">
        <v>573</v>
      </c>
      <c r="B599" s="7" t="s">
        <v>2861</v>
      </c>
      <c r="C599" s="7" t="s">
        <v>2862</v>
      </c>
      <c r="D599" s="7" t="s">
        <v>64</v>
      </c>
      <c r="E599" s="7">
        <v>155</v>
      </c>
      <c r="F599" s="7" t="s">
        <v>1164</v>
      </c>
      <c r="G599" s="7" t="s">
        <v>2468</v>
      </c>
      <c r="H599" s="7" t="s">
        <v>2863</v>
      </c>
      <c r="I599" s="7">
        <v>2002</v>
      </c>
      <c r="J599" s="7" t="s">
        <v>2864</v>
      </c>
      <c r="K599" s="3" t="s">
        <v>3048</v>
      </c>
      <c r="L599" s="7" t="s">
        <v>22</v>
      </c>
      <c r="M599" s="7"/>
      <c r="N599" s="7" t="s">
        <v>22</v>
      </c>
      <c r="O599" s="7" t="s">
        <v>22</v>
      </c>
      <c r="P599" s="7" t="s">
        <v>23</v>
      </c>
      <c r="Q599" s="7"/>
      <c r="R599" s="24" t="s">
        <v>20</v>
      </c>
      <c r="S599" s="1" t="s">
        <v>2975</v>
      </c>
      <c r="T599" s="1" t="s">
        <v>3132</v>
      </c>
      <c r="U599" s="31" t="s">
        <v>3300</v>
      </c>
    </row>
    <row r="600" spans="1:21" ht="14.25" customHeight="1">
      <c r="A600" s="1">
        <v>348</v>
      </c>
      <c r="B600" s="3" t="s">
        <v>1829</v>
      </c>
      <c r="C600" s="3" t="s">
        <v>1830</v>
      </c>
      <c r="D600" s="3" t="s">
        <v>1831</v>
      </c>
      <c r="E600" s="3">
        <v>14</v>
      </c>
      <c r="F600" s="3" t="s">
        <v>1832</v>
      </c>
      <c r="G600" s="3" t="s">
        <v>1833</v>
      </c>
      <c r="H600" s="3" t="s">
        <v>1834</v>
      </c>
      <c r="I600" s="3">
        <v>2008</v>
      </c>
      <c r="J600" s="3" t="s">
        <v>1835</v>
      </c>
      <c r="K600" s="3" t="s">
        <v>3048</v>
      </c>
      <c r="L600" s="3" t="s">
        <v>22</v>
      </c>
      <c r="M600" s="3"/>
      <c r="N600" s="3" t="s">
        <v>22</v>
      </c>
      <c r="O600" s="3" t="s">
        <v>22</v>
      </c>
      <c r="P600" s="3" t="s">
        <v>23</v>
      </c>
      <c r="Q600" s="3"/>
      <c r="R600" s="12" t="s">
        <v>20</v>
      </c>
      <c r="S600" s="1" t="s">
        <v>2975</v>
      </c>
      <c r="T600" s="1" t="s">
        <v>3177</v>
      </c>
      <c r="U600" s="31" t="s">
        <v>3025</v>
      </c>
    </row>
    <row r="601" spans="1:21" ht="14.25" hidden="1" customHeight="1">
      <c r="A601" s="1">
        <v>51</v>
      </c>
      <c r="B601" s="5" t="s">
        <v>320</v>
      </c>
      <c r="C601" s="5" t="s">
        <v>321</v>
      </c>
      <c r="D601" s="5" t="s">
        <v>173</v>
      </c>
      <c r="E601" s="5">
        <v>39</v>
      </c>
      <c r="F601" s="5" t="s">
        <v>322</v>
      </c>
      <c r="G601" s="5" t="s">
        <v>323</v>
      </c>
      <c r="H601" s="5" t="s">
        <v>324</v>
      </c>
      <c r="I601" s="5">
        <v>2009</v>
      </c>
      <c r="J601" s="5" t="s">
        <v>325</v>
      </c>
      <c r="K601" s="3" t="s">
        <v>3048</v>
      </c>
      <c r="L601" s="5" t="s">
        <v>20</v>
      </c>
      <c r="M601" s="5" t="s">
        <v>21</v>
      </c>
      <c r="N601" s="5" t="s">
        <v>20</v>
      </c>
      <c r="O601" s="5" t="s">
        <v>36</v>
      </c>
      <c r="P601" s="5" t="s">
        <v>36</v>
      </c>
      <c r="Q601" s="5"/>
      <c r="U601" s="1"/>
    </row>
    <row r="602" spans="1:21" ht="14.25" hidden="1" customHeight="1">
      <c r="A602" s="1">
        <v>182</v>
      </c>
      <c r="B602" s="3" t="s">
        <v>1038</v>
      </c>
      <c r="C602" s="3" t="s">
        <v>1039</v>
      </c>
      <c r="D602" s="3" t="s">
        <v>27</v>
      </c>
      <c r="E602" s="3"/>
      <c r="F602" s="3" t="s">
        <v>27</v>
      </c>
      <c r="G602" s="3" t="s">
        <v>27</v>
      </c>
      <c r="H602" s="3" t="s">
        <v>27</v>
      </c>
      <c r="I602" s="3">
        <v>2005</v>
      </c>
      <c r="J602" s="3" t="s">
        <v>27</v>
      </c>
      <c r="K602" s="3" t="s">
        <v>3048</v>
      </c>
      <c r="L602" s="3" t="s">
        <v>20</v>
      </c>
      <c r="M602" s="3" t="s">
        <v>21</v>
      </c>
      <c r="N602" s="3" t="s">
        <v>20</v>
      </c>
      <c r="O602" s="3" t="s">
        <v>36</v>
      </c>
      <c r="P602" s="3" t="s">
        <v>36</v>
      </c>
      <c r="Q602" s="3"/>
      <c r="U602" s="1"/>
    </row>
    <row r="603" spans="1:21" ht="14.25" hidden="1" customHeight="1">
      <c r="A603" s="1">
        <v>202</v>
      </c>
      <c r="B603" s="3" t="s">
        <v>1136</v>
      </c>
      <c r="C603" s="3" t="s">
        <v>1137</v>
      </c>
      <c r="D603" s="3" t="s">
        <v>1138</v>
      </c>
      <c r="E603" s="3">
        <v>217</v>
      </c>
      <c r="F603" s="3" t="s">
        <v>27</v>
      </c>
      <c r="G603" s="3" t="s">
        <v>27</v>
      </c>
      <c r="H603" s="3" t="s">
        <v>1139</v>
      </c>
      <c r="I603" s="3">
        <v>2022</v>
      </c>
      <c r="J603" s="3" t="s">
        <v>1140</v>
      </c>
      <c r="K603" s="3" t="s">
        <v>3048</v>
      </c>
      <c r="L603" s="3" t="s">
        <v>20</v>
      </c>
      <c r="M603" s="3" t="s">
        <v>21</v>
      </c>
      <c r="N603" s="3" t="s">
        <v>20</v>
      </c>
      <c r="O603" s="3" t="s">
        <v>36</v>
      </c>
      <c r="P603" s="3" t="s">
        <v>36</v>
      </c>
      <c r="Q603" s="3"/>
      <c r="U603" s="1"/>
    </row>
    <row r="604" spans="1:21" ht="14.25" customHeight="1">
      <c r="A604" s="1">
        <v>161</v>
      </c>
      <c r="B604" s="5" t="s">
        <v>927</v>
      </c>
      <c r="C604" s="5" t="s">
        <v>928</v>
      </c>
      <c r="D604" s="5" t="s">
        <v>929</v>
      </c>
      <c r="E604" s="5">
        <v>16</v>
      </c>
      <c r="F604" s="5" t="s">
        <v>27</v>
      </c>
      <c r="G604" s="5" t="s">
        <v>27</v>
      </c>
      <c r="H604" s="5" t="s">
        <v>930</v>
      </c>
      <c r="I604" s="5">
        <v>2023</v>
      </c>
      <c r="J604" s="5" t="s">
        <v>931</v>
      </c>
      <c r="K604" s="3" t="s">
        <v>3048</v>
      </c>
      <c r="L604" s="5" t="s">
        <v>22</v>
      </c>
      <c r="M604" s="5"/>
      <c r="N604" s="5" t="s">
        <v>22</v>
      </c>
      <c r="O604" s="5" t="s">
        <v>22</v>
      </c>
      <c r="P604" s="5" t="s">
        <v>23</v>
      </c>
      <c r="Q604" s="5"/>
      <c r="R604" s="12" t="s">
        <v>20</v>
      </c>
      <c r="S604" s="1" t="s">
        <v>2975</v>
      </c>
      <c r="T604" s="1" t="s">
        <v>3132</v>
      </c>
      <c r="U604" s="31" t="s">
        <v>3183</v>
      </c>
    </row>
    <row r="605" spans="1:21" ht="14.25" customHeight="1">
      <c r="A605" s="1">
        <v>485</v>
      </c>
      <c r="B605" s="5" t="s">
        <v>2465</v>
      </c>
      <c r="C605" s="5" t="s">
        <v>2466</v>
      </c>
      <c r="D605" s="5" t="s">
        <v>2467</v>
      </c>
      <c r="E605" s="5"/>
      <c r="F605" s="5" t="s">
        <v>1174</v>
      </c>
      <c r="G605" s="5" t="s">
        <v>2468</v>
      </c>
      <c r="H605" s="5" t="s">
        <v>27</v>
      </c>
      <c r="I605" s="5">
        <v>1986</v>
      </c>
      <c r="J605" s="5" t="s">
        <v>2469</v>
      </c>
      <c r="K605" s="3" t="s">
        <v>3048</v>
      </c>
      <c r="L605" s="5" t="s">
        <v>22</v>
      </c>
      <c r="M605" s="5"/>
      <c r="N605" s="5" t="s">
        <v>22</v>
      </c>
      <c r="O605" s="5" t="s">
        <v>190</v>
      </c>
      <c r="P605" s="5" t="s">
        <v>2470</v>
      </c>
      <c r="Q605" s="5"/>
      <c r="U605" s="1"/>
    </row>
    <row r="606" spans="1:21" ht="14.25" customHeight="1">
      <c r="A606" s="1">
        <v>335</v>
      </c>
      <c r="B606" s="5" t="s">
        <v>1770</v>
      </c>
      <c r="C606" s="5" t="s">
        <v>1771</v>
      </c>
      <c r="D606" s="5" t="s">
        <v>1121</v>
      </c>
      <c r="E606" s="5">
        <v>94</v>
      </c>
      <c r="F606" s="5" t="s">
        <v>1772</v>
      </c>
      <c r="G606" s="5" t="s">
        <v>1773</v>
      </c>
      <c r="H606" s="5" t="s">
        <v>27</v>
      </c>
      <c r="I606" s="5">
        <v>1990</v>
      </c>
      <c r="J606" s="5" t="s">
        <v>1774</v>
      </c>
      <c r="K606" s="3" t="s">
        <v>3048</v>
      </c>
      <c r="L606" s="5" t="s">
        <v>22</v>
      </c>
      <c r="M606" s="5"/>
      <c r="N606" s="5" t="s">
        <v>22</v>
      </c>
      <c r="O606" s="5" t="s">
        <v>22</v>
      </c>
      <c r="P606" s="5" t="s">
        <v>23</v>
      </c>
      <c r="Q606" s="5"/>
      <c r="R606" s="12" t="s">
        <v>20</v>
      </c>
      <c r="S606" s="1" t="s">
        <v>3176</v>
      </c>
      <c r="U606" s="31" t="s">
        <v>2910</v>
      </c>
    </row>
    <row r="607" spans="1:21" ht="14.25" hidden="1" customHeight="1">
      <c r="A607" s="1">
        <v>507</v>
      </c>
      <c r="B607" s="5" t="s">
        <v>2568</v>
      </c>
      <c r="C607" s="5" t="s">
        <v>2569</v>
      </c>
      <c r="D607" s="5" t="s">
        <v>2570</v>
      </c>
      <c r="E607" s="5">
        <v>33</v>
      </c>
      <c r="F607" s="5" t="s">
        <v>2571</v>
      </c>
      <c r="G607" s="5" t="s">
        <v>2572</v>
      </c>
      <c r="H607" s="5" t="s">
        <v>2573</v>
      </c>
      <c r="I607" s="5">
        <v>2022</v>
      </c>
      <c r="J607" s="5" t="s">
        <v>2574</v>
      </c>
      <c r="K607" s="3" t="s">
        <v>3048</v>
      </c>
      <c r="L607" s="5" t="s">
        <v>20</v>
      </c>
      <c r="M607" s="5" t="s">
        <v>21</v>
      </c>
      <c r="N607" s="5" t="s">
        <v>20</v>
      </c>
      <c r="O607" s="5" t="s">
        <v>36</v>
      </c>
      <c r="P607" s="5" t="s">
        <v>36</v>
      </c>
      <c r="Q607" s="5"/>
      <c r="U607" s="1"/>
    </row>
    <row r="608" spans="1:21" ht="14.25" hidden="1" customHeight="1">
      <c r="A608" s="1">
        <v>509</v>
      </c>
      <c r="B608" s="5" t="s">
        <v>2580</v>
      </c>
      <c r="C608" s="5" t="s">
        <v>2581</v>
      </c>
      <c r="D608" s="5" t="s">
        <v>2582</v>
      </c>
      <c r="E608" s="5">
        <v>33</v>
      </c>
      <c r="F608" s="5" t="s">
        <v>2583</v>
      </c>
      <c r="G608" s="5" t="s">
        <v>328</v>
      </c>
      <c r="H608" s="5" t="s">
        <v>27</v>
      </c>
      <c r="I608" s="5">
        <v>2022</v>
      </c>
      <c r="J608" s="5" t="s">
        <v>2584</v>
      </c>
      <c r="K608" s="3" t="s">
        <v>3048</v>
      </c>
      <c r="L608" s="5" t="s">
        <v>20</v>
      </c>
      <c r="M608" s="5" t="s">
        <v>21</v>
      </c>
      <c r="N608" s="5" t="s">
        <v>20</v>
      </c>
      <c r="O608" s="5" t="s">
        <v>36</v>
      </c>
      <c r="P608" s="5" t="s">
        <v>36</v>
      </c>
      <c r="Q608" s="5"/>
      <c r="U608" s="1"/>
    </row>
    <row r="609" spans="1:21" ht="14.25" hidden="1" customHeight="1">
      <c r="A609" s="1">
        <v>248</v>
      </c>
      <c r="B609" s="3" t="s">
        <v>1371</v>
      </c>
      <c r="C609" s="3" t="s">
        <v>1372</v>
      </c>
      <c r="D609" s="3" t="s">
        <v>102</v>
      </c>
      <c r="E609" s="3">
        <v>96</v>
      </c>
      <c r="F609" s="3" t="s">
        <v>1373</v>
      </c>
      <c r="G609" s="3" t="s">
        <v>1374</v>
      </c>
      <c r="H609" s="3" t="s">
        <v>1375</v>
      </c>
      <c r="I609" s="3">
        <v>1997</v>
      </c>
      <c r="J609" s="3" t="s">
        <v>1376</v>
      </c>
      <c r="K609" s="3" t="s">
        <v>3048</v>
      </c>
      <c r="L609" s="3" t="s">
        <v>20</v>
      </c>
      <c r="M609" s="3" t="s">
        <v>21</v>
      </c>
      <c r="N609" s="3" t="s">
        <v>20</v>
      </c>
      <c r="O609" s="3" t="s">
        <v>36</v>
      </c>
      <c r="P609" s="3" t="s">
        <v>36</v>
      </c>
      <c r="Q609" s="3"/>
      <c r="U609" s="1"/>
    </row>
    <row r="610" spans="1:21" ht="14.25" customHeight="1">
      <c r="A610" s="1">
        <v>254</v>
      </c>
      <c r="B610" s="3" t="s">
        <v>1405</v>
      </c>
      <c r="C610" s="3" t="s">
        <v>1406</v>
      </c>
      <c r="D610" s="3" t="s">
        <v>173</v>
      </c>
      <c r="E610" s="3">
        <v>24</v>
      </c>
      <c r="F610" s="3" t="s">
        <v>1407</v>
      </c>
      <c r="G610" s="3" t="s">
        <v>1408</v>
      </c>
      <c r="H610" s="3" t="s">
        <v>1409</v>
      </c>
      <c r="I610" s="3">
        <v>1994</v>
      </c>
      <c r="J610" s="3" t="s">
        <v>1410</v>
      </c>
      <c r="K610" s="3" t="s">
        <v>3048</v>
      </c>
      <c r="L610" s="3" t="s">
        <v>22</v>
      </c>
      <c r="M610" s="3"/>
      <c r="N610" s="3" t="s">
        <v>22</v>
      </c>
      <c r="O610" s="3" t="s">
        <v>22</v>
      </c>
      <c r="P610" s="3" t="s">
        <v>23</v>
      </c>
      <c r="Q610" s="3"/>
      <c r="R610" s="12" t="s">
        <v>22</v>
      </c>
      <c r="U610" s="31" t="s">
        <v>3025</v>
      </c>
    </row>
    <row r="611" spans="1:21" ht="14.25" hidden="1" customHeight="1">
      <c r="A611" s="1">
        <v>392</v>
      </c>
      <c r="B611" s="3" t="s">
        <v>2039</v>
      </c>
      <c r="C611" s="3" t="s">
        <v>2040</v>
      </c>
      <c r="D611" s="3" t="s">
        <v>2041</v>
      </c>
      <c r="E611" s="3"/>
      <c r="F611" s="3" t="s">
        <v>2042</v>
      </c>
      <c r="G611" s="3" t="s">
        <v>2042</v>
      </c>
      <c r="H611" s="3" t="s">
        <v>27</v>
      </c>
      <c r="I611" s="3">
        <v>2018</v>
      </c>
      <c r="J611" s="3" t="s">
        <v>2043</v>
      </c>
      <c r="K611" s="3" t="s">
        <v>3048</v>
      </c>
      <c r="L611" s="3" t="s">
        <v>20</v>
      </c>
      <c r="M611" s="3" t="s">
        <v>21</v>
      </c>
      <c r="N611" s="3" t="s">
        <v>20</v>
      </c>
      <c r="O611" s="3" t="s">
        <v>36</v>
      </c>
      <c r="P611" s="3" t="s">
        <v>36</v>
      </c>
      <c r="Q611" s="3"/>
      <c r="U611" s="1"/>
    </row>
    <row r="612" spans="1:21" s="19" customFormat="1" ht="14.25" hidden="1">
      <c r="A612" s="34">
        <v>170</v>
      </c>
      <c r="B612" s="34" t="s">
        <v>3489</v>
      </c>
      <c r="C612" s="34" t="s">
        <v>3490</v>
      </c>
      <c r="D612" s="34" t="s">
        <v>27</v>
      </c>
      <c r="E612" s="34" t="s">
        <v>27</v>
      </c>
      <c r="F612" s="34" t="s">
        <v>27</v>
      </c>
      <c r="G612" s="34" t="s">
        <v>27</v>
      </c>
      <c r="H612" s="34" t="s">
        <v>27</v>
      </c>
      <c r="I612" s="34">
        <v>2023</v>
      </c>
      <c r="J612" s="34" t="s">
        <v>27</v>
      </c>
      <c r="K612" s="34" t="s">
        <v>2946</v>
      </c>
      <c r="L612" s="35" t="s">
        <v>20</v>
      </c>
      <c r="M612" s="34"/>
      <c r="N612" s="34" t="s">
        <v>27</v>
      </c>
      <c r="O612" s="34"/>
      <c r="P612" s="34"/>
      <c r="Q612" s="34"/>
      <c r="R612" s="34"/>
      <c r="S612" s="34"/>
      <c r="T612" s="34"/>
      <c r="U612" s="34"/>
    </row>
    <row r="613" spans="1:21" ht="14.25" hidden="1" customHeight="1">
      <c r="A613" s="1">
        <v>118</v>
      </c>
      <c r="B613" s="3" t="s">
        <v>694</v>
      </c>
      <c r="C613" s="3" t="s">
        <v>695</v>
      </c>
      <c r="D613" s="3" t="s">
        <v>15</v>
      </c>
      <c r="E613" s="3">
        <v>28</v>
      </c>
      <c r="F613" s="3" t="s">
        <v>491</v>
      </c>
      <c r="G613" s="3" t="s">
        <v>696</v>
      </c>
      <c r="H613" s="3" t="s">
        <v>697</v>
      </c>
      <c r="I613" s="3">
        <v>2018</v>
      </c>
      <c r="J613" s="3" t="s">
        <v>698</v>
      </c>
      <c r="K613" s="3" t="s">
        <v>3048</v>
      </c>
      <c r="L613" s="3" t="s">
        <v>20</v>
      </c>
      <c r="M613" s="3" t="s">
        <v>21</v>
      </c>
      <c r="N613" s="3" t="s">
        <v>20</v>
      </c>
      <c r="O613" s="3" t="s">
        <v>36</v>
      </c>
      <c r="P613" s="3" t="s">
        <v>36</v>
      </c>
      <c r="Q613" s="3"/>
      <c r="U613" s="1"/>
    </row>
    <row r="614" spans="1:21" ht="14.25" customHeight="1">
      <c r="A614" s="1">
        <v>448</v>
      </c>
      <c r="B614" s="3" t="s">
        <v>2290</v>
      </c>
      <c r="C614" s="3" t="s">
        <v>2291</v>
      </c>
      <c r="D614" s="3" t="s">
        <v>166</v>
      </c>
      <c r="E614" s="3">
        <v>138</v>
      </c>
      <c r="F614" s="3" t="s">
        <v>27</v>
      </c>
      <c r="G614" s="3" t="s">
        <v>27</v>
      </c>
      <c r="H614" s="3" t="s">
        <v>2292</v>
      </c>
      <c r="I614" s="3">
        <v>2019</v>
      </c>
      <c r="J614" s="3" t="s">
        <v>2293</v>
      </c>
      <c r="K614" s="3" t="s">
        <v>3048</v>
      </c>
      <c r="L614" s="3" t="s">
        <v>22</v>
      </c>
      <c r="M614" s="3"/>
      <c r="N614" s="3" t="s">
        <v>22</v>
      </c>
      <c r="O614" s="3" t="s">
        <v>22</v>
      </c>
      <c r="P614" s="3" t="s">
        <v>23</v>
      </c>
      <c r="Q614" s="3"/>
      <c r="R614" s="12" t="s">
        <v>22</v>
      </c>
      <c r="T614" s="1" t="s">
        <v>2981</v>
      </c>
      <c r="U614" s="31" t="s">
        <v>3048</v>
      </c>
    </row>
    <row r="615" spans="1:21" ht="14.25" hidden="1" customHeight="1">
      <c r="A615" s="1">
        <v>466</v>
      </c>
      <c r="B615" s="3" t="s">
        <v>2378</v>
      </c>
      <c r="C615" s="3" t="s">
        <v>2379</v>
      </c>
      <c r="D615" s="3" t="s">
        <v>1243</v>
      </c>
      <c r="E615" s="3">
        <v>2</v>
      </c>
      <c r="F615" s="3" t="s">
        <v>2380</v>
      </c>
      <c r="G615" s="3" t="s">
        <v>1122</v>
      </c>
      <c r="H615" s="3" t="s">
        <v>27</v>
      </c>
      <c r="I615" s="3">
        <v>2002</v>
      </c>
      <c r="J615" s="3" t="s">
        <v>2381</v>
      </c>
      <c r="K615" s="3" t="s">
        <v>3048</v>
      </c>
      <c r="L615" s="3" t="s">
        <v>268</v>
      </c>
      <c r="M615" s="3" t="s">
        <v>269</v>
      </c>
      <c r="N615" s="3" t="s">
        <v>268</v>
      </c>
      <c r="O615" s="3" t="s">
        <v>22</v>
      </c>
      <c r="P615" s="3" t="s">
        <v>269</v>
      </c>
      <c r="Q615" s="3" t="s">
        <v>2878</v>
      </c>
      <c r="U615" s="1"/>
    </row>
    <row r="616" spans="1:21" ht="14.25" hidden="1" customHeight="1">
      <c r="A616" s="1">
        <v>255</v>
      </c>
      <c r="B616" s="5" t="s">
        <v>1411</v>
      </c>
      <c r="C616" s="5" t="s">
        <v>1412</v>
      </c>
      <c r="D616" s="5" t="s">
        <v>27</v>
      </c>
      <c r="E616" s="5"/>
      <c r="F616" s="5" t="s">
        <v>27</v>
      </c>
      <c r="G616" s="5" t="s">
        <v>27</v>
      </c>
      <c r="H616" s="5" t="s">
        <v>27</v>
      </c>
      <c r="I616" s="5">
        <v>2010</v>
      </c>
      <c r="J616" s="5" t="s">
        <v>27</v>
      </c>
      <c r="K616" s="3" t="s">
        <v>3048</v>
      </c>
      <c r="L616" s="5" t="s">
        <v>20</v>
      </c>
      <c r="M616" s="5" t="s">
        <v>21</v>
      </c>
      <c r="N616" s="5" t="s">
        <v>20</v>
      </c>
      <c r="O616" s="5" t="s">
        <v>36</v>
      </c>
      <c r="P616" s="5" t="s">
        <v>36</v>
      </c>
      <c r="Q616" s="5"/>
      <c r="U616" s="1"/>
    </row>
    <row r="617" spans="1:21" ht="14.25" hidden="1" customHeight="1">
      <c r="A617" s="1">
        <v>82</v>
      </c>
      <c r="B617" s="3" t="s">
        <v>502</v>
      </c>
      <c r="C617" s="3" t="s">
        <v>503</v>
      </c>
      <c r="D617" s="3" t="s">
        <v>193</v>
      </c>
      <c r="E617" s="3"/>
      <c r="F617" s="3" t="s">
        <v>27</v>
      </c>
      <c r="G617" s="3" t="s">
        <v>27</v>
      </c>
      <c r="H617" s="3" t="s">
        <v>504</v>
      </c>
      <c r="I617" s="3">
        <v>2023</v>
      </c>
      <c r="J617" s="3" t="s">
        <v>505</v>
      </c>
      <c r="K617" s="3" t="s">
        <v>3048</v>
      </c>
      <c r="L617" s="3" t="s">
        <v>20</v>
      </c>
      <c r="M617" s="3" t="s">
        <v>21</v>
      </c>
      <c r="N617" s="3" t="s">
        <v>20</v>
      </c>
      <c r="O617" s="3" t="s">
        <v>36</v>
      </c>
      <c r="P617" s="3" t="s">
        <v>36</v>
      </c>
      <c r="Q617" s="3"/>
      <c r="U617" s="1"/>
    </row>
    <row r="618" spans="1:21" ht="14.25" hidden="1" customHeight="1">
      <c r="A618" s="1">
        <v>67</v>
      </c>
      <c r="B618" s="5" t="s">
        <v>418</v>
      </c>
      <c r="C618" s="5" t="s">
        <v>419</v>
      </c>
      <c r="D618" s="5" t="s">
        <v>102</v>
      </c>
      <c r="E618" s="5">
        <v>105</v>
      </c>
      <c r="F618" s="5" t="s">
        <v>420</v>
      </c>
      <c r="G618" s="5" t="s">
        <v>346</v>
      </c>
      <c r="H618" s="5" t="s">
        <v>421</v>
      </c>
      <c r="I618" s="5">
        <v>1998</v>
      </c>
      <c r="J618" s="5" t="s">
        <v>422</v>
      </c>
      <c r="K618" s="3" t="s">
        <v>3048</v>
      </c>
      <c r="L618" s="5" t="s">
        <v>20</v>
      </c>
      <c r="M618" s="5" t="s">
        <v>21</v>
      </c>
      <c r="N618" s="5" t="s">
        <v>20</v>
      </c>
      <c r="O618" s="5" t="s">
        <v>36</v>
      </c>
      <c r="P618" s="5" t="s">
        <v>36</v>
      </c>
      <c r="Q618" s="5"/>
      <c r="U618" s="1"/>
    </row>
    <row r="619" spans="1:21" ht="14.25" customHeight="1">
      <c r="A619" s="1">
        <v>403</v>
      </c>
      <c r="B619" s="5" t="s">
        <v>2084</v>
      </c>
      <c r="C619" s="5" t="s">
        <v>2085</v>
      </c>
      <c r="D619" s="5" t="s">
        <v>64</v>
      </c>
      <c r="E619" s="5">
        <v>227</v>
      </c>
      <c r="F619" s="5" t="s">
        <v>2086</v>
      </c>
      <c r="G619" s="5" t="s">
        <v>2087</v>
      </c>
      <c r="H619" s="5" t="s">
        <v>2088</v>
      </c>
      <c r="I619" s="5">
        <v>2020</v>
      </c>
      <c r="J619" s="5" t="s">
        <v>2089</v>
      </c>
      <c r="K619" s="3" t="s">
        <v>3048</v>
      </c>
      <c r="L619" s="5" t="s">
        <v>22</v>
      </c>
      <c r="M619" s="5"/>
      <c r="N619" s="5" t="s">
        <v>22</v>
      </c>
      <c r="O619" s="5" t="s">
        <v>22</v>
      </c>
      <c r="P619" s="5" t="s">
        <v>23</v>
      </c>
      <c r="Q619" s="5"/>
      <c r="R619" s="12" t="s">
        <v>22</v>
      </c>
      <c r="T619" s="1" t="s">
        <v>2995</v>
      </c>
      <c r="U619" s="31" t="s">
        <v>3183</v>
      </c>
    </row>
    <row r="620" spans="1:21" ht="14.25" hidden="1" customHeight="1">
      <c r="A620" s="1">
        <v>124</v>
      </c>
      <c r="B620" s="3" t="s">
        <v>727</v>
      </c>
      <c r="C620" s="3" t="s">
        <v>728</v>
      </c>
      <c r="D620" s="3" t="s">
        <v>15</v>
      </c>
      <c r="E620" s="3">
        <v>11</v>
      </c>
      <c r="F620" s="3" t="s">
        <v>729</v>
      </c>
      <c r="G620" s="3" t="s">
        <v>730</v>
      </c>
      <c r="H620" s="3" t="s">
        <v>731</v>
      </c>
      <c r="I620" s="3">
        <v>2001</v>
      </c>
      <c r="J620" s="3" t="s">
        <v>732</v>
      </c>
      <c r="K620" s="3" t="s">
        <v>3048</v>
      </c>
      <c r="L620" s="3" t="s">
        <v>20</v>
      </c>
      <c r="M620" s="3" t="s">
        <v>21</v>
      </c>
      <c r="N620" s="3" t="s">
        <v>20</v>
      </c>
      <c r="O620" s="3" t="s">
        <v>36</v>
      </c>
      <c r="P620" s="3" t="s">
        <v>36</v>
      </c>
      <c r="Q620" s="3"/>
      <c r="U620" s="1"/>
    </row>
    <row r="621" spans="1:21" ht="14.25" hidden="1" customHeight="1">
      <c r="A621" s="1">
        <v>411</v>
      </c>
      <c r="B621" s="5" t="s">
        <v>2123</v>
      </c>
      <c r="C621" s="5" t="s">
        <v>2124</v>
      </c>
      <c r="D621" s="5" t="s">
        <v>2125</v>
      </c>
      <c r="E621" s="5">
        <v>24</v>
      </c>
      <c r="F621" s="5" t="s">
        <v>2126</v>
      </c>
      <c r="G621" s="5" t="s">
        <v>2127</v>
      </c>
      <c r="H621" s="5" t="s">
        <v>27</v>
      </c>
      <c r="I621" s="5">
        <v>1994</v>
      </c>
      <c r="J621" s="5" t="s">
        <v>2128</v>
      </c>
      <c r="K621" s="3" t="s">
        <v>3048</v>
      </c>
      <c r="L621" s="5" t="s">
        <v>20</v>
      </c>
      <c r="M621" s="5" t="s">
        <v>21</v>
      </c>
      <c r="N621" s="5" t="s">
        <v>20</v>
      </c>
      <c r="O621" s="5" t="s">
        <v>36</v>
      </c>
      <c r="P621" s="5" t="s">
        <v>36</v>
      </c>
      <c r="Q621" s="5"/>
      <c r="U621" s="1"/>
    </row>
    <row r="622" spans="1:21" s="19" customFormat="1" ht="14.25" hidden="1">
      <c r="A622" s="34">
        <v>465</v>
      </c>
      <c r="B622" s="34" t="s">
        <v>3491</v>
      </c>
      <c r="C622" s="34" t="s">
        <v>3492</v>
      </c>
      <c r="D622" s="34" t="s">
        <v>27</v>
      </c>
      <c r="E622" s="34" t="s">
        <v>27</v>
      </c>
      <c r="F622" s="34" t="s">
        <v>27</v>
      </c>
      <c r="G622" s="34" t="s">
        <v>27</v>
      </c>
      <c r="H622" s="34" t="s">
        <v>27</v>
      </c>
      <c r="I622" s="34">
        <v>2019</v>
      </c>
      <c r="J622" s="34" t="s">
        <v>27</v>
      </c>
      <c r="K622" s="34" t="s">
        <v>2946</v>
      </c>
      <c r="L622" s="35" t="s">
        <v>20</v>
      </c>
      <c r="M622" s="34"/>
      <c r="N622" s="34" t="s">
        <v>27</v>
      </c>
      <c r="O622" s="34"/>
      <c r="P622" s="34"/>
      <c r="Q622" s="34"/>
      <c r="R622" s="34"/>
      <c r="S622" s="34"/>
      <c r="T622" s="34"/>
      <c r="U622" s="34"/>
    </row>
    <row r="623" spans="1:21" s="19" customFormat="1" ht="14.25" hidden="1">
      <c r="A623" s="34">
        <v>293</v>
      </c>
      <c r="B623" s="34" t="s">
        <v>3493</v>
      </c>
      <c r="C623" s="34" t="s">
        <v>3494</v>
      </c>
      <c r="D623" s="34" t="s">
        <v>3495</v>
      </c>
      <c r="E623" s="34">
        <v>69</v>
      </c>
      <c r="F623" s="34">
        <v>871</v>
      </c>
      <c r="G623" s="34">
        <v>875</v>
      </c>
      <c r="H623" s="34" t="s">
        <v>27</v>
      </c>
      <c r="I623" s="34">
        <v>2010</v>
      </c>
      <c r="J623" s="34" t="s">
        <v>3496</v>
      </c>
      <c r="K623" s="34" t="s">
        <v>2946</v>
      </c>
      <c r="L623" s="35" t="s">
        <v>20</v>
      </c>
      <c r="M623" s="34"/>
      <c r="N623" s="34" t="s">
        <v>27</v>
      </c>
      <c r="O623" s="34"/>
      <c r="P623" s="34"/>
      <c r="Q623" s="34"/>
      <c r="R623" s="34"/>
      <c r="S623" s="34"/>
      <c r="T623" s="34"/>
      <c r="U623" s="34"/>
    </row>
    <row r="624" spans="1:21" s="19" customFormat="1" ht="14.25" hidden="1">
      <c r="A624" s="34">
        <v>274</v>
      </c>
      <c r="B624" s="34" t="s">
        <v>3497</v>
      </c>
      <c r="C624" s="34" t="s">
        <v>3498</v>
      </c>
      <c r="D624" s="34" t="s">
        <v>2248</v>
      </c>
      <c r="E624" s="34">
        <v>373</v>
      </c>
      <c r="F624" s="34" t="s">
        <v>27</v>
      </c>
      <c r="G624" s="34" t="s">
        <v>27</v>
      </c>
      <c r="H624" s="34" t="s">
        <v>3499</v>
      </c>
      <c r="I624" s="34">
        <v>2025</v>
      </c>
      <c r="J624" s="34" t="s">
        <v>3500</v>
      </c>
      <c r="K624" s="34" t="s">
        <v>2946</v>
      </c>
      <c r="L624" s="35" t="s">
        <v>20</v>
      </c>
      <c r="M624" s="34"/>
      <c r="N624" s="34" t="s">
        <v>27</v>
      </c>
      <c r="O624" s="34"/>
      <c r="P624" s="34"/>
      <c r="Q624" s="34"/>
      <c r="R624" s="34"/>
      <c r="S624" s="34"/>
      <c r="T624" s="34"/>
      <c r="U624" s="34"/>
    </row>
    <row r="625" spans="1:22" ht="14.25" hidden="1" customHeight="1">
      <c r="A625" s="1">
        <v>400</v>
      </c>
      <c r="B625" s="3" t="s">
        <v>2080</v>
      </c>
      <c r="C625" s="3" t="s">
        <v>2081</v>
      </c>
      <c r="D625" s="3" t="s">
        <v>180</v>
      </c>
      <c r="E625" s="3">
        <v>14</v>
      </c>
      <c r="F625" s="3" t="s">
        <v>27</v>
      </c>
      <c r="G625" s="3" t="s">
        <v>27</v>
      </c>
      <c r="H625" s="3" t="s">
        <v>2082</v>
      </c>
      <c r="I625" s="3">
        <v>2023</v>
      </c>
      <c r="J625" s="3" t="s">
        <v>2083</v>
      </c>
      <c r="K625" s="3" t="s">
        <v>3048</v>
      </c>
      <c r="L625" s="3" t="s">
        <v>20</v>
      </c>
      <c r="M625" s="3" t="s">
        <v>21</v>
      </c>
      <c r="N625" s="3" t="s">
        <v>20</v>
      </c>
      <c r="O625" s="3" t="s">
        <v>36</v>
      </c>
      <c r="P625" s="3" t="s">
        <v>36</v>
      </c>
      <c r="Q625" s="3"/>
      <c r="U625" s="1"/>
    </row>
    <row r="626" spans="1:22" ht="14.25" customHeight="1">
      <c r="A626" s="1">
        <v>113</v>
      </c>
      <c r="B626" s="5" t="s">
        <v>663</v>
      </c>
      <c r="C626" s="5" t="s">
        <v>664</v>
      </c>
      <c r="D626" s="5" t="s">
        <v>665</v>
      </c>
      <c r="E626" s="5">
        <v>41</v>
      </c>
      <c r="F626" s="5" t="s">
        <v>666</v>
      </c>
      <c r="G626" s="5" t="s">
        <v>667</v>
      </c>
      <c r="H626" s="5" t="s">
        <v>668</v>
      </c>
      <c r="I626" s="5">
        <v>2022</v>
      </c>
      <c r="J626" s="5" t="s">
        <v>669</v>
      </c>
      <c r="K626" s="3" t="s">
        <v>3048</v>
      </c>
      <c r="L626" s="5" t="s">
        <v>22</v>
      </c>
      <c r="M626" s="5"/>
      <c r="N626" s="5" t="s">
        <v>22</v>
      </c>
      <c r="O626" s="5" t="s">
        <v>22</v>
      </c>
      <c r="P626" s="5" t="s">
        <v>23</v>
      </c>
      <c r="Q626" s="5"/>
      <c r="R626" s="12" t="s">
        <v>20</v>
      </c>
      <c r="S626" s="1" t="s">
        <v>3089</v>
      </c>
      <c r="T626" s="1" t="s">
        <v>3090</v>
      </c>
      <c r="U626" s="31" t="s">
        <v>3183</v>
      </c>
    </row>
    <row r="627" spans="1:22" ht="14.25" hidden="1" customHeight="1">
      <c r="A627" s="1">
        <v>205</v>
      </c>
      <c r="B627" s="5" t="s">
        <v>1149</v>
      </c>
      <c r="C627" s="5" t="s">
        <v>1150</v>
      </c>
      <c r="D627" s="5" t="s">
        <v>180</v>
      </c>
      <c r="E627" s="5">
        <v>14</v>
      </c>
      <c r="F627" s="5" t="s">
        <v>27</v>
      </c>
      <c r="G627" s="5" t="s">
        <v>27</v>
      </c>
      <c r="H627" s="5" t="s">
        <v>1151</v>
      </c>
      <c r="I627" s="5">
        <v>2023</v>
      </c>
      <c r="J627" s="5" t="s">
        <v>1152</v>
      </c>
      <c r="K627" s="3" t="s">
        <v>3048</v>
      </c>
      <c r="L627" s="5" t="s">
        <v>20</v>
      </c>
      <c r="M627" s="5" t="s">
        <v>21</v>
      </c>
      <c r="N627" s="5" t="s">
        <v>20</v>
      </c>
      <c r="O627" s="5" t="s">
        <v>36</v>
      </c>
      <c r="P627" s="5" t="s">
        <v>36</v>
      </c>
      <c r="Q627" s="5"/>
      <c r="U627" s="1"/>
    </row>
    <row r="628" spans="1:22" ht="14.25" customHeight="1">
      <c r="A628" s="1">
        <v>452</v>
      </c>
      <c r="B628" s="3" t="s">
        <v>2312</v>
      </c>
      <c r="C628" s="3" t="s">
        <v>2313</v>
      </c>
      <c r="D628" s="3" t="s">
        <v>217</v>
      </c>
      <c r="E628" s="3">
        <v>37</v>
      </c>
      <c r="F628" s="3" t="s">
        <v>789</v>
      </c>
      <c r="G628" s="3" t="s">
        <v>2092</v>
      </c>
      <c r="H628" s="3" t="s">
        <v>2314</v>
      </c>
      <c r="I628" s="3">
        <v>2023</v>
      </c>
      <c r="J628" s="3" t="s">
        <v>2315</v>
      </c>
      <c r="K628" s="3" t="s">
        <v>3048</v>
      </c>
      <c r="L628" s="3" t="s">
        <v>22</v>
      </c>
      <c r="M628" s="3"/>
      <c r="N628" s="3" t="s">
        <v>22</v>
      </c>
      <c r="O628" s="3" t="s">
        <v>22</v>
      </c>
      <c r="P628" s="3" t="s">
        <v>23</v>
      </c>
      <c r="Q628" s="3"/>
      <c r="R628" s="22" t="s">
        <v>22</v>
      </c>
      <c r="T628" s="1" t="s">
        <v>2918</v>
      </c>
      <c r="U628" s="31" t="s">
        <v>3048</v>
      </c>
    </row>
    <row r="629" spans="1:22" ht="14.25" hidden="1" customHeight="1">
      <c r="A629" s="1">
        <v>23</v>
      </c>
      <c r="B629" s="5" t="s">
        <v>146</v>
      </c>
      <c r="C629" s="5" t="s">
        <v>147</v>
      </c>
      <c r="D629" s="5" t="s">
        <v>148</v>
      </c>
      <c r="E629" s="5">
        <v>36</v>
      </c>
      <c r="F629" s="5" t="s">
        <v>149</v>
      </c>
      <c r="G629" s="5" t="s">
        <v>150</v>
      </c>
      <c r="H629" s="5" t="s">
        <v>27</v>
      </c>
      <c r="I629" s="5">
        <v>2007</v>
      </c>
      <c r="J629" s="5" t="s">
        <v>151</v>
      </c>
      <c r="K629" s="3" t="s">
        <v>3048</v>
      </c>
      <c r="L629" s="5" t="s">
        <v>20</v>
      </c>
      <c r="M629" s="5" t="s">
        <v>21</v>
      </c>
      <c r="N629" s="5" t="s">
        <v>20</v>
      </c>
      <c r="O629" s="5" t="s">
        <v>36</v>
      </c>
      <c r="P629" s="5" t="s">
        <v>36</v>
      </c>
      <c r="Q629" s="5"/>
      <c r="U629" s="1"/>
    </row>
    <row r="630" spans="1:22" ht="14.25" hidden="1" customHeight="1">
      <c r="K630" s="33"/>
      <c r="R630" s="33"/>
      <c r="S630" s="33"/>
      <c r="T630" s="33"/>
      <c r="U630" s="33"/>
      <c r="V630" s="33"/>
    </row>
    <row r="631" spans="1:22" ht="14.25" hidden="1" customHeight="1">
      <c r="K631" s="33"/>
      <c r="R631" s="33"/>
      <c r="S631" s="33"/>
      <c r="T631" s="33"/>
      <c r="U631" s="33"/>
      <c r="V631" s="33"/>
    </row>
    <row r="632" spans="1:22" ht="14.25" customHeight="1">
      <c r="R632" s="33"/>
      <c r="S632" s="33"/>
      <c r="T632" s="33"/>
      <c r="U632" s="33"/>
      <c r="V632" s="33"/>
    </row>
    <row r="633" spans="1:22" ht="14.25" customHeight="1">
      <c r="R633" s="33"/>
      <c r="S633" s="33"/>
      <c r="T633" s="33"/>
      <c r="U633" s="33"/>
      <c r="V633" s="33"/>
    </row>
    <row r="634" spans="1:22" ht="14.25" customHeight="1">
      <c r="R634" s="33"/>
      <c r="S634" s="33"/>
      <c r="T634" s="33"/>
      <c r="U634" s="33"/>
      <c r="V634" s="33"/>
    </row>
    <row r="635" spans="1:22" ht="14.25" customHeight="1">
      <c r="R635" s="33"/>
      <c r="S635" s="33"/>
      <c r="T635" s="33"/>
      <c r="U635" s="33"/>
      <c r="V635" s="33"/>
    </row>
    <row r="636" spans="1:22" ht="14.25" customHeight="1">
      <c r="R636" s="33"/>
      <c r="S636" s="33"/>
      <c r="T636" s="33"/>
      <c r="U636" s="33"/>
      <c r="V636" s="33"/>
    </row>
    <row r="637" spans="1:22" ht="14.25" customHeight="1">
      <c r="R637" s="33"/>
      <c r="S637" s="33"/>
      <c r="T637" s="33"/>
      <c r="U637" s="33"/>
      <c r="V637" s="33"/>
    </row>
    <row r="638" spans="1:22" ht="14.25" customHeight="1">
      <c r="R638" s="33"/>
      <c r="S638" s="33"/>
      <c r="T638" s="33"/>
      <c r="U638" s="33"/>
      <c r="V638" s="33"/>
    </row>
    <row r="639" spans="1:22" ht="14.25" customHeight="1">
      <c r="R639" s="33"/>
      <c r="S639" s="33"/>
      <c r="T639" s="33"/>
      <c r="U639" s="33"/>
      <c r="V639" s="33"/>
    </row>
    <row r="640" spans="1:22" ht="14.25" customHeight="1">
      <c r="R640" s="33"/>
      <c r="S640" s="33"/>
      <c r="T640" s="33"/>
      <c r="U640" s="33"/>
      <c r="V640" s="33"/>
    </row>
    <row r="641" spans="18:22" ht="14.25" customHeight="1">
      <c r="R641" s="33"/>
      <c r="S641" s="33"/>
      <c r="T641" s="33"/>
      <c r="U641" s="33"/>
      <c r="V641" s="33"/>
    </row>
    <row r="642" spans="18:22" ht="14.25" customHeight="1">
      <c r="R642" s="33"/>
      <c r="S642" s="33"/>
      <c r="T642" s="33"/>
      <c r="U642" s="33"/>
      <c r="V642" s="33"/>
    </row>
    <row r="643" spans="18:22" ht="14.25" customHeight="1">
      <c r="R643" s="33"/>
      <c r="S643" s="33"/>
      <c r="T643" s="33"/>
      <c r="U643" s="33"/>
      <c r="V643" s="33"/>
    </row>
    <row r="644" spans="18:22" ht="14.25" customHeight="1">
      <c r="R644" s="33"/>
      <c r="S644" s="33"/>
      <c r="T644" s="33"/>
      <c r="U644" s="33"/>
      <c r="V644" s="33"/>
    </row>
    <row r="645" spans="18:22" ht="14.25" customHeight="1">
      <c r="R645" s="33"/>
      <c r="S645" s="33"/>
      <c r="T645" s="33"/>
      <c r="U645" s="33"/>
      <c r="V645" s="33"/>
    </row>
    <row r="646" spans="18:22" ht="14.25" customHeight="1">
      <c r="R646" s="33"/>
      <c r="S646" s="33"/>
      <c r="T646" s="33"/>
      <c r="U646" s="33"/>
      <c r="V646" s="33"/>
    </row>
    <row r="647" spans="18:22" ht="14.25" customHeight="1">
      <c r="R647" s="33"/>
      <c r="S647" s="33"/>
      <c r="T647" s="33"/>
      <c r="U647" s="33"/>
      <c r="V647" s="33"/>
    </row>
    <row r="648" spans="18:22" ht="14.25" customHeight="1">
      <c r="R648" s="33"/>
      <c r="S648" s="33"/>
      <c r="T648" s="33"/>
      <c r="U648" s="33"/>
      <c r="V648" s="33"/>
    </row>
    <row r="649" spans="18:22" ht="14.25" customHeight="1">
      <c r="R649" s="33"/>
      <c r="S649" s="33"/>
      <c r="T649" s="33"/>
      <c r="U649" s="33"/>
      <c r="V649" s="33"/>
    </row>
    <row r="650" spans="18:22" ht="14.25" customHeight="1">
      <c r="R650" s="33"/>
      <c r="S650" s="33"/>
      <c r="T650" s="33"/>
      <c r="U650" s="33"/>
      <c r="V650" s="33"/>
    </row>
    <row r="651" spans="18:22" ht="14.25" customHeight="1">
      <c r="R651" s="33"/>
      <c r="S651" s="33"/>
      <c r="T651" s="33"/>
      <c r="U651" s="33"/>
      <c r="V651" s="33"/>
    </row>
    <row r="652" spans="18:22" ht="14.25" customHeight="1">
      <c r="R652" s="33"/>
      <c r="S652" s="33"/>
      <c r="T652" s="33"/>
      <c r="U652" s="33"/>
      <c r="V652" s="33"/>
    </row>
    <row r="653" spans="18:22" ht="14.25" customHeight="1">
      <c r="R653" s="33"/>
      <c r="S653" s="33"/>
      <c r="T653" s="33"/>
      <c r="U653" s="33"/>
      <c r="V653" s="33"/>
    </row>
    <row r="654" spans="18:22" ht="14.25" customHeight="1">
      <c r="R654" s="33"/>
      <c r="S654" s="33"/>
      <c r="T654" s="33"/>
      <c r="U654" s="33"/>
      <c r="V654" s="33"/>
    </row>
    <row r="655" spans="18:22" ht="14.25" customHeight="1">
      <c r="R655" s="33"/>
      <c r="S655" s="33"/>
      <c r="T655" s="33"/>
      <c r="U655" s="33"/>
      <c r="V655" s="33"/>
    </row>
    <row r="656" spans="18:22" ht="14.25" customHeight="1">
      <c r="R656" s="33"/>
      <c r="S656" s="33"/>
      <c r="T656" s="33"/>
      <c r="U656" s="33"/>
      <c r="V656" s="33"/>
    </row>
    <row r="657" spans="18:22" ht="14.25" customHeight="1">
      <c r="R657" s="33"/>
      <c r="S657" s="33"/>
      <c r="T657" s="33"/>
      <c r="U657" s="33"/>
      <c r="V657" s="33"/>
    </row>
    <row r="658" spans="18:22" ht="14.25" customHeight="1">
      <c r="R658" s="33"/>
      <c r="S658" s="33"/>
      <c r="T658" s="33"/>
      <c r="U658" s="33"/>
      <c r="V658" s="33"/>
    </row>
    <row r="659" spans="18:22" ht="14.25" customHeight="1">
      <c r="R659" s="33"/>
      <c r="S659" s="33"/>
      <c r="T659" s="33"/>
      <c r="U659" s="33"/>
      <c r="V659" s="33"/>
    </row>
    <row r="660" spans="18:22" ht="14.25" customHeight="1">
      <c r="R660" s="33"/>
      <c r="S660" s="33"/>
      <c r="T660" s="33"/>
      <c r="U660" s="33"/>
      <c r="V660" s="33"/>
    </row>
    <row r="661" spans="18:22" ht="14.25" customHeight="1">
      <c r="R661" s="33"/>
      <c r="S661" s="33"/>
      <c r="T661" s="33"/>
      <c r="U661" s="33"/>
      <c r="V661" s="33"/>
    </row>
    <row r="662" spans="18:22" ht="14.25" customHeight="1">
      <c r="R662" s="33"/>
      <c r="S662" s="33"/>
      <c r="T662" s="33"/>
      <c r="U662" s="33"/>
      <c r="V662" s="33"/>
    </row>
    <row r="663" spans="18:22" ht="14.25" customHeight="1">
      <c r="R663" s="33"/>
      <c r="S663" s="33"/>
      <c r="T663" s="33"/>
      <c r="U663" s="33"/>
      <c r="V663" s="33"/>
    </row>
    <row r="664" spans="18:22" ht="14.25" customHeight="1">
      <c r="R664" s="33"/>
      <c r="S664" s="33"/>
      <c r="T664" s="33"/>
      <c r="U664" s="33"/>
      <c r="V664" s="33"/>
    </row>
    <row r="665" spans="18:22" ht="14.25" customHeight="1">
      <c r="R665" s="33"/>
      <c r="S665" s="33"/>
      <c r="T665" s="33"/>
      <c r="U665" s="33"/>
      <c r="V665" s="33"/>
    </row>
    <row r="666" spans="18:22" ht="14.25" customHeight="1">
      <c r="R666" s="33"/>
      <c r="S666" s="33"/>
      <c r="T666" s="33"/>
      <c r="U666" s="33"/>
      <c r="V666" s="33"/>
    </row>
    <row r="667" spans="18:22" ht="14.25" customHeight="1">
      <c r="R667" s="33"/>
      <c r="S667" s="33"/>
      <c r="T667" s="33"/>
      <c r="U667" s="33"/>
      <c r="V667" s="33"/>
    </row>
    <row r="668" spans="18:22" ht="14.25" customHeight="1">
      <c r="R668" s="33"/>
      <c r="S668" s="33"/>
      <c r="T668" s="33"/>
      <c r="U668" s="33"/>
      <c r="V668" s="33"/>
    </row>
    <row r="669" spans="18:22" ht="14.25" customHeight="1">
      <c r="R669" s="33"/>
      <c r="S669" s="33"/>
      <c r="T669" s="33"/>
      <c r="U669" s="33"/>
      <c r="V669" s="33"/>
    </row>
    <row r="670" spans="18:22" ht="14.25" customHeight="1">
      <c r="R670" s="33"/>
      <c r="S670" s="33"/>
      <c r="T670" s="33"/>
      <c r="U670" s="33"/>
      <c r="V670" s="33"/>
    </row>
    <row r="671" spans="18:22" ht="14.25" customHeight="1">
      <c r="R671" s="33"/>
      <c r="S671" s="33"/>
      <c r="T671" s="33"/>
      <c r="U671" s="33"/>
      <c r="V671" s="33"/>
    </row>
    <row r="672" spans="18:22" ht="14.25" customHeight="1">
      <c r="R672" s="33"/>
      <c r="S672" s="33"/>
      <c r="T672" s="33"/>
      <c r="U672" s="33"/>
      <c r="V672" s="33"/>
    </row>
    <row r="673" spans="18:22" ht="14.25" customHeight="1">
      <c r="R673" s="33"/>
      <c r="S673" s="33"/>
      <c r="T673" s="33"/>
      <c r="U673" s="33"/>
      <c r="V673" s="33"/>
    </row>
    <row r="674" spans="18:22" ht="14.25" customHeight="1">
      <c r="R674" s="33"/>
      <c r="S674" s="33"/>
      <c r="T674" s="33"/>
      <c r="U674" s="33"/>
      <c r="V674" s="33"/>
    </row>
    <row r="675" spans="18:22" ht="14.25" customHeight="1">
      <c r="R675" s="33"/>
      <c r="S675" s="33"/>
      <c r="T675" s="33"/>
      <c r="U675" s="33"/>
      <c r="V675" s="33"/>
    </row>
    <row r="676" spans="18:22" ht="14.25" customHeight="1">
      <c r="R676" s="33"/>
      <c r="S676" s="33"/>
      <c r="T676" s="33"/>
      <c r="U676" s="33"/>
      <c r="V676" s="33"/>
    </row>
    <row r="677" spans="18:22" ht="14.25" customHeight="1">
      <c r="R677" s="33"/>
      <c r="S677" s="33"/>
      <c r="T677" s="33"/>
      <c r="U677" s="33"/>
      <c r="V677" s="33"/>
    </row>
    <row r="678" spans="18:22" ht="14.25" customHeight="1">
      <c r="R678" s="33"/>
      <c r="S678" s="33"/>
      <c r="T678" s="33"/>
      <c r="U678" s="33"/>
      <c r="V678" s="33"/>
    </row>
    <row r="679" spans="18:22" ht="14.25" customHeight="1">
      <c r="R679" s="33"/>
      <c r="S679" s="33"/>
      <c r="T679" s="33"/>
      <c r="U679" s="33"/>
      <c r="V679" s="33"/>
    </row>
    <row r="680" spans="18:22" ht="14.25" customHeight="1">
      <c r="R680" s="33"/>
      <c r="S680" s="33"/>
      <c r="T680" s="33"/>
      <c r="U680" s="33"/>
      <c r="V680" s="33"/>
    </row>
    <row r="681" spans="18:22" ht="14.25" customHeight="1">
      <c r="R681" s="33"/>
      <c r="S681" s="33"/>
      <c r="T681" s="33"/>
      <c r="U681" s="33"/>
      <c r="V681" s="33"/>
    </row>
    <row r="682" spans="18:22" ht="14.25" customHeight="1">
      <c r="R682" s="33"/>
      <c r="S682" s="33"/>
      <c r="T682" s="33"/>
      <c r="U682" s="33"/>
      <c r="V682" s="33"/>
    </row>
    <row r="683" spans="18:22" ht="14.25" customHeight="1">
      <c r="R683" s="33"/>
      <c r="S683" s="33"/>
      <c r="T683" s="33"/>
      <c r="U683" s="33"/>
      <c r="V683" s="33"/>
    </row>
    <row r="684" spans="18:22" ht="14.25" customHeight="1">
      <c r="R684" s="33"/>
      <c r="S684" s="33"/>
      <c r="T684" s="33"/>
      <c r="U684" s="33"/>
      <c r="V684" s="33"/>
    </row>
    <row r="685" spans="18:22" ht="14.25" customHeight="1">
      <c r="R685" s="33"/>
      <c r="S685" s="33"/>
      <c r="T685" s="33"/>
      <c r="U685" s="33"/>
      <c r="V685" s="33"/>
    </row>
    <row r="686" spans="18:22" ht="14.25" customHeight="1">
      <c r="R686" s="33"/>
      <c r="S686" s="33"/>
      <c r="T686" s="33"/>
      <c r="U686" s="33"/>
      <c r="V686" s="33"/>
    </row>
    <row r="687" spans="18:22" ht="14.25" customHeight="1">
      <c r="R687" s="33"/>
      <c r="S687" s="33"/>
      <c r="T687" s="33"/>
      <c r="U687" s="33"/>
      <c r="V687" s="33"/>
    </row>
    <row r="688" spans="18:22" ht="14.25" customHeight="1">
      <c r="R688" s="33"/>
      <c r="S688" s="33"/>
      <c r="T688" s="33"/>
      <c r="U688" s="33"/>
      <c r="V688" s="33"/>
    </row>
    <row r="689" spans="18:22" ht="14.25" customHeight="1">
      <c r="R689" s="33"/>
      <c r="S689" s="33"/>
      <c r="T689" s="33"/>
      <c r="U689" s="33"/>
      <c r="V689" s="33"/>
    </row>
    <row r="690" spans="18:22" ht="14.25" customHeight="1">
      <c r="R690" s="33"/>
      <c r="S690" s="33"/>
      <c r="T690" s="33"/>
      <c r="U690" s="33"/>
      <c r="V690" s="33"/>
    </row>
    <row r="691" spans="18:22" ht="14.25" customHeight="1">
      <c r="R691" s="33"/>
      <c r="S691" s="33"/>
      <c r="T691" s="33"/>
      <c r="U691" s="33"/>
      <c r="V691" s="33"/>
    </row>
    <row r="692" spans="18:22" ht="14.25" customHeight="1">
      <c r="R692" s="33"/>
      <c r="S692" s="33"/>
      <c r="T692" s="33"/>
      <c r="U692" s="33"/>
      <c r="V692" s="33"/>
    </row>
    <row r="693" spans="18:22" ht="14.25" customHeight="1">
      <c r="R693" s="33"/>
      <c r="S693" s="33"/>
      <c r="T693" s="33"/>
      <c r="U693" s="33"/>
      <c r="V693" s="33"/>
    </row>
    <row r="694" spans="18:22" ht="14.25" customHeight="1">
      <c r="R694" s="33"/>
      <c r="S694" s="33"/>
      <c r="T694" s="33"/>
      <c r="U694" s="33"/>
      <c r="V694" s="33"/>
    </row>
    <row r="695" spans="18:22" ht="14.25" customHeight="1">
      <c r="R695" s="33"/>
      <c r="S695" s="33"/>
      <c r="T695" s="33"/>
      <c r="U695" s="33"/>
      <c r="V695" s="33"/>
    </row>
    <row r="696" spans="18:22" ht="14.25" customHeight="1">
      <c r="R696" s="33"/>
      <c r="S696" s="33"/>
      <c r="T696" s="33"/>
      <c r="U696" s="33"/>
      <c r="V696" s="33"/>
    </row>
    <row r="697" spans="18:22" ht="14.25" customHeight="1">
      <c r="R697" s="33"/>
      <c r="S697" s="33"/>
      <c r="T697" s="33"/>
      <c r="U697" s="33"/>
      <c r="V697" s="33"/>
    </row>
    <row r="698" spans="18:22" ht="14.25" customHeight="1">
      <c r="R698" s="33"/>
      <c r="S698" s="33"/>
      <c r="T698" s="33"/>
      <c r="U698" s="33"/>
      <c r="V698" s="33"/>
    </row>
    <row r="699" spans="18:22" ht="14.25" customHeight="1">
      <c r="R699" s="33"/>
      <c r="S699" s="33"/>
      <c r="T699" s="33"/>
      <c r="U699" s="33"/>
      <c r="V699" s="33"/>
    </row>
    <row r="700" spans="18:22" ht="14.25" customHeight="1">
      <c r="R700" s="33"/>
      <c r="S700" s="33"/>
      <c r="T700" s="33"/>
      <c r="U700" s="33"/>
      <c r="V700" s="33"/>
    </row>
    <row r="701" spans="18:22" ht="14.25" customHeight="1">
      <c r="R701" s="33"/>
      <c r="S701" s="33"/>
      <c r="T701" s="33"/>
      <c r="U701" s="33"/>
      <c r="V701" s="33"/>
    </row>
    <row r="702" spans="18:22" ht="14.25" customHeight="1">
      <c r="R702" s="33"/>
      <c r="S702" s="33"/>
      <c r="T702" s="33"/>
      <c r="U702" s="33"/>
      <c r="V702" s="33"/>
    </row>
    <row r="703" spans="18:22" ht="14.25" customHeight="1">
      <c r="R703" s="33"/>
      <c r="S703" s="33"/>
      <c r="T703" s="33"/>
      <c r="U703" s="33"/>
      <c r="V703" s="33"/>
    </row>
    <row r="704" spans="18:22" ht="14.25" customHeight="1">
      <c r="R704" s="33"/>
      <c r="S704" s="33"/>
      <c r="T704" s="33"/>
      <c r="U704" s="33"/>
      <c r="V704" s="33"/>
    </row>
    <row r="705" spans="18:22" ht="14.25" customHeight="1">
      <c r="R705" s="33"/>
      <c r="S705" s="33"/>
      <c r="T705" s="33"/>
      <c r="U705" s="33"/>
      <c r="V705" s="33"/>
    </row>
    <row r="706" spans="18:22" ht="14.25" customHeight="1">
      <c r="R706" s="33"/>
      <c r="S706" s="33"/>
      <c r="T706" s="33"/>
      <c r="U706" s="33"/>
      <c r="V706" s="33"/>
    </row>
    <row r="707" spans="18:22" ht="14.25" customHeight="1">
      <c r="R707" s="33"/>
      <c r="S707" s="33"/>
      <c r="T707" s="33"/>
      <c r="U707" s="33"/>
      <c r="V707" s="33"/>
    </row>
    <row r="708" spans="18:22" ht="14.25" customHeight="1">
      <c r="R708" s="33"/>
      <c r="S708" s="33"/>
      <c r="T708" s="33"/>
      <c r="U708" s="33"/>
      <c r="V708" s="33"/>
    </row>
    <row r="709" spans="18:22" ht="14.25" customHeight="1">
      <c r="R709" s="33"/>
      <c r="S709" s="33"/>
      <c r="T709" s="33"/>
      <c r="U709" s="33"/>
      <c r="V709" s="33"/>
    </row>
    <row r="710" spans="18:22" ht="14.25" customHeight="1">
      <c r="R710" s="33"/>
      <c r="S710" s="33"/>
      <c r="T710" s="33"/>
      <c r="U710" s="33"/>
      <c r="V710" s="33"/>
    </row>
    <row r="711" spans="18:22" ht="14.25" customHeight="1">
      <c r="R711" s="33"/>
      <c r="S711" s="33"/>
      <c r="T711" s="33"/>
      <c r="U711" s="33"/>
      <c r="V711" s="33"/>
    </row>
    <row r="712" spans="18:22" ht="14.25" customHeight="1">
      <c r="R712" s="33"/>
      <c r="S712" s="33"/>
      <c r="T712" s="33"/>
      <c r="U712" s="33"/>
      <c r="V712" s="33"/>
    </row>
    <row r="713" spans="18:22" ht="14.25" customHeight="1">
      <c r="R713" s="33"/>
      <c r="S713" s="33"/>
      <c r="T713" s="33"/>
      <c r="U713" s="33"/>
      <c r="V713" s="33"/>
    </row>
    <row r="714" spans="18:22" ht="14.25" customHeight="1">
      <c r="R714" s="33"/>
      <c r="S714" s="33"/>
      <c r="T714" s="33"/>
      <c r="U714" s="33"/>
      <c r="V714" s="33"/>
    </row>
    <row r="715" spans="18:22" ht="14.25" customHeight="1">
      <c r="R715" s="33"/>
      <c r="S715" s="33"/>
      <c r="T715" s="33"/>
      <c r="U715" s="33"/>
      <c r="V715" s="33"/>
    </row>
    <row r="716" spans="18:22" ht="14.25" customHeight="1">
      <c r="R716" s="33"/>
      <c r="S716" s="33"/>
      <c r="T716" s="33"/>
      <c r="U716" s="33"/>
      <c r="V716" s="33"/>
    </row>
    <row r="717" spans="18:22" ht="14.25" customHeight="1">
      <c r="R717" s="33"/>
      <c r="S717" s="33"/>
      <c r="T717" s="33"/>
      <c r="U717" s="33"/>
      <c r="V717" s="33"/>
    </row>
    <row r="718" spans="18:22" ht="14.25" customHeight="1">
      <c r="R718" s="33"/>
      <c r="S718" s="33"/>
      <c r="T718" s="33"/>
      <c r="U718" s="33"/>
      <c r="V718" s="33"/>
    </row>
    <row r="719" spans="18:22" ht="14.25" customHeight="1">
      <c r="R719" s="33"/>
      <c r="S719" s="33"/>
      <c r="T719" s="33"/>
      <c r="U719" s="33"/>
      <c r="V719" s="33"/>
    </row>
    <row r="720" spans="18:22" ht="14.25" customHeight="1">
      <c r="R720" s="33"/>
      <c r="S720" s="33"/>
      <c r="T720" s="33"/>
      <c r="U720" s="33"/>
      <c r="V720" s="33"/>
    </row>
    <row r="721" spans="18:22" ht="14.25" customHeight="1">
      <c r="R721" s="33"/>
      <c r="S721" s="33"/>
      <c r="T721" s="33"/>
      <c r="U721" s="33"/>
      <c r="V721" s="33"/>
    </row>
    <row r="722" spans="18:22" ht="14.25" customHeight="1">
      <c r="R722" s="33"/>
      <c r="S722" s="33"/>
      <c r="T722" s="33"/>
      <c r="U722" s="33"/>
      <c r="V722" s="33"/>
    </row>
    <row r="723" spans="18:22" ht="14.25" customHeight="1">
      <c r="R723" s="33"/>
      <c r="S723" s="33"/>
      <c r="T723" s="33"/>
      <c r="U723" s="33"/>
      <c r="V723" s="33"/>
    </row>
    <row r="724" spans="18:22" ht="14.25" customHeight="1">
      <c r="R724" s="33"/>
      <c r="S724" s="33"/>
      <c r="T724" s="33"/>
      <c r="U724" s="33"/>
      <c r="V724" s="33"/>
    </row>
    <row r="725" spans="18:22" ht="14.25" customHeight="1">
      <c r="R725" s="33"/>
      <c r="S725" s="33"/>
      <c r="T725" s="33"/>
      <c r="U725" s="33"/>
      <c r="V725" s="33"/>
    </row>
    <row r="726" spans="18:22" ht="14.25" customHeight="1">
      <c r="R726" s="33"/>
      <c r="S726" s="33"/>
      <c r="T726" s="33"/>
      <c r="U726" s="33"/>
      <c r="V726" s="33"/>
    </row>
    <row r="727" spans="18:22" ht="14.25" customHeight="1">
      <c r="R727" s="33"/>
      <c r="S727" s="33"/>
      <c r="T727" s="33"/>
      <c r="U727" s="33"/>
      <c r="V727" s="33"/>
    </row>
    <row r="728" spans="18:22" ht="14.25" customHeight="1">
      <c r="R728" s="33"/>
      <c r="S728" s="33"/>
      <c r="T728" s="33"/>
      <c r="U728" s="33"/>
      <c r="V728" s="33"/>
    </row>
    <row r="729" spans="18:22" ht="14.25" customHeight="1">
      <c r="R729" s="33"/>
      <c r="S729" s="33"/>
      <c r="T729" s="33"/>
      <c r="U729" s="33"/>
      <c r="V729" s="33"/>
    </row>
    <row r="730" spans="18:22" ht="14.25" customHeight="1">
      <c r="R730" s="33"/>
      <c r="S730" s="33"/>
      <c r="T730" s="33"/>
      <c r="U730" s="33"/>
      <c r="V730" s="33"/>
    </row>
    <row r="731" spans="18:22" ht="14.25" customHeight="1">
      <c r="R731" s="33"/>
      <c r="S731" s="33"/>
      <c r="T731" s="33"/>
      <c r="U731" s="33"/>
      <c r="V731" s="33"/>
    </row>
    <row r="732" spans="18:22" ht="14.25" customHeight="1">
      <c r="R732" s="33"/>
      <c r="S732" s="33"/>
      <c r="T732" s="33"/>
      <c r="U732" s="33"/>
      <c r="V732" s="33"/>
    </row>
    <row r="733" spans="18:22" ht="14.25" customHeight="1">
      <c r="R733" s="33"/>
      <c r="S733" s="33"/>
      <c r="T733" s="33"/>
      <c r="U733" s="33"/>
      <c r="V733" s="33"/>
    </row>
    <row r="734" spans="18:22" ht="14.25" customHeight="1">
      <c r="R734" s="33"/>
      <c r="S734" s="33"/>
      <c r="T734" s="33"/>
      <c r="U734" s="33"/>
      <c r="V734" s="33"/>
    </row>
    <row r="735" spans="18:22" ht="14.25" customHeight="1">
      <c r="R735" s="33"/>
      <c r="S735" s="33"/>
      <c r="T735" s="33"/>
      <c r="U735" s="33"/>
      <c r="V735" s="33"/>
    </row>
    <row r="736" spans="18:22" ht="14.25" customHeight="1">
      <c r="R736" s="33"/>
      <c r="S736" s="33"/>
      <c r="T736" s="33"/>
      <c r="U736" s="33"/>
      <c r="V736" s="33"/>
    </row>
    <row r="737" spans="18:22" ht="14.25" customHeight="1">
      <c r="R737" s="33"/>
      <c r="S737" s="33"/>
      <c r="T737" s="33"/>
      <c r="U737" s="33"/>
      <c r="V737" s="33"/>
    </row>
    <row r="738" spans="18:22" ht="14.25" customHeight="1">
      <c r="R738" s="33"/>
      <c r="S738" s="33"/>
      <c r="T738" s="33"/>
      <c r="U738" s="33"/>
      <c r="V738" s="33"/>
    </row>
    <row r="739" spans="18:22" ht="14.25" customHeight="1">
      <c r="R739" s="33"/>
      <c r="S739" s="33"/>
      <c r="T739" s="33"/>
      <c r="U739" s="33"/>
      <c r="V739" s="33"/>
    </row>
    <row r="740" spans="18:22" ht="14.25" customHeight="1">
      <c r="R740" s="33"/>
      <c r="S740" s="33"/>
      <c r="T740" s="33"/>
      <c r="U740" s="33"/>
      <c r="V740" s="33"/>
    </row>
    <row r="741" spans="18:22" ht="14.25" customHeight="1">
      <c r="R741" s="33"/>
      <c r="S741" s="33"/>
      <c r="T741" s="33"/>
      <c r="U741" s="33"/>
      <c r="V741" s="33"/>
    </row>
    <row r="742" spans="18:22" ht="14.25" customHeight="1">
      <c r="R742" s="33"/>
      <c r="S742" s="33"/>
      <c r="T742" s="33"/>
      <c r="U742" s="33"/>
      <c r="V742" s="33"/>
    </row>
    <row r="743" spans="18:22" ht="14.25" customHeight="1">
      <c r="R743" s="33"/>
      <c r="S743" s="33"/>
      <c r="T743" s="33"/>
      <c r="U743" s="33"/>
      <c r="V743" s="33"/>
    </row>
    <row r="744" spans="18:22" ht="14.25" customHeight="1">
      <c r="R744" s="33"/>
      <c r="S744" s="33"/>
      <c r="T744" s="33"/>
      <c r="U744" s="33"/>
      <c r="V744" s="33"/>
    </row>
    <row r="745" spans="18:22" ht="14.25" customHeight="1">
      <c r="R745" s="33"/>
      <c r="S745" s="33"/>
      <c r="T745" s="33"/>
      <c r="U745" s="33"/>
      <c r="V745" s="33"/>
    </row>
    <row r="746" spans="18:22" ht="14.25" customHeight="1">
      <c r="R746" s="33"/>
      <c r="S746" s="33"/>
      <c r="T746" s="33"/>
      <c r="U746" s="33"/>
      <c r="V746" s="33"/>
    </row>
    <row r="747" spans="18:22" ht="14.25" customHeight="1">
      <c r="R747" s="33"/>
      <c r="S747" s="33"/>
      <c r="T747" s="33"/>
      <c r="U747" s="33"/>
      <c r="V747" s="33"/>
    </row>
    <row r="748" spans="18:22" ht="14.25" customHeight="1">
      <c r="R748" s="33"/>
      <c r="S748" s="33"/>
      <c r="T748" s="33"/>
      <c r="U748" s="33"/>
      <c r="V748" s="33"/>
    </row>
    <row r="749" spans="18:22" ht="14.25" customHeight="1">
      <c r="R749" s="33"/>
      <c r="S749" s="33"/>
      <c r="T749" s="33"/>
      <c r="U749" s="33"/>
      <c r="V749" s="33"/>
    </row>
    <row r="750" spans="18:22" ht="14.25" customHeight="1">
      <c r="R750" s="33"/>
      <c r="S750" s="33"/>
      <c r="T750" s="33"/>
      <c r="U750" s="33"/>
      <c r="V750" s="33"/>
    </row>
    <row r="751" spans="18:22" ht="14.25" customHeight="1">
      <c r="R751" s="33"/>
      <c r="S751" s="33"/>
      <c r="T751" s="33"/>
      <c r="U751" s="33"/>
      <c r="V751" s="33"/>
    </row>
    <row r="752" spans="18:22" ht="14.25" customHeight="1">
      <c r="R752" s="33"/>
      <c r="S752" s="33"/>
      <c r="T752" s="33"/>
      <c r="U752" s="33"/>
      <c r="V752" s="33"/>
    </row>
    <row r="753" spans="18:22" ht="14.25" customHeight="1">
      <c r="R753" s="33"/>
      <c r="S753" s="33"/>
      <c r="T753" s="33"/>
      <c r="U753" s="33"/>
      <c r="V753" s="33"/>
    </row>
    <row r="754" spans="18:22" ht="14.25" customHeight="1">
      <c r="R754" s="33"/>
      <c r="S754" s="33"/>
      <c r="T754" s="33"/>
      <c r="U754" s="33"/>
      <c r="V754" s="33"/>
    </row>
    <row r="755" spans="18:22" ht="14.25" customHeight="1">
      <c r="R755" s="33"/>
      <c r="S755" s="33"/>
      <c r="T755" s="33"/>
      <c r="U755" s="33"/>
      <c r="V755" s="33"/>
    </row>
    <row r="756" spans="18:22" ht="14.25" customHeight="1">
      <c r="R756" s="33"/>
      <c r="S756" s="33"/>
      <c r="T756" s="33"/>
      <c r="U756" s="33"/>
      <c r="V756" s="33"/>
    </row>
    <row r="757" spans="18:22" ht="14.25" customHeight="1">
      <c r="R757" s="33"/>
      <c r="S757" s="33"/>
      <c r="T757" s="33"/>
      <c r="U757" s="33"/>
      <c r="V757" s="33"/>
    </row>
    <row r="758" spans="18:22" ht="14.25" customHeight="1">
      <c r="R758" s="33"/>
      <c r="S758" s="33"/>
      <c r="T758" s="33"/>
      <c r="U758" s="33"/>
      <c r="V758" s="33"/>
    </row>
    <row r="759" spans="18:22" ht="14.25" customHeight="1">
      <c r="R759" s="33"/>
      <c r="S759" s="33"/>
      <c r="T759" s="33"/>
      <c r="U759" s="33"/>
      <c r="V759" s="33"/>
    </row>
    <row r="760" spans="18:22" ht="14.25" customHeight="1">
      <c r="R760" s="33"/>
      <c r="S760" s="33"/>
      <c r="T760" s="33"/>
      <c r="U760" s="33"/>
      <c r="V760" s="33"/>
    </row>
    <row r="761" spans="18:22" ht="14.25" customHeight="1">
      <c r="R761" s="33"/>
      <c r="S761" s="33"/>
      <c r="T761" s="33"/>
      <c r="U761" s="33"/>
      <c r="V761" s="33"/>
    </row>
    <row r="762" spans="18:22" ht="14.25" customHeight="1">
      <c r="R762" s="33"/>
      <c r="S762" s="33"/>
      <c r="T762" s="33"/>
      <c r="U762" s="33"/>
      <c r="V762" s="33"/>
    </row>
    <row r="763" spans="18:22" ht="14.25" customHeight="1">
      <c r="R763" s="33"/>
      <c r="S763" s="33"/>
      <c r="T763" s="33"/>
      <c r="U763" s="33"/>
      <c r="V763" s="33"/>
    </row>
    <row r="764" spans="18:22" ht="14.25" customHeight="1">
      <c r="R764" s="33"/>
      <c r="S764" s="33"/>
      <c r="T764" s="33"/>
      <c r="U764" s="33"/>
      <c r="V764" s="33"/>
    </row>
    <row r="765" spans="18:22" ht="14.25" customHeight="1">
      <c r="R765" s="33"/>
      <c r="S765" s="33"/>
      <c r="T765" s="33"/>
      <c r="U765" s="33"/>
      <c r="V765" s="33"/>
    </row>
    <row r="766" spans="18:22" ht="14.25" customHeight="1">
      <c r="R766" s="33"/>
      <c r="S766" s="33"/>
      <c r="T766" s="33"/>
      <c r="U766" s="33"/>
      <c r="V766" s="33"/>
    </row>
    <row r="767" spans="18:22" ht="14.25" customHeight="1">
      <c r="R767" s="33"/>
      <c r="S767" s="33"/>
      <c r="T767" s="33"/>
      <c r="U767" s="33"/>
      <c r="V767" s="33"/>
    </row>
    <row r="768" spans="18:22" ht="14.25" customHeight="1">
      <c r="R768" s="33"/>
      <c r="S768" s="33"/>
      <c r="T768" s="33"/>
      <c r="U768" s="33"/>
      <c r="V768" s="33"/>
    </row>
    <row r="769" spans="18:22" ht="14.25" customHeight="1">
      <c r="R769" s="33"/>
      <c r="S769" s="33"/>
      <c r="T769" s="33"/>
      <c r="U769" s="33"/>
      <c r="V769" s="33"/>
    </row>
    <row r="770" spans="18:22" ht="14.25" customHeight="1">
      <c r="R770" s="33"/>
      <c r="S770" s="33"/>
      <c r="T770" s="33"/>
      <c r="U770" s="33"/>
      <c r="V770" s="33"/>
    </row>
    <row r="771" spans="18:22" ht="14.25" customHeight="1">
      <c r="R771" s="33"/>
      <c r="S771" s="33"/>
      <c r="T771" s="33"/>
      <c r="U771" s="33"/>
      <c r="V771" s="33"/>
    </row>
    <row r="772" spans="18:22" ht="14.25" customHeight="1">
      <c r="R772" s="33"/>
      <c r="S772" s="33"/>
      <c r="T772" s="33"/>
      <c r="U772" s="33"/>
      <c r="V772" s="33"/>
    </row>
    <row r="773" spans="18:22" ht="14.25" customHeight="1">
      <c r="R773" s="33"/>
      <c r="S773" s="33"/>
      <c r="T773" s="33"/>
      <c r="U773" s="33"/>
      <c r="V773" s="33"/>
    </row>
    <row r="774" spans="18:22" ht="14.25" customHeight="1">
      <c r="R774" s="33"/>
      <c r="S774" s="33"/>
      <c r="T774" s="33"/>
      <c r="U774" s="33"/>
      <c r="V774" s="33"/>
    </row>
    <row r="775" spans="18:22" ht="14.25" customHeight="1">
      <c r="R775" s="33"/>
      <c r="S775" s="33"/>
      <c r="T775" s="33"/>
      <c r="U775" s="33"/>
      <c r="V775" s="33"/>
    </row>
    <row r="776" spans="18:22" ht="14.25" customHeight="1">
      <c r="R776" s="33"/>
      <c r="S776" s="33"/>
      <c r="T776" s="33"/>
      <c r="U776" s="33"/>
      <c r="V776" s="33"/>
    </row>
    <row r="777" spans="18:22" ht="14.25" customHeight="1">
      <c r="R777" s="33"/>
      <c r="S777" s="33"/>
      <c r="T777" s="33"/>
      <c r="U777" s="33"/>
      <c r="V777" s="33"/>
    </row>
    <row r="778" spans="18:22" ht="14.25" customHeight="1">
      <c r="R778" s="33"/>
      <c r="S778" s="33"/>
      <c r="T778" s="33"/>
      <c r="U778" s="33"/>
      <c r="V778" s="33"/>
    </row>
    <row r="779" spans="18:22" ht="14.25" customHeight="1">
      <c r="R779" s="33"/>
      <c r="S779" s="33"/>
      <c r="T779" s="33"/>
      <c r="U779" s="33"/>
      <c r="V779" s="33"/>
    </row>
    <row r="780" spans="18:22" ht="14.25" customHeight="1">
      <c r="R780" s="33"/>
      <c r="S780" s="33"/>
      <c r="T780" s="33"/>
      <c r="U780" s="33"/>
      <c r="V780" s="33"/>
    </row>
    <row r="781" spans="18:22" ht="14.25" customHeight="1">
      <c r="R781" s="33"/>
      <c r="S781" s="33"/>
      <c r="T781" s="33"/>
      <c r="U781" s="33"/>
      <c r="V781" s="33"/>
    </row>
    <row r="782" spans="18:22" ht="14.25" customHeight="1">
      <c r="R782" s="33"/>
      <c r="S782" s="33"/>
      <c r="T782" s="33"/>
      <c r="U782" s="33"/>
      <c r="V782" s="33"/>
    </row>
    <row r="783" spans="18:22" ht="14.25" customHeight="1">
      <c r="R783" s="33"/>
      <c r="S783" s="33"/>
      <c r="T783" s="33"/>
      <c r="U783" s="33"/>
      <c r="V783" s="33"/>
    </row>
    <row r="784" spans="18:22" ht="14.25" customHeight="1">
      <c r="R784" s="33"/>
      <c r="S784" s="33"/>
      <c r="T784" s="33"/>
      <c r="U784" s="33"/>
      <c r="V784" s="33"/>
    </row>
    <row r="785" spans="18:22" ht="14.25" customHeight="1">
      <c r="R785" s="33"/>
      <c r="S785" s="33"/>
      <c r="T785" s="33"/>
      <c r="U785" s="33"/>
      <c r="V785" s="33"/>
    </row>
    <row r="786" spans="18:22" ht="14.25" customHeight="1">
      <c r="R786" s="33"/>
      <c r="S786" s="33"/>
      <c r="T786" s="33"/>
      <c r="U786" s="33"/>
      <c r="V786" s="33"/>
    </row>
    <row r="787" spans="18:22" ht="14.25" customHeight="1">
      <c r="R787" s="33"/>
      <c r="S787" s="33"/>
      <c r="T787" s="33"/>
      <c r="U787" s="33"/>
      <c r="V787" s="33"/>
    </row>
    <row r="788" spans="18:22" ht="14.25" customHeight="1">
      <c r="R788" s="33"/>
      <c r="S788" s="33"/>
      <c r="T788" s="33"/>
      <c r="U788" s="33"/>
      <c r="V788" s="33"/>
    </row>
    <row r="789" spans="18:22" ht="14.25" customHeight="1">
      <c r="R789" s="33"/>
      <c r="S789" s="33"/>
      <c r="T789" s="33"/>
      <c r="U789" s="33"/>
      <c r="V789" s="33"/>
    </row>
    <row r="790" spans="18:22" ht="14.25" customHeight="1">
      <c r="R790" s="33"/>
      <c r="S790" s="33"/>
      <c r="T790" s="33"/>
      <c r="U790" s="33"/>
      <c r="V790" s="33"/>
    </row>
    <row r="791" spans="18:22" ht="14.25" customHeight="1">
      <c r="R791" s="33"/>
      <c r="S791" s="33"/>
      <c r="T791" s="33"/>
      <c r="U791" s="33"/>
      <c r="V791" s="33"/>
    </row>
    <row r="792" spans="18:22" ht="14.25" customHeight="1">
      <c r="R792" s="33"/>
      <c r="S792" s="33"/>
      <c r="T792" s="33"/>
      <c r="U792" s="33"/>
      <c r="V792" s="33"/>
    </row>
    <row r="793" spans="18:22" ht="14.25" customHeight="1">
      <c r="R793" s="33"/>
      <c r="S793" s="33"/>
      <c r="T793" s="33"/>
      <c r="U793" s="33"/>
      <c r="V793" s="33"/>
    </row>
    <row r="794" spans="18:22" ht="14.25" customHeight="1">
      <c r="R794" s="33"/>
      <c r="S794" s="33"/>
      <c r="T794" s="33"/>
      <c r="U794" s="33"/>
      <c r="V794" s="33"/>
    </row>
    <row r="795" spans="18:22" ht="14.25" customHeight="1">
      <c r="R795" s="33"/>
      <c r="S795" s="33"/>
      <c r="T795" s="33"/>
      <c r="U795" s="33"/>
      <c r="V795" s="33"/>
    </row>
    <row r="796" spans="18:22" ht="14.25" customHeight="1">
      <c r="R796" s="33"/>
      <c r="S796" s="33"/>
      <c r="T796" s="33"/>
      <c r="U796" s="33"/>
      <c r="V796" s="33"/>
    </row>
    <row r="797" spans="18:22" ht="14.25" customHeight="1">
      <c r="R797" s="33"/>
      <c r="S797" s="33"/>
      <c r="T797" s="33"/>
      <c r="U797" s="33"/>
      <c r="V797" s="33"/>
    </row>
    <row r="798" spans="18:22" ht="14.25" customHeight="1">
      <c r="R798" s="33"/>
      <c r="S798" s="33"/>
      <c r="T798" s="33"/>
      <c r="U798" s="33"/>
      <c r="V798" s="33"/>
    </row>
    <row r="799" spans="18:22" ht="14.25" customHeight="1">
      <c r="R799" s="33"/>
      <c r="S799" s="33"/>
      <c r="T799" s="33"/>
      <c r="U799" s="33"/>
      <c r="V799" s="33"/>
    </row>
    <row r="800" spans="18:22" ht="14.25" customHeight="1">
      <c r="R800" s="33"/>
      <c r="S800" s="33"/>
      <c r="T800" s="33"/>
      <c r="U800" s="33"/>
      <c r="V800" s="33"/>
    </row>
    <row r="801" spans="18:22" ht="14.25" customHeight="1">
      <c r="R801" s="33"/>
      <c r="S801" s="33"/>
      <c r="T801" s="33"/>
      <c r="U801" s="33"/>
      <c r="V801" s="33"/>
    </row>
    <row r="802" spans="18:22" ht="14.25" customHeight="1">
      <c r="R802" s="33"/>
      <c r="S802" s="33"/>
      <c r="T802" s="33"/>
      <c r="U802" s="33"/>
      <c r="V802" s="33"/>
    </row>
    <row r="803" spans="18:22" ht="14.25" customHeight="1">
      <c r="R803" s="33"/>
      <c r="S803" s="33"/>
      <c r="T803" s="33"/>
      <c r="U803" s="33"/>
      <c r="V803" s="33"/>
    </row>
    <row r="804" spans="18:22" ht="14.25" customHeight="1">
      <c r="R804" s="33"/>
      <c r="S804" s="33"/>
      <c r="T804" s="33"/>
      <c r="U804" s="33"/>
      <c r="V804" s="33"/>
    </row>
    <row r="805" spans="18:22" ht="14.25" customHeight="1">
      <c r="R805" s="33"/>
      <c r="S805" s="33"/>
      <c r="T805" s="33"/>
      <c r="U805" s="33"/>
      <c r="V805" s="33"/>
    </row>
    <row r="806" spans="18:22" ht="14.25" customHeight="1">
      <c r="R806" s="33"/>
      <c r="S806" s="33"/>
      <c r="T806" s="33"/>
      <c r="U806" s="33"/>
      <c r="V806" s="33"/>
    </row>
    <row r="807" spans="18:22" ht="14.25" customHeight="1">
      <c r="R807" s="33"/>
      <c r="S807" s="33"/>
      <c r="T807" s="33"/>
      <c r="U807" s="33"/>
      <c r="V807" s="33"/>
    </row>
    <row r="808" spans="18:22" ht="14.25" customHeight="1">
      <c r="R808" s="33"/>
      <c r="S808" s="33"/>
      <c r="T808" s="33"/>
      <c r="U808" s="33"/>
      <c r="V808" s="33"/>
    </row>
    <row r="809" spans="18:22" ht="14.25" customHeight="1">
      <c r="R809" s="33"/>
      <c r="S809" s="33"/>
      <c r="T809" s="33"/>
      <c r="U809" s="33"/>
      <c r="V809" s="33"/>
    </row>
    <row r="810" spans="18:22" ht="14.25" customHeight="1">
      <c r="R810" s="33"/>
      <c r="S810" s="33"/>
      <c r="T810" s="33"/>
      <c r="U810" s="33"/>
      <c r="V810" s="33"/>
    </row>
    <row r="811" spans="18:22" ht="14.25" customHeight="1">
      <c r="R811" s="33"/>
      <c r="S811" s="33"/>
      <c r="T811" s="33"/>
      <c r="U811" s="33"/>
      <c r="V811" s="33"/>
    </row>
    <row r="812" spans="18:22" ht="14.25" customHeight="1">
      <c r="R812" s="33"/>
      <c r="S812" s="33"/>
      <c r="T812" s="33"/>
      <c r="U812" s="33"/>
      <c r="V812" s="33"/>
    </row>
    <row r="813" spans="18:22" ht="14.25" customHeight="1">
      <c r="R813" s="33"/>
      <c r="S813" s="33"/>
      <c r="T813" s="33"/>
      <c r="U813" s="33"/>
      <c r="V813" s="33"/>
    </row>
    <row r="814" spans="18:22" ht="14.25" customHeight="1">
      <c r="R814" s="33"/>
      <c r="S814" s="33"/>
      <c r="T814" s="33"/>
      <c r="U814" s="33"/>
      <c r="V814" s="33"/>
    </row>
    <row r="815" spans="18:22" ht="14.25" customHeight="1">
      <c r="R815" s="33"/>
      <c r="S815" s="33"/>
      <c r="T815" s="33"/>
      <c r="U815" s="33"/>
      <c r="V815" s="33"/>
    </row>
    <row r="816" spans="18:22" ht="14.25" customHeight="1">
      <c r="R816" s="33"/>
      <c r="S816" s="33"/>
      <c r="T816" s="33"/>
      <c r="U816" s="33"/>
      <c r="V816" s="33"/>
    </row>
    <row r="817" spans="18:22" ht="14.25" customHeight="1">
      <c r="R817" s="33"/>
      <c r="S817" s="33"/>
      <c r="T817" s="33"/>
      <c r="U817" s="33"/>
      <c r="V817" s="33"/>
    </row>
    <row r="818" spans="18:22" ht="14.25" customHeight="1">
      <c r="R818" s="33"/>
      <c r="S818" s="33"/>
      <c r="T818" s="33"/>
      <c r="U818" s="33"/>
      <c r="V818" s="33"/>
    </row>
    <row r="819" spans="18:22" ht="14.25" customHeight="1">
      <c r="R819" s="33"/>
      <c r="S819" s="33"/>
      <c r="T819" s="33"/>
      <c r="U819" s="33"/>
      <c r="V819" s="33"/>
    </row>
    <row r="820" spans="18:22" ht="14.25" customHeight="1">
      <c r="R820" s="33"/>
      <c r="S820" s="33"/>
      <c r="T820" s="33"/>
      <c r="U820" s="33"/>
      <c r="V820" s="33"/>
    </row>
    <row r="821" spans="18:22" ht="14.25" customHeight="1">
      <c r="R821" s="33"/>
      <c r="S821" s="33"/>
      <c r="T821" s="33"/>
      <c r="U821" s="33"/>
      <c r="V821" s="33"/>
    </row>
    <row r="822" spans="18:22" ht="14.25" customHeight="1">
      <c r="R822" s="33"/>
      <c r="S822" s="33"/>
      <c r="T822" s="33"/>
      <c r="U822" s="33"/>
      <c r="V822" s="33"/>
    </row>
    <row r="823" spans="18:22" ht="14.25" customHeight="1">
      <c r="R823" s="33"/>
      <c r="S823" s="33"/>
      <c r="T823" s="33"/>
      <c r="U823" s="33"/>
      <c r="V823" s="33"/>
    </row>
    <row r="824" spans="18:22" ht="14.25" customHeight="1">
      <c r="R824" s="33"/>
      <c r="S824" s="33"/>
      <c r="T824" s="33"/>
      <c r="U824" s="33"/>
      <c r="V824" s="33"/>
    </row>
    <row r="825" spans="18:22" ht="14.25" customHeight="1">
      <c r="R825" s="33"/>
      <c r="S825" s="33"/>
      <c r="T825" s="33"/>
      <c r="U825" s="33"/>
      <c r="V825" s="33"/>
    </row>
    <row r="826" spans="18:22" ht="14.25" customHeight="1">
      <c r="R826" s="33"/>
      <c r="S826" s="33"/>
      <c r="T826" s="33"/>
      <c r="U826" s="33"/>
      <c r="V826" s="33"/>
    </row>
    <row r="827" spans="18:22" ht="14.25" customHeight="1">
      <c r="R827" s="33"/>
      <c r="S827" s="33"/>
      <c r="T827" s="33"/>
      <c r="U827" s="33"/>
      <c r="V827" s="33"/>
    </row>
    <row r="828" spans="18:22" ht="14.25" customHeight="1">
      <c r="R828" s="33"/>
      <c r="S828" s="33"/>
      <c r="T828" s="33"/>
      <c r="U828" s="33"/>
      <c r="V828" s="33"/>
    </row>
    <row r="829" spans="18:22" ht="14.25" customHeight="1">
      <c r="R829" s="33"/>
      <c r="S829" s="33"/>
      <c r="T829" s="33"/>
      <c r="U829" s="33"/>
      <c r="V829" s="33"/>
    </row>
    <row r="830" spans="18:22" ht="14.25" customHeight="1">
      <c r="R830" s="33"/>
      <c r="S830" s="33"/>
      <c r="T830" s="33"/>
      <c r="U830" s="33"/>
      <c r="V830" s="33"/>
    </row>
    <row r="831" spans="18:22" ht="14.25" customHeight="1">
      <c r="R831" s="33"/>
      <c r="S831" s="33"/>
      <c r="T831" s="33"/>
      <c r="U831" s="33"/>
      <c r="V831" s="33"/>
    </row>
    <row r="832" spans="18:22" ht="14.25" customHeight="1">
      <c r="R832" s="33"/>
      <c r="S832" s="33"/>
      <c r="T832" s="33"/>
      <c r="U832" s="33"/>
      <c r="V832" s="33"/>
    </row>
    <row r="833" spans="18:22" ht="14.25" customHeight="1">
      <c r="R833" s="33"/>
      <c r="S833" s="33"/>
      <c r="T833" s="33"/>
      <c r="U833" s="33"/>
      <c r="V833" s="33"/>
    </row>
    <row r="834" spans="18:22" ht="14.25" customHeight="1">
      <c r="R834" s="33"/>
      <c r="S834" s="33"/>
      <c r="T834" s="33"/>
      <c r="U834" s="33"/>
      <c r="V834" s="33"/>
    </row>
    <row r="835" spans="18:22" ht="14.25" customHeight="1">
      <c r="R835" s="33"/>
      <c r="S835" s="33"/>
      <c r="T835" s="33"/>
      <c r="U835" s="33"/>
      <c r="V835" s="33"/>
    </row>
    <row r="836" spans="18:22" ht="14.25" customHeight="1">
      <c r="R836" s="33"/>
      <c r="S836" s="33"/>
      <c r="T836" s="33"/>
      <c r="U836" s="33"/>
      <c r="V836" s="33"/>
    </row>
    <row r="837" spans="18:22" ht="14.25" customHeight="1">
      <c r="R837" s="33"/>
      <c r="S837" s="33"/>
      <c r="T837" s="33"/>
      <c r="U837" s="33"/>
      <c r="V837" s="33"/>
    </row>
    <row r="838" spans="18:22" ht="14.25" customHeight="1">
      <c r="R838" s="33"/>
      <c r="S838" s="33"/>
      <c r="T838" s="33"/>
      <c r="U838" s="33"/>
      <c r="V838" s="33"/>
    </row>
    <row r="839" spans="18:22" ht="14.25" customHeight="1">
      <c r="R839" s="33"/>
      <c r="S839" s="33"/>
      <c r="T839" s="33"/>
      <c r="U839" s="33"/>
      <c r="V839" s="33"/>
    </row>
    <row r="840" spans="18:22" ht="14.25" customHeight="1">
      <c r="R840" s="33"/>
      <c r="S840" s="33"/>
      <c r="T840" s="33"/>
      <c r="U840" s="33"/>
      <c r="V840" s="33"/>
    </row>
    <row r="841" spans="18:22" ht="14.25" customHeight="1">
      <c r="R841" s="33"/>
      <c r="S841" s="33"/>
      <c r="T841" s="33"/>
      <c r="U841" s="33"/>
      <c r="V841" s="33"/>
    </row>
    <row r="842" spans="18:22" ht="14.25" customHeight="1">
      <c r="R842" s="33"/>
      <c r="S842" s="33"/>
      <c r="T842" s="33"/>
      <c r="U842" s="33"/>
      <c r="V842" s="33"/>
    </row>
    <row r="843" spans="18:22" ht="14.25" customHeight="1">
      <c r="R843" s="33"/>
      <c r="S843" s="33"/>
      <c r="T843" s="33"/>
      <c r="U843" s="33"/>
      <c r="V843" s="33"/>
    </row>
    <row r="844" spans="18:22" ht="14.25" customHeight="1">
      <c r="R844" s="33"/>
      <c r="S844" s="33"/>
      <c r="T844" s="33"/>
      <c r="U844" s="33"/>
      <c r="V844" s="33"/>
    </row>
    <row r="845" spans="18:22" ht="14.25" customHeight="1">
      <c r="R845" s="33"/>
      <c r="S845" s="33"/>
      <c r="T845" s="33"/>
      <c r="U845" s="33"/>
      <c r="V845" s="33"/>
    </row>
    <row r="846" spans="18:22" ht="14.25" customHeight="1">
      <c r="R846" s="33"/>
      <c r="S846" s="33"/>
      <c r="T846" s="33"/>
      <c r="U846" s="33"/>
      <c r="V846" s="33"/>
    </row>
    <row r="847" spans="18:22" ht="14.25" customHeight="1">
      <c r="R847" s="33"/>
      <c r="S847" s="33"/>
      <c r="T847" s="33"/>
      <c r="U847" s="33"/>
      <c r="V847" s="33"/>
    </row>
    <row r="848" spans="18:22" ht="14.25" customHeight="1">
      <c r="R848" s="33"/>
      <c r="S848" s="33"/>
      <c r="T848" s="33"/>
      <c r="U848" s="33"/>
      <c r="V848" s="33"/>
    </row>
    <row r="849" spans="18:22" ht="14.25" customHeight="1">
      <c r="R849" s="33"/>
      <c r="S849" s="33"/>
      <c r="T849" s="33"/>
      <c r="U849" s="33"/>
      <c r="V849" s="33"/>
    </row>
    <row r="850" spans="18:22" ht="14.25" customHeight="1">
      <c r="R850" s="33"/>
      <c r="S850" s="33"/>
      <c r="T850" s="33"/>
      <c r="U850" s="33"/>
      <c r="V850" s="33"/>
    </row>
    <row r="851" spans="18:22" ht="14.25" customHeight="1">
      <c r="R851" s="33"/>
      <c r="S851" s="33"/>
      <c r="T851" s="33"/>
      <c r="U851" s="33"/>
      <c r="V851" s="33"/>
    </row>
    <row r="852" spans="18:22" ht="14.25" customHeight="1">
      <c r="R852" s="33"/>
      <c r="S852" s="33"/>
      <c r="T852" s="33"/>
      <c r="U852" s="33"/>
      <c r="V852" s="33"/>
    </row>
    <row r="853" spans="18:22" ht="14.25" customHeight="1">
      <c r="R853" s="33"/>
      <c r="S853" s="33"/>
      <c r="T853" s="33"/>
      <c r="U853" s="33"/>
      <c r="V853" s="33"/>
    </row>
    <row r="854" spans="18:22" ht="14.25" customHeight="1">
      <c r="R854" s="33"/>
      <c r="S854" s="33"/>
      <c r="T854" s="33"/>
      <c r="U854" s="33"/>
      <c r="V854" s="33"/>
    </row>
    <row r="855" spans="18:22" ht="14.25" customHeight="1">
      <c r="R855" s="33"/>
      <c r="S855" s="33"/>
      <c r="T855" s="33"/>
      <c r="U855" s="33"/>
      <c r="V855" s="33"/>
    </row>
    <row r="856" spans="18:22" ht="14.25" customHeight="1">
      <c r="R856" s="33"/>
      <c r="S856" s="33"/>
      <c r="T856" s="33"/>
      <c r="U856" s="33"/>
      <c r="V856" s="33"/>
    </row>
    <row r="857" spans="18:22" ht="14.25" customHeight="1">
      <c r="R857" s="33"/>
      <c r="S857" s="33"/>
      <c r="T857" s="33"/>
      <c r="U857" s="33"/>
      <c r="V857" s="33"/>
    </row>
    <row r="858" spans="18:22" ht="14.25" customHeight="1">
      <c r="R858" s="33"/>
      <c r="S858" s="33"/>
      <c r="T858" s="33"/>
      <c r="U858" s="33"/>
      <c r="V858" s="33"/>
    </row>
    <row r="859" spans="18:22" ht="14.25" customHeight="1">
      <c r="R859" s="33"/>
      <c r="S859" s="33"/>
      <c r="T859" s="33"/>
      <c r="U859" s="33"/>
      <c r="V859" s="33"/>
    </row>
    <row r="860" spans="18:22" ht="14.25" customHeight="1">
      <c r="R860" s="33"/>
      <c r="S860" s="33"/>
      <c r="T860" s="33"/>
      <c r="U860" s="33"/>
      <c r="V860" s="33"/>
    </row>
    <row r="861" spans="18:22" ht="14.25" customHeight="1">
      <c r="R861" s="33"/>
      <c r="S861" s="33"/>
      <c r="T861" s="33"/>
      <c r="U861" s="33"/>
      <c r="V861" s="33"/>
    </row>
    <row r="862" spans="18:22" ht="14.25" customHeight="1">
      <c r="R862" s="33"/>
      <c r="S862" s="33"/>
      <c r="T862" s="33"/>
      <c r="U862" s="33"/>
      <c r="V862" s="33"/>
    </row>
    <row r="863" spans="18:22" ht="14.25" customHeight="1">
      <c r="R863" s="33"/>
      <c r="S863" s="33"/>
      <c r="T863" s="33"/>
      <c r="U863" s="33"/>
      <c r="V863" s="33"/>
    </row>
    <row r="864" spans="18:22" ht="14.25" customHeight="1">
      <c r="R864" s="33"/>
      <c r="S864" s="33"/>
      <c r="T864" s="33"/>
      <c r="U864" s="33"/>
      <c r="V864" s="33"/>
    </row>
    <row r="865" spans="18:22" ht="14.25" customHeight="1">
      <c r="R865" s="33"/>
      <c r="S865" s="33"/>
      <c r="T865" s="33"/>
      <c r="U865" s="33"/>
      <c r="V865" s="33"/>
    </row>
    <row r="866" spans="18:22" ht="14.25" customHeight="1">
      <c r="R866" s="33"/>
      <c r="S866" s="33"/>
      <c r="T866" s="33"/>
      <c r="U866" s="33"/>
      <c r="V866" s="33"/>
    </row>
    <row r="867" spans="18:22" ht="14.25" customHeight="1">
      <c r="R867" s="33"/>
      <c r="S867" s="33"/>
      <c r="T867" s="33"/>
      <c r="U867" s="33"/>
      <c r="V867" s="33"/>
    </row>
    <row r="868" spans="18:22" ht="14.25" customHeight="1">
      <c r="R868" s="33"/>
      <c r="S868" s="33"/>
      <c r="T868" s="33"/>
      <c r="U868" s="33"/>
      <c r="V868" s="33"/>
    </row>
    <row r="869" spans="18:22" ht="14.25" customHeight="1">
      <c r="R869" s="33"/>
      <c r="S869" s="33"/>
      <c r="T869" s="33"/>
      <c r="U869" s="33"/>
      <c r="V869" s="33"/>
    </row>
    <row r="870" spans="18:22" ht="14.25" customHeight="1">
      <c r="R870" s="33"/>
      <c r="S870" s="33"/>
      <c r="T870" s="33"/>
      <c r="U870" s="33"/>
      <c r="V870" s="33"/>
    </row>
    <row r="871" spans="18:22" ht="14.25" customHeight="1">
      <c r="R871" s="33"/>
      <c r="S871" s="33"/>
      <c r="T871" s="33"/>
      <c r="U871" s="33"/>
      <c r="V871" s="33"/>
    </row>
    <row r="872" spans="18:22" ht="14.25" customHeight="1">
      <c r="R872" s="33"/>
      <c r="S872" s="33"/>
      <c r="T872" s="33"/>
      <c r="U872" s="33"/>
      <c r="V872" s="33"/>
    </row>
    <row r="873" spans="18:22" ht="14.25" customHeight="1">
      <c r="R873" s="33"/>
      <c r="S873" s="33"/>
      <c r="T873" s="33"/>
      <c r="U873" s="33"/>
      <c r="V873" s="33"/>
    </row>
    <row r="874" spans="18:22" ht="14.25" customHeight="1">
      <c r="R874" s="33"/>
      <c r="S874" s="33"/>
      <c r="T874" s="33"/>
      <c r="U874" s="33"/>
      <c r="V874" s="33"/>
    </row>
    <row r="875" spans="18:22" ht="14.25" customHeight="1">
      <c r="R875" s="33"/>
      <c r="S875" s="33"/>
      <c r="T875" s="33"/>
      <c r="U875" s="33"/>
      <c r="V875" s="33"/>
    </row>
    <row r="876" spans="18:22" ht="14.25" customHeight="1">
      <c r="R876" s="33"/>
      <c r="S876" s="33"/>
      <c r="T876" s="33"/>
      <c r="U876" s="33"/>
      <c r="V876" s="33"/>
    </row>
    <row r="877" spans="18:22" ht="14.25" customHeight="1">
      <c r="R877" s="33"/>
      <c r="S877" s="33"/>
      <c r="T877" s="33"/>
      <c r="U877" s="33"/>
      <c r="V877" s="33"/>
    </row>
    <row r="878" spans="18:22" ht="14.25" customHeight="1">
      <c r="R878" s="33"/>
      <c r="S878" s="33"/>
      <c r="T878" s="33"/>
      <c r="U878" s="33"/>
      <c r="V878" s="33"/>
    </row>
    <row r="879" spans="18:22" ht="14.25" customHeight="1">
      <c r="R879" s="33"/>
      <c r="S879" s="33"/>
      <c r="T879" s="33"/>
      <c r="U879" s="33"/>
      <c r="V879" s="33"/>
    </row>
    <row r="880" spans="18:22" ht="14.25" customHeight="1">
      <c r="R880" s="33"/>
      <c r="S880" s="33"/>
      <c r="T880" s="33"/>
      <c r="U880" s="33"/>
      <c r="V880" s="33"/>
    </row>
    <row r="881" spans="18:22" ht="14.25" customHeight="1">
      <c r="R881" s="33"/>
      <c r="S881" s="33"/>
      <c r="T881" s="33"/>
      <c r="U881" s="33"/>
      <c r="V881" s="33"/>
    </row>
    <row r="882" spans="18:22" ht="14.25" customHeight="1">
      <c r="R882" s="33"/>
      <c r="S882" s="33"/>
      <c r="T882" s="33"/>
      <c r="U882" s="33"/>
      <c r="V882" s="33"/>
    </row>
    <row r="883" spans="18:22" ht="14.25" customHeight="1">
      <c r="R883" s="33"/>
      <c r="S883" s="33"/>
      <c r="T883" s="33"/>
      <c r="U883" s="33"/>
      <c r="V883" s="33"/>
    </row>
    <row r="884" spans="18:22" ht="14.25" customHeight="1">
      <c r="R884" s="33"/>
      <c r="S884" s="33"/>
      <c r="T884" s="33"/>
      <c r="U884" s="33"/>
      <c r="V884" s="33"/>
    </row>
    <row r="885" spans="18:22" ht="14.25" customHeight="1">
      <c r="R885" s="33"/>
      <c r="S885" s="33"/>
      <c r="T885" s="33"/>
      <c r="U885" s="33"/>
      <c r="V885" s="33"/>
    </row>
    <row r="886" spans="18:22" ht="14.25" customHeight="1">
      <c r="R886" s="33"/>
      <c r="S886" s="33"/>
      <c r="T886" s="33"/>
      <c r="U886" s="33"/>
      <c r="V886" s="33"/>
    </row>
    <row r="887" spans="18:22" ht="14.25" customHeight="1">
      <c r="R887" s="33"/>
      <c r="S887" s="33"/>
      <c r="T887" s="33"/>
      <c r="U887" s="33"/>
      <c r="V887" s="33"/>
    </row>
    <row r="888" spans="18:22" ht="14.25" customHeight="1">
      <c r="R888" s="33"/>
      <c r="S888" s="33"/>
      <c r="T888" s="33"/>
      <c r="U888" s="33"/>
      <c r="V888" s="33"/>
    </row>
    <row r="889" spans="18:22" ht="14.25" customHeight="1">
      <c r="R889" s="33"/>
      <c r="S889" s="33"/>
      <c r="T889" s="33"/>
      <c r="U889" s="33"/>
      <c r="V889" s="33"/>
    </row>
    <row r="890" spans="18:22" ht="14.25" customHeight="1">
      <c r="R890" s="33"/>
      <c r="S890" s="33"/>
      <c r="T890" s="33"/>
      <c r="U890" s="33"/>
      <c r="V890" s="33"/>
    </row>
    <row r="891" spans="18:22" ht="14.25" customHeight="1">
      <c r="R891" s="33"/>
      <c r="S891" s="33"/>
      <c r="T891" s="33"/>
      <c r="U891" s="33"/>
      <c r="V891" s="33"/>
    </row>
    <row r="892" spans="18:22" ht="14.25" customHeight="1">
      <c r="R892" s="33"/>
      <c r="S892" s="33"/>
      <c r="T892" s="33"/>
      <c r="U892" s="33"/>
      <c r="V892" s="33"/>
    </row>
    <row r="893" spans="18:22" ht="14.25" customHeight="1">
      <c r="R893" s="33"/>
      <c r="S893" s="33"/>
      <c r="T893" s="33"/>
      <c r="U893" s="33"/>
      <c r="V893" s="33"/>
    </row>
    <row r="894" spans="18:22" ht="14.25" customHeight="1">
      <c r="R894" s="33"/>
      <c r="S894" s="33"/>
      <c r="T894" s="33"/>
      <c r="U894" s="33"/>
      <c r="V894" s="33"/>
    </row>
    <row r="895" spans="18:22" ht="14.25" customHeight="1">
      <c r="R895" s="33"/>
      <c r="S895" s="33"/>
      <c r="T895" s="33"/>
      <c r="U895" s="33"/>
      <c r="V895" s="33"/>
    </row>
    <row r="896" spans="18:22" ht="14.25" customHeight="1">
      <c r="R896" s="33"/>
      <c r="S896" s="33"/>
      <c r="T896" s="33"/>
      <c r="U896" s="33"/>
      <c r="V896" s="33"/>
    </row>
    <row r="897" spans="18:22" ht="14.25" customHeight="1">
      <c r="R897" s="33"/>
      <c r="S897" s="33"/>
      <c r="T897" s="33"/>
      <c r="U897" s="33"/>
      <c r="V897" s="33"/>
    </row>
    <row r="898" spans="18:22" ht="14.25" customHeight="1">
      <c r="R898" s="33"/>
      <c r="S898" s="33"/>
      <c r="T898" s="33"/>
      <c r="U898" s="33"/>
      <c r="V898" s="33"/>
    </row>
    <row r="899" spans="18:22" ht="14.25" customHeight="1">
      <c r="R899" s="33"/>
      <c r="S899" s="33"/>
      <c r="T899" s="33"/>
      <c r="U899" s="33"/>
      <c r="V899" s="33"/>
    </row>
    <row r="900" spans="18:22" ht="14.25" customHeight="1">
      <c r="R900" s="33"/>
      <c r="S900" s="33"/>
      <c r="T900" s="33"/>
      <c r="U900" s="33"/>
      <c r="V900" s="33"/>
    </row>
    <row r="901" spans="18:22" ht="14.25" customHeight="1">
      <c r="R901" s="33"/>
      <c r="S901" s="33"/>
      <c r="T901" s="33"/>
      <c r="U901" s="33"/>
      <c r="V901" s="33"/>
    </row>
    <row r="902" spans="18:22" ht="14.25" customHeight="1">
      <c r="R902" s="33"/>
      <c r="S902" s="33"/>
      <c r="T902" s="33"/>
      <c r="U902" s="33"/>
      <c r="V902" s="33"/>
    </row>
    <row r="903" spans="18:22" ht="14.25" customHeight="1">
      <c r="R903" s="33"/>
      <c r="S903" s="33"/>
      <c r="T903" s="33"/>
      <c r="U903" s="33"/>
      <c r="V903" s="33"/>
    </row>
    <row r="904" spans="18:22" ht="14.25" customHeight="1">
      <c r="R904" s="33"/>
      <c r="S904" s="33"/>
      <c r="T904" s="33"/>
      <c r="U904" s="33"/>
      <c r="V904" s="33"/>
    </row>
    <row r="905" spans="18:22" ht="14.25" customHeight="1">
      <c r="R905" s="33"/>
      <c r="S905" s="33"/>
      <c r="T905" s="33"/>
      <c r="U905" s="33"/>
      <c r="V905" s="33"/>
    </row>
    <row r="906" spans="18:22" ht="14.25" customHeight="1">
      <c r="R906" s="33"/>
      <c r="S906" s="33"/>
      <c r="T906" s="33"/>
      <c r="U906" s="33"/>
      <c r="V906" s="33"/>
    </row>
    <row r="907" spans="18:22" ht="14.25" customHeight="1">
      <c r="R907" s="33"/>
      <c r="S907" s="33"/>
      <c r="T907" s="33"/>
      <c r="U907" s="33"/>
      <c r="V907" s="33"/>
    </row>
    <row r="908" spans="18:22" ht="14.25" customHeight="1">
      <c r="R908" s="33"/>
      <c r="S908" s="33"/>
      <c r="T908" s="33"/>
      <c r="U908" s="33"/>
      <c r="V908" s="33"/>
    </row>
    <row r="909" spans="18:22" ht="14.25" customHeight="1">
      <c r="R909" s="33"/>
      <c r="S909" s="33"/>
      <c r="T909" s="33"/>
      <c r="U909" s="33"/>
      <c r="V909" s="33"/>
    </row>
    <row r="910" spans="18:22" ht="14.25" customHeight="1">
      <c r="R910" s="33"/>
      <c r="S910" s="33"/>
      <c r="T910" s="33"/>
      <c r="U910" s="33"/>
      <c r="V910" s="33"/>
    </row>
    <row r="911" spans="18:22" ht="14.25" customHeight="1">
      <c r="R911" s="33"/>
      <c r="S911" s="33"/>
      <c r="T911" s="33"/>
      <c r="U911" s="33"/>
      <c r="V911" s="33"/>
    </row>
    <row r="912" spans="18:22" ht="14.25" customHeight="1">
      <c r="R912" s="33"/>
      <c r="S912" s="33"/>
      <c r="T912" s="33"/>
      <c r="U912" s="33"/>
      <c r="V912" s="33"/>
    </row>
    <row r="913" spans="18:22" ht="14.25" customHeight="1">
      <c r="R913" s="33"/>
      <c r="S913" s="33"/>
      <c r="T913" s="33"/>
      <c r="U913" s="33"/>
      <c r="V913" s="33"/>
    </row>
    <row r="914" spans="18:22" ht="14.25" customHeight="1">
      <c r="R914" s="33"/>
      <c r="S914" s="33"/>
      <c r="T914" s="33"/>
      <c r="U914" s="33"/>
      <c r="V914" s="33"/>
    </row>
    <row r="915" spans="18:22" ht="14.25" customHeight="1">
      <c r="R915" s="33"/>
      <c r="S915" s="33"/>
      <c r="T915" s="33"/>
      <c r="U915" s="33"/>
      <c r="V915" s="33"/>
    </row>
    <row r="916" spans="18:22" ht="14.25" customHeight="1">
      <c r="R916" s="33"/>
      <c r="S916" s="33"/>
      <c r="T916" s="33"/>
      <c r="U916" s="33"/>
      <c r="V916" s="33"/>
    </row>
    <row r="917" spans="18:22" ht="14.25" customHeight="1">
      <c r="R917" s="33"/>
      <c r="S917" s="33"/>
      <c r="T917" s="33"/>
      <c r="U917" s="33"/>
      <c r="V917" s="33"/>
    </row>
    <row r="918" spans="18:22" ht="14.25" customHeight="1">
      <c r="R918" s="33"/>
      <c r="S918" s="33"/>
      <c r="T918" s="33"/>
      <c r="U918" s="33"/>
      <c r="V918" s="33"/>
    </row>
    <row r="919" spans="18:22" ht="14.25" customHeight="1">
      <c r="R919" s="33"/>
      <c r="S919" s="33"/>
      <c r="T919" s="33"/>
      <c r="U919" s="33"/>
      <c r="V919" s="33"/>
    </row>
    <row r="920" spans="18:22" ht="14.25" customHeight="1">
      <c r="R920" s="33"/>
      <c r="S920" s="33"/>
      <c r="T920" s="33"/>
      <c r="U920" s="33"/>
      <c r="V920" s="33"/>
    </row>
    <row r="921" spans="18:22" ht="14.25" customHeight="1">
      <c r="R921" s="33"/>
      <c r="S921" s="33"/>
      <c r="T921" s="33"/>
      <c r="U921" s="33"/>
      <c r="V921" s="33"/>
    </row>
    <row r="922" spans="18:22" ht="14.25" customHeight="1">
      <c r="R922" s="33"/>
      <c r="S922" s="33"/>
      <c r="T922" s="33"/>
      <c r="U922" s="33"/>
      <c r="V922" s="33"/>
    </row>
    <row r="923" spans="18:22" ht="14.25" customHeight="1">
      <c r="R923" s="33"/>
      <c r="S923" s="33"/>
      <c r="T923" s="33"/>
      <c r="U923" s="33"/>
      <c r="V923" s="33"/>
    </row>
    <row r="924" spans="18:22" ht="14.25" customHeight="1">
      <c r="R924" s="33"/>
      <c r="S924" s="33"/>
      <c r="T924" s="33"/>
      <c r="U924" s="33"/>
      <c r="V924" s="33"/>
    </row>
    <row r="925" spans="18:22" ht="14.25" customHeight="1">
      <c r="R925" s="33"/>
      <c r="S925" s="33"/>
      <c r="T925" s="33"/>
      <c r="U925" s="33"/>
      <c r="V925" s="33"/>
    </row>
    <row r="926" spans="18:22" ht="14.25" customHeight="1">
      <c r="R926" s="33"/>
      <c r="S926" s="33"/>
      <c r="T926" s="33"/>
      <c r="U926" s="33"/>
      <c r="V926" s="33"/>
    </row>
    <row r="927" spans="18:22" ht="14.25" customHeight="1">
      <c r="R927" s="33"/>
      <c r="S927" s="33"/>
      <c r="T927" s="33"/>
      <c r="U927" s="33"/>
      <c r="V927" s="33"/>
    </row>
    <row r="928" spans="18:22" ht="14.25" customHeight="1">
      <c r="R928" s="33"/>
      <c r="S928" s="33"/>
      <c r="T928" s="33"/>
      <c r="U928" s="33"/>
      <c r="V928" s="33"/>
    </row>
    <row r="929" spans="18:22" ht="14.25" customHeight="1">
      <c r="R929" s="33"/>
      <c r="S929" s="33"/>
      <c r="T929" s="33"/>
      <c r="U929" s="33"/>
      <c r="V929" s="33"/>
    </row>
    <row r="930" spans="18:22" ht="14.25" customHeight="1">
      <c r="R930" s="33"/>
      <c r="S930" s="33"/>
      <c r="T930" s="33"/>
      <c r="U930" s="33"/>
      <c r="V930" s="33"/>
    </row>
    <row r="931" spans="18:22" ht="14.25" customHeight="1">
      <c r="R931" s="33"/>
      <c r="S931" s="33"/>
      <c r="T931" s="33"/>
      <c r="U931" s="33"/>
      <c r="V931" s="33"/>
    </row>
    <row r="932" spans="18:22" ht="14.25" customHeight="1">
      <c r="R932" s="33"/>
      <c r="S932" s="33"/>
      <c r="T932" s="33"/>
      <c r="U932" s="33"/>
      <c r="V932" s="33"/>
    </row>
    <row r="933" spans="18:22" ht="14.25" customHeight="1">
      <c r="R933" s="33"/>
      <c r="S933" s="33"/>
      <c r="T933" s="33"/>
      <c r="U933" s="33"/>
      <c r="V933" s="33"/>
    </row>
    <row r="934" spans="18:22" ht="14.25" customHeight="1">
      <c r="R934" s="33"/>
      <c r="S934" s="33"/>
      <c r="T934" s="33"/>
      <c r="U934" s="33"/>
      <c r="V934" s="33"/>
    </row>
    <row r="935" spans="18:22" ht="14.25" customHeight="1">
      <c r="R935" s="33"/>
      <c r="S935" s="33"/>
      <c r="T935" s="33"/>
      <c r="U935" s="33"/>
      <c r="V935" s="33"/>
    </row>
    <row r="936" spans="18:22" ht="14.25" customHeight="1">
      <c r="R936" s="33"/>
      <c r="S936" s="33"/>
      <c r="T936" s="33"/>
      <c r="U936" s="33"/>
      <c r="V936" s="33"/>
    </row>
    <row r="937" spans="18:22" ht="14.25" customHeight="1">
      <c r="R937" s="33"/>
      <c r="S937" s="33"/>
      <c r="T937" s="33"/>
      <c r="U937" s="33"/>
      <c r="V937" s="33"/>
    </row>
    <row r="938" spans="18:22" ht="14.25" customHeight="1">
      <c r="R938" s="33"/>
      <c r="S938" s="33"/>
      <c r="T938" s="33"/>
      <c r="U938" s="33"/>
      <c r="V938" s="33"/>
    </row>
    <row r="939" spans="18:22" ht="14.25" customHeight="1">
      <c r="R939" s="33"/>
      <c r="S939" s="33"/>
      <c r="T939" s="33"/>
      <c r="U939" s="33"/>
      <c r="V939" s="33"/>
    </row>
    <row r="940" spans="18:22" ht="14.25" customHeight="1">
      <c r="R940" s="33"/>
      <c r="S940" s="33"/>
      <c r="T940" s="33"/>
      <c r="U940" s="33"/>
      <c r="V940" s="33"/>
    </row>
    <row r="941" spans="18:22" ht="14.25" customHeight="1">
      <c r="R941" s="33"/>
      <c r="S941" s="33"/>
      <c r="T941" s="33"/>
      <c r="U941" s="33"/>
      <c r="V941" s="33"/>
    </row>
    <row r="942" spans="18:22" ht="14.25" customHeight="1">
      <c r="R942" s="33"/>
      <c r="S942" s="33"/>
      <c r="T942" s="33"/>
      <c r="U942" s="33"/>
      <c r="V942" s="33"/>
    </row>
    <row r="943" spans="18:22" ht="14.25" customHeight="1">
      <c r="R943" s="33"/>
      <c r="S943" s="33"/>
      <c r="T943" s="33"/>
      <c r="U943" s="33"/>
      <c r="V943" s="33"/>
    </row>
    <row r="944" spans="18:22" ht="14.25" customHeight="1">
      <c r="R944" s="33"/>
      <c r="S944" s="33"/>
      <c r="T944" s="33"/>
      <c r="U944" s="33"/>
      <c r="V944" s="33"/>
    </row>
    <row r="945" spans="18:22" ht="14.25" customHeight="1">
      <c r="R945" s="33"/>
      <c r="S945" s="33"/>
      <c r="T945" s="33"/>
      <c r="U945" s="33"/>
      <c r="V945" s="33"/>
    </row>
    <row r="946" spans="18:22" ht="14.25" customHeight="1">
      <c r="R946" s="33"/>
      <c r="S946" s="33"/>
      <c r="T946" s="33"/>
      <c r="U946" s="33"/>
      <c r="V946" s="33"/>
    </row>
    <row r="947" spans="18:22" ht="14.25" customHeight="1">
      <c r="R947" s="33"/>
      <c r="S947" s="33"/>
      <c r="T947" s="33"/>
      <c r="U947" s="33"/>
      <c r="V947" s="33"/>
    </row>
    <row r="948" spans="18:22" ht="14.25" customHeight="1">
      <c r="R948" s="33"/>
      <c r="S948" s="33"/>
      <c r="T948" s="33"/>
      <c r="U948" s="33"/>
      <c r="V948" s="33"/>
    </row>
    <row r="949" spans="18:22" ht="14.25" customHeight="1">
      <c r="R949" s="33"/>
      <c r="S949" s="33"/>
      <c r="T949" s="33"/>
      <c r="U949" s="33"/>
      <c r="V949" s="33"/>
    </row>
    <row r="950" spans="18:22" ht="14.25" customHeight="1">
      <c r="R950" s="33"/>
      <c r="S950" s="33"/>
      <c r="T950" s="33"/>
      <c r="U950" s="33"/>
      <c r="V950" s="33"/>
    </row>
    <row r="951" spans="18:22" ht="14.25" customHeight="1">
      <c r="R951" s="33"/>
      <c r="S951" s="33"/>
      <c r="T951" s="33"/>
      <c r="U951" s="33"/>
      <c r="V951" s="33"/>
    </row>
    <row r="952" spans="18:22" ht="14.25" customHeight="1">
      <c r="R952" s="33"/>
      <c r="S952" s="33"/>
      <c r="T952" s="33"/>
      <c r="U952" s="33"/>
      <c r="V952" s="33"/>
    </row>
    <row r="953" spans="18:22" ht="14.25" customHeight="1">
      <c r="R953" s="33"/>
      <c r="S953" s="33"/>
      <c r="T953" s="33"/>
      <c r="U953" s="33"/>
      <c r="V953" s="33"/>
    </row>
    <row r="954" spans="18:22" ht="14.25" customHeight="1">
      <c r="R954" s="33"/>
      <c r="S954" s="33"/>
      <c r="T954" s="33"/>
      <c r="U954" s="33"/>
      <c r="V954" s="33"/>
    </row>
    <row r="955" spans="18:22" ht="14.25" customHeight="1">
      <c r="R955" s="33"/>
      <c r="S955" s="33"/>
      <c r="T955" s="33"/>
      <c r="U955" s="33"/>
      <c r="V955" s="33"/>
    </row>
    <row r="956" spans="18:22" ht="14.25" customHeight="1">
      <c r="R956" s="33"/>
      <c r="S956" s="33"/>
      <c r="T956" s="33"/>
      <c r="U956" s="33"/>
      <c r="V956" s="33"/>
    </row>
    <row r="957" spans="18:22" ht="14.25" customHeight="1">
      <c r="R957" s="33"/>
      <c r="S957" s="33"/>
      <c r="T957" s="33"/>
      <c r="U957" s="33"/>
      <c r="V957" s="33"/>
    </row>
    <row r="958" spans="18:22" ht="14.25" customHeight="1">
      <c r="R958" s="33"/>
      <c r="S958" s="33"/>
      <c r="T958" s="33"/>
      <c r="U958" s="33"/>
      <c r="V958" s="33"/>
    </row>
    <row r="959" spans="18:22" ht="14.25" customHeight="1">
      <c r="R959" s="33"/>
      <c r="S959" s="33"/>
      <c r="T959" s="33"/>
      <c r="U959" s="33"/>
      <c r="V959" s="33"/>
    </row>
    <row r="960" spans="18:22" ht="14.25" customHeight="1">
      <c r="R960" s="33"/>
      <c r="S960" s="33"/>
      <c r="T960" s="33"/>
      <c r="U960" s="33"/>
      <c r="V960" s="33"/>
    </row>
    <row r="961" spans="18:22" ht="14.25" customHeight="1">
      <c r="R961" s="33"/>
      <c r="S961" s="33"/>
      <c r="T961" s="33"/>
      <c r="U961" s="33"/>
      <c r="V961" s="33"/>
    </row>
    <row r="962" spans="18:22" ht="14.25" customHeight="1">
      <c r="R962" s="33"/>
      <c r="S962" s="33"/>
      <c r="T962" s="33"/>
      <c r="U962" s="33"/>
      <c r="V962" s="33"/>
    </row>
    <row r="963" spans="18:22" ht="14.25" customHeight="1">
      <c r="R963" s="33"/>
      <c r="S963" s="33"/>
      <c r="T963" s="33"/>
      <c r="U963" s="33"/>
      <c r="V963" s="33"/>
    </row>
    <row r="964" spans="18:22" ht="14.25" customHeight="1">
      <c r="R964" s="33"/>
      <c r="S964" s="33"/>
      <c r="T964" s="33"/>
      <c r="U964" s="33"/>
      <c r="V964" s="33"/>
    </row>
    <row r="965" spans="18:22" ht="14.25" customHeight="1">
      <c r="R965" s="33"/>
      <c r="S965" s="33"/>
      <c r="T965" s="33"/>
      <c r="U965" s="33"/>
      <c r="V965" s="33"/>
    </row>
    <row r="966" spans="18:22" ht="14.25" customHeight="1">
      <c r="R966" s="33"/>
      <c r="S966" s="33"/>
      <c r="T966" s="33"/>
      <c r="U966" s="33"/>
      <c r="V966" s="33"/>
    </row>
    <row r="967" spans="18:22" ht="14.25" customHeight="1">
      <c r="R967" s="33"/>
      <c r="S967" s="33"/>
      <c r="T967" s="33"/>
      <c r="U967" s="33"/>
      <c r="V967" s="33"/>
    </row>
    <row r="968" spans="18:22" ht="14.25" customHeight="1">
      <c r="R968" s="33"/>
      <c r="S968" s="33"/>
      <c r="T968" s="33"/>
      <c r="U968" s="33"/>
      <c r="V968" s="33"/>
    </row>
    <row r="969" spans="18:22" ht="14.25" customHeight="1">
      <c r="R969" s="33"/>
      <c r="S969" s="33"/>
      <c r="T969" s="33"/>
      <c r="U969" s="33"/>
      <c r="V969" s="33"/>
    </row>
    <row r="970" spans="18:22" ht="14.25" customHeight="1">
      <c r="R970" s="33"/>
      <c r="S970" s="33"/>
      <c r="T970" s="33"/>
      <c r="U970" s="33"/>
      <c r="V970" s="33"/>
    </row>
    <row r="971" spans="18:22" ht="14.25" customHeight="1">
      <c r="R971" s="33"/>
      <c r="S971" s="33"/>
      <c r="T971" s="33"/>
      <c r="U971" s="33"/>
      <c r="V971" s="33"/>
    </row>
    <row r="972" spans="18:22" ht="14.25" customHeight="1">
      <c r="R972" s="33"/>
      <c r="S972" s="33"/>
      <c r="T972" s="33"/>
      <c r="U972" s="33"/>
      <c r="V972" s="33"/>
    </row>
    <row r="973" spans="18:22" ht="14.25" customHeight="1">
      <c r="R973" s="33"/>
      <c r="S973" s="33"/>
      <c r="T973" s="33"/>
      <c r="U973" s="33"/>
      <c r="V973" s="33"/>
    </row>
    <row r="974" spans="18:22" ht="14.25" customHeight="1">
      <c r="R974" s="33"/>
      <c r="S974" s="33"/>
      <c r="T974" s="33"/>
      <c r="U974" s="33"/>
      <c r="V974" s="33"/>
    </row>
    <row r="975" spans="18:22" ht="14.25" customHeight="1">
      <c r="R975" s="33"/>
      <c r="S975" s="33"/>
      <c r="T975" s="33"/>
      <c r="U975" s="33"/>
      <c r="V975" s="33"/>
    </row>
    <row r="976" spans="18:22" ht="14.25" customHeight="1">
      <c r="R976" s="33"/>
      <c r="S976" s="33"/>
      <c r="T976" s="33"/>
      <c r="U976" s="33"/>
      <c r="V976" s="33"/>
    </row>
    <row r="977" spans="18:22" ht="14.25" customHeight="1">
      <c r="R977" s="33"/>
      <c r="S977" s="33"/>
      <c r="T977" s="33"/>
      <c r="U977" s="33"/>
      <c r="V977" s="33"/>
    </row>
    <row r="978" spans="18:22" ht="14.25" customHeight="1">
      <c r="R978" s="33"/>
      <c r="S978" s="33"/>
      <c r="T978" s="33"/>
      <c r="U978" s="33"/>
      <c r="V978" s="33"/>
    </row>
    <row r="979" spans="18:22" ht="14.25" customHeight="1">
      <c r="R979" s="33"/>
      <c r="S979" s="33"/>
      <c r="T979" s="33"/>
      <c r="U979" s="33"/>
      <c r="V979" s="33"/>
    </row>
    <row r="980" spans="18:22" ht="14.25" customHeight="1">
      <c r="R980" s="33"/>
      <c r="S980" s="33"/>
      <c r="T980" s="33"/>
      <c r="U980" s="33"/>
      <c r="V980" s="33"/>
    </row>
    <row r="981" spans="18:22" ht="14.25" customHeight="1">
      <c r="R981" s="33"/>
      <c r="S981" s="33"/>
      <c r="T981" s="33"/>
      <c r="U981" s="33"/>
      <c r="V981" s="33"/>
    </row>
    <row r="982" spans="18:22" ht="14.25" customHeight="1">
      <c r="R982" s="33"/>
      <c r="S982" s="33"/>
      <c r="T982" s="33"/>
      <c r="U982" s="33"/>
      <c r="V982" s="33"/>
    </row>
    <row r="983" spans="18:22" ht="14.25" customHeight="1">
      <c r="R983" s="33"/>
      <c r="S983" s="33"/>
      <c r="T983" s="33"/>
      <c r="U983" s="33"/>
      <c r="V983" s="33"/>
    </row>
    <row r="984" spans="18:22" ht="14.25" customHeight="1">
      <c r="R984" s="33"/>
      <c r="S984" s="33"/>
      <c r="T984" s="33"/>
      <c r="U984" s="33"/>
      <c r="V984" s="33"/>
    </row>
    <row r="985" spans="18:22" ht="14.25" customHeight="1">
      <c r="R985" s="33"/>
      <c r="S985" s="33"/>
      <c r="T985" s="33"/>
      <c r="U985" s="33"/>
      <c r="V985" s="33"/>
    </row>
    <row r="986" spans="18:22" ht="14.25" customHeight="1">
      <c r="R986" s="33"/>
      <c r="S986" s="33"/>
      <c r="T986" s="33"/>
      <c r="U986" s="33"/>
      <c r="V986" s="33"/>
    </row>
    <row r="987" spans="18:22" ht="14.25" customHeight="1">
      <c r="R987" s="33"/>
      <c r="S987" s="33"/>
      <c r="T987" s="33"/>
      <c r="U987" s="33"/>
      <c r="V987" s="33"/>
    </row>
    <row r="988" spans="18:22" ht="14.25" customHeight="1">
      <c r="R988" s="33"/>
      <c r="S988" s="33"/>
      <c r="T988" s="33"/>
      <c r="U988" s="33"/>
      <c r="V988" s="33"/>
    </row>
    <row r="989" spans="18:22" ht="14.25" customHeight="1">
      <c r="R989" s="33"/>
      <c r="S989" s="33"/>
      <c r="T989" s="33"/>
      <c r="U989" s="33"/>
      <c r="V989" s="33"/>
    </row>
    <row r="990" spans="18:22" ht="14.25" customHeight="1">
      <c r="R990" s="33"/>
      <c r="S990" s="33"/>
      <c r="T990" s="33"/>
      <c r="U990" s="33"/>
      <c r="V990" s="33"/>
    </row>
    <row r="991" spans="18:22" ht="14.25" customHeight="1">
      <c r="R991" s="33"/>
      <c r="S991" s="33"/>
      <c r="T991" s="33"/>
      <c r="U991" s="33"/>
      <c r="V991" s="33"/>
    </row>
    <row r="992" spans="18:22" ht="14.25" customHeight="1">
      <c r="R992" s="33"/>
      <c r="S992" s="33"/>
      <c r="T992" s="33"/>
      <c r="U992" s="33"/>
      <c r="V992" s="33"/>
    </row>
    <row r="993" spans="18:22" ht="14.25" customHeight="1">
      <c r="R993" s="33"/>
      <c r="S993" s="33"/>
      <c r="T993" s="33"/>
      <c r="U993" s="33"/>
      <c r="V993" s="33"/>
    </row>
    <row r="994" spans="18:22" ht="14.25" customHeight="1">
      <c r="R994" s="33"/>
      <c r="S994" s="33"/>
      <c r="T994" s="33"/>
      <c r="U994" s="33"/>
      <c r="V994" s="33"/>
    </row>
    <row r="995" spans="18:22" ht="14.25" customHeight="1">
      <c r="R995" s="33"/>
      <c r="S995" s="33"/>
      <c r="T995" s="33"/>
      <c r="U995" s="33"/>
      <c r="V995" s="33"/>
    </row>
    <row r="996" spans="18:22" ht="14.25" customHeight="1">
      <c r="R996" s="33"/>
      <c r="S996" s="33"/>
      <c r="T996" s="33"/>
      <c r="U996" s="33"/>
      <c r="V996" s="33"/>
    </row>
    <row r="997" spans="18:22" ht="14.25" customHeight="1">
      <c r="R997" s="33"/>
      <c r="S997" s="33"/>
      <c r="T997" s="33"/>
      <c r="U997" s="33"/>
      <c r="V997" s="33"/>
    </row>
    <row r="998" spans="18:22" ht="14.25" customHeight="1">
      <c r="R998" s="33"/>
      <c r="S998" s="33"/>
      <c r="T998" s="33"/>
      <c r="U998" s="33"/>
      <c r="V998" s="33"/>
    </row>
    <row r="999" spans="18:22" ht="14.25" customHeight="1">
      <c r="R999" s="33"/>
      <c r="S999" s="33"/>
      <c r="T999" s="33"/>
      <c r="U999" s="33"/>
      <c r="V999" s="33"/>
    </row>
    <row r="1000" spans="18:22" ht="14.25" customHeight="1">
      <c r="R1000" s="33"/>
      <c r="S1000" s="33"/>
      <c r="T1000" s="33"/>
      <c r="U1000" s="33"/>
      <c r="V1000" s="33"/>
    </row>
    <row r="1001" spans="18:22" ht="14.25" customHeight="1">
      <c r="R1001" s="33"/>
      <c r="S1001" s="33"/>
      <c r="T1001" s="33"/>
      <c r="U1001" s="33"/>
      <c r="V1001" s="33"/>
    </row>
    <row r="1002" spans="18:22" ht="14.25" customHeight="1">
      <c r="R1002" s="33"/>
      <c r="S1002" s="33"/>
      <c r="T1002" s="33"/>
      <c r="U1002" s="33"/>
      <c r="V1002" s="33"/>
    </row>
    <row r="1003" spans="18:22" ht="14.25" customHeight="1">
      <c r="R1003" s="33"/>
      <c r="S1003" s="33"/>
      <c r="T1003" s="33"/>
      <c r="U1003" s="33"/>
      <c r="V1003" s="33"/>
    </row>
    <row r="1004" spans="18:22" ht="14.25" customHeight="1">
      <c r="R1004" s="33"/>
      <c r="S1004" s="33"/>
      <c r="T1004" s="33"/>
      <c r="U1004" s="33"/>
      <c r="V1004" s="33"/>
    </row>
    <row r="1005" spans="18:22" ht="14.25" customHeight="1">
      <c r="R1005" s="33"/>
      <c r="S1005" s="33"/>
      <c r="T1005" s="33"/>
      <c r="U1005" s="33"/>
      <c r="V1005" s="33"/>
    </row>
    <row r="1006" spans="18:22" ht="14.25" customHeight="1">
      <c r="R1006" s="33"/>
      <c r="S1006" s="33"/>
      <c r="T1006" s="33"/>
      <c r="U1006" s="33"/>
      <c r="V1006" s="33"/>
    </row>
    <row r="1007" spans="18:22" ht="14.25" customHeight="1">
      <c r="R1007" s="33"/>
      <c r="S1007" s="33"/>
      <c r="T1007" s="33"/>
      <c r="U1007" s="33"/>
      <c r="V1007" s="33"/>
    </row>
    <row r="1008" spans="18:22" ht="14.25" customHeight="1">
      <c r="R1008" s="33"/>
      <c r="S1008" s="33"/>
      <c r="T1008" s="33"/>
      <c r="U1008" s="33"/>
      <c r="V1008" s="33"/>
    </row>
    <row r="1009" spans="18:22" ht="14.25" customHeight="1">
      <c r="R1009" s="33"/>
      <c r="S1009" s="33"/>
      <c r="T1009" s="33"/>
      <c r="U1009" s="33"/>
      <c r="V1009" s="33"/>
    </row>
    <row r="1010" spans="18:22" ht="14.25" customHeight="1">
      <c r="R1010" s="33"/>
      <c r="S1010" s="33"/>
      <c r="T1010" s="33"/>
      <c r="U1010" s="33"/>
      <c r="V1010" s="33"/>
    </row>
    <row r="1011" spans="18:22" ht="14.25" customHeight="1">
      <c r="R1011" s="33"/>
      <c r="S1011" s="33"/>
      <c r="T1011" s="33"/>
      <c r="U1011" s="33"/>
      <c r="V1011" s="33"/>
    </row>
    <row r="1012" spans="18:22" ht="14.25" customHeight="1">
      <c r="R1012" s="33"/>
      <c r="S1012" s="33"/>
      <c r="T1012" s="33"/>
      <c r="U1012" s="33"/>
      <c r="V1012" s="33"/>
    </row>
    <row r="1013" spans="18:22" ht="14.25" customHeight="1">
      <c r="R1013" s="33"/>
      <c r="S1013" s="33"/>
      <c r="T1013" s="33"/>
      <c r="U1013" s="33"/>
      <c r="V1013" s="33"/>
    </row>
    <row r="1014" spans="18:22" ht="14.25" customHeight="1">
      <c r="R1014" s="33"/>
      <c r="S1014" s="33"/>
      <c r="T1014" s="33"/>
      <c r="U1014" s="33"/>
      <c r="V1014" s="33"/>
    </row>
    <row r="1015" spans="18:22" ht="14.25" customHeight="1">
      <c r="R1015" s="33"/>
      <c r="S1015" s="33"/>
      <c r="T1015" s="33"/>
      <c r="U1015" s="33"/>
      <c r="V1015" s="33"/>
    </row>
    <row r="1016" spans="18:22" ht="14.25" customHeight="1">
      <c r="R1016" s="33"/>
      <c r="S1016" s="33"/>
      <c r="T1016" s="33"/>
      <c r="U1016" s="33"/>
      <c r="V1016" s="33"/>
    </row>
    <row r="1017" spans="18:22" ht="14.25" customHeight="1">
      <c r="R1017" s="33"/>
      <c r="S1017" s="33"/>
      <c r="T1017" s="33"/>
      <c r="U1017" s="33"/>
      <c r="V1017" s="33"/>
    </row>
    <row r="1018" spans="18:22" ht="14.25" customHeight="1">
      <c r="R1018" s="33"/>
      <c r="S1018" s="33"/>
      <c r="T1018" s="33"/>
      <c r="U1018" s="33"/>
      <c r="V1018" s="33"/>
    </row>
    <row r="1019" spans="18:22" ht="14.25" customHeight="1">
      <c r="R1019" s="33"/>
      <c r="S1019" s="33"/>
      <c r="T1019" s="33"/>
      <c r="U1019" s="33"/>
      <c r="V1019" s="33"/>
    </row>
    <row r="1020" spans="18:22" ht="14.25" customHeight="1">
      <c r="R1020" s="33"/>
      <c r="S1020" s="33"/>
      <c r="T1020" s="33"/>
      <c r="U1020" s="33"/>
      <c r="V1020" s="33"/>
    </row>
    <row r="1021" spans="18:22" ht="14.25" customHeight="1">
      <c r="R1021" s="33"/>
      <c r="S1021" s="33"/>
      <c r="T1021" s="33"/>
      <c r="U1021" s="33"/>
      <c r="V1021" s="33"/>
    </row>
    <row r="1022" spans="18:22" ht="14.25" customHeight="1">
      <c r="R1022" s="33"/>
      <c r="S1022" s="33"/>
      <c r="T1022" s="33"/>
      <c r="U1022" s="33"/>
      <c r="V1022" s="33"/>
    </row>
    <row r="1023" spans="18:22" ht="14.25" customHeight="1">
      <c r="R1023" s="33"/>
      <c r="S1023" s="33"/>
      <c r="T1023" s="33"/>
      <c r="U1023" s="33"/>
      <c r="V1023" s="33"/>
    </row>
    <row r="1024" spans="18:22" ht="14.25" customHeight="1">
      <c r="R1024" s="33"/>
      <c r="S1024" s="33"/>
      <c r="T1024" s="33"/>
      <c r="U1024" s="33"/>
      <c r="V1024" s="33"/>
    </row>
    <row r="1025" spans="18:22" ht="14.25" customHeight="1">
      <c r="R1025" s="33"/>
      <c r="S1025" s="33"/>
      <c r="T1025" s="33"/>
      <c r="U1025" s="33"/>
      <c r="V1025" s="33"/>
    </row>
    <row r="1026" spans="18:22" ht="14.25" customHeight="1">
      <c r="R1026" s="33"/>
      <c r="S1026" s="33"/>
      <c r="T1026" s="33"/>
      <c r="U1026" s="33"/>
      <c r="V1026" s="33"/>
    </row>
    <row r="1027" spans="18:22" ht="14.25" customHeight="1">
      <c r="R1027" s="33"/>
      <c r="S1027" s="33"/>
      <c r="T1027" s="33"/>
      <c r="U1027" s="33"/>
      <c r="V1027" s="33"/>
    </row>
    <row r="1028" spans="18:22" ht="14.25" customHeight="1">
      <c r="R1028" s="33"/>
      <c r="S1028" s="33"/>
      <c r="T1028" s="33"/>
      <c r="U1028" s="33"/>
      <c r="V1028" s="33"/>
    </row>
    <row r="1029" spans="18:22" ht="14.25" customHeight="1">
      <c r="R1029" s="33"/>
      <c r="S1029" s="33"/>
      <c r="T1029" s="33"/>
      <c r="U1029" s="33"/>
      <c r="V1029" s="33"/>
    </row>
    <row r="1030" spans="18:22" ht="14.25" customHeight="1">
      <c r="R1030" s="33"/>
      <c r="S1030" s="33"/>
      <c r="T1030" s="33"/>
      <c r="U1030" s="33"/>
      <c r="V1030" s="33"/>
    </row>
    <row r="1031" spans="18:22" ht="14.25" customHeight="1">
      <c r="R1031" s="33"/>
      <c r="S1031" s="33"/>
      <c r="T1031" s="33"/>
      <c r="U1031" s="33"/>
      <c r="V1031" s="33"/>
    </row>
    <row r="1032" spans="18:22" ht="14.25" customHeight="1">
      <c r="R1032" s="33"/>
      <c r="S1032" s="33"/>
      <c r="T1032" s="33"/>
      <c r="U1032" s="33"/>
      <c r="V1032" s="33"/>
    </row>
    <row r="1033" spans="18:22" ht="14.25" customHeight="1">
      <c r="R1033" s="33"/>
      <c r="S1033" s="33"/>
      <c r="T1033" s="33"/>
      <c r="U1033" s="33"/>
      <c r="V1033" s="33"/>
    </row>
    <row r="1034" spans="18:22" ht="14.25" customHeight="1">
      <c r="R1034" s="33"/>
      <c r="S1034" s="33"/>
      <c r="T1034" s="33"/>
      <c r="U1034" s="33"/>
      <c r="V1034" s="33"/>
    </row>
    <row r="1035" spans="18:22" ht="14.25" customHeight="1">
      <c r="R1035" s="33"/>
      <c r="S1035" s="33"/>
      <c r="T1035" s="33"/>
      <c r="U1035" s="33"/>
      <c r="V1035" s="33"/>
    </row>
    <row r="1036" spans="18:22" ht="14.25" customHeight="1">
      <c r="R1036" s="33"/>
      <c r="S1036" s="33"/>
      <c r="T1036" s="33"/>
      <c r="U1036" s="33"/>
      <c r="V1036" s="33"/>
    </row>
    <row r="1037" spans="18:22" ht="14.25" customHeight="1">
      <c r="R1037" s="33"/>
      <c r="S1037" s="33"/>
      <c r="T1037" s="33"/>
      <c r="U1037" s="33"/>
      <c r="V1037" s="33"/>
    </row>
    <row r="1038" spans="18:22" ht="14.25" customHeight="1">
      <c r="R1038" s="33"/>
      <c r="S1038" s="33"/>
      <c r="T1038" s="33"/>
      <c r="U1038" s="33"/>
      <c r="V1038" s="33"/>
    </row>
    <row r="1039" spans="18:22" ht="14.25" customHeight="1">
      <c r="R1039" s="33"/>
      <c r="S1039" s="33"/>
      <c r="T1039" s="33"/>
      <c r="U1039" s="33"/>
      <c r="V1039" s="33"/>
    </row>
    <row r="1040" spans="18:22" ht="14.25" customHeight="1">
      <c r="R1040" s="33"/>
      <c r="S1040" s="33"/>
      <c r="T1040" s="33"/>
      <c r="U1040" s="33"/>
      <c r="V1040" s="33"/>
    </row>
    <row r="1041" spans="18:22" ht="14.25" customHeight="1">
      <c r="R1041" s="33"/>
      <c r="S1041" s="33"/>
      <c r="T1041" s="33"/>
      <c r="U1041" s="33"/>
      <c r="V1041" s="33"/>
    </row>
    <row r="1042" spans="18:22" ht="14.25" customHeight="1">
      <c r="R1042" s="33"/>
      <c r="S1042" s="33"/>
      <c r="T1042" s="33"/>
      <c r="U1042" s="33"/>
      <c r="V1042" s="33"/>
    </row>
    <row r="1043" spans="18:22" ht="14.25" customHeight="1">
      <c r="R1043" s="33"/>
      <c r="S1043" s="33"/>
      <c r="T1043" s="33"/>
      <c r="U1043" s="33"/>
      <c r="V1043" s="33"/>
    </row>
    <row r="1044" spans="18:22" ht="14.25" customHeight="1">
      <c r="R1044" s="33"/>
      <c r="S1044" s="33"/>
      <c r="T1044" s="33"/>
      <c r="U1044" s="33"/>
      <c r="V1044" s="33"/>
    </row>
    <row r="1045" spans="18:22" ht="14.25" customHeight="1">
      <c r="R1045" s="33"/>
      <c r="S1045" s="33"/>
      <c r="T1045" s="33"/>
      <c r="U1045" s="33"/>
      <c r="V1045" s="33"/>
    </row>
    <row r="1046" spans="18:22" ht="14.25" customHeight="1">
      <c r="R1046" s="33"/>
      <c r="S1046" s="33"/>
      <c r="T1046" s="33"/>
      <c r="U1046" s="33"/>
      <c r="V1046" s="33"/>
    </row>
    <row r="1047" spans="18:22" ht="14.25" customHeight="1">
      <c r="R1047" s="33"/>
      <c r="S1047" s="33"/>
      <c r="T1047" s="33"/>
      <c r="U1047" s="33"/>
      <c r="V1047" s="33"/>
    </row>
    <row r="1048" spans="18:22" ht="14.25" customHeight="1">
      <c r="R1048" s="33"/>
      <c r="S1048" s="33"/>
      <c r="T1048" s="33"/>
      <c r="U1048" s="33"/>
      <c r="V1048" s="33"/>
    </row>
    <row r="1049" spans="18:22" ht="14.25" customHeight="1">
      <c r="R1049" s="33"/>
      <c r="S1049" s="33"/>
      <c r="T1049" s="33"/>
      <c r="U1049" s="33"/>
      <c r="V1049" s="33"/>
    </row>
    <row r="1050" spans="18:22" ht="14.25" customHeight="1"/>
    <row r="1051" spans="18:22" ht="14.25" customHeight="1"/>
    <row r="1052" spans="18:22" ht="14.25" customHeight="1"/>
    <row r="1053" spans="18:22" ht="14.25" customHeight="1"/>
    <row r="1054" spans="18:22" ht="14.25" customHeight="1"/>
    <row r="1055" spans="18:22" ht="14.25" customHeight="1"/>
  </sheetData>
  <autoFilter ref="A1:AA631">
    <filterColumn colId="11">
      <filters>
        <filter val="YES"/>
      </filters>
    </filterColumn>
    <sortState ref="A20:Z573">
      <sortCondition ref="B1:B576"/>
    </sortState>
  </autoFilter>
  <hyperlinks>
    <hyperlink ref="Q468" r:id="rId1"/>
  </hyperlink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AV1077"/>
  <sheetViews>
    <sheetView tabSelected="1" zoomScale="80" zoomScaleNormal="80" workbookViewId="0">
      <pane ySplit="1" topLeftCell="A23" activePane="bottomLeft" state="frozen"/>
      <selection pane="bottomLeft" activeCell="AK53" sqref="AK53"/>
    </sheetView>
  </sheetViews>
  <sheetFormatPr baseColWidth="10" defaultColWidth="12.625" defaultRowHeight="15" customHeight="1"/>
  <cols>
    <col min="1" max="2" width="6.125" style="4" customWidth="1"/>
    <col min="3" max="3" width="17.5" style="4" customWidth="1"/>
    <col min="4" max="4" width="11.5" style="1" customWidth="1"/>
    <col min="5" max="6" width="8.625" style="1" customWidth="1"/>
    <col min="7" max="7" width="12.5" style="1" customWidth="1"/>
    <col min="8" max="8" width="8.625" style="1" customWidth="1"/>
    <col min="9" max="10" width="11.125" style="1" customWidth="1"/>
    <col min="11" max="11" width="13.75" style="1" customWidth="1"/>
    <col min="12" max="12" width="12.5" style="1" customWidth="1"/>
    <col min="13" max="13" width="15.875" style="1" customWidth="1"/>
    <col min="14" max="14" width="11.25" style="1" customWidth="1"/>
    <col min="15" max="15" width="11.375" style="1" customWidth="1"/>
    <col min="16" max="16" width="10.125" style="1" customWidth="1"/>
    <col min="17" max="17" width="12.875" style="1" customWidth="1"/>
    <col min="18" max="18" width="12.125" style="1" customWidth="1"/>
    <col min="19" max="19" width="7.5" style="1" customWidth="1"/>
    <col min="20" max="21" width="13.125" style="1" customWidth="1"/>
    <col min="22" max="22" width="12.375" style="1" customWidth="1"/>
    <col min="23" max="23" width="15.75" style="1" customWidth="1"/>
    <col min="24" max="24" width="14.75" style="1" customWidth="1"/>
    <col min="25" max="25" width="13" style="1" customWidth="1"/>
    <col min="26" max="26" width="14.75" style="1" customWidth="1"/>
    <col min="27" max="27" width="14.25" style="1" customWidth="1"/>
    <col min="28" max="28" width="18.875" style="1" customWidth="1"/>
    <col min="29" max="29" width="12.125" style="1" customWidth="1"/>
    <col min="30" max="30" width="15.75" style="1" customWidth="1"/>
    <col min="31" max="31" width="8.625" style="1" customWidth="1"/>
    <col min="32" max="32" width="19.25" style="1" customWidth="1"/>
    <col min="33" max="35" width="8.625" style="1" customWidth="1"/>
    <col min="36" max="36" width="11.5" style="1" bestFit="1" customWidth="1"/>
    <col min="37" max="37" width="11.5" style="1" customWidth="1"/>
    <col min="38" max="38" width="9" style="1" customWidth="1"/>
    <col min="39" max="58" width="8.625" style="1" customWidth="1"/>
    <col min="59" max="16384" width="12.625" style="1"/>
  </cols>
  <sheetData>
    <row r="1" spans="1:48" ht="14.25" customHeight="1">
      <c r="A1" s="4" t="s">
        <v>2899</v>
      </c>
      <c r="B1" s="4" t="s">
        <v>3566</v>
      </c>
      <c r="C1" s="4" t="s">
        <v>2865</v>
      </c>
      <c r="D1" s="8" t="s">
        <v>2888</v>
      </c>
      <c r="E1" s="8" t="s">
        <v>2909</v>
      </c>
      <c r="F1" s="8" t="s">
        <v>2916</v>
      </c>
      <c r="G1" s="8" t="s">
        <v>2866</v>
      </c>
      <c r="H1" s="8" t="s">
        <v>2927</v>
      </c>
      <c r="I1" s="8" t="s">
        <v>2867</v>
      </c>
      <c r="J1" s="8" t="s">
        <v>2868</v>
      </c>
      <c r="K1" s="8" t="s">
        <v>2956</v>
      </c>
      <c r="L1" s="9" t="s">
        <v>3092</v>
      </c>
      <c r="M1" s="9" t="s">
        <v>3093</v>
      </c>
      <c r="N1" s="9" t="s">
        <v>3302</v>
      </c>
      <c r="O1" s="9" t="s">
        <v>3301</v>
      </c>
      <c r="P1" s="10" t="s">
        <v>2869</v>
      </c>
      <c r="Q1" s="10" t="s">
        <v>2870</v>
      </c>
      <c r="R1" s="11" t="s">
        <v>2940</v>
      </c>
      <c r="S1" s="10" t="s">
        <v>2871</v>
      </c>
      <c r="T1" s="10" t="s">
        <v>2872</v>
      </c>
      <c r="U1" s="10" t="s">
        <v>3270</v>
      </c>
      <c r="V1" s="10" t="s">
        <v>2873</v>
      </c>
      <c r="W1" s="11" t="s">
        <v>2920</v>
      </c>
      <c r="X1" s="11" t="s">
        <v>2921</v>
      </c>
      <c r="Y1" s="13" t="s">
        <v>2891</v>
      </c>
      <c r="Z1" s="13" t="s">
        <v>2904</v>
      </c>
      <c r="AA1" s="13" t="s">
        <v>2892</v>
      </c>
      <c r="AB1" s="13" t="s">
        <v>2874</v>
      </c>
      <c r="AC1" s="13" t="s">
        <v>2875</v>
      </c>
      <c r="AD1" s="13" t="s">
        <v>3133</v>
      </c>
      <c r="AE1" s="13" t="s">
        <v>2876</v>
      </c>
      <c r="AF1" s="12" t="s">
        <v>3540</v>
      </c>
      <c r="AG1" s="12" t="s">
        <v>3017</v>
      </c>
      <c r="AH1" s="12" t="s">
        <v>3527</v>
      </c>
      <c r="AI1" s="12" t="s">
        <v>3504</v>
      </c>
      <c r="AJ1" s="12" t="s">
        <v>3016</v>
      </c>
      <c r="AK1" s="12" t="s">
        <v>3528</v>
      </c>
      <c r="AL1" s="12" t="s">
        <v>3503</v>
      </c>
      <c r="AM1" s="28" t="s">
        <v>3524</v>
      </c>
      <c r="AN1" s="28" t="s">
        <v>3529</v>
      </c>
      <c r="AO1" s="28" t="s">
        <v>3530</v>
      </c>
      <c r="AP1" s="28" t="s">
        <v>3534</v>
      </c>
      <c r="AQ1" s="28" t="s">
        <v>3536</v>
      </c>
      <c r="AR1" s="28" t="s">
        <v>3537</v>
      </c>
      <c r="AS1" s="28" t="s">
        <v>3538</v>
      </c>
      <c r="AT1" s="28" t="s">
        <v>3562</v>
      </c>
      <c r="AU1" s="28" t="s">
        <v>3563</v>
      </c>
      <c r="AV1" s="28" t="s">
        <v>3541</v>
      </c>
    </row>
    <row r="2" spans="1:48" ht="14.25" customHeight="1">
      <c r="A2" s="4">
        <v>421</v>
      </c>
      <c r="B2" s="4">
        <v>1</v>
      </c>
      <c r="C2" s="4" t="s">
        <v>2165</v>
      </c>
      <c r="D2" s="33" t="s">
        <v>2889</v>
      </c>
      <c r="E2" s="33">
        <v>2009</v>
      </c>
      <c r="F2" s="33">
        <v>1999</v>
      </c>
      <c r="G2" s="33" t="s">
        <v>2967</v>
      </c>
      <c r="H2" s="33" t="s">
        <v>2961</v>
      </c>
      <c r="I2" s="33">
        <v>-1.016667</v>
      </c>
      <c r="J2" s="33">
        <v>116.86666700000001</v>
      </c>
      <c r="K2" s="33" t="s">
        <v>3001</v>
      </c>
      <c r="L2" s="33" t="s">
        <v>3187</v>
      </c>
      <c r="M2" s="33" t="s">
        <v>3188</v>
      </c>
      <c r="N2" s="33" t="s">
        <v>3304</v>
      </c>
      <c r="O2" s="33" t="s">
        <v>3305</v>
      </c>
      <c r="P2" s="33" t="s">
        <v>2890</v>
      </c>
      <c r="Q2" s="33" t="s">
        <v>2983</v>
      </c>
      <c r="R2" s="33" t="s">
        <v>2903</v>
      </c>
      <c r="S2" s="33">
        <v>1998</v>
      </c>
      <c r="T2" s="33">
        <v>1.5</v>
      </c>
      <c r="U2" s="33"/>
      <c r="V2" s="33" t="s">
        <v>36</v>
      </c>
      <c r="W2" s="33">
        <v>8</v>
      </c>
      <c r="X2" s="33">
        <v>7</v>
      </c>
      <c r="Y2" s="33" t="s">
        <v>2994</v>
      </c>
      <c r="Z2" s="33" t="s">
        <v>3557</v>
      </c>
      <c r="AA2" s="33" t="s">
        <v>20</v>
      </c>
      <c r="AB2" s="33" t="s">
        <v>3035</v>
      </c>
      <c r="AC2" s="33" t="s">
        <v>36</v>
      </c>
      <c r="AD2" s="33" t="s">
        <v>36</v>
      </c>
      <c r="AE2" s="33" t="s">
        <v>36</v>
      </c>
      <c r="AF2" s="33" t="s">
        <v>3502</v>
      </c>
      <c r="AG2" s="33">
        <v>0</v>
      </c>
      <c r="AH2" s="33">
        <f>AI2*(SQRT(X2))</f>
        <v>0</v>
      </c>
      <c r="AI2" s="33">
        <v>0</v>
      </c>
      <c r="AJ2" s="33">
        <v>15.8</v>
      </c>
      <c r="AK2" s="33">
        <f>AL2*(SQRT(W2))</f>
        <v>20.364675298172571</v>
      </c>
      <c r="AL2" s="33">
        <v>7.2</v>
      </c>
      <c r="AM2" s="33">
        <f t="shared" ref="AM2:AM7" si="0">AG2-AJ2</f>
        <v>-15.8</v>
      </c>
      <c r="AN2" s="1">
        <f t="shared" ref="AN2:AN7" si="1">SQRT((((X2-1)*AH2^2)+((W2-1)*AK2^2))/(X2+W2-2))</f>
        <v>14.943586223887801</v>
      </c>
      <c r="AO2" s="1">
        <f t="shared" ref="AO2:AO65" si="2">AM2/AN2</f>
        <v>-1.0573097891818763</v>
      </c>
      <c r="AP2" s="1">
        <f t="shared" ref="AP2:AP7" si="3">1/X2+1/W2+(AO2^2)/(2*(X2+W2))</f>
        <v>0.30512060920047029</v>
      </c>
      <c r="AQ2" s="1">
        <f t="shared" ref="AQ2:AQ7" si="4">1-(3/(4*(X2+W2-2)-1))</f>
        <v>0.94117647058823528</v>
      </c>
      <c r="AR2" s="1">
        <f t="shared" ref="AR2:AR5" si="5">AO2*AQ2</f>
        <v>-0.99511509570058954</v>
      </c>
      <c r="AS2" s="1">
        <f t="shared" ref="AS2:AS5" si="6">SQRT(AP2*AQ2^2)</f>
        <v>0.51988445600562472</v>
      </c>
      <c r="AT2" s="39"/>
      <c r="AU2" s="39"/>
      <c r="AV2" s="1" t="s">
        <v>3539</v>
      </c>
    </row>
    <row r="3" spans="1:48" ht="14.25" customHeight="1">
      <c r="A3" s="4">
        <v>421</v>
      </c>
      <c r="B3" s="4">
        <v>1</v>
      </c>
      <c r="C3" s="4" t="s">
        <v>2165</v>
      </c>
      <c r="D3" s="33" t="s">
        <v>2889</v>
      </c>
      <c r="E3" s="33">
        <v>2009</v>
      </c>
      <c r="F3" s="33">
        <v>1999</v>
      </c>
      <c r="G3" s="33" t="s">
        <v>2967</v>
      </c>
      <c r="H3" s="33" t="s">
        <v>2961</v>
      </c>
      <c r="I3" s="33">
        <v>-1.016667</v>
      </c>
      <c r="J3" s="33">
        <v>116.86666700000001</v>
      </c>
      <c r="K3" s="33" t="s">
        <v>3001</v>
      </c>
      <c r="L3" s="33" t="s">
        <v>3187</v>
      </c>
      <c r="M3" s="33" t="s">
        <v>3188</v>
      </c>
      <c r="N3" s="33" t="s">
        <v>3304</v>
      </c>
      <c r="O3" s="33" t="s">
        <v>3305</v>
      </c>
      <c r="P3" s="33" t="s">
        <v>2890</v>
      </c>
      <c r="Q3" s="33" t="s">
        <v>2983</v>
      </c>
      <c r="R3" s="33" t="s">
        <v>2903</v>
      </c>
      <c r="S3" s="33">
        <v>1998</v>
      </c>
      <c r="T3" s="33">
        <v>1.5</v>
      </c>
      <c r="U3" s="33"/>
      <c r="V3" s="33" t="s">
        <v>36</v>
      </c>
      <c r="W3" s="33">
        <v>8</v>
      </c>
      <c r="X3" s="33">
        <v>7</v>
      </c>
      <c r="Y3" s="33" t="s">
        <v>2994</v>
      </c>
      <c r="Z3" s="33" t="s">
        <v>3558</v>
      </c>
      <c r="AA3" s="33" t="s">
        <v>20</v>
      </c>
      <c r="AB3" s="33" t="s">
        <v>3035</v>
      </c>
      <c r="AC3" s="33" t="s">
        <v>36</v>
      </c>
      <c r="AD3" s="33" t="s">
        <v>36</v>
      </c>
      <c r="AE3" s="33" t="s">
        <v>36</v>
      </c>
      <c r="AF3" s="33" t="s">
        <v>3502</v>
      </c>
      <c r="AG3" s="33">
        <v>0</v>
      </c>
      <c r="AH3" s="33">
        <f>AI3*(SQRT(X3))</f>
        <v>0</v>
      </c>
      <c r="AI3" s="33">
        <v>0</v>
      </c>
      <c r="AJ3" s="33">
        <v>5.6</v>
      </c>
      <c r="AK3" s="33">
        <f>AL3*(SQRT(W3))</f>
        <v>9.6166522241370469</v>
      </c>
      <c r="AL3" s="33">
        <v>3.4</v>
      </c>
      <c r="AM3" s="33">
        <f t="shared" si="0"/>
        <v>-5.6</v>
      </c>
      <c r="AN3" s="1">
        <f t="shared" si="1"/>
        <v>7.0566934946136834</v>
      </c>
      <c r="AO3" s="1">
        <f t="shared" ref="AO3" si="7">AM3/AN3</f>
        <v>-0.79357279783717882</v>
      </c>
      <c r="AP3" s="1">
        <f t="shared" si="3"/>
        <v>0.28884906903938046</v>
      </c>
      <c r="AQ3" s="1">
        <f t="shared" si="4"/>
        <v>0.94117647058823528</v>
      </c>
      <c r="AR3" s="1">
        <f t="shared" ref="AR3" si="8">AO3*AQ3</f>
        <v>-0.74689204502322715</v>
      </c>
      <c r="AS3" s="1">
        <f t="shared" ref="AS3" si="9">SQRT(AP3*AQ3^2)</f>
        <v>0.50583228778966238</v>
      </c>
      <c r="AT3" s="39"/>
      <c r="AU3" s="39"/>
      <c r="AV3" s="1" t="s">
        <v>3539</v>
      </c>
    </row>
    <row r="4" spans="1:48" ht="14.25" customHeight="1">
      <c r="A4" s="4">
        <v>421</v>
      </c>
      <c r="B4" s="4">
        <v>1</v>
      </c>
      <c r="C4" s="4" t="s">
        <v>2165</v>
      </c>
      <c r="D4" s="33" t="s">
        <v>2889</v>
      </c>
      <c r="E4" s="33">
        <v>2009</v>
      </c>
      <c r="F4" s="33">
        <v>1999</v>
      </c>
      <c r="G4" s="33" t="s">
        <v>2967</v>
      </c>
      <c r="H4" s="33" t="s">
        <v>2961</v>
      </c>
      <c r="I4" s="33">
        <v>-1.016667</v>
      </c>
      <c r="J4" s="33">
        <v>116.86666700000001</v>
      </c>
      <c r="K4" s="33" t="s">
        <v>3001</v>
      </c>
      <c r="L4" s="33" t="s">
        <v>3187</v>
      </c>
      <c r="M4" s="33" t="s">
        <v>3188</v>
      </c>
      <c r="N4" s="33" t="s">
        <v>3304</v>
      </c>
      <c r="O4" s="33" t="s">
        <v>3305</v>
      </c>
      <c r="P4" s="33" t="s">
        <v>2890</v>
      </c>
      <c r="Q4" s="33" t="s">
        <v>2983</v>
      </c>
      <c r="R4" s="33" t="s">
        <v>2903</v>
      </c>
      <c r="S4" s="33">
        <v>1998</v>
      </c>
      <c r="T4" s="33">
        <v>1.5</v>
      </c>
      <c r="U4" s="33"/>
      <c r="V4" s="33" t="s">
        <v>36</v>
      </c>
      <c r="W4" s="33">
        <v>8</v>
      </c>
      <c r="X4" s="33">
        <v>7</v>
      </c>
      <c r="Y4" s="33" t="s">
        <v>2994</v>
      </c>
      <c r="Z4" s="33" t="s">
        <v>3559</v>
      </c>
      <c r="AA4" s="33" t="s">
        <v>20</v>
      </c>
      <c r="AB4" s="33" t="s">
        <v>3035</v>
      </c>
      <c r="AC4" s="33" t="s">
        <v>36</v>
      </c>
      <c r="AD4" s="33" t="s">
        <v>36</v>
      </c>
      <c r="AE4" s="33" t="s">
        <v>36</v>
      </c>
      <c r="AF4" s="33" t="s">
        <v>3502</v>
      </c>
      <c r="AG4" s="33">
        <v>0</v>
      </c>
      <c r="AH4" s="33">
        <f>AI4*(SQRT(X4))</f>
        <v>0</v>
      </c>
      <c r="AI4" s="33">
        <v>0</v>
      </c>
      <c r="AJ4" s="33">
        <v>2.7</v>
      </c>
      <c r="AK4" s="33">
        <v>4.0999999999999996</v>
      </c>
      <c r="AL4" s="33">
        <v>8.6999999999999993</v>
      </c>
      <c r="AM4" s="33">
        <f t="shared" si="0"/>
        <v>-2.7</v>
      </c>
      <c r="AN4" s="1">
        <f t="shared" si="1"/>
        <v>3.0085774813919053</v>
      </c>
      <c r="AO4" s="1">
        <f t="shared" ref="AO4" si="10">AM4/AN4</f>
        <v>-0.89743409192534973</v>
      </c>
      <c r="AP4" s="1">
        <f t="shared" si="3"/>
        <v>0.29470340783547211</v>
      </c>
      <c r="AQ4" s="1">
        <f t="shared" si="4"/>
        <v>0.94117647058823528</v>
      </c>
      <c r="AR4" s="1">
        <f t="shared" ref="AR4" si="11">AO4*AQ4</f>
        <v>-0.84464385122385854</v>
      </c>
      <c r="AS4" s="1">
        <f t="shared" ref="AS4" si="12">SQRT(AP4*AQ4^2)</f>
        <v>0.51093263122799959</v>
      </c>
      <c r="AT4" s="39"/>
      <c r="AU4" s="39"/>
      <c r="AV4" s="1" t="s">
        <v>3539</v>
      </c>
    </row>
    <row r="5" spans="1:48" ht="14.25" customHeight="1">
      <c r="A5" s="4">
        <v>421</v>
      </c>
      <c r="B5" s="4">
        <v>1</v>
      </c>
      <c r="C5" s="4" t="s">
        <v>2165</v>
      </c>
      <c r="D5" s="33" t="s">
        <v>2889</v>
      </c>
      <c r="E5" s="33">
        <v>2009</v>
      </c>
      <c r="F5" s="33">
        <v>1999</v>
      </c>
      <c r="G5" s="33" t="s">
        <v>2967</v>
      </c>
      <c r="H5" s="33" t="s">
        <v>2961</v>
      </c>
      <c r="I5" s="33">
        <v>-1.016667</v>
      </c>
      <c r="J5" s="33">
        <v>116.86666700000001</v>
      </c>
      <c r="K5" s="33" t="s">
        <v>3001</v>
      </c>
      <c r="L5" s="33" t="s">
        <v>3187</v>
      </c>
      <c r="M5" s="33" t="s">
        <v>3188</v>
      </c>
      <c r="N5" s="33" t="s">
        <v>3304</v>
      </c>
      <c r="O5" s="33" t="s">
        <v>3305</v>
      </c>
      <c r="P5" s="33" t="s">
        <v>2890</v>
      </c>
      <c r="Q5" s="33" t="s">
        <v>3161</v>
      </c>
      <c r="R5" s="33" t="s">
        <v>2903</v>
      </c>
      <c r="S5" s="33">
        <v>1998</v>
      </c>
      <c r="T5" s="33">
        <v>1.5</v>
      </c>
      <c r="U5" s="33"/>
      <c r="V5" s="33" t="s">
        <v>36</v>
      </c>
      <c r="W5" s="33">
        <v>8</v>
      </c>
      <c r="X5" s="33">
        <v>7</v>
      </c>
      <c r="Y5" s="33" t="s">
        <v>2994</v>
      </c>
      <c r="Z5" s="33" t="s">
        <v>3557</v>
      </c>
      <c r="AA5" s="33" t="s">
        <v>20</v>
      </c>
      <c r="AB5" s="33" t="s">
        <v>3035</v>
      </c>
      <c r="AC5" s="33" t="s">
        <v>36</v>
      </c>
      <c r="AD5" s="33" t="s">
        <v>36</v>
      </c>
      <c r="AE5" s="33" t="s">
        <v>36</v>
      </c>
      <c r="AF5" s="33" t="s">
        <v>3502</v>
      </c>
      <c r="AG5" s="33">
        <v>4.2</v>
      </c>
      <c r="AH5" s="33">
        <f>AI5*(SQRT(X5))</f>
        <v>13.757906817535872</v>
      </c>
      <c r="AI5" s="33">
        <v>5.2</v>
      </c>
      <c r="AJ5" s="33">
        <v>15.8</v>
      </c>
      <c r="AK5" s="33">
        <f>AL5*(SQRT(W5))</f>
        <v>20.364675298172571</v>
      </c>
      <c r="AL5" s="33">
        <v>7.2</v>
      </c>
      <c r="AM5" s="33">
        <f t="shared" si="0"/>
        <v>-11.600000000000001</v>
      </c>
      <c r="AN5" s="1">
        <f t="shared" si="1"/>
        <v>17.625855134737982</v>
      </c>
      <c r="AO5" s="1">
        <f t="shared" si="2"/>
        <v>-0.65812409731758759</v>
      </c>
      <c r="AP5" s="1">
        <f t="shared" si="3"/>
        <v>0.28229472043947917</v>
      </c>
      <c r="AQ5" s="1">
        <f t="shared" si="4"/>
        <v>0.94117647058823528</v>
      </c>
      <c r="AR5" s="1">
        <f t="shared" si="5"/>
        <v>-0.6194109151224354</v>
      </c>
      <c r="AS5" s="1">
        <f t="shared" si="6"/>
        <v>0.50006037155426042</v>
      </c>
      <c r="AT5" s="39"/>
      <c r="AU5" s="39"/>
      <c r="AV5" s="1" t="s">
        <v>3539</v>
      </c>
    </row>
    <row r="6" spans="1:48" ht="14.25" customHeight="1">
      <c r="A6" s="4">
        <v>421</v>
      </c>
      <c r="B6" s="4">
        <v>1</v>
      </c>
      <c r="C6" s="4" t="s">
        <v>2165</v>
      </c>
      <c r="D6" s="33" t="s">
        <v>2889</v>
      </c>
      <c r="E6" s="33">
        <v>2009</v>
      </c>
      <c r="F6" s="33">
        <v>1999</v>
      </c>
      <c r="G6" s="33" t="s">
        <v>2967</v>
      </c>
      <c r="H6" s="33" t="s">
        <v>2961</v>
      </c>
      <c r="I6" s="33">
        <v>-1.016667</v>
      </c>
      <c r="J6" s="33">
        <v>116.86666700000001</v>
      </c>
      <c r="K6" s="33" t="s">
        <v>3001</v>
      </c>
      <c r="L6" s="33" t="s">
        <v>3187</v>
      </c>
      <c r="M6" s="33" t="s">
        <v>3188</v>
      </c>
      <c r="N6" s="33" t="s">
        <v>3304</v>
      </c>
      <c r="O6" s="33" t="s">
        <v>3305</v>
      </c>
      <c r="P6" s="33" t="s">
        <v>2890</v>
      </c>
      <c r="Q6" s="33" t="s">
        <v>3161</v>
      </c>
      <c r="R6" s="33" t="s">
        <v>2903</v>
      </c>
      <c r="S6" s="33">
        <v>1998</v>
      </c>
      <c r="T6" s="33">
        <v>1.5</v>
      </c>
      <c r="U6" s="33"/>
      <c r="V6" s="33" t="s">
        <v>36</v>
      </c>
      <c r="W6" s="33">
        <v>8</v>
      </c>
      <c r="X6" s="33">
        <v>7</v>
      </c>
      <c r="Y6" s="33" t="s">
        <v>2994</v>
      </c>
      <c r="Z6" s="33" t="s">
        <v>3558</v>
      </c>
      <c r="AA6" s="33" t="s">
        <v>20</v>
      </c>
      <c r="AB6" s="33" t="s">
        <v>3035</v>
      </c>
      <c r="AC6" s="33" t="s">
        <v>36</v>
      </c>
      <c r="AD6" s="33" t="s">
        <v>36</v>
      </c>
      <c r="AE6" s="33" t="s">
        <v>36</v>
      </c>
      <c r="AF6" s="33" t="s">
        <v>3502</v>
      </c>
      <c r="AG6" s="33">
        <v>5.3</v>
      </c>
      <c r="AH6" s="33">
        <v>2.4</v>
      </c>
      <c r="AI6" s="33">
        <v>9.9</v>
      </c>
      <c r="AJ6" s="33">
        <v>5.6</v>
      </c>
      <c r="AK6" s="33">
        <f>AL6*(SQRT(W6))</f>
        <v>9.6166522241370469</v>
      </c>
      <c r="AL6" s="33">
        <v>3.4</v>
      </c>
      <c r="AM6" s="33">
        <f t="shared" si="0"/>
        <v>-0.29999999999999982</v>
      </c>
      <c r="AN6" s="1">
        <f t="shared" si="1"/>
        <v>7.2426089646883893</v>
      </c>
      <c r="AO6" s="1">
        <f t="shared" ref="AO6" si="13">AM6/AN6</f>
        <v>-4.1421537661726737E-2</v>
      </c>
      <c r="AP6" s="1">
        <f t="shared" si="3"/>
        <v>0.26791433431655159</v>
      </c>
      <c r="AQ6" s="1">
        <f t="shared" si="4"/>
        <v>0.94117647058823528</v>
      </c>
      <c r="AR6" s="1">
        <f t="shared" ref="AR6" si="14">AO6*AQ6</f>
        <v>-3.8984976622801634E-2</v>
      </c>
      <c r="AS6" s="1">
        <f t="shared" ref="AS6" si="15">SQRT(AP6*AQ6^2)</f>
        <v>0.48715710000638801</v>
      </c>
      <c r="AT6" s="39"/>
      <c r="AU6" s="39"/>
      <c r="AV6" s="1" t="s">
        <v>3539</v>
      </c>
    </row>
    <row r="7" spans="1:48" ht="14.25" customHeight="1">
      <c r="A7" s="4">
        <v>421</v>
      </c>
      <c r="B7" s="4">
        <v>1</v>
      </c>
      <c r="C7" s="4" t="s">
        <v>2165</v>
      </c>
      <c r="D7" s="33" t="s">
        <v>2889</v>
      </c>
      <c r="E7" s="33">
        <v>2009</v>
      </c>
      <c r="F7" s="33">
        <v>1999</v>
      </c>
      <c r="G7" s="33" t="s">
        <v>2967</v>
      </c>
      <c r="H7" s="33" t="s">
        <v>2961</v>
      </c>
      <c r="I7" s="33">
        <v>-1.016667</v>
      </c>
      <c r="J7" s="33">
        <v>116.86666700000001</v>
      </c>
      <c r="K7" s="33" t="s">
        <v>3001</v>
      </c>
      <c r="L7" s="33" t="s">
        <v>3187</v>
      </c>
      <c r="M7" s="33" t="s">
        <v>3188</v>
      </c>
      <c r="N7" s="33" t="s">
        <v>3304</v>
      </c>
      <c r="O7" s="33" t="s">
        <v>3305</v>
      </c>
      <c r="P7" s="33" t="s">
        <v>2890</v>
      </c>
      <c r="Q7" s="33" t="s">
        <v>3161</v>
      </c>
      <c r="R7" s="33" t="s">
        <v>2903</v>
      </c>
      <c r="S7" s="33">
        <v>1998</v>
      </c>
      <c r="T7" s="33">
        <v>1.5</v>
      </c>
      <c r="U7" s="33"/>
      <c r="V7" s="33" t="s">
        <v>36</v>
      </c>
      <c r="W7" s="33">
        <v>8</v>
      </c>
      <c r="X7" s="33">
        <v>7</v>
      </c>
      <c r="Y7" s="33" t="s">
        <v>2994</v>
      </c>
      <c r="Z7" s="33" t="s">
        <v>3559</v>
      </c>
      <c r="AA7" s="33" t="s">
        <v>20</v>
      </c>
      <c r="AB7" s="33" t="s">
        <v>3035</v>
      </c>
      <c r="AC7" s="33" t="s">
        <v>36</v>
      </c>
      <c r="AD7" s="33" t="s">
        <v>36</v>
      </c>
      <c r="AE7" s="33" t="s">
        <v>36</v>
      </c>
      <c r="AF7" s="33" t="s">
        <v>3502</v>
      </c>
      <c r="AG7" s="33">
        <v>5.7</v>
      </c>
      <c r="AH7" s="33">
        <v>4.2</v>
      </c>
      <c r="AI7" s="33">
        <v>9.9</v>
      </c>
      <c r="AJ7" s="33">
        <v>2.7</v>
      </c>
      <c r="AK7" s="33">
        <v>4.0999999999999996</v>
      </c>
      <c r="AL7" s="33">
        <v>8.6999999999999993</v>
      </c>
      <c r="AM7" s="33">
        <f t="shared" si="0"/>
        <v>3</v>
      </c>
      <c r="AN7" s="1">
        <f t="shared" si="1"/>
        <v>4.1464535356225714</v>
      </c>
      <c r="AO7" s="1">
        <f t="shared" ref="AO7" si="16">AM7/AN7</f>
        <v>0.72350985588689676</v>
      </c>
      <c r="AP7" s="1">
        <f t="shared" si="3"/>
        <v>0.28530602657599213</v>
      </c>
      <c r="AQ7" s="1">
        <f t="shared" si="4"/>
        <v>0.94117647058823528</v>
      </c>
      <c r="AR7" s="1">
        <f t="shared" ref="AR7" si="17">AO7*AQ7</f>
        <v>0.68095045259943221</v>
      </c>
      <c r="AS7" s="1">
        <f t="shared" ref="AS7" si="18">SQRT(AP7*AQ7^2)</f>
        <v>0.50272042903559933</v>
      </c>
      <c r="AT7" s="39"/>
      <c r="AU7" s="39"/>
      <c r="AV7" s="1" t="s">
        <v>3539</v>
      </c>
    </row>
    <row r="8" spans="1:48" ht="14.25" customHeight="1">
      <c r="A8" s="4">
        <v>200</v>
      </c>
      <c r="B8" s="4">
        <v>2</v>
      </c>
      <c r="C8" s="4" t="s">
        <v>1130</v>
      </c>
      <c r="D8" s="1" t="s">
        <v>2889</v>
      </c>
      <c r="E8" s="1">
        <v>2024</v>
      </c>
      <c r="G8" s="1" t="s">
        <v>3146</v>
      </c>
      <c r="H8" s="1" t="s">
        <v>3068</v>
      </c>
      <c r="I8" s="1">
        <v>-38</v>
      </c>
      <c r="J8" s="1">
        <v>-71</v>
      </c>
      <c r="K8" s="1" t="s">
        <v>2971</v>
      </c>
      <c r="L8" s="1" t="s">
        <v>3123</v>
      </c>
      <c r="M8" s="1" t="s">
        <v>3124</v>
      </c>
      <c r="N8" s="1" t="s">
        <v>3304</v>
      </c>
      <c r="O8" s="1" t="s">
        <v>3305</v>
      </c>
      <c r="P8" s="1" t="s">
        <v>2890</v>
      </c>
      <c r="Q8" s="1" t="s">
        <v>3161</v>
      </c>
      <c r="R8" s="1" t="s">
        <v>2903</v>
      </c>
      <c r="S8" s="1">
        <v>2015</v>
      </c>
      <c r="T8" s="1">
        <v>8</v>
      </c>
      <c r="V8" s="1">
        <v>3700</v>
      </c>
      <c r="W8" s="1">
        <v>3</v>
      </c>
      <c r="X8" s="1">
        <v>3</v>
      </c>
      <c r="Y8" s="1" t="s">
        <v>3147</v>
      </c>
      <c r="Z8" s="1" t="s">
        <v>3054</v>
      </c>
      <c r="AA8" s="1" t="s">
        <v>20</v>
      </c>
      <c r="AB8" s="1" t="s">
        <v>2912</v>
      </c>
      <c r="AC8" s="1" t="s">
        <v>3134</v>
      </c>
      <c r="AD8" s="1" t="s">
        <v>2913</v>
      </c>
      <c r="AE8" s="1" t="s">
        <v>2917</v>
      </c>
      <c r="AF8" s="19" t="s">
        <v>3507</v>
      </c>
      <c r="AG8">
        <f>26.1/100</f>
        <v>0.26100000000000001</v>
      </c>
      <c r="AH8" s="37"/>
      <c r="AI8" s="37"/>
      <c r="AJ8">
        <f>26.9/100</f>
        <v>0.26899999999999996</v>
      </c>
      <c r="AK8" s="37"/>
      <c r="AL8" s="37"/>
      <c r="AM8" s="39"/>
      <c r="AN8" s="39"/>
      <c r="AO8" s="39"/>
      <c r="AP8" s="39"/>
      <c r="AQ8" s="39"/>
      <c r="AR8" s="39"/>
      <c r="AS8" s="39"/>
      <c r="AT8" s="33">
        <f>LOG(AG8/AJ8)</f>
        <v>-1.3111772664126962E-2</v>
      </c>
      <c r="AU8" s="33">
        <f>((1-AG8)/(AG8*X8))+((1-AJ8)/(W8*AJ8))</f>
        <v>1.8496299144933936</v>
      </c>
      <c r="AV8" s="1" t="s">
        <v>3562</v>
      </c>
    </row>
    <row r="9" spans="1:48" ht="14.25" customHeight="1">
      <c r="A9" s="4">
        <v>200</v>
      </c>
      <c r="B9" s="4">
        <v>2</v>
      </c>
      <c r="C9" s="4" t="s">
        <v>1130</v>
      </c>
      <c r="D9" s="1" t="s">
        <v>2889</v>
      </c>
      <c r="E9" s="1">
        <v>2024</v>
      </c>
      <c r="G9" s="1" t="s">
        <v>3146</v>
      </c>
      <c r="H9" s="1" t="s">
        <v>3068</v>
      </c>
      <c r="I9" s="1">
        <v>-38</v>
      </c>
      <c r="J9" s="1">
        <v>-71</v>
      </c>
      <c r="K9" s="1" t="s">
        <v>2971</v>
      </c>
      <c r="L9" s="1" t="s">
        <v>3123</v>
      </c>
      <c r="M9" s="1" t="s">
        <v>3124</v>
      </c>
      <c r="N9" s="1" t="s">
        <v>3304</v>
      </c>
      <c r="O9" s="1" t="s">
        <v>3305</v>
      </c>
      <c r="P9" s="1" t="s">
        <v>2890</v>
      </c>
      <c r="Q9" s="1" t="s">
        <v>3161</v>
      </c>
      <c r="R9" s="1" t="s">
        <v>2903</v>
      </c>
      <c r="S9" s="1">
        <v>2015</v>
      </c>
      <c r="T9" s="1">
        <v>8</v>
      </c>
      <c r="V9" s="1">
        <v>3700</v>
      </c>
      <c r="W9" s="1">
        <v>3</v>
      </c>
      <c r="X9" s="1">
        <v>3</v>
      </c>
      <c r="Y9" s="1" t="s">
        <v>3147</v>
      </c>
      <c r="Z9" s="1" t="s">
        <v>3054</v>
      </c>
      <c r="AA9" s="1" t="s">
        <v>20</v>
      </c>
      <c r="AB9" s="1" t="s">
        <v>2912</v>
      </c>
      <c r="AC9" s="1" t="s">
        <v>3134</v>
      </c>
      <c r="AD9" s="1" t="s">
        <v>2913</v>
      </c>
      <c r="AE9" s="1" t="s">
        <v>2917</v>
      </c>
      <c r="AF9" s="19" t="s">
        <v>3508</v>
      </c>
      <c r="AG9">
        <f>70/100</f>
        <v>0.7</v>
      </c>
      <c r="AH9" s="37"/>
      <c r="AI9" s="37"/>
      <c r="AJ9">
        <f>71.5/100</f>
        <v>0.71499999999999997</v>
      </c>
      <c r="AK9" s="37"/>
      <c r="AL9" s="37"/>
      <c r="AM9" s="39"/>
      <c r="AN9" s="39"/>
      <c r="AO9" s="39"/>
      <c r="AP9" s="39"/>
      <c r="AQ9" s="39"/>
      <c r="AR9" s="39"/>
      <c r="AS9" s="39"/>
      <c r="AT9" s="33">
        <f>LOG(AG9/AJ9)</f>
        <v>-9.2080017868238131E-3</v>
      </c>
      <c r="AU9" s="33">
        <f>((1-AG9)/(AG9*X9))+((1-AJ9)/(W9*AJ9))</f>
        <v>0.27572427572427582</v>
      </c>
      <c r="AV9" s="1" t="s">
        <v>3562</v>
      </c>
    </row>
    <row r="10" spans="1:48" ht="14.25" customHeight="1">
      <c r="A10" s="4">
        <v>200</v>
      </c>
      <c r="B10" s="4">
        <v>2</v>
      </c>
      <c r="C10" s="4" t="s">
        <v>1130</v>
      </c>
      <c r="D10" s="1" t="s">
        <v>2889</v>
      </c>
      <c r="E10" s="1">
        <v>2024</v>
      </c>
      <c r="G10" s="1" t="s">
        <v>3146</v>
      </c>
      <c r="H10" s="1" t="s">
        <v>3068</v>
      </c>
      <c r="I10" s="1">
        <v>-38</v>
      </c>
      <c r="J10" s="1">
        <v>-71</v>
      </c>
      <c r="K10" s="1" t="s">
        <v>2971</v>
      </c>
      <c r="L10" s="1" t="s">
        <v>3123</v>
      </c>
      <c r="M10" s="1" t="s">
        <v>3124</v>
      </c>
      <c r="N10" s="1" t="s">
        <v>3304</v>
      </c>
      <c r="O10" s="1" t="s">
        <v>3305</v>
      </c>
      <c r="P10" s="1" t="s">
        <v>2890</v>
      </c>
      <c r="Q10" s="1" t="s">
        <v>3161</v>
      </c>
      <c r="R10" s="1" t="s">
        <v>2903</v>
      </c>
      <c r="S10" s="1">
        <v>2015</v>
      </c>
      <c r="T10" s="1">
        <v>8</v>
      </c>
      <c r="V10" s="1">
        <v>3700</v>
      </c>
      <c r="W10" s="1">
        <v>3</v>
      </c>
      <c r="X10" s="1">
        <v>3</v>
      </c>
      <c r="Y10" s="1" t="s">
        <v>3509</v>
      </c>
      <c r="Z10" s="1" t="s">
        <v>3054</v>
      </c>
      <c r="AA10" s="1" t="s">
        <v>20</v>
      </c>
      <c r="AB10" s="1" t="s">
        <v>2912</v>
      </c>
      <c r="AC10" s="1" t="s">
        <v>3134</v>
      </c>
      <c r="AD10" s="1" t="s">
        <v>2913</v>
      </c>
      <c r="AE10" s="1" t="s">
        <v>2917</v>
      </c>
      <c r="AF10" s="19" t="s">
        <v>3507</v>
      </c>
      <c r="AG10">
        <f>32.7/100</f>
        <v>0.32700000000000001</v>
      </c>
      <c r="AH10" s="37"/>
      <c r="AI10" s="37"/>
      <c r="AJ10">
        <f>42.3/100</f>
        <v>0.42299999999999999</v>
      </c>
      <c r="AK10" s="37"/>
      <c r="AL10" s="37"/>
      <c r="AM10" s="39"/>
      <c r="AN10" s="39"/>
      <c r="AO10" s="39"/>
      <c r="AP10" s="39"/>
      <c r="AQ10" s="39"/>
      <c r="AR10" s="39"/>
      <c r="AS10" s="39"/>
      <c r="AT10" s="33">
        <f>LOG(AG10/AJ10)</f>
        <v>-0.11179261471475627</v>
      </c>
      <c r="AU10" s="33">
        <f>((1-AG10)/(AG10*X10))+((1-AJ10)/(W10*AJ10))</f>
        <v>1.1407233897961988</v>
      </c>
      <c r="AV10" s="1" t="s">
        <v>3562</v>
      </c>
    </row>
    <row r="11" spans="1:48" ht="14.25" customHeight="1">
      <c r="A11" s="4">
        <v>200</v>
      </c>
      <c r="B11" s="4">
        <v>2</v>
      </c>
      <c r="C11" s="4" t="s">
        <v>1130</v>
      </c>
      <c r="D11" s="1" t="s">
        <v>2889</v>
      </c>
      <c r="E11" s="1">
        <v>2024</v>
      </c>
      <c r="G11" s="1" t="s">
        <v>3146</v>
      </c>
      <c r="H11" s="1" t="s">
        <v>3068</v>
      </c>
      <c r="I11" s="1">
        <v>-38</v>
      </c>
      <c r="J11" s="1">
        <v>-71</v>
      </c>
      <c r="K11" s="1" t="s">
        <v>2971</v>
      </c>
      <c r="L11" s="1" t="s">
        <v>3123</v>
      </c>
      <c r="M11" s="1" t="s">
        <v>3124</v>
      </c>
      <c r="N11" s="1" t="s">
        <v>3304</v>
      </c>
      <c r="O11" s="1" t="s">
        <v>3305</v>
      </c>
      <c r="P11" s="1" t="s">
        <v>2890</v>
      </c>
      <c r="Q11" s="1" t="s">
        <v>3161</v>
      </c>
      <c r="R11" s="1" t="s">
        <v>2903</v>
      </c>
      <c r="S11" s="1">
        <v>2015</v>
      </c>
      <c r="T11" s="1">
        <v>8</v>
      </c>
      <c r="V11" s="1">
        <v>3700</v>
      </c>
      <c r="W11" s="1">
        <v>3</v>
      </c>
      <c r="X11" s="1">
        <v>3</v>
      </c>
      <c r="Y11" s="1" t="s">
        <v>3509</v>
      </c>
      <c r="Z11" s="1" t="s">
        <v>3054</v>
      </c>
      <c r="AA11" s="1" t="s">
        <v>20</v>
      </c>
      <c r="AB11" s="1" t="s">
        <v>2912</v>
      </c>
      <c r="AC11" s="1" t="s">
        <v>3134</v>
      </c>
      <c r="AD11" s="1" t="s">
        <v>2913</v>
      </c>
      <c r="AE11" s="1" t="s">
        <v>2917</v>
      </c>
      <c r="AF11" s="19" t="s">
        <v>3508</v>
      </c>
      <c r="AG11">
        <f>66.8/100</f>
        <v>0.66799999999999993</v>
      </c>
      <c r="AH11" s="37"/>
      <c r="AI11" s="37"/>
      <c r="AJ11">
        <f>57.4/100</f>
        <v>0.57399999999999995</v>
      </c>
      <c r="AK11" s="37"/>
      <c r="AL11" s="37"/>
      <c r="AM11" s="39"/>
      <c r="AN11" s="39"/>
      <c r="AO11" s="39"/>
      <c r="AP11" s="39"/>
      <c r="AQ11" s="39"/>
      <c r="AR11" s="39"/>
      <c r="AS11" s="39"/>
      <c r="AT11" s="33">
        <f>LOG(AG11/AJ11)</f>
        <v>6.586457007757214E-2</v>
      </c>
      <c r="AU11" s="33">
        <f>((1-AG11)/(AG11*X11))+((1-AJ11)/(W11*AJ11))</f>
        <v>0.41305542225653236</v>
      </c>
      <c r="AV11" s="1" t="s">
        <v>3562</v>
      </c>
    </row>
    <row r="12" spans="1:48" ht="14.25" customHeight="1">
      <c r="A12" s="4">
        <v>443</v>
      </c>
      <c r="B12" s="4">
        <v>3</v>
      </c>
      <c r="C12" s="4" t="s">
        <v>2268</v>
      </c>
      <c r="D12" s="33" t="s">
        <v>2889</v>
      </c>
      <c r="E12" s="33">
        <v>2007</v>
      </c>
      <c r="F12" s="33">
        <v>2003</v>
      </c>
      <c r="G12" s="33" t="s">
        <v>2910</v>
      </c>
      <c r="H12" s="33" t="s">
        <v>2928</v>
      </c>
      <c r="I12" s="33">
        <v>-26.833333</v>
      </c>
      <c r="J12" s="33">
        <v>152.88333299999999</v>
      </c>
      <c r="K12" s="33" t="s">
        <v>3565</v>
      </c>
      <c r="L12" s="33" t="s">
        <v>2931</v>
      </c>
      <c r="M12" s="33" t="s">
        <v>3114</v>
      </c>
      <c r="N12" s="41" t="s">
        <v>3304</v>
      </c>
      <c r="O12" s="33" t="s">
        <v>3305</v>
      </c>
      <c r="P12" s="33" t="s">
        <v>2948</v>
      </c>
      <c r="Q12" s="33"/>
      <c r="R12" s="33" t="s">
        <v>2903</v>
      </c>
      <c r="S12" s="33">
        <v>2003</v>
      </c>
      <c r="T12" s="33" t="s">
        <v>3069</v>
      </c>
      <c r="U12" s="33" t="s">
        <v>3513</v>
      </c>
      <c r="V12" s="33"/>
      <c r="W12" s="33"/>
      <c r="X12" s="33"/>
      <c r="Y12" s="33" t="s">
        <v>2911</v>
      </c>
      <c r="Z12" s="33" t="s">
        <v>3034</v>
      </c>
      <c r="AA12" s="33" t="s">
        <v>20</v>
      </c>
      <c r="AB12" s="33" t="s">
        <v>2912</v>
      </c>
      <c r="AC12" s="33" t="s">
        <v>3211</v>
      </c>
      <c r="AD12" s="33" t="s">
        <v>36</v>
      </c>
      <c r="AE12" s="33" t="s">
        <v>2914</v>
      </c>
      <c r="AF12" s="33" t="s">
        <v>3512</v>
      </c>
      <c r="AG12" s="39"/>
      <c r="AH12" s="39"/>
      <c r="AI12" s="39"/>
      <c r="AJ12" s="39"/>
      <c r="AK12" s="39"/>
      <c r="AL12" s="39"/>
      <c r="AM12" s="39"/>
      <c r="AN12" s="39"/>
      <c r="AO12" s="39"/>
      <c r="AP12" s="39"/>
      <c r="AQ12" s="39"/>
      <c r="AR12" s="39"/>
      <c r="AS12" s="39"/>
      <c r="AT12" s="39"/>
      <c r="AU12" s="39"/>
      <c r="AV12" s="1" t="s">
        <v>3564</v>
      </c>
    </row>
    <row r="13" spans="1:48" ht="14.25" customHeight="1">
      <c r="A13" s="4">
        <v>443</v>
      </c>
      <c r="B13" s="4">
        <v>3</v>
      </c>
      <c r="C13" s="4" t="s">
        <v>2268</v>
      </c>
      <c r="D13" s="33" t="s">
        <v>2889</v>
      </c>
      <c r="E13" s="33">
        <v>2007</v>
      </c>
      <c r="F13" s="33">
        <v>2003</v>
      </c>
      <c r="G13" s="33" t="s">
        <v>2910</v>
      </c>
      <c r="H13" s="33" t="s">
        <v>2928</v>
      </c>
      <c r="I13" s="33">
        <v>-26.833333</v>
      </c>
      <c r="J13" s="33">
        <v>152.88333299999999</v>
      </c>
      <c r="K13" s="33" t="s">
        <v>3565</v>
      </c>
      <c r="L13" s="33" t="s">
        <v>2931</v>
      </c>
      <c r="M13" s="33" t="s">
        <v>3114</v>
      </c>
      <c r="N13" s="41" t="s">
        <v>3304</v>
      </c>
      <c r="O13" s="33" t="s">
        <v>3305</v>
      </c>
      <c r="P13" s="33" t="s">
        <v>2948</v>
      </c>
      <c r="Q13" s="33"/>
      <c r="R13" s="33" t="s">
        <v>2903</v>
      </c>
      <c r="S13" s="33">
        <v>2003</v>
      </c>
      <c r="T13" s="33">
        <v>2</v>
      </c>
      <c r="U13" s="33" t="s">
        <v>3513</v>
      </c>
      <c r="V13" s="33"/>
      <c r="W13" s="33"/>
      <c r="X13" s="33"/>
      <c r="Y13" s="33" t="s">
        <v>2911</v>
      </c>
      <c r="Z13" s="33" t="s">
        <v>3034</v>
      </c>
      <c r="AA13" s="33" t="s">
        <v>20</v>
      </c>
      <c r="AB13" s="33" t="s">
        <v>2912</v>
      </c>
      <c r="AC13" s="33" t="s">
        <v>3211</v>
      </c>
      <c r="AD13" s="33" t="s">
        <v>36</v>
      </c>
      <c r="AE13" s="33" t="s">
        <v>2914</v>
      </c>
      <c r="AF13" s="33" t="s">
        <v>3512</v>
      </c>
      <c r="AG13" s="39"/>
      <c r="AH13" s="39"/>
      <c r="AI13" s="39"/>
      <c r="AJ13" s="39"/>
      <c r="AK13" s="39"/>
      <c r="AL13" s="39"/>
      <c r="AM13" s="39"/>
      <c r="AN13" s="39"/>
      <c r="AO13" s="39"/>
      <c r="AP13" s="39"/>
      <c r="AQ13" s="39"/>
      <c r="AR13" s="39"/>
      <c r="AS13" s="39"/>
      <c r="AT13" s="39"/>
      <c r="AU13" s="39"/>
      <c r="AV13" s="1" t="s">
        <v>3564</v>
      </c>
    </row>
    <row r="14" spans="1:48" ht="14.25" customHeight="1">
      <c r="A14" s="42">
        <v>331</v>
      </c>
      <c r="B14" s="42">
        <v>3</v>
      </c>
      <c r="C14" s="42" t="s">
        <v>1748</v>
      </c>
      <c r="D14" s="33" t="s">
        <v>2889</v>
      </c>
      <c r="E14" s="41">
        <v>2006</v>
      </c>
      <c r="F14" s="41">
        <v>2003</v>
      </c>
      <c r="G14" s="41" t="s">
        <v>2910</v>
      </c>
      <c r="H14" s="41" t="s">
        <v>2928</v>
      </c>
      <c r="I14" s="41">
        <v>-26.25</v>
      </c>
      <c r="J14" s="41">
        <v>152.88333299999999</v>
      </c>
      <c r="K14" s="41" t="s">
        <v>2971</v>
      </c>
      <c r="L14" s="41" t="s">
        <v>2931</v>
      </c>
      <c r="M14" s="41" t="s">
        <v>3114</v>
      </c>
      <c r="N14" s="41" t="s">
        <v>3304</v>
      </c>
      <c r="O14" s="33" t="s">
        <v>3305</v>
      </c>
      <c r="P14" s="41" t="s">
        <v>2948</v>
      </c>
      <c r="Q14" s="41"/>
      <c r="R14" s="41" t="s">
        <v>2903</v>
      </c>
      <c r="S14" s="41">
        <v>2003</v>
      </c>
      <c r="T14" s="41" t="s">
        <v>3069</v>
      </c>
      <c r="U14" s="33" t="s">
        <v>3513</v>
      </c>
      <c r="V14" s="41"/>
      <c r="W14" s="33">
        <v>6</v>
      </c>
      <c r="X14" s="41">
        <v>6</v>
      </c>
      <c r="Y14" s="33" t="s">
        <v>2911</v>
      </c>
      <c r="Z14" s="41" t="s">
        <v>2992</v>
      </c>
      <c r="AA14" s="41" t="s">
        <v>22</v>
      </c>
      <c r="AB14" s="41" t="s">
        <v>2912</v>
      </c>
      <c r="AC14" s="41" t="s">
        <v>3215</v>
      </c>
      <c r="AD14" s="41" t="s">
        <v>36</v>
      </c>
      <c r="AE14" s="41" t="s">
        <v>2914</v>
      </c>
      <c r="AF14" s="41" t="s">
        <v>3514</v>
      </c>
      <c r="AG14" s="39"/>
      <c r="AH14" s="39"/>
      <c r="AI14" s="39"/>
      <c r="AJ14" s="40"/>
      <c r="AK14" s="40"/>
      <c r="AL14" s="40"/>
      <c r="AM14" s="39"/>
      <c r="AN14" s="39"/>
      <c r="AO14" s="39"/>
      <c r="AP14" s="39"/>
      <c r="AQ14" s="39"/>
      <c r="AR14" s="39"/>
      <c r="AS14" s="39"/>
      <c r="AT14" s="39"/>
      <c r="AU14" s="39"/>
      <c r="AV14" s="1" t="s">
        <v>3564</v>
      </c>
    </row>
    <row r="15" spans="1:48" ht="14.25" customHeight="1">
      <c r="A15" s="42">
        <v>331</v>
      </c>
      <c r="B15" s="42">
        <v>3</v>
      </c>
      <c r="C15" s="42" t="s">
        <v>1748</v>
      </c>
      <c r="D15" s="33" t="s">
        <v>2889</v>
      </c>
      <c r="E15" s="41">
        <v>2006</v>
      </c>
      <c r="F15" s="41">
        <v>2003</v>
      </c>
      <c r="G15" s="41" t="s">
        <v>2910</v>
      </c>
      <c r="H15" s="41" t="s">
        <v>2928</v>
      </c>
      <c r="I15" s="41">
        <v>-26.25</v>
      </c>
      <c r="J15" s="41">
        <v>152.88333299999999</v>
      </c>
      <c r="K15" s="41" t="s">
        <v>2971</v>
      </c>
      <c r="L15" s="41" t="s">
        <v>2931</v>
      </c>
      <c r="M15" s="41" t="s">
        <v>3114</v>
      </c>
      <c r="N15" s="41" t="s">
        <v>3304</v>
      </c>
      <c r="O15" s="33" t="s">
        <v>3305</v>
      </c>
      <c r="P15" s="41" t="s">
        <v>2948</v>
      </c>
      <c r="Q15" s="41"/>
      <c r="R15" s="41" t="s">
        <v>2903</v>
      </c>
      <c r="S15" s="41">
        <v>2003</v>
      </c>
      <c r="T15" s="41" t="s">
        <v>3069</v>
      </c>
      <c r="U15" s="33" t="s">
        <v>3513</v>
      </c>
      <c r="V15" s="41"/>
      <c r="W15" s="33">
        <v>6</v>
      </c>
      <c r="X15" s="41">
        <v>6</v>
      </c>
      <c r="Y15" s="33" t="s">
        <v>2911</v>
      </c>
      <c r="Z15" s="41" t="s">
        <v>3210</v>
      </c>
      <c r="AA15" s="41" t="s">
        <v>22</v>
      </c>
      <c r="AB15" s="41" t="s">
        <v>2912</v>
      </c>
      <c r="AC15" s="41" t="s">
        <v>3215</v>
      </c>
      <c r="AD15" s="41" t="s">
        <v>36</v>
      </c>
      <c r="AE15" s="41" t="s">
        <v>2914</v>
      </c>
      <c r="AF15" s="41" t="s">
        <v>3514</v>
      </c>
      <c r="AG15" s="39"/>
      <c r="AH15" s="39"/>
      <c r="AI15" s="39"/>
      <c r="AJ15" s="40"/>
      <c r="AK15" s="40"/>
      <c r="AL15" s="40"/>
      <c r="AM15" s="39"/>
      <c r="AN15" s="39"/>
      <c r="AO15" s="39"/>
      <c r="AP15" s="39"/>
      <c r="AQ15" s="39"/>
      <c r="AR15" s="39"/>
      <c r="AS15" s="39"/>
      <c r="AT15" s="39"/>
      <c r="AU15" s="39"/>
      <c r="AV15" s="1" t="s">
        <v>3564</v>
      </c>
    </row>
    <row r="16" spans="1:48" ht="14.25" customHeight="1">
      <c r="A16" s="42">
        <v>331</v>
      </c>
      <c r="B16" s="42">
        <v>3</v>
      </c>
      <c r="C16" s="42" t="s">
        <v>1748</v>
      </c>
      <c r="D16" s="33" t="s">
        <v>2889</v>
      </c>
      <c r="E16" s="41">
        <v>2006</v>
      </c>
      <c r="F16" s="41">
        <v>2003</v>
      </c>
      <c r="G16" s="41" t="s">
        <v>2910</v>
      </c>
      <c r="H16" s="41" t="s">
        <v>2928</v>
      </c>
      <c r="I16" s="41">
        <v>-26.25</v>
      </c>
      <c r="J16" s="41">
        <v>152.88333299999999</v>
      </c>
      <c r="K16" s="41" t="s">
        <v>2971</v>
      </c>
      <c r="L16" s="41" t="s">
        <v>2931</v>
      </c>
      <c r="M16" s="41" t="s">
        <v>3114</v>
      </c>
      <c r="N16" s="41" t="s">
        <v>3304</v>
      </c>
      <c r="O16" s="33" t="s">
        <v>3305</v>
      </c>
      <c r="P16" s="41" t="s">
        <v>2948</v>
      </c>
      <c r="Q16" s="41"/>
      <c r="R16" s="41" t="s">
        <v>2903</v>
      </c>
      <c r="S16" s="41">
        <v>2003</v>
      </c>
      <c r="T16" s="41">
        <v>2</v>
      </c>
      <c r="U16" s="33" t="s">
        <v>3513</v>
      </c>
      <c r="V16" s="41"/>
      <c r="W16" s="33">
        <v>6</v>
      </c>
      <c r="X16" s="41">
        <v>6</v>
      </c>
      <c r="Y16" s="33" t="s">
        <v>2911</v>
      </c>
      <c r="Z16" s="41" t="s">
        <v>2992</v>
      </c>
      <c r="AA16" s="41" t="s">
        <v>22</v>
      </c>
      <c r="AB16" s="41" t="s">
        <v>2912</v>
      </c>
      <c r="AC16" s="41" t="s">
        <v>3215</v>
      </c>
      <c r="AD16" s="41" t="s">
        <v>36</v>
      </c>
      <c r="AE16" s="41" t="s">
        <v>2914</v>
      </c>
      <c r="AF16" s="41" t="s">
        <v>3514</v>
      </c>
      <c r="AG16" s="39"/>
      <c r="AH16" s="39"/>
      <c r="AI16" s="39"/>
      <c r="AJ16" s="40"/>
      <c r="AK16" s="40"/>
      <c r="AL16" s="40"/>
      <c r="AM16" s="39"/>
      <c r="AN16" s="39"/>
      <c r="AO16" s="39"/>
      <c r="AP16" s="39"/>
      <c r="AQ16" s="39"/>
      <c r="AR16" s="39"/>
      <c r="AS16" s="39"/>
      <c r="AT16" s="39"/>
      <c r="AU16" s="39"/>
      <c r="AV16" s="1" t="s">
        <v>3564</v>
      </c>
    </row>
    <row r="17" spans="1:48" ht="14.25" customHeight="1">
      <c r="A17" s="42">
        <v>331</v>
      </c>
      <c r="B17" s="42">
        <v>3</v>
      </c>
      <c r="C17" s="42" t="s">
        <v>1748</v>
      </c>
      <c r="D17" s="33" t="s">
        <v>2889</v>
      </c>
      <c r="E17" s="41">
        <v>2006</v>
      </c>
      <c r="F17" s="41">
        <v>2003</v>
      </c>
      <c r="G17" s="41" t="s">
        <v>2910</v>
      </c>
      <c r="H17" s="41" t="s">
        <v>2928</v>
      </c>
      <c r="I17" s="41">
        <v>-26.25</v>
      </c>
      <c r="J17" s="41">
        <v>152.88333299999999</v>
      </c>
      <c r="K17" s="41" t="s">
        <v>2971</v>
      </c>
      <c r="L17" s="41" t="s">
        <v>2931</v>
      </c>
      <c r="M17" s="41" t="s">
        <v>3114</v>
      </c>
      <c r="N17" s="41" t="s">
        <v>3304</v>
      </c>
      <c r="O17" s="33" t="s">
        <v>3305</v>
      </c>
      <c r="P17" s="41" t="s">
        <v>2948</v>
      </c>
      <c r="Q17" s="41"/>
      <c r="R17" s="41" t="s">
        <v>2903</v>
      </c>
      <c r="S17" s="41">
        <v>2003</v>
      </c>
      <c r="T17" s="41">
        <v>2</v>
      </c>
      <c r="U17" s="33" t="s">
        <v>3513</v>
      </c>
      <c r="V17" s="41"/>
      <c r="W17" s="33">
        <v>6</v>
      </c>
      <c r="X17" s="41">
        <v>6</v>
      </c>
      <c r="Y17" s="33" t="s">
        <v>2911</v>
      </c>
      <c r="Z17" s="41" t="s">
        <v>3210</v>
      </c>
      <c r="AA17" s="41" t="s">
        <v>22</v>
      </c>
      <c r="AB17" s="41" t="s">
        <v>2912</v>
      </c>
      <c r="AC17" s="41" t="s">
        <v>3215</v>
      </c>
      <c r="AD17" s="41" t="s">
        <v>36</v>
      </c>
      <c r="AE17" s="41" t="s">
        <v>2914</v>
      </c>
      <c r="AF17" s="41" t="s">
        <v>3514</v>
      </c>
      <c r="AG17" s="39"/>
      <c r="AH17" s="39"/>
      <c r="AI17" s="39"/>
      <c r="AJ17" s="40"/>
      <c r="AK17" s="40"/>
      <c r="AL17" s="40"/>
      <c r="AM17" s="39"/>
      <c r="AN17" s="39"/>
      <c r="AO17" s="39"/>
      <c r="AP17" s="39"/>
      <c r="AQ17" s="39"/>
      <c r="AR17" s="39"/>
      <c r="AS17" s="39"/>
      <c r="AT17" s="39"/>
      <c r="AU17" s="39"/>
      <c r="AV17" s="1" t="s">
        <v>3564</v>
      </c>
    </row>
    <row r="18" spans="1:48" ht="14.25" customHeight="1">
      <c r="A18" s="42">
        <v>183</v>
      </c>
      <c r="B18" s="42">
        <v>3</v>
      </c>
      <c r="C18" s="42" t="s">
        <v>1040</v>
      </c>
      <c r="D18" s="41" t="s">
        <v>2897</v>
      </c>
      <c r="E18" s="41">
        <v>2006</v>
      </c>
      <c r="F18" s="41">
        <v>2003</v>
      </c>
      <c r="G18" s="41" t="s">
        <v>2910</v>
      </c>
      <c r="H18" s="41" t="s">
        <v>2928</v>
      </c>
      <c r="I18" s="41">
        <v>-26.25</v>
      </c>
      <c r="J18" s="41">
        <v>152.88333299999999</v>
      </c>
      <c r="K18" s="41" t="s">
        <v>3001</v>
      </c>
      <c r="L18" s="41" t="s">
        <v>2931</v>
      </c>
      <c r="M18" s="41" t="s">
        <v>3114</v>
      </c>
      <c r="N18" s="41" t="s">
        <v>3304</v>
      </c>
      <c r="O18" s="33" t="s">
        <v>3305</v>
      </c>
      <c r="P18" s="41" t="s">
        <v>2948</v>
      </c>
      <c r="Q18" s="41"/>
      <c r="R18" s="41" t="s">
        <v>2903</v>
      </c>
      <c r="S18" s="41">
        <v>2003</v>
      </c>
      <c r="T18" s="41" t="s">
        <v>3069</v>
      </c>
      <c r="U18" s="33" t="s">
        <v>3513</v>
      </c>
      <c r="V18" s="41"/>
      <c r="W18" s="41">
        <v>4</v>
      </c>
      <c r="X18" s="41">
        <v>4</v>
      </c>
      <c r="Y18" s="41" t="s">
        <v>3214</v>
      </c>
      <c r="Z18" s="41" t="s">
        <v>2992</v>
      </c>
      <c r="AA18" s="41" t="s">
        <v>20</v>
      </c>
      <c r="AB18" s="41" t="s">
        <v>2912</v>
      </c>
      <c r="AC18" s="41" t="s">
        <v>3215</v>
      </c>
      <c r="AD18" s="41" t="s">
        <v>36</v>
      </c>
      <c r="AE18" s="41" t="s">
        <v>2914</v>
      </c>
      <c r="AF18" s="41" t="s">
        <v>3514</v>
      </c>
      <c r="AG18" s="39"/>
      <c r="AH18" s="39"/>
      <c r="AI18" s="39"/>
      <c r="AJ18" s="40"/>
      <c r="AK18" s="40"/>
      <c r="AL18" s="40"/>
      <c r="AM18" s="39"/>
      <c r="AN18" s="39"/>
      <c r="AO18" s="39"/>
      <c r="AP18" s="39"/>
      <c r="AQ18" s="39"/>
      <c r="AR18" s="39"/>
      <c r="AS18" s="39"/>
      <c r="AT18" s="39"/>
      <c r="AU18" s="39"/>
      <c r="AV18" s="1" t="s">
        <v>3564</v>
      </c>
    </row>
    <row r="19" spans="1:48" ht="14.25" customHeight="1">
      <c r="A19" s="42">
        <v>183</v>
      </c>
      <c r="B19" s="42">
        <v>3</v>
      </c>
      <c r="C19" s="42" t="s">
        <v>1040</v>
      </c>
      <c r="D19" s="41" t="s">
        <v>2897</v>
      </c>
      <c r="E19" s="41">
        <v>2006</v>
      </c>
      <c r="F19" s="41">
        <v>2003</v>
      </c>
      <c r="G19" s="41" t="s">
        <v>2910</v>
      </c>
      <c r="H19" s="41" t="s">
        <v>2928</v>
      </c>
      <c r="I19" s="41">
        <v>-26.25</v>
      </c>
      <c r="J19" s="41">
        <v>152.88333299999999</v>
      </c>
      <c r="K19" s="41" t="s">
        <v>3001</v>
      </c>
      <c r="L19" s="41" t="s">
        <v>2931</v>
      </c>
      <c r="M19" s="41" t="s">
        <v>3114</v>
      </c>
      <c r="N19" s="41" t="s">
        <v>3304</v>
      </c>
      <c r="O19" s="33" t="s">
        <v>3305</v>
      </c>
      <c r="P19" s="41" t="s">
        <v>2948</v>
      </c>
      <c r="Q19" s="41"/>
      <c r="R19" s="41" t="s">
        <v>2903</v>
      </c>
      <c r="S19" s="41">
        <v>2003</v>
      </c>
      <c r="T19" s="41" t="s">
        <v>3069</v>
      </c>
      <c r="U19" s="33" t="s">
        <v>3513</v>
      </c>
      <c r="V19" s="41"/>
      <c r="W19" s="33">
        <v>4</v>
      </c>
      <c r="X19" s="33">
        <v>4</v>
      </c>
      <c r="Y19" s="41" t="s">
        <v>3214</v>
      </c>
      <c r="Z19" s="41" t="s">
        <v>3210</v>
      </c>
      <c r="AA19" s="41" t="s">
        <v>20</v>
      </c>
      <c r="AB19" s="41" t="s">
        <v>2912</v>
      </c>
      <c r="AC19" s="41" t="s">
        <v>3215</v>
      </c>
      <c r="AD19" s="41" t="s">
        <v>36</v>
      </c>
      <c r="AE19" s="41" t="s">
        <v>2914</v>
      </c>
      <c r="AF19" s="41" t="s">
        <v>3514</v>
      </c>
      <c r="AG19" s="39"/>
      <c r="AH19" s="39"/>
      <c r="AI19" s="39"/>
      <c r="AJ19" s="40"/>
      <c r="AK19" s="40"/>
      <c r="AL19" s="40"/>
      <c r="AM19" s="39"/>
      <c r="AN19" s="39"/>
      <c r="AO19" s="39"/>
      <c r="AP19" s="39"/>
      <c r="AQ19" s="39"/>
      <c r="AR19" s="39"/>
      <c r="AS19" s="39"/>
      <c r="AT19" s="39"/>
      <c r="AU19" s="39"/>
      <c r="AV19" s="1" t="s">
        <v>3564</v>
      </c>
    </row>
    <row r="20" spans="1:48" ht="14.25" customHeight="1">
      <c r="A20" s="42">
        <v>183</v>
      </c>
      <c r="B20" s="42">
        <v>3</v>
      </c>
      <c r="C20" s="42" t="s">
        <v>1040</v>
      </c>
      <c r="D20" s="41" t="s">
        <v>2897</v>
      </c>
      <c r="E20" s="41">
        <v>2006</v>
      </c>
      <c r="F20" s="41">
        <v>2003</v>
      </c>
      <c r="G20" s="41" t="s">
        <v>2910</v>
      </c>
      <c r="H20" s="41" t="s">
        <v>2928</v>
      </c>
      <c r="I20" s="41">
        <v>-26.25</v>
      </c>
      <c r="J20" s="41">
        <v>152.88333299999999</v>
      </c>
      <c r="K20" s="41" t="s">
        <v>3001</v>
      </c>
      <c r="L20" s="41" t="s">
        <v>2931</v>
      </c>
      <c r="M20" s="41" t="s">
        <v>3114</v>
      </c>
      <c r="N20" s="41" t="s">
        <v>3304</v>
      </c>
      <c r="O20" s="33" t="s">
        <v>3305</v>
      </c>
      <c r="P20" s="41" t="s">
        <v>2948</v>
      </c>
      <c r="Q20" s="41"/>
      <c r="R20" s="41" t="s">
        <v>2903</v>
      </c>
      <c r="S20" s="41">
        <v>2003</v>
      </c>
      <c r="T20" s="41">
        <v>2</v>
      </c>
      <c r="U20" s="33" t="s">
        <v>3513</v>
      </c>
      <c r="V20" s="41"/>
      <c r="W20" s="41">
        <v>4</v>
      </c>
      <c r="X20" s="41">
        <v>2</v>
      </c>
      <c r="Y20" s="41" t="s">
        <v>3214</v>
      </c>
      <c r="Z20" s="41" t="s">
        <v>2992</v>
      </c>
      <c r="AA20" s="41" t="s">
        <v>20</v>
      </c>
      <c r="AB20" s="41" t="s">
        <v>2912</v>
      </c>
      <c r="AC20" s="41" t="s">
        <v>3215</v>
      </c>
      <c r="AD20" s="41" t="s">
        <v>36</v>
      </c>
      <c r="AE20" s="41" t="s">
        <v>2914</v>
      </c>
      <c r="AF20" s="41" t="s">
        <v>3514</v>
      </c>
      <c r="AG20" s="39"/>
      <c r="AH20" s="39"/>
      <c r="AI20" s="39"/>
      <c r="AJ20" s="40"/>
      <c r="AK20" s="40"/>
      <c r="AL20" s="40"/>
      <c r="AM20" s="39"/>
      <c r="AN20" s="39"/>
      <c r="AO20" s="39"/>
      <c r="AP20" s="39"/>
      <c r="AQ20" s="39"/>
      <c r="AR20" s="39"/>
      <c r="AS20" s="39"/>
      <c r="AT20" s="39"/>
      <c r="AU20" s="39"/>
      <c r="AV20" s="1" t="s">
        <v>3564</v>
      </c>
    </row>
    <row r="21" spans="1:48" ht="14.25" customHeight="1">
      <c r="A21" s="42">
        <v>183</v>
      </c>
      <c r="B21" s="42">
        <v>3</v>
      </c>
      <c r="C21" s="42" t="s">
        <v>1040</v>
      </c>
      <c r="D21" s="41" t="s">
        <v>2897</v>
      </c>
      <c r="E21" s="41">
        <v>2006</v>
      </c>
      <c r="F21" s="41">
        <v>2003</v>
      </c>
      <c r="G21" s="41" t="s">
        <v>2910</v>
      </c>
      <c r="H21" s="41" t="s">
        <v>2928</v>
      </c>
      <c r="I21" s="41">
        <v>-26.25</v>
      </c>
      <c r="J21" s="41">
        <v>152.88333299999999</v>
      </c>
      <c r="K21" s="41" t="s">
        <v>3001</v>
      </c>
      <c r="L21" s="41" t="s">
        <v>2931</v>
      </c>
      <c r="M21" s="41" t="s">
        <v>3114</v>
      </c>
      <c r="N21" s="41" t="s">
        <v>3304</v>
      </c>
      <c r="O21" s="33" t="s">
        <v>3305</v>
      </c>
      <c r="P21" s="41" t="s">
        <v>2948</v>
      </c>
      <c r="Q21" s="41"/>
      <c r="R21" s="41" t="s">
        <v>2903</v>
      </c>
      <c r="S21" s="41">
        <v>2003</v>
      </c>
      <c r="T21" s="41">
        <v>2</v>
      </c>
      <c r="U21" s="33" t="s">
        <v>3513</v>
      </c>
      <c r="V21" s="41"/>
      <c r="W21" s="41">
        <v>4</v>
      </c>
      <c r="X21" s="41">
        <v>2</v>
      </c>
      <c r="Y21" s="41" t="s">
        <v>3214</v>
      </c>
      <c r="Z21" s="41" t="s">
        <v>3210</v>
      </c>
      <c r="AA21" s="41" t="s">
        <v>20</v>
      </c>
      <c r="AB21" s="41" t="s">
        <v>2912</v>
      </c>
      <c r="AC21" s="41" t="s">
        <v>3215</v>
      </c>
      <c r="AD21" s="41" t="s">
        <v>36</v>
      </c>
      <c r="AE21" s="41" t="s">
        <v>2914</v>
      </c>
      <c r="AF21" s="41" t="s">
        <v>3514</v>
      </c>
      <c r="AG21" s="39"/>
      <c r="AH21" s="39"/>
      <c r="AI21" s="39"/>
      <c r="AJ21" s="40"/>
      <c r="AK21" s="40"/>
      <c r="AL21" s="40"/>
      <c r="AM21" s="39"/>
      <c r="AN21" s="39"/>
      <c r="AO21" s="39"/>
      <c r="AP21" s="39"/>
      <c r="AQ21" s="39"/>
      <c r="AR21" s="39"/>
      <c r="AS21" s="39"/>
      <c r="AT21" s="39"/>
      <c r="AU21" s="39"/>
      <c r="AV21" s="1" t="s">
        <v>3564</v>
      </c>
    </row>
    <row r="22" spans="1:48" ht="14.25" customHeight="1">
      <c r="A22" s="4">
        <v>58</v>
      </c>
      <c r="B22" s="4">
        <v>4</v>
      </c>
      <c r="C22" s="4" t="s">
        <v>360</v>
      </c>
      <c r="D22" s="1" t="s">
        <v>2897</v>
      </c>
      <c r="E22" s="1">
        <v>2013</v>
      </c>
      <c r="F22" s="1">
        <v>2004</v>
      </c>
      <c r="G22" s="1" t="s">
        <v>3048</v>
      </c>
      <c r="H22" s="1" t="s">
        <v>3059</v>
      </c>
      <c r="I22" s="1">
        <v>51</v>
      </c>
      <c r="J22" s="1">
        <v>-120</v>
      </c>
      <c r="K22" s="1" t="s">
        <v>3001</v>
      </c>
      <c r="L22" s="1" t="s">
        <v>3098</v>
      </c>
      <c r="M22" s="1" t="s">
        <v>3099</v>
      </c>
      <c r="N22" s="1" t="s">
        <v>3303</v>
      </c>
      <c r="O22" s="1" t="s">
        <v>3305</v>
      </c>
      <c r="P22" s="1" t="s">
        <v>2890</v>
      </c>
      <c r="Q22" s="1" t="s">
        <v>2983</v>
      </c>
      <c r="R22" s="1" t="s">
        <v>2903</v>
      </c>
      <c r="S22" s="1">
        <v>2003</v>
      </c>
      <c r="V22" s="1">
        <v>26420</v>
      </c>
      <c r="W22" s="1">
        <v>4</v>
      </c>
      <c r="X22" s="1">
        <v>4</v>
      </c>
      <c r="Y22" s="1" t="s">
        <v>2994</v>
      </c>
      <c r="Z22" s="1" t="s">
        <v>36</v>
      </c>
      <c r="AA22" s="1" t="s">
        <v>20</v>
      </c>
      <c r="AB22" s="1" t="s">
        <v>2912</v>
      </c>
      <c r="AC22" s="1" t="s">
        <v>3058</v>
      </c>
      <c r="AD22" s="1" t="s">
        <v>36</v>
      </c>
      <c r="AE22" s="1" t="s">
        <v>2914</v>
      </c>
      <c r="AF22" s="1" t="s">
        <v>3213</v>
      </c>
      <c r="AG22" s="1">
        <v>6.3</v>
      </c>
      <c r="AH22" s="1">
        <f t="shared" ref="AH22:AH24" si="19">AI22*(SQRT(X22))</f>
        <v>5</v>
      </c>
      <c r="AI22" s="1">
        <v>2.5</v>
      </c>
      <c r="AJ22" s="1">
        <v>8</v>
      </c>
      <c r="AK22" s="1">
        <f>AL22*(SQRT(W22))</f>
        <v>5</v>
      </c>
      <c r="AL22" s="1">
        <v>2.5</v>
      </c>
      <c r="AM22" s="33">
        <f t="shared" ref="AM22:AM55" si="20">AG22-AJ22</f>
        <v>-1.7000000000000002</v>
      </c>
      <c r="AN22" s="1">
        <f t="shared" ref="AN22:AN89" si="21">SQRT((((X22-1)*AH22^2)+((W22-1)*AK22^2))/(X22+W22-2))</f>
        <v>5</v>
      </c>
      <c r="AO22" s="1">
        <f t="shared" si="2"/>
        <v>-0.34</v>
      </c>
      <c r="AP22" s="1">
        <f t="shared" ref="AP22:AP89" si="22">1/X22+1/W22+(AO22^2)/(2*(X22+W22))</f>
        <v>0.50722500000000004</v>
      </c>
      <c r="AQ22" s="1">
        <f t="shared" ref="AQ22:AQ89" si="23">1-(3/(4*(X22+W22-2)-1))</f>
        <v>0.86956521739130432</v>
      </c>
      <c r="AR22" s="1">
        <f t="shared" ref="AR22:AR70" si="24">AO22*AQ22</f>
        <v>-0.29565217391304349</v>
      </c>
      <c r="AS22" s="1">
        <f t="shared" ref="AS22:AS74" si="25">SQRT(AP22*AQ22^2)</f>
        <v>0.61930200358517529</v>
      </c>
      <c r="AT22" s="39"/>
      <c r="AU22" s="39"/>
      <c r="AV22" s="1" t="s">
        <v>3539</v>
      </c>
    </row>
    <row r="23" spans="1:48" ht="14.25" customHeight="1">
      <c r="A23" s="4">
        <v>58</v>
      </c>
      <c r="B23" s="4">
        <v>4</v>
      </c>
      <c r="C23" s="4" t="s">
        <v>360</v>
      </c>
      <c r="D23" s="1" t="s">
        <v>2897</v>
      </c>
      <c r="E23" s="1">
        <v>2013</v>
      </c>
      <c r="F23" s="1">
        <v>2004</v>
      </c>
      <c r="G23" s="1" t="s">
        <v>3048</v>
      </c>
      <c r="H23" s="1" t="s">
        <v>3059</v>
      </c>
      <c r="I23" s="1">
        <v>51</v>
      </c>
      <c r="J23" s="1">
        <v>-120</v>
      </c>
      <c r="K23" s="1" t="s">
        <v>3001</v>
      </c>
      <c r="L23" s="1" t="s">
        <v>3098</v>
      </c>
      <c r="M23" s="1" t="s">
        <v>3099</v>
      </c>
      <c r="N23" s="1" t="s">
        <v>3303</v>
      </c>
      <c r="O23" s="1" t="s">
        <v>3305</v>
      </c>
      <c r="P23" s="1" t="s">
        <v>2890</v>
      </c>
      <c r="Q23" s="1" t="s">
        <v>2983</v>
      </c>
      <c r="R23" s="1" t="s">
        <v>2903</v>
      </c>
      <c r="S23" s="1">
        <v>2003</v>
      </c>
      <c r="V23" s="1">
        <v>26420</v>
      </c>
      <c r="W23" s="1">
        <v>4</v>
      </c>
      <c r="X23" s="1">
        <v>4</v>
      </c>
      <c r="Y23" s="1" t="s">
        <v>2994</v>
      </c>
      <c r="Z23" s="1" t="s">
        <v>36</v>
      </c>
      <c r="AA23" s="1" t="s">
        <v>20</v>
      </c>
      <c r="AB23" s="1" t="s">
        <v>2912</v>
      </c>
      <c r="AC23" s="1" t="s">
        <v>3058</v>
      </c>
      <c r="AD23" s="1" t="s">
        <v>36</v>
      </c>
      <c r="AE23" s="1" t="s">
        <v>2914</v>
      </c>
      <c r="AF23" s="1" t="s">
        <v>3029</v>
      </c>
      <c r="AG23" s="1">
        <v>0.38</v>
      </c>
      <c r="AH23" s="1">
        <f t="shared" si="19"/>
        <v>0.42</v>
      </c>
      <c r="AI23" s="1">
        <v>0.21</v>
      </c>
      <c r="AJ23" s="1">
        <v>0.85</v>
      </c>
      <c r="AK23" s="1">
        <f t="shared" ref="AK23:AK27" si="26">AL23*(SQRT(W23))</f>
        <v>0.42</v>
      </c>
      <c r="AL23" s="1">
        <v>0.21</v>
      </c>
      <c r="AM23" s="33">
        <f t="shared" si="20"/>
        <v>-0.47</v>
      </c>
      <c r="AN23" s="1">
        <f t="shared" si="21"/>
        <v>0.42</v>
      </c>
      <c r="AO23" s="1">
        <f t="shared" si="2"/>
        <v>-1.1190476190476191</v>
      </c>
      <c r="AP23" s="1">
        <f t="shared" si="22"/>
        <v>0.57826672335600904</v>
      </c>
      <c r="AQ23" s="1">
        <f t="shared" si="23"/>
        <v>0.86956521739130432</v>
      </c>
      <c r="AR23" s="1">
        <f t="shared" si="24"/>
        <v>-0.97308488612836441</v>
      </c>
      <c r="AS23" s="1">
        <f t="shared" si="25"/>
        <v>0.66125087589666676</v>
      </c>
      <c r="AT23" s="39"/>
      <c r="AU23" s="39"/>
      <c r="AV23" s="1" t="s">
        <v>3539</v>
      </c>
    </row>
    <row r="24" spans="1:48" ht="14.25" customHeight="1">
      <c r="A24" s="4">
        <v>58</v>
      </c>
      <c r="B24" s="4">
        <v>4</v>
      </c>
      <c r="C24" s="4" t="s">
        <v>360</v>
      </c>
      <c r="D24" s="1" t="s">
        <v>2897</v>
      </c>
      <c r="E24" s="1">
        <v>2013</v>
      </c>
      <c r="F24" s="1">
        <v>2004</v>
      </c>
      <c r="G24" s="1" t="s">
        <v>3048</v>
      </c>
      <c r="H24" s="1" t="s">
        <v>3059</v>
      </c>
      <c r="I24" s="1">
        <v>51</v>
      </c>
      <c r="J24" s="1">
        <v>-120</v>
      </c>
      <c r="K24" s="1" t="s">
        <v>3001</v>
      </c>
      <c r="L24" s="1" t="s">
        <v>3098</v>
      </c>
      <c r="M24" s="1" t="s">
        <v>3099</v>
      </c>
      <c r="N24" s="1" t="s">
        <v>3303</v>
      </c>
      <c r="O24" s="1" t="s">
        <v>3305</v>
      </c>
      <c r="P24" s="1" t="s">
        <v>2890</v>
      </c>
      <c r="Q24" s="1" t="s">
        <v>2983</v>
      </c>
      <c r="R24" s="1" t="s">
        <v>2903</v>
      </c>
      <c r="S24" s="1">
        <v>2003</v>
      </c>
      <c r="V24" s="1">
        <v>26420</v>
      </c>
      <c r="W24" s="1">
        <v>4</v>
      </c>
      <c r="X24" s="1">
        <v>4</v>
      </c>
      <c r="Y24" s="1" t="s">
        <v>2994</v>
      </c>
      <c r="Z24" s="1" t="s">
        <v>36</v>
      </c>
      <c r="AA24" s="1" t="s">
        <v>20</v>
      </c>
      <c r="AB24" s="1" t="s">
        <v>2912</v>
      </c>
      <c r="AC24" s="1" t="s">
        <v>3058</v>
      </c>
      <c r="AD24" s="1" t="s">
        <v>36</v>
      </c>
      <c r="AE24" s="1" t="s">
        <v>2914</v>
      </c>
      <c r="AF24" s="1" t="s">
        <v>3036</v>
      </c>
      <c r="AG24" s="1">
        <v>0.32</v>
      </c>
      <c r="AH24" s="1">
        <f t="shared" si="19"/>
        <v>0.44</v>
      </c>
      <c r="AI24" s="1">
        <v>0.22</v>
      </c>
      <c r="AJ24" s="1">
        <v>0.79</v>
      </c>
      <c r="AK24" s="1">
        <f t="shared" si="26"/>
        <v>0.44</v>
      </c>
      <c r="AL24" s="1">
        <v>0.22</v>
      </c>
      <c r="AM24" s="33">
        <f t="shared" si="20"/>
        <v>-0.47000000000000003</v>
      </c>
      <c r="AN24" s="1">
        <f t="shared" si="21"/>
        <v>0.44</v>
      </c>
      <c r="AO24" s="1">
        <f t="shared" si="2"/>
        <v>-1.0681818181818183</v>
      </c>
      <c r="AP24" s="1">
        <f t="shared" si="22"/>
        <v>0.57131327479338845</v>
      </c>
      <c r="AQ24" s="1">
        <f t="shared" si="23"/>
        <v>0.86956521739130432</v>
      </c>
      <c r="AR24" s="1">
        <f t="shared" si="24"/>
        <v>-0.92885375494071154</v>
      </c>
      <c r="AS24" s="1">
        <f t="shared" si="25"/>
        <v>0.65726320053507437</v>
      </c>
      <c r="AT24" s="39"/>
      <c r="AU24" s="39"/>
      <c r="AV24" s="1" t="s">
        <v>3539</v>
      </c>
    </row>
    <row r="25" spans="1:48" ht="14.25" customHeight="1">
      <c r="A25" s="4">
        <v>58</v>
      </c>
      <c r="B25" s="4">
        <v>4</v>
      </c>
      <c r="C25" s="4" t="s">
        <v>360</v>
      </c>
      <c r="D25" s="1" t="s">
        <v>2897</v>
      </c>
      <c r="E25" s="1">
        <v>2013</v>
      </c>
      <c r="F25" s="1">
        <v>2004</v>
      </c>
      <c r="G25" s="1" t="s">
        <v>3048</v>
      </c>
      <c r="H25" s="1" t="s">
        <v>3059</v>
      </c>
      <c r="I25" s="1">
        <v>51</v>
      </c>
      <c r="J25" s="1">
        <v>-120</v>
      </c>
      <c r="K25" s="1" t="s">
        <v>3001</v>
      </c>
      <c r="L25" s="1" t="s">
        <v>3098</v>
      </c>
      <c r="M25" s="1" t="s">
        <v>3099</v>
      </c>
      <c r="N25" s="1" t="s">
        <v>3303</v>
      </c>
      <c r="O25" s="1" t="s">
        <v>3305</v>
      </c>
      <c r="P25" s="1" t="s">
        <v>2890</v>
      </c>
      <c r="Q25" s="1" t="s">
        <v>3033</v>
      </c>
      <c r="R25" s="1" t="s">
        <v>2903</v>
      </c>
      <c r="S25" s="1">
        <v>2003</v>
      </c>
      <c r="V25" s="1">
        <v>26420</v>
      </c>
      <c r="W25" s="1">
        <v>4</v>
      </c>
      <c r="X25" s="1">
        <v>4</v>
      </c>
      <c r="Y25" s="1" t="s">
        <v>2994</v>
      </c>
      <c r="Z25" s="1" t="s">
        <v>36</v>
      </c>
      <c r="AA25" s="1" t="s">
        <v>20</v>
      </c>
      <c r="AB25" s="1" t="s">
        <v>2912</v>
      </c>
      <c r="AC25" s="1" t="s">
        <v>3058</v>
      </c>
      <c r="AD25" s="1" t="s">
        <v>36</v>
      </c>
      <c r="AE25" s="1" t="s">
        <v>2914</v>
      </c>
      <c r="AF25" s="1" t="s">
        <v>3213</v>
      </c>
      <c r="AG25" s="1">
        <v>4</v>
      </c>
      <c r="AH25" s="1">
        <f>AI25*(SQRT(X25))</f>
        <v>6.2</v>
      </c>
      <c r="AI25" s="1">
        <v>3.1</v>
      </c>
      <c r="AJ25" s="1">
        <v>8</v>
      </c>
      <c r="AK25" s="1">
        <f t="shared" si="26"/>
        <v>5</v>
      </c>
      <c r="AL25" s="1">
        <v>2.5</v>
      </c>
      <c r="AM25" s="33">
        <f t="shared" si="20"/>
        <v>-4</v>
      </c>
      <c r="AN25" s="1">
        <f t="shared" si="21"/>
        <v>5.6320511361314898</v>
      </c>
      <c r="AO25" s="1">
        <f t="shared" si="2"/>
        <v>-0.71022082422843491</v>
      </c>
      <c r="AP25" s="1">
        <f t="shared" si="22"/>
        <v>0.53152585119798235</v>
      </c>
      <c r="AQ25" s="1">
        <f t="shared" si="23"/>
        <v>0.86956521739130432</v>
      </c>
      <c r="AR25" s="1">
        <f t="shared" si="24"/>
        <v>-0.61758332541603034</v>
      </c>
      <c r="AS25" s="1">
        <f t="shared" si="25"/>
        <v>0.63396364752869572</v>
      </c>
      <c r="AT25" s="39"/>
      <c r="AU25" s="39"/>
      <c r="AV25" s="1" t="s">
        <v>3539</v>
      </c>
    </row>
    <row r="26" spans="1:48" ht="14.25" customHeight="1">
      <c r="A26" s="4">
        <v>58</v>
      </c>
      <c r="B26" s="4">
        <v>4</v>
      </c>
      <c r="C26" s="4" t="s">
        <v>360</v>
      </c>
      <c r="D26" s="1" t="s">
        <v>2897</v>
      </c>
      <c r="E26" s="1">
        <v>2013</v>
      </c>
      <c r="F26" s="1">
        <v>2004</v>
      </c>
      <c r="G26" s="1" t="s">
        <v>3048</v>
      </c>
      <c r="H26" s="1" t="s">
        <v>3059</v>
      </c>
      <c r="I26" s="1">
        <v>51</v>
      </c>
      <c r="J26" s="1">
        <v>-120</v>
      </c>
      <c r="K26" s="1" t="s">
        <v>3001</v>
      </c>
      <c r="L26" s="1" t="s">
        <v>3098</v>
      </c>
      <c r="M26" s="1" t="s">
        <v>3099</v>
      </c>
      <c r="N26" s="1" t="s">
        <v>3303</v>
      </c>
      <c r="O26" s="1" t="s">
        <v>3305</v>
      </c>
      <c r="P26" s="1" t="s">
        <v>2890</v>
      </c>
      <c r="Q26" s="1" t="s">
        <v>3033</v>
      </c>
      <c r="R26" s="1" t="s">
        <v>2903</v>
      </c>
      <c r="S26" s="1">
        <v>2003</v>
      </c>
      <c r="V26" s="1">
        <v>26420</v>
      </c>
      <c r="W26" s="1">
        <v>4</v>
      </c>
      <c r="X26" s="1">
        <v>4</v>
      </c>
      <c r="Y26" s="1" t="s">
        <v>2994</v>
      </c>
      <c r="Z26" s="1" t="s">
        <v>36</v>
      </c>
      <c r="AA26" s="1" t="s">
        <v>20</v>
      </c>
      <c r="AB26" s="1" t="s">
        <v>2912</v>
      </c>
      <c r="AC26" s="1" t="s">
        <v>3058</v>
      </c>
      <c r="AD26" s="1" t="s">
        <v>36</v>
      </c>
      <c r="AE26" s="1" t="s">
        <v>2914</v>
      </c>
      <c r="AF26" s="1" t="s">
        <v>3029</v>
      </c>
      <c r="AG26" s="1">
        <v>0.47</v>
      </c>
      <c r="AH26" s="1">
        <f t="shared" ref="AH26:AH27" si="27">AI26*(SQRT(X26))</f>
        <v>0.52</v>
      </c>
      <c r="AI26" s="1">
        <v>0.26</v>
      </c>
      <c r="AJ26" s="1">
        <v>0.85</v>
      </c>
      <c r="AK26" s="1">
        <f t="shared" si="26"/>
        <v>0.42</v>
      </c>
      <c r="AL26" s="1">
        <v>0.21</v>
      </c>
      <c r="AM26" s="33">
        <f t="shared" si="20"/>
        <v>-0.38</v>
      </c>
      <c r="AN26" s="1">
        <f t="shared" si="21"/>
        <v>0.47265209192385893</v>
      </c>
      <c r="AO26" s="1">
        <f t="shared" si="2"/>
        <v>-0.80397401491077169</v>
      </c>
      <c r="AP26" s="1">
        <f t="shared" si="22"/>
        <v>0.54039838854073408</v>
      </c>
      <c r="AQ26" s="1">
        <f t="shared" si="23"/>
        <v>0.86956521739130432</v>
      </c>
      <c r="AR26" s="1">
        <f t="shared" si="24"/>
        <v>-0.6991078390528449</v>
      </c>
      <c r="AS26" s="1">
        <f t="shared" si="25"/>
        <v>0.63923299297866687</v>
      </c>
      <c r="AT26" s="39"/>
      <c r="AU26" s="39"/>
      <c r="AV26" s="1" t="s">
        <v>3539</v>
      </c>
    </row>
    <row r="27" spans="1:48" ht="14.25" customHeight="1">
      <c r="A27" s="4">
        <v>58</v>
      </c>
      <c r="B27" s="4">
        <v>4</v>
      </c>
      <c r="C27" s="4" t="s">
        <v>360</v>
      </c>
      <c r="D27" s="1" t="s">
        <v>2897</v>
      </c>
      <c r="E27" s="1">
        <v>2013</v>
      </c>
      <c r="F27" s="1">
        <v>2004</v>
      </c>
      <c r="G27" s="1" t="s">
        <v>3048</v>
      </c>
      <c r="H27" s="1" t="s">
        <v>3059</v>
      </c>
      <c r="I27" s="1">
        <v>51</v>
      </c>
      <c r="J27" s="1">
        <v>-120</v>
      </c>
      <c r="K27" s="1" t="s">
        <v>3001</v>
      </c>
      <c r="L27" s="1" t="s">
        <v>3098</v>
      </c>
      <c r="M27" s="1" t="s">
        <v>3099</v>
      </c>
      <c r="N27" s="1" t="s">
        <v>3303</v>
      </c>
      <c r="O27" s="1" t="s">
        <v>3305</v>
      </c>
      <c r="P27" s="1" t="s">
        <v>2890</v>
      </c>
      <c r="Q27" s="1" t="s">
        <v>3033</v>
      </c>
      <c r="R27" s="1" t="s">
        <v>2903</v>
      </c>
      <c r="S27" s="1">
        <v>2003</v>
      </c>
      <c r="V27" s="1">
        <v>26420</v>
      </c>
      <c r="W27" s="1">
        <v>4</v>
      </c>
      <c r="X27" s="1">
        <v>4</v>
      </c>
      <c r="Y27" s="1" t="s">
        <v>2994</v>
      </c>
      <c r="Z27" s="1" t="s">
        <v>36</v>
      </c>
      <c r="AA27" s="1" t="s">
        <v>20</v>
      </c>
      <c r="AB27" s="1" t="s">
        <v>2912</v>
      </c>
      <c r="AC27" s="1" t="s">
        <v>3058</v>
      </c>
      <c r="AD27" s="1" t="s">
        <v>36</v>
      </c>
      <c r="AE27" s="1" t="s">
        <v>2914</v>
      </c>
      <c r="AF27" s="1" t="s">
        <v>3036</v>
      </c>
      <c r="AG27" s="1">
        <v>0.36</v>
      </c>
      <c r="AH27" s="1">
        <f t="shared" si="27"/>
        <v>0.54</v>
      </c>
      <c r="AI27" s="1">
        <v>0.27</v>
      </c>
      <c r="AJ27" s="1">
        <v>0.79</v>
      </c>
      <c r="AK27" s="1">
        <f t="shared" si="26"/>
        <v>0.44</v>
      </c>
      <c r="AL27" s="1">
        <v>0.22</v>
      </c>
      <c r="AM27" s="33">
        <f t="shared" si="20"/>
        <v>-0.43000000000000005</v>
      </c>
      <c r="AN27" s="1">
        <f t="shared" si="21"/>
        <v>0.49254441424099005</v>
      </c>
      <c r="AO27" s="1">
        <f t="shared" si="2"/>
        <v>-0.8730177169151927</v>
      </c>
      <c r="AP27" s="1">
        <f t="shared" si="22"/>
        <v>0.54763499587798847</v>
      </c>
      <c r="AQ27" s="1">
        <f t="shared" si="23"/>
        <v>0.86956521739130432</v>
      </c>
      <c r="AR27" s="1">
        <f t="shared" si="24"/>
        <v>-0.7591458407958197</v>
      </c>
      <c r="AS27" s="1">
        <f t="shared" si="25"/>
        <v>0.64349882216150378</v>
      </c>
      <c r="AT27" s="39"/>
      <c r="AU27" s="39"/>
      <c r="AV27" s="1" t="s">
        <v>3539</v>
      </c>
    </row>
    <row r="28" spans="1:48" ht="14.25" customHeight="1">
      <c r="A28" s="4">
        <v>41</v>
      </c>
      <c r="B28" s="4">
        <v>5</v>
      </c>
      <c r="C28" s="4" t="s">
        <v>260</v>
      </c>
      <c r="D28" s="1" t="s">
        <v>2889</v>
      </c>
      <c r="E28" s="1">
        <v>2022</v>
      </c>
      <c r="F28" s="1">
        <v>2019</v>
      </c>
      <c r="G28" s="1" t="s">
        <v>3025</v>
      </c>
      <c r="H28" s="1" t="s">
        <v>3019</v>
      </c>
      <c r="I28" s="1">
        <v>35.584622000000003</v>
      </c>
      <c r="J28" s="1">
        <v>-83.530636999999999</v>
      </c>
      <c r="K28" s="1" t="s">
        <v>2971</v>
      </c>
      <c r="L28" s="1" t="s">
        <v>3102</v>
      </c>
      <c r="M28" s="1" t="s">
        <v>3216</v>
      </c>
      <c r="N28" s="1" t="s">
        <v>3304</v>
      </c>
      <c r="O28" s="1" t="s">
        <v>3305</v>
      </c>
      <c r="P28" s="1" t="s">
        <v>2890</v>
      </c>
      <c r="Q28" s="1" t="s">
        <v>2983</v>
      </c>
      <c r="R28" s="1" t="s">
        <v>2903</v>
      </c>
      <c r="S28" s="1">
        <v>2016</v>
      </c>
      <c r="T28" s="1">
        <v>2.5</v>
      </c>
      <c r="V28" s="1">
        <v>7200</v>
      </c>
      <c r="W28" s="1">
        <v>30</v>
      </c>
      <c r="X28" s="1">
        <v>40</v>
      </c>
      <c r="Y28" s="1" t="s">
        <v>2911</v>
      </c>
      <c r="Z28" s="1" t="s">
        <v>3054</v>
      </c>
      <c r="AA28" s="1" t="s">
        <v>22</v>
      </c>
      <c r="AB28" s="1" t="s">
        <v>2912</v>
      </c>
      <c r="AC28" s="1" t="s">
        <v>3134</v>
      </c>
      <c r="AD28" s="1" t="s">
        <v>2913</v>
      </c>
      <c r="AE28" s="1" t="s">
        <v>2917</v>
      </c>
      <c r="AF28" s="1" t="s">
        <v>3213</v>
      </c>
      <c r="AM28" s="33">
        <f t="shared" si="20"/>
        <v>0</v>
      </c>
      <c r="AN28" s="1">
        <f t="shared" si="21"/>
        <v>0</v>
      </c>
      <c r="AO28" s="1" t="e">
        <f t="shared" si="2"/>
        <v>#DIV/0!</v>
      </c>
      <c r="AP28" s="1" t="e">
        <f t="shared" si="22"/>
        <v>#DIV/0!</v>
      </c>
      <c r="AQ28" s="1">
        <f t="shared" si="23"/>
        <v>0.98892988929889303</v>
      </c>
      <c r="AR28" s="1" t="e">
        <f t="shared" si="24"/>
        <v>#DIV/0!</v>
      </c>
      <c r="AS28" s="1" t="e">
        <f t="shared" si="25"/>
        <v>#DIV/0!</v>
      </c>
      <c r="AU28" s="33"/>
      <c r="AV28" s="1" t="s">
        <v>3539</v>
      </c>
    </row>
    <row r="29" spans="1:48" ht="14.25" customHeight="1">
      <c r="A29" s="4">
        <v>41</v>
      </c>
      <c r="B29" s="4">
        <v>5</v>
      </c>
      <c r="C29" s="4" t="s">
        <v>260</v>
      </c>
      <c r="D29" s="1" t="s">
        <v>2889</v>
      </c>
      <c r="E29" s="1">
        <v>2022</v>
      </c>
      <c r="F29" s="1">
        <v>2019</v>
      </c>
      <c r="G29" s="1" t="s">
        <v>3025</v>
      </c>
      <c r="H29" s="1" t="s">
        <v>3019</v>
      </c>
      <c r="I29" s="1">
        <v>35.584622000000003</v>
      </c>
      <c r="J29" s="1">
        <v>-83.530636999999999</v>
      </c>
      <c r="K29" s="1" t="s">
        <v>2971</v>
      </c>
      <c r="L29" s="1" t="s">
        <v>3102</v>
      </c>
      <c r="M29" s="1" t="s">
        <v>3216</v>
      </c>
      <c r="N29" s="1" t="s">
        <v>3304</v>
      </c>
      <c r="O29" s="1" t="s">
        <v>3305</v>
      </c>
      <c r="P29" s="1" t="s">
        <v>2890</v>
      </c>
      <c r="Q29" s="1" t="s">
        <v>2983</v>
      </c>
      <c r="R29" s="1" t="s">
        <v>2903</v>
      </c>
      <c r="S29" s="1">
        <v>2016</v>
      </c>
      <c r="T29" s="1">
        <v>2.5</v>
      </c>
      <c r="V29" s="1">
        <v>7200</v>
      </c>
      <c r="W29" s="1">
        <v>30</v>
      </c>
      <c r="X29" s="1">
        <v>40</v>
      </c>
      <c r="Y29" s="1" t="s">
        <v>2911</v>
      </c>
      <c r="Z29" s="1" t="s">
        <v>3054</v>
      </c>
      <c r="AA29" s="1" t="s">
        <v>22</v>
      </c>
      <c r="AB29" s="1" t="s">
        <v>2912</v>
      </c>
      <c r="AC29" s="1" t="s">
        <v>3134</v>
      </c>
      <c r="AD29" s="1" t="s">
        <v>2913</v>
      </c>
      <c r="AE29" s="1" t="s">
        <v>2917</v>
      </c>
      <c r="AF29" s="1" t="s">
        <v>3036</v>
      </c>
      <c r="AM29" s="33">
        <f t="shared" si="20"/>
        <v>0</v>
      </c>
      <c r="AN29" s="1">
        <f t="shared" si="21"/>
        <v>0</v>
      </c>
      <c r="AO29" s="1" t="e">
        <f t="shared" si="2"/>
        <v>#DIV/0!</v>
      </c>
      <c r="AP29" s="1" t="e">
        <f t="shared" si="22"/>
        <v>#DIV/0!</v>
      </c>
      <c r="AQ29" s="1">
        <f t="shared" si="23"/>
        <v>0.98892988929889303</v>
      </c>
      <c r="AR29" s="1" t="e">
        <f t="shared" si="24"/>
        <v>#DIV/0!</v>
      </c>
      <c r="AS29" s="1" t="e">
        <f t="shared" si="25"/>
        <v>#DIV/0!</v>
      </c>
      <c r="AU29" s="33"/>
      <c r="AV29" s="1" t="s">
        <v>3539</v>
      </c>
    </row>
    <row r="30" spans="1:48" ht="14.25" customHeight="1">
      <c r="A30" s="4">
        <v>41</v>
      </c>
      <c r="B30" s="4">
        <v>5</v>
      </c>
      <c r="C30" s="4" t="s">
        <v>260</v>
      </c>
      <c r="D30" s="1" t="s">
        <v>2889</v>
      </c>
      <c r="E30" s="1">
        <v>2022</v>
      </c>
      <c r="F30" s="1">
        <v>2019</v>
      </c>
      <c r="G30" s="1" t="s">
        <v>3025</v>
      </c>
      <c r="H30" s="1" t="s">
        <v>3019</v>
      </c>
      <c r="I30" s="1">
        <v>35.584622000000003</v>
      </c>
      <c r="J30" s="1">
        <v>-83.530636999999999</v>
      </c>
      <c r="K30" s="1" t="s">
        <v>2971</v>
      </c>
      <c r="L30" s="1" t="s">
        <v>3102</v>
      </c>
      <c r="M30" s="1" t="s">
        <v>3216</v>
      </c>
      <c r="N30" s="1" t="s">
        <v>3304</v>
      </c>
      <c r="O30" s="1" t="s">
        <v>3305</v>
      </c>
      <c r="P30" s="1" t="s">
        <v>2890</v>
      </c>
      <c r="Q30" s="1" t="s">
        <v>2983</v>
      </c>
      <c r="R30" s="1" t="s">
        <v>2903</v>
      </c>
      <c r="S30" s="1">
        <v>2016</v>
      </c>
      <c r="T30" s="1">
        <v>2.5</v>
      </c>
      <c r="V30" s="1">
        <v>7200</v>
      </c>
      <c r="W30" s="1">
        <v>30</v>
      </c>
      <c r="X30" s="1">
        <v>40</v>
      </c>
      <c r="Y30" s="1" t="s">
        <v>2911</v>
      </c>
      <c r="Z30" s="1" t="s">
        <v>3054</v>
      </c>
      <c r="AA30" s="1" t="s">
        <v>22</v>
      </c>
      <c r="AB30" s="1" t="s">
        <v>2912</v>
      </c>
      <c r="AC30" s="1" t="s">
        <v>3134</v>
      </c>
      <c r="AD30" s="1" t="s">
        <v>2913</v>
      </c>
      <c r="AE30" s="1" t="s">
        <v>2917</v>
      </c>
      <c r="AF30" s="1" t="s">
        <v>3515</v>
      </c>
      <c r="AM30" s="33">
        <f t="shared" si="20"/>
        <v>0</v>
      </c>
      <c r="AN30" s="1">
        <f t="shared" si="21"/>
        <v>0</v>
      </c>
      <c r="AO30" s="1" t="e">
        <f t="shared" si="2"/>
        <v>#DIV/0!</v>
      </c>
      <c r="AP30" s="1" t="e">
        <f t="shared" si="22"/>
        <v>#DIV/0!</v>
      </c>
      <c r="AQ30" s="1">
        <f t="shared" si="23"/>
        <v>0.98892988929889303</v>
      </c>
      <c r="AR30" s="1" t="e">
        <f t="shared" si="24"/>
        <v>#DIV/0!</v>
      </c>
      <c r="AS30" s="1" t="e">
        <f t="shared" si="25"/>
        <v>#DIV/0!</v>
      </c>
      <c r="AU30" s="33"/>
      <c r="AV30" s="1" t="s">
        <v>3539</v>
      </c>
    </row>
    <row r="31" spans="1:48" ht="14.25" customHeight="1">
      <c r="A31" s="4">
        <v>41</v>
      </c>
      <c r="B31" s="4">
        <v>5</v>
      </c>
      <c r="C31" s="4" t="s">
        <v>260</v>
      </c>
      <c r="D31" s="1" t="s">
        <v>2889</v>
      </c>
      <c r="E31" s="1">
        <v>2022</v>
      </c>
      <c r="F31" s="1">
        <v>2019</v>
      </c>
      <c r="G31" s="1" t="s">
        <v>3025</v>
      </c>
      <c r="H31" s="1" t="s">
        <v>3019</v>
      </c>
      <c r="I31" s="1">
        <v>35.584622000000003</v>
      </c>
      <c r="J31" s="1">
        <v>-83.530636999999999</v>
      </c>
      <c r="K31" s="1" t="s">
        <v>2971</v>
      </c>
      <c r="L31" s="1" t="s">
        <v>3102</v>
      </c>
      <c r="M31" s="1" t="s">
        <v>3216</v>
      </c>
      <c r="N31" s="1" t="s">
        <v>3304</v>
      </c>
      <c r="O31" s="1" t="s">
        <v>3305</v>
      </c>
      <c r="P31" s="1" t="s">
        <v>2890</v>
      </c>
      <c r="Q31" s="1" t="s">
        <v>2983</v>
      </c>
      <c r="R31" s="1" t="s">
        <v>2903</v>
      </c>
      <c r="S31" s="1">
        <v>2016</v>
      </c>
      <c r="T31" s="1">
        <v>2.5</v>
      </c>
      <c r="V31" s="1">
        <v>7200</v>
      </c>
      <c r="W31" s="1">
        <v>30</v>
      </c>
      <c r="X31" s="1">
        <v>40</v>
      </c>
      <c r="Y31" s="1" t="s">
        <v>2911</v>
      </c>
      <c r="Z31" s="1" t="s">
        <v>3054</v>
      </c>
      <c r="AA31" s="1" t="s">
        <v>22</v>
      </c>
      <c r="AB31" s="1" t="s">
        <v>2912</v>
      </c>
      <c r="AC31" s="1" t="s">
        <v>3134</v>
      </c>
      <c r="AD31" s="1" t="s">
        <v>2913</v>
      </c>
      <c r="AE31" s="1" t="s">
        <v>2917</v>
      </c>
      <c r="AF31" s="1" t="s">
        <v>3516</v>
      </c>
      <c r="AM31" s="33">
        <f t="shared" si="20"/>
        <v>0</v>
      </c>
      <c r="AN31" s="1">
        <f t="shared" si="21"/>
        <v>0</v>
      </c>
      <c r="AO31" s="1" t="e">
        <f t="shared" si="2"/>
        <v>#DIV/0!</v>
      </c>
      <c r="AP31" s="1" t="e">
        <f t="shared" si="22"/>
        <v>#DIV/0!</v>
      </c>
      <c r="AQ31" s="1">
        <f t="shared" si="23"/>
        <v>0.98892988929889303</v>
      </c>
      <c r="AR31" s="1" t="e">
        <f t="shared" si="24"/>
        <v>#DIV/0!</v>
      </c>
      <c r="AS31" s="1" t="e">
        <f t="shared" si="25"/>
        <v>#DIV/0!</v>
      </c>
      <c r="AU31" s="33"/>
      <c r="AV31" s="1" t="s">
        <v>3539</v>
      </c>
    </row>
    <row r="32" spans="1:48" ht="14.25" customHeight="1">
      <c r="A32" s="4">
        <v>186</v>
      </c>
      <c r="B32" s="4">
        <v>6</v>
      </c>
      <c r="C32" s="4" t="s">
        <v>1059</v>
      </c>
      <c r="D32" s="1" t="s">
        <v>2901</v>
      </c>
      <c r="E32" s="1">
        <v>2020</v>
      </c>
      <c r="F32" s="1">
        <v>2016</v>
      </c>
      <c r="G32" s="1" t="s">
        <v>3048</v>
      </c>
      <c r="H32" s="1" t="s">
        <v>2939</v>
      </c>
      <c r="I32" s="1">
        <v>54.283183999999999</v>
      </c>
      <c r="J32" s="1">
        <v>-118.216606</v>
      </c>
      <c r="K32" s="1" t="s">
        <v>2971</v>
      </c>
      <c r="L32" s="1" t="s">
        <v>3100</v>
      </c>
      <c r="M32" s="1" t="s">
        <v>3112</v>
      </c>
      <c r="N32" s="1" t="s">
        <v>3303</v>
      </c>
      <c r="O32" s="1" t="s">
        <v>3305</v>
      </c>
      <c r="P32" s="1" t="s">
        <v>2890</v>
      </c>
      <c r="Q32" s="1" t="s">
        <v>36</v>
      </c>
      <c r="R32" s="1" t="s">
        <v>2903</v>
      </c>
      <c r="S32" s="1" t="s">
        <v>36</v>
      </c>
      <c r="Y32" s="1" t="s">
        <v>3139</v>
      </c>
      <c r="AA32" s="1" t="s">
        <v>20</v>
      </c>
      <c r="AB32" s="1" t="s">
        <v>2912</v>
      </c>
      <c r="AC32" s="1" t="s">
        <v>3134</v>
      </c>
      <c r="AD32" s="1" t="s">
        <v>2913</v>
      </c>
      <c r="AE32" s="1" t="s">
        <v>2930</v>
      </c>
      <c r="AF32" s="1" t="s">
        <v>3517</v>
      </c>
      <c r="AM32" s="33">
        <f t="shared" si="20"/>
        <v>0</v>
      </c>
      <c r="AN32" s="1">
        <f t="shared" si="21"/>
        <v>0</v>
      </c>
      <c r="AO32" s="1" t="e">
        <f t="shared" si="2"/>
        <v>#DIV/0!</v>
      </c>
      <c r="AP32" s="1" t="e">
        <f t="shared" si="22"/>
        <v>#DIV/0!</v>
      </c>
      <c r="AQ32" s="1">
        <f t="shared" si="23"/>
        <v>1.3333333333333333</v>
      </c>
      <c r="AR32" s="1" t="e">
        <f t="shared" si="24"/>
        <v>#DIV/0!</v>
      </c>
      <c r="AS32" s="1" t="e">
        <f t="shared" si="25"/>
        <v>#DIV/0!</v>
      </c>
      <c r="AU32" s="33"/>
      <c r="AV32" s="1" t="s">
        <v>3539</v>
      </c>
    </row>
    <row r="33" spans="1:48" ht="14.25" customHeight="1">
      <c r="A33" s="4">
        <v>497</v>
      </c>
      <c r="B33" s="4">
        <v>7</v>
      </c>
      <c r="C33" s="4" t="s">
        <v>2526</v>
      </c>
      <c r="D33" s="1" t="s">
        <v>2889</v>
      </c>
      <c r="E33" s="1">
        <v>2023</v>
      </c>
      <c r="F33" s="1">
        <v>2020</v>
      </c>
      <c r="G33" s="1" t="s">
        <v>2910</v>
      </c>
      <c r="H33" s="1" t="s">
        <v>2928</v>
      </c>
      <c r="I33" s="1">
        <v>-35.136108</v>
      </c>
      <c r="J33" s="1">
        <v>150.68715700000001</v>
      </c>
      <c r="K33" s="1" t="s">
        <v>2971</v>
      </c>
      <c r="L33" s="1" t="s">
        <v>2931</v>
      </c>
      <c r="M33" s="1" t="s">
        <v>3522</v>
      </c>
      <c r="N33" s="1" t="s">
        <v>3304</v>
      </c>
      <c r="O33" s="1" t="s">
        <v>3305</v>
      </c>
      <c r="P33" s="1" t="s">
        <v>2890</v>
      </c>
      <c r="Q33" s="1" t="s">
        <v>36</v>
      </c>
      <c r="R33" s="1" t="s">
        <v>3519</v>
      </c>
      <c r="S33" s="1">
        <v>2017</v>
      </c>
      <c r="T33" s="1">
        <v>3</v>
      </c>
      <c r="V33" s="1" t="s">
        <v>36</v>
      </c>
      <c r="W33" s="1">
        <v>6</v>
      </c>
      <c r="X33" s="1">
        <v>18</v>
      </c>
      <c r="Y33" s="1" t="s">
        <v>2911</v>
      </c>
      <c r="Z33" s="1" t="s">
        <v>2992</v>
      </c>
      <c r="AA33" s="1" t="s">
        <v>22</v>
      </c>
      <c r="AB33" s="1" t="s">
        <v>2912</v>
      </c>
      <c r="AC33" s="1" t="s">
        <v>3134</v>
      </c>
      <c r="AD33" s="1" t="s">
        <v>2913</v>
      </c>
      <c r="AE33" s="1" t="s">
        <v>2917</v>
      </c>
      <c r="AF33" s="1" t="s">
        <v>3521</v>
      </c>
      <c r="AG33" s="39"/>
      <c r="AH33" s="39"/>
      <c r="AI33" s="39"/>
      <c r="AJ33" s="39"/>
      <c r="AK33" s="39"/>
      <c r="AL33" s="39"/>
      <c r="AM33" s="39"/>
      <c r="AN33" s="39"/>
      <c r="AO33" s="39"/>
      <c r="AP33" s="39"/>
      <c r="AQ33" s="39"/>
      <c r="AR33" s="39"/>
      <c r="AS33" s="39"/>
      <c r="AT33" s="39"/>
      <c r="AU33" s="39"/>
      <c r="AV33" s="1" t="s">
        <v>3564</v>
      </c>
    </row>
    <row r="34" spans="1:48" ht="14.25" customHeight="1">
      <c r="A34" s="4">
        <v>497</v>
      </c>
      <c r="B34" s="4">
        <v>7</v>
      </c>
      <c r="C34" s="4" t="s">
        <v>2526</v>
      </c>
      <c r="D34" s="1" t="s">
        <v>2889</v>
      </c>
      <c r="E34" s="1">
        <v>2023</v>
      </c>
      <c r="F34" s="1">
        <v>2020</v>
      </c>
      <c r="G34" s="1" t="s">
        <v>2910</v>
      </c>
      <c r="H34" s="1" t="s">
        <v>2928</v>
      </c>
      <c r="I34" s="1">
        <v>-35.136108</v>
      </c>
      <c r="J34" s="1">
        <v>150.68715700000001</v>
      </c>
      <c r="K34" s="1" t="s">
        <v>2971</v>
      </c>
      <c r="L34" s="1" t="s">
        <v>2931</v>
      </c>
      <c r="M34" s="1" t="s">
        <v>3522</v>
      </c>
      <c r="N34" s="1" t="s">
        <v>3304</v>
      </c>
      <c r="O34" s="1" t="s">
        <v>3305</v>
      </c>
      <c r="P34" s="1" t="s">
        <v>2890</v>
      </c>
      <c r="Q34" s="1" t="s">
        <v>36</v>
      </c>
      <c r="R34" s="1" t="s">
        <v>3519</v>
      </c>
      <c r="S34" s="1">
        <v>2017</v>
      </c>
      <c r="T34" s="1">
        <v>3</v>
      </c>
      <c r="V34" s="1" t="s">
        <v>36</v>
      </c>
      <c r="W34" s="1">
        <v>6</v>
      </c>
      <c r="X34" s="1">
        <v>18</v>
      </c>
      <c r="Y34" s="1" t="s">
        <v>2911</v>
      </c>
      <c r="Z34" s="1" t="s">
        <v>2992</v>
      </c>
      <c r="AA34" s="1" t="s">
        <v>22</v>
      </c>
      <c r="AB34" s="1" t="s">
        <v>2912</v>
      </c>
      <c r="AC34" s="1" t="s">
        <v>3134</v>
      </c>
      <c r="AD34" s="1" t="s">
        <v>2913</v>
      </c>
      <c r="AE34" s="1" t="s">
        <v>2917</v>
      </c>
      <c r="AF34" s="1" t="s">
        <v>3213</v>
      </c>
      <c r="AG34" s="33">
        <v>261.49</v>
      </c>
      <c r="AH34" s="33">
        <f>AI34*SQRT(X34)</f>
        <v>382.30859495700582</v>
      </c>
      <c r="AI34" s="33">
        <f>(308.96-217.01)/2*1.96</f>
        <v>90.11099999999999</v>
      </c>
      <c r="AJ34" s="33">
        <v>392.83</v>
      </c>
      <c r="AK34" s="33">
        <f>AL34*SQRT(W34)</f>
        <v>318.16226309831279</v>
      </c>
      <c r="AL34" s="33">
        <f>(460-327.46)/2*1.96</f>
        <v>129.88920000000002</v>
      </c>
      <c r="AM34" s="33">
        <f t="shared" ref="AM34" si="28">AG34-AJ34</f>
        <v>-131.33999999999997</v>
      </c>
      <c r="AN34" s="1">
        <f t="shared" ref="AN34" si="29">SQRT((((X34-1)*AH34^2)+((W34-1)*AK34^2))/(X34+W34-2))</f>
        <v>368.71113222124535</v>
      </c>
      <c r="AO34" s="1">
        <f t="shared" ref="AO34" si="30">AM34/AN34</f>
        <v>-0.35621381759959808</v>
      </c>
      <c r="AP34" s="1">
        <f t="shared" ref="AP34" si="31">1/X34+1/W34+(AO34^2)/(2*(X34+W34))</f>
        <v>0.22486572813574054</v>
      </c>
      <c r="AQ34" s="1">
        <f t="shared" ref="AQ34" si="32">1-(3/(4*(X34+W34-2)-1))</f>
        <v>0.96551724137931039</v>
      </c>
      <c r="AR34" s="1">
        <f t="shared" ref="AR34" si="33">AO34*AQ34</f>
        <v>-0.34393058250995678</v>
      </c>
      <c r="AS34" s="1">
        <f t="shared" ref="AS34" si="34">SQRT(AP34*AQ34^2)</f>
        <v>0.45784836558852271</v>
      </c>
      <c r="AT34" s="39"/>
      <c r="AU34" s="39"/>
      <c r="AV34" s="1" t="s">
        <v>3539</v>
      </c>
    </row>
    <row r="35" spans="1:48" ht="14.25" customHeight="1">
      <c r="A35" s="4">
        <v>497</v>
      </c>
      <c r="B35" s="4">
        <v>7</v>
      </c>
      <c r="C35" s="4" t="s">
        <v>2526</v>
      </c>
      <c r="D35" s="1" t="s">
        <v>2889</v>
      </c>
      <c r="E35" s="1">
        <v>2023</v>
      </c>
      <c r="F35" s="1">
        <v>2020</v>
      </c>
      <c r="G35" s="1" t="s">
        <v>2910</v>
      </c>
      <c r="H35" s="1" t="s">
        <v>2928</v>
      </c>
      <c r="I35" s="1">
        <v>-35.136108</v>
      </c>
      <c r="J35" s="1">
        <v>150.68715700000001</v>
      </c>
      <c r="K35" s="1" t="s">
        <v>2971</v>
      </c>
      <c r="L35" s="1" t="s">
        <v>2931</v>
      </c>
      <c r="M35" s="1" t="s">
        <v>3522</v>
      </c>
      <c r="N35" s="1" t="s">
        <v>3304</v>
      </c>
      <c r="O35" s="1" t="s">
        <v>3305</v>
      </c>
      <c r="P35" s="1" t="s">
        <v>2890</v>
      </c>
      <c r="Q35" s="1" t="s">
        <v>36</v>
      </c>
      <c r="R35" s="1" t="s">
        <v>3519</v>
      </c>
      <c r="S35" s="1">
        <v>2017</v>
      </c>
      <c r="T35" s="1">
        <v>3</v>
      </c>
      <c r="V35" s="1" t="s">
        <v>36</v>
      </c>
      <c r="W35" s="1">
        <v>6</v>
      </c>
      <c r="X35" s="1">
        <v>18</v>
      </c>
      <c r="Y35" s="1" t="s">
        <v>2911</v>
      </c>
      <c r="Z35" s="1" t="s">
        <v>2992</v>
      </c>
      <c r="AA35" s="1" t="s">
        <v>22</v>
      </c>
      <c r="AB35" s="1" t="s">
        <v>2912</v>
      </c>
      <c r="AC35" s="1" t="s">
        <v>3134</v>
      </c>
      <c r="AD35" s="1" t="s">
        <v>2913</v>
      </c>
      <c r="AE35" s="1" t="s">
        <v>2917</v>
      </c>
      <c r="AF35" s="1" t="s">
        <v>3507</v>
      </c>
      <c r="AG35" s="1">
        <f>49.04/100</f>
        <v>0.4904</v>
      </c>
      <c r="AH35" s="39"/>
      <c r="AI35" s="39"/>
      <c r="AJ35" s="1">
        <f>65.1/100</f>
        <v>0.65099999999999991</v>
      </c>
      <c r="AK35" s="39"/>
      <c r="AL35" s="39"/>
      <c r="AM35" s="39"/>
      <c r="AN35" s="39"/>
      <c r="AO35" s="39"/>
      <c r="AP35" s="39"/>
      <c r="AQ35" s="39"/>
      <c r="AR35" s="39"/>
      <c r="AS35" s="39"/>
      <c r="AT35" s="1">
        <f>LOG(AG35/AJ35)</f>
        <v>-0.12303052705783325</v>
      </c>
      <c r="AU35" s="33">
        <f t="shared" ref="AU35:AU42" si="35">((1-AG35)/(AG35*X35))+((1-AJ35)/(W35*AJ35))</f>
        <v>0.14708036909794531</v>
      </c>
      <c r="AV35" s="1" t="s">
        <v>3562</v>
      </c>
    </row>
    <row r="36" spans="1:48" ht="14.25" customHeight="1">
      <c r="A36" s="4">
        <v>497</v>
      </c>
      <c r="B36" s="4">
        <v>7</v>
      </c>
      <c r="C36" s="4" t="s">
        <v>2526</v>
      </c>
      <c r="D36" s="1" t="s">
        <v>2889</v>
      </c>
      <c r="E36" s="1">
        <v>2023</v>
      </c>
      <c r="F36" s="1">
        <v>2020</v>
      </c>
      <c r="G36" s="1" t="s">
        <v>2910</v>
      </c>
      <c r="H36" s="1" t="s">
        <v>2928</v>
      </c>
      <c r="I36" s="1">
        <v>-35.136108</v>
      </c>
      <c r="J36" s="1">
        <v>150.68715700000001</v>
      </c>
      <c r="K36" s="1" t="s">
        <v>2971</v>
      </c>
      <c r="L36" s="1" t="s">
        <v>2931</v>
      </c>
      <c r="M36" s="1" t="s">
        <v>3522</v>
      </c>
      <c r="N36" s="1" t="s">
        <v>3304</v>
      </c>
      <c r="O36" s="1" t="s">
        <v>3305</v>
      </c>
      <c r="P36" s="1" t="s">
        <v>2890</v>
      </c>
      <c r="Q36" s="1" t="s">
        <v>36</v>
      </c>
      <c r="R36" s="1" t="s">
        <v>3519</v>
      </c>
      <c r="S36" s="1">
        <v>2017</v>
      </c>
      <c r="T36" s="1">
        <v>3</v>
      </c>
      <c r="V36" s="1" t="s">
        <v>36</v>
      </c>
      <c r="W36" s="1">
        <v>6</v>
      </c>
      <c r="X36" s="1">
        <v>18</v>
      </c>
      <c r="Y36" s="1" t="s">
        <v>2911</v>
      </c>
      <c r="Z36" s="1" t="s">
        <v>2992</v>
      </c>
      <c r="AA36" s="1" t="s">
        <v>22</v>
      </c>
      <c r="AB36" s="1" t="s">
        <v>2912</v>
      </c>
      <c r="AC36" s="1" t="s">
        <v>3134</v>
      </c>
      <c r="AD36" s="1" t="s">
        <v>2913</v>
      </c>
      <c r="AE36" s="1" t="s">
        <v>2917</v>
      </c>
      <c r="AF36" s="1" t="s">
        <v>3508</v>
      </c>
      <c r="AG36" s="1">
        <f>49.63/100</f>
        <v>0.49630000000000002</v>
      </c>
      <c r="AH36" s="39"/>
      <c r="AI36" s="39"/>
      <c r="AJ36" s="1">
        <f>34.54/100</f>
        <v>0.34539999999999998</v>
      </c>
      <c r="AK36" s="39"/>
      <c r="AL36" s="39"/>
      <c r="AM36" s="39"/>
      <c r="AN36" s="39"/>
      <c r="AO36" s="39"/>
      <c r="AP36" s="39"/>
      <c r="AQ36" s="39"/>
      <c r="AR36" s="39"/>
      <c r="AS36" s="39"/>
      <c r="AT36" s="1">
        <f>LOG(AG36/AJ36)</f>
        <v>0.15742194196588347</v>
      </c>
      <c r="AU36" s="33">
        <f t="shared" si="35"/>
        <v>0.37224957058220021</v>
      </c>
      <c r="AV36" s="1" t="s">
        <v>3562</v>
      </c>
    </row>
    <row r="37" spans="1:48" ht="14.25" customHeight="1">
      <c r="A37" s="4">
        <v>497</v>
      </c>
      <c r="B37" s="4">
        <v>7</v>
      </c>
      <c r="C37" s="4" t="s">
        <v>2526</v>
      </c>
      <c r="D37" s="1" t="s">
        <v>2889</v>
      </c>
      <c r="E37" s="1">
        <v>2023</v>
      </c>
      <c r="F37" s="1">
        <v>2020</v>
      </c>
      <c r="G37" s="1" t="s">
        <v>2910</v>
      </c>
      <c r="H37" s="1" t="s">
        <v>2928</v>
      </c>
      <c r="I37" s="1">
        <v>-35.136108</v>
      </c>
      <c r="J37" s="1">
        <v>150.68715700000001</v>
      </c>
      <c r="K37" s="1" t="s">
        <v>2971</v>
      </c>
      <c r="L37" s="1" t="s">
        <v>2931</v>
      </c>
      <c r="M37" s="1" t="s">
        <v>3522</v>
      </c>
      <c r="N37" s="1" t="s">
        <v>3304</v>
      </c>
      <c r="O37" s="1" t="s">
        <v>3305</v>
      </c>
      <c r="P37" s="1" t="s">
        <v>2890</v>
      </c>
      <c r="Q37" s="1" t="s">
        <v>36</v>
      </c>
      <c r="R37" s="1" t="s">
        <v>3519</v>
      </c>
      <c r="S37" s="1">
        <v>2017</v>
      </c>
      <c r="T37" s="1">
        <v>3</v>
      </c>
      <c r="V37" s="1" t="s">
        <v>36</v>
      </c>
      <c r="W37" s="1">
        <v>6</v>
      </c>
      <c r="X37" s="1">
        <v>18</v>
      </c>
      <c r="Y37" s="1" t="s">
        <v>2911</v>
      </c>
      <c r="Z37" s="1" t="s">
        <v>2992</v>
      </c>
      <c r="AA37" s="1" t="s">
        <v>22</v>
      </c>
      <c r="AB37" s="1" t="s">
        <v>2912</v>
      </c>
      <c r="AC37" s="1" t="s">
        <v>3134</v>
      </c>
      <c r="AD37" s="1" t="s">
        <v>2913</v>
      </c>
      <c r="AE37" s="1" t="s">
        <v>2917</v>
      </c>
      <c r="AF37" s="1" t="s">
        <v>3571</v>
      </c>
      <c r="AG37" s="1">
        <f>28.9/100</f>
        <v>0.28899999999999998</v>
      </c>
      <c r="AH37" s="39"/>
      <c r="AI37" s="39"/>
      <c r="AJ37" s="1">
        <f>43.9/100</f>
        <v>0.439</v>
      </c>
      <c r="AK37" s="39"/>
      <c r="AL37" s="39"/>
      <c r="AM37" s="39"/>
      <c r="AN37" s="39"/>
      <c r="AO37" s="39"/>
      <c r="AP37" s="39"/>
      <c r="AQ37" s="39"/>
      <c r="AR37" s="39"/>
      <c r="AS37" s="39"/>
      <c r="AT37" s="1">
        <f t="shared" ref="AT37:AT38" si="36">LOG(AG37/AJ37)</f>
        <v>-0.18156667748557359</v>
      </c>
      <c r="AU37" s="33">
        <f t="shared" ref="AU37:AU38" si="37">((1-AG37)/(AG37*X37))+((1-AJ37)/(W37*AJ37))</f>
        <v>0.34966225536174539</v>
      </c>
      <c r="AV37" s="1" t="s">
        <v>3562</v>
      </c>
    </row>
    <row r="38" spans="1:48" ht="14.25" customHeight="1">
      <c r="A38" s="4">
        <v>497</v>
      </c>
      <c r="B38" s="4">
        <v>7</v>
      </c>
      <c r="C38" s="4" t="s">
        <v>2526</v>
      </c>
      <c r="D38" s="1" t="s">
        <v>2889</v>
      </c>
      <c r="E38" s="1">
        <v>2023</v>
      </c>
      <c r="F38" s="1">
        <v>2020</v>
      </c>
      <c r="G38" s="1" t="s">
        <v>2910</v>
      </c>
      <c r="H38" s="1" t="s">
        <v>2928</v>
      </c>
      <c r="I38" s="1">
        <v>-35.136108</v>
      </c>
      <c r="J38" s="1">
        <v>150.68715700000001</v>
      </c>
      <c r="K38" s="1" t="s">
        <v>2971</v>
      </c>
      <c r="L38" s="1" t="s">
        <v>2931</v>
      </c>
      <c r="M38" s="1" t="s">
        <v>3522</v>
      </c>
      <c r="N38" s="1" t="s">
        <v>3304</v>
      </c>
      <c r="O38" s="1" t="s">
        <v>3305</v>
      </c>
      <c r="P38" s="1" t="s">
        <v>2890</v>
      </c>
      <c r="Q38" s="1" t="s">
        <v>36</v>
      </c>
      <c r="R38" s="1" t="s">
        <v>3519</v>
      </c>
      <c r="S38" s="1">
        <v>2017</v>
      </c>
      <c r="T38" s="1">
        <v>3</v>
      </c>
      <c r="V38" s="1" t="s">
        <v>36</v>
      </c>
      <c r="W38" s="1">
        <v>6</v>
      </c>
      <c r="X38" s="1">
        <v>18</v>
      </c>
      <c r="Y38" s="1" t="s">
        <v>2911</v>
      </c>
      <c r="Z38" s="1" t="s">
        <v>2992</v>
      </c>
      <c r="AA38" s="1" t="s">
        <v>22</v>
      </c>
      <c r="AB38" s="1" t="s">
        <v>2912</v>
      </c>
      <c r="AC38" s="1" t="s">
        <v>3134</v>
      </c>
      <c r="AD38" s="1" t="s">
        <v>2913</v>
      </c>
      <c r="AE38" s="1" t="s">
        <v>2917</v>
      </c>
      <c r="AF38" s="1" t="s">
        <v>3572</v>
      </c>
      <c r="AG38" s="1">
        <f>20.4/100</f>
        <v>0.20399999999999999</v>
      </c>
      <c r="AH38" s="39"/>
      <c r="AI38" s="39"/>
      <c r="AJ38" s="1">
        <f>28.4/100</f>
        <v>0.28399999999999997</v>
      </c>
      <c r="AK38" s="39"/>
      <c r="AL38" s="39"/>
      <c r="AM38" s="39"/>
      <c r="AN38" s="39"/>
      <c r="AO38" s="39"/>
      <c r="AP38" s="39"/>
      <c r="AQ38" s="39"/>
      <c r="AR38" s="39"/>
      <c r="AS38" s="39"/>
      <c r="AT38" s="1">
        <f t="shared" si="36"/>
        <v>-0.14368817262113889</v>
      </c>
      <c r="AU38" s="33">
        <f t="shared" si="37"/>
        <v>0.6369633925557705</v>
      </c>
      <c r="AV38" s="1" t="s">
        <v>3562</v>
      </c>
    </row>
    <row r="39" spans="1:48" ht="14.25" customHeight="1">
      <c r="A39" s="4">
        <v>497</v>
      </c>
      <c r="B39" s="4">
        <v>7</v>
      </c>
      <c r="C39" s="4" t="s">
        <v>2526</v>
      </c>
      <c r="D39" s="1" t="s">
        <v>2889</v>
      </c>
      <c r="E39" s="1">
        <v>2023</v>
      </c>
      <c r="F39" s="1">
        <v>2020</v>
      </c>
      <c r="G39" s="1" t="s">
        <v>2910</v>
      </c>
      <c r="H39" s="1" t="s">
        <v>2928</v>
      </c>
      <c r="I39" s="1">
        <v>-35.136108</v>
      </c>
      <c r="J39" s="1">
        <v>150.68715700000001</v>
      </c>
      <c r="K39" s="1" t="s">
        <v>2971</v>
      </c>
      <c r="L39" s="1" t="s">
        <v>2931</v>
      </c>
      <c r="M39" s="1" t="s">
        <v>3522</v>
      </c>
      <c r="N39" s="1" t="s">
        <v>3304</v>
      </c>
      <c r="O39" s="1" t="s">
        <v>3305</v>
      </c>
      <c r="P39" s="1" t="s">
        <v>2890</v>
      </c>
      <c r="Q39" s="1" t="s">
        <v>36</v>
      </c>
      <c r="R39" s="1" t="s">
        <v>3519</v>
      </c>
      <c r="S39" s="1">
        <v>2001</v>
      </c>
      <c r="T39" s="1">
        <v>19</v>
      </c>
      <c r="V39" s="1" t="s">
        <v>36</v>
      </c>
      <c r="W39" s="1">
        <v>6</v>
      </c>
      <c r="X39" s="1">
        <v>18</v>
      </c>
      <c r="Y39" s="1" t="s">
        <v>2911</v>
      </c>
      <c r="Z39" s="1" t="s">
        <v>2992</v>
      </c>
      <c r="AA39" s="1" t="s">
        <v>22</v>
      </c>
      <c r="AB39" s="1" t="s">
        <v>2912</v>
      </c>
      <c r="AC39" s="1" t="s">
        <v>3134</v>
      </c>
      <c r="AD39" s="1" t="s">
        <v>2913</v>
      </c>
      <c r="AE39" s="1" t="s">
        <v>2917</v>
      </c>
      <c r="AF39" s="1" t="s">
        <v>3521</v>
      </c>
      <c r="AG39" s="39"/>
      <c r="AH39" s="39"/>
      <c r="AI39" s="39"/>
      <c r="AJ39" s="39"/>
      <c r="AK39" s="39"/>
      <c r="AL39" s="39"/>
      <c r="AM39" s="39"/>
      <c r="AN39" s="39"/>
      <c r="AO39" s="39"/>
      <c r="AP39" s="39"/>
      <c r="AQ39" s="39"/>
      <c r="AR39" s="39"/>
      <c r="AS39" s="39"/>
      <c r="AT39" s="39"/>
      <c r="AU39" s="39"/>
      <c r="AV39" s="1" t="s">
        <v>3564</v>
      </c>
    </row>
    <row r="40" spans="1:48" ht="14.25" customHeight="1">
      <c r="A40" s="4">
        <v>497</v>
      </c>
      <c r="B40" s="4">
        <v>7</v>
      </c>
      <c r="C40" s="4" t="s">
        <v>2526</v>
      </c>
      <c r="D40" s="1" t="s">
        <v>2889</v>
      </c>
      <c r="E40" s="1">
        <v>2023</v>
      </c>
      <c r="F40" s="1">
        <v>2020</v>
      </c>
      <c r="G40" s="1" t="s">
        <v>2910</v>
      </c>
      <c r="H40" s="1" t="s">
        <v>2928</v>
      </c>
      <c r="I40" s="1">
        <v>-35.136108</v>
      </c>
      <c r="J40" s="1">
        <v>150.68715700000001</v>
      </c>
      <c r="K40" s="1" t="s">
        <v>2971</v>
      </c>
      <c r="L40" s="1" t="s">
        <v>2931</v>
      </c>
      <c r="M40" s="1" t="s">
        <v>3522</v>
      </c>
      <c r="N40" s="1" t="s">
        <v>3304</v>
      </c>
      <c r="O40" s="1" t="s">
        <v>3305</v>
      </c>
      <c r="P40" s="1" t="s">
        <v>2890</v>
      </c>
      <c r="Q40" s="1" t="s">
        <v>36</v>
      </c>
      <c r="R40" s="1" t="s">
        <v>3519</v>
      </c>
      <c r="S40" s="1">
        <v>2001</v>
      </c>
      <c r="T40" s="1">
        <v>19</v>
      </c>
      <c r="V40" s="1" t="s">
        <v>36</v>
      </c>
      <c r="W40" s="1">
        <v>6</v>
      </c>
      <c r="X40" s="1">
        <v>18</v>
      </c>
      <c r="Y40" s="1" t="s">
        <v>2911</v>
      </c>
      <c r="Z40" s="1" t="s">
        <v>2992</v>
      </c>
      <c r="AA40" s="1" t="s">
        <v>22</v>
      </c>
      <c r="AB40" s="1" t="s">
        <v>2912</v>
      </c>
      <c r="AC40" s="1" t="s">
        <v>3134</v>
      </c>
      <c r="AD40" s="1" t="s">
        <v>2913</v>
      </c>
      <c r="AE40" s="1" t="s">
        <v>2917</v>
      </c>
      <c r="AF40" s="1" t="s">
        <v>3213</v>
      </c>
      <c r="AG40" s="33">
        <v>370.15</v>
      </c>
      <c r="AH40" s="33">
        <f>AI40*SQRT(X40)</f>
        <v>287.92681023135026</v>
      </c>
      <c r="AI40" s="33">
        <f>(405.07-335.82)/2*1.96</f>
        <v>67.864999999999995</v>
      </c>
      <c r="AJ40" s="33">
        <v>392.83</v>
      </c>
      <c r="AK40" s="33">
        <f>AL40*SQRT(W40)</f>
        <v>318.16226309831279</v>
      </c>
      <c r="AL40" s="33">
        <f>(460-327.46)/2*1.96</f>
        <v>129.88920000000002</v>
      </c>
      <c r="AM40" s="33">
        <f t="shared" ref="AM40" si="38">AG40-AJ40</f>
        <v>-22.680000000000007</v>
      </c>
      <c r="AN40" s="1">
        <f t="shared" ref="AN40" si="39">SQRT((((X40-1)*AH40^2)+((W40-1)*AK40^2))/(X40+W40-2))</f>
        <v>295.07068068124102</v>
      </c>
      <c r="AO40" s="1">
        <f t="shared" ref="AO40" si="40">AM40/AN40</f>
        <v>-7.6862939915405423E-2</v>
      </c>
      <c r="AP40" s="1">
        <f t="shared" ref="AP40" si="41">1/X40+1/W40+(AO40^2)/(2*(X40+W40))</f>
        <v>0.22234530371248137</v>
      </c>
      <c r="AQ40" s="1">
        <f t="shared" ref="AQ40" si="42">1-(3/(4*(X40+W40-2)-1))</f>
        <v>0.96551724137931039</v>
      </c>
      <c r="AR40" s="1">
        <f t="shared" ref="AR40" si="43">AO40*AQ40</f>
        <v>-7.4212493711425923E-2</v>
      </c>
      <c r="AS40" s="1">
        <f t="shared" ref="AS40" si="44">SQRT(AP40*AQ40^2)</f>
        <v>0.45527522103158352</v>
      </c>
      <c r="AT40" s="39"/>
      <c r="AU40" s="39"/>
      <c r="AV40" s="1" t="s">
        <v>3539</v>
      </c>
    </row>
    <row r="41" spans="1:48" ht="14.25" customHeight="1">
      <c r="A41" s="4">
        <v>497</v>
      </c>
      <c r="B41" s="4">
        <v>7</v>
      </c>
      <c r="C41" s="4" t="s">
        <v>2526</v>
      </c>
      <c r="D41" s="1" t="s">
        <v>2889</v>
      </c>
      <c r="E41" s="1">
        <v>2023</v>
      </c>
      <c r="F41" s="1">
        <v>2020</v>
      </c>
      <c r="G41" s="1" t="s">
        <v>2910</v>
      </c>
      <c r="H41" s="1" t="s">
        <v>2928</v>
      </c>
      <c r="I41" s="1">
        <v>-35.136108</v>
      </c>
      <c r="J41" s="1">
        <v>150.68715700000001</v>
      </c>
      <c r="K41" s="1" t="s">
        <v>2971</v>
      </c>
      <c r="L41" s="1" t="s">
        <v>2931</v>
      </c>
      <c r="M41" s="1" t="s">
        <v>3522</v>
      </c>
      <c r="N41" s="1" t="s">
        <v>3304</v>
      </c>
      <c r="O41" s="1" t="s">
        <v>3305</v>
      </c>
      <c r="P41" s="1" t="s">
        <v>2890</v>
      </c>
      <c r="Q41" s="1" t="s">
        <v>36</v>
      </c>
      <c r="R41" s="1" t="s">
        <v>3519</v>
      </c>
      <c r="S41" s="1">
        <v>2001</v>
      </c>
      <c r="T41" s="1">
        <v>19</v>
      </c>
      <c r="V41" s="1" t="s">
        <v>36</v>
      </c>
      <c r="W41" s="1">
        <v>6</v>
      </c>
      <c r="X41" s="1">
        <v>18</v>
      </c>
      <c r="Y41" s="1" t="s">
        <v>2911</v>
      </c>
      <c r="Z41" s="1" t="s">
        <v>2992</v>
      </c>
      <c r="AA41" s="1" t="s">
        <v>22</v>
      </c>
      <c r="AB41" s="1" t="s">
        <v>2912</v>
      </c>
      <c r="AC41" s="1" t="s">
        <v>3134</v>
      </c>
      <c r="AD41" s="1" t="s">
        <v>2913</v>
      </c>
      <c r="AE41" s="1" t="s">
        <v>2917</v>
      </c>
      <c r="AF41" s="1" t="s">
        <v>3507</v>
      </c>
      <c r="AG41" s="1">
        <f>60.7/100</f>
        <v>0.60699999999999998</v>
      </c>
      <c r="AH41" s="39"/>
      <c r="AI41" s="39"/>
      <c r="AJ41" s="1">
        <f>65.1/100</f>
        <v>0.65099999999999991</v>
      </c>
      <c r="AK41" s="39"/>
      <c r="AL41" s="39"/>
      <c r="AM41" s="39"/>
      <c r="AN41" s="39"/>
      <c r="AO41" s="39"/>
      <c r="AP41" s="39"/>
      <c r="AQ41" s="39"/>
      <c r="AR41" s="39"/>
      <c r="AS41" s="39"/>
      <c r="AT41" s="1">
        <f t="shared" ref="AT41:AT42" si="45">LOG(AG41/AJ41)</f>
        <v>-3.0392297492934317E-2</v>
      </c>
      <c r="AU41" s="33">
        <f t="shared" si="35"/>
        <v>0.125318966048094</v>
      </c>
      <c r="AV41" s="1" t="s">
        <v>3562</v>
      </c>
    </row>
    <row r="42" spans="1:48" ht="14.25" customHeight="1">
      <c r="A42" s="4">
        <v>497</v>
      </c>
      <c r="B42" s="4">
        <v>7</v>
      </c>
      <c r="C42" s="4" t="s">
        <v>2526</v>
      </c>
      <c r="D42" s="1" t="s">
        <v>2889</v>
      </c>
      <c r="E42" s="1">
        <v>2023</v>
      </c>
      <c r="F42" s="1">
        <v>2020</v>
      </c>
      <c r="G42" s="1" t="s">
        <v>2910</v>
      </c>
      <c r="H42" s="1" t="s">
        <v>2928</v>
      </c>
      <c r="I42" s="1">
        <v>-35.136108</v>
      </c>
      <c r="J42" s="1">
        <v>150.68715700000001</v>
      </c>
      <c r="K42" s="1" t="s">
        <v>2971</v>
      </c>
      <c r="L42" s="1" t="s">
        <v>2931</v>
      </c>
      <c r="M42" s="1" t="s">
        <v>3522</v>
      </c>
      <c r="N42" s="1" t="s">
        <v>3304</v>
      </c>
      <c r="O42" s="1" t="s">
        <v>3305</v>
      </c>
      <c r="P42" s="1" t="s">
        <v>2890</v>
      </c>
      <c r="Q42" s="1" t="s">
        <v>36</v>
      </c>
      <c r="R42" s="1" t="s">
        <v>3519</v>
      </c>
      <c r="S42" s="1">
        <v>2001</v>
      </c>
      <c r="T42" s="1">
        <v>19</v>
      </c>
      <c r="V42" s="1" t="s">
        <v>36</v>
      </c>
      <c r="W42" s="1">
        <v>6</v>
      </c>
      <c r="X42" s="1">
        <v>18</v>
      </c>
      <c r="Y42" s="1" t="s">
        <v>2911</v>
      </c>
      <c r="Z42" s="1" t="s">
        <v>2992</v>
      </c>
      <c r="AA42" s="1" t="s">
        <v>22</v>
      </c>
      <c r="AB42" s="1" t="s">
        <v>2912</v>
      </c>
      <c r="AC42" s="1" t="s">
        <v>3134</v>
      </c>
      <c r="AD42" s="1" t="s">
        <v>2913</v>
      </c>
      <c r="AE42" s="1" t="s">
        <v>2917</v>
      </c>
      <c r="AF42" s="1" t="s">
        <v>3508</v>
      </c>
      <c r="AG42" s="1">
        <f>38.3/100</f>
        <v>0.38299999999999995</v>
      </c>
      <c r="AH42" s="39"/>
      <c r="AI42" s="39"/>
      <c r="AJ42" s="1">
        <f>34.54/100</f>
        <v>0.34539999999999998</v>
      </c>
      <c r="AK42" s="39"/>
      <c r="AL42" s="39"/>
      <c r="AM42" s="39"/>
      <c r="AN42" s="39"/>
      <c r="AO42" s="39"/>
      <c r="AP42" s="39"/>
      <c r="AQ42" s="39"/>
      <c r="AR42" s="39"/>
      <c r="AS42" s="39"/>
      <c r="AT42" s="1">
        <f t="shared" si="45"/>
        <v>4.4876440737182749E-2</v>
      </c>
      <c r="AU42" s="33">
        <f t="shared" si="35"/>
        <v>0.40536377730171286</v>
      </c>
      <c r="AV42" s="1" t="s">
        <v>3562</v>
      </c>
    </row>
    <row r="43" spans="1:48" ht="14.25" customHeight="1">
      <c r="A43" s="4">
        <v>497</v>
      </c>
      <c r="B43" s="4">
        <v>7</v>
      </c>
      <c r="C43" s="4" t="s">
        <v>2526</v>
      </c>
      <c r="D43" s="1" t="s">
        <v>2889</v>
      </c>
      <c r="E43" s="1">
        <v>2023</v>
      </c>
      <c r="F43" s="1">
        <v>2020</v>
      </c>
      <c r="G43" s="1" t="s">
        <v>2910</v>
      </c>
      <c r="H43" s="1" t="s">
        <v>2928</v>
      </c>
      <c r="I43" s="1">
        <v>-35.136108</v>
      </c>
      <c r="J43" s="1">
        <v>150.68715700000001</v>
      </c>
      <c r="K43" s="1" t="s">
        <v>2971</v>
      </c>
      <c r="L43" s="1" t="s">
        <v>2931</v>
      </c>
      <c r="M43" s="1" t="s">
        <v>3522</v>
      </c>
      <c r="N43" s="1" t="s">
        <v>3304</v>
      </c>
      <c r="O43" s="1" t="s">
        <v>3305</v>
      </c>
      <c r="P43" s="1" t="s">
        <v>2890</v>
      </c>
      <c r="Q43" s="1" t="s">
        <v>36</v>
      </c>
      <c r="R43" s="1" t="s">
        <v>3519</v>
      </c>
      <c r="S43" s="1">
        <v>2001</v>
      </c>
      <c r="T43" s="1">
        <v>19</v>
      </c>
      <c r="V43" s="1" t="s">
        <v>36</v>
      </c>
      <c r="W43" s="1">
        <v>6</v>
      </c>
      <c r="X43" s="1">
        <v>18</v>
      </c>
      <c r="Y43" s="1" t="s">
        <v>2911</v>
      </c>
      <c r="Z43" s="1" t="s">
        <v>2992</v>
      </c>
      <c r="AA43" s="1" t="s">
        <v>22</v>
      </c>
      <c r="AB43" s="1" t="s">
        <v>2912</v>
      </c>
      <c r="AC43" s="1" t="s">
        <v>3134</v>
      </c>
      <c r="AD43" s="1" t="s">
        <v>2913</v>
      </c>
      <c r="AE43" s="1" t="s">
        <v>2917</v>
      </c>
      <c r="AF43" s="1" t="s">
        <v>3571</v>
      </c>
      <c r="AG43" s="1">
        <f>38.6/100</f>
        <v>0.38600000000000001</v>
      </c>
      <c r="AH43" s="39"/>
      <c r="AI43" s="39"/>
      <c r="AJ43" s="1">
        <f>43.9/100</f>
        <v>0.439</v>
      </c>
      <c r="AK43" s="39"/>
      <c r="AL43" s="39"/>
      <c r="AM43" s="39"/>
      <c r="AN43" s="39"/>
      <c r="AO43" s="39"/>
      <c r="AP43" s="39"/>
      <c r="AQ43" s="39"/>
      <c r="AR43" s="39"/>
      <c r="AS43" s="39"/>
      <c r="AT43" s="1">
        <f t="shared" ref="AT43:AT44" si="46">LOG(AG43/AJ43)</f>
        <v>-5.5877215570366408E-2</v>
      </c>
      <c r="AU43" s="33">
        <f t="shared" ref="AU43:AU44" si="47">((1-AG43)/(AG43*X43))+((1-AJ43)/(W43*AJ43))</f>
        <v>0.3013548088435668</v>
      </c>
      <c r="AV43" s="1" t="s">
        <v>3539</v>
      </c>
    </row>
    <row r="44" spans="1:48" ht="14.25" customHeight="1">
      <c r="A44" s="4">
        <v>497</v>
      </c>
      <c r="B44" s="4">
        <v>7</v>
      </c>
      <c r="C44" s="4" t="s">
        <v>2526</v>
      </c>
      <c r="D44" s="1" t="s">
        <v>2889</v>
      </c>
      <c r="E44" s="1">
        <v>2023</v>
      </c>
      <c r="F44" s="1">
        <v>2020</v>
      </c>
      <c r="G44" s="1" t="s">
        <v>2910</v>
      </c>
      <c r="H44" s="1" t="s">
        <v>2928</v>
      </c>
      <c r="I44" s="1">
        <v>-35.136108</v>
      </c>
      <c r="J44" s="1">
        <v>150.68715700000001</v>
      </c>
      <c r="K44" s="1" t="s">
        <v>2971</v>
      </c>
      <c r="L44" s="1" t="s">
        <v>2931</v>
      </c>
      <c r="M44" s="1" t="s">
        <v>3522</v>
      </c>
      <c r="N44" s="1" t="s">
        <v>3304</v>
      </c>
      <c r="O44" s="1" t="s">
        <v>3305</v>
      </c>
      <c r="P44" s="1" t="s">
        <v>2890</v>
      </c>
      <c r="Q44" s="1" t="s">
        <v>36</v>
      </c>
      <c r="R44" s="1" t="s">
        <v>3519</v>
      </c>
      <c r="S44" s="1">
        <v>2001</v>
      </c>
      <c r="T44" s="1">
        <v>19</v>
      </c>
      <c r="V44" s="1" t="s">
        <v>36</v>
      </c>
      <c r="W44" s="1">
        <v>6</v>
      </c>
      <c r="X44" s="1">
        <v>18</v>
      </c>
      <c r="Y44" s="1" t="s">
        <v>2911</v>
      </c>
      <c r="Z44" s="1" t="s">
        <v>2992</v>
      </c>
      <c r="AA44" s="1" t="s">
        <v>22</v>
      </c>
      <c r="AB44" s="1" t="s">
        <v>2912</v>
      </c>
      <c r="AC44" s="1" t="s">
        <v>3134</v>
      </c>
      <c r="AD44" s="1" t="s">
        <v>2913</v>
      </c>
      <c r="AE44" s="1" t="s">
        <v>2917</v>
      </c>
      <c r="AF44" s="1" t="s">
        <v>3572</v>
      </c>
      <c r="AG44" s="1">
        <f>27.9/100</f>
        <v>0.27899999999999997</v>
      </c>
      <c r="AH44" s="39"/>
      <c r="AI44" s="39"/>
      <c r="AJ44" s="1">
        <f>28.4/100</f>
        <v>0.28399999999999997</v>
      </c>
      <c r="AK44" s="39"/>
      <c r="AL44" s="39"/>
      <c r="AM44" s="39"/>
      <c r="AN44" s="39"/>
      <c r="AO44" s="39"/>
      <c r="AP44" s="39"/>
      <c r="AQ44" s="39"/>
      <c r="AR44" s="39"/>
      <c r="AS44" s="39"/>
      <c r="AT44" s="1">
        <f t="shared" si="46"/>
        <v>-7.7141367734401122E-3</v>
      </c>
      <c r="AU44" s="33">
        <f t="shared" si="47"/>
        <v>0.56375609290950812</v>
      </c>
      <c r="AV44" s="1" t="s">
        <v>3539</v>
      </c>
    </row>
    <row r="45" spans="1:48" ht="14.25" customHeight="1">
      <c r="A45" s="4">
        <v>481</v>
      </c>
      <c r="B45" s="4">
        <v>8</v>
      </c>
      <c r="C45" s="4" t="s">
        <v>2448</v>
      </c>
      <c r="D45" s="1" t="s">
        <v>2889</v>
      </c>
      <c r="E45" s="1">
        <v>2022</v>
      </c>
      <c r="F45" s="1" t="s">
        <v>3018</v>
      </c>
      <c r="G45" s="1" t="s">
        <v>2910</v>
      </c>
      <c r="H45" s="1" t="s">
        <v>3068</v>
      </c>
      <c r="I45" s="1">
        <v>-37.911065999999998</v>
      </c>
      <c r="J45" s="1">
        <v>143.81197700000001</v>
      </c>
      <c r="K45" s="1" t="s">
        <v>2971</v>
      </c>
      <c r="L45" s="1" t="s">
        <v>2931</v>
      </c>
      <c r="M45" s="1" t="s">
        <v>3104</v>
      </c>
      <c r="N45" s="1" t="s">
        <v>3304</v>
      </c>
      <c r="O45" s="1" t="s">
        <v>3305</v>
      </c>
      <c r="P45" s="1" t="s">
        <v>2890</v>
      </c>
      <c r="Q45" s="1" t="s">
        <v>2983</v>
      </c>
      <c r="R45" s="1" t="s">
        <v>2903</v>
      </c>
      <c r="S45" s="1">
        <v>2009</v>
      </c>
      <c r="T45" s="1">
        <v>8</v>
      </c>
      <c r="V45" s="1" t="s">
        <v>36</v>
      </c>
      <c r="W45" s="1">
        <v>4</v>
      </c>
      <c r="X45" s="1">
        <v>6</v>
      </c>
      <c r="Y45" s="1" t="s">
        <v>2911</v>
      </c>
      <c r="Z45" s="1" t="s">
        <v>2992</v>
      </c>
      <c r="AA45" s="1" t="s">
        <v>22</v>
      </c>
      <c r="AB45" s="1" t="s">
        <v>2912</v>
      </c>
      <c r="AC45" s="1" t="s">
        <v>3134</v>
      </c>
      <c r="AD45" s="1" t="s">
        <v>2913</v>
      </c>
      <c r="AE45" s="1" t="s">
        <v>2914</v>
      </c>
      <c r="AF45" s="12" t="s">
        <v>3036</v>
      </c>
      <c r="AG45" s="12"/>
      <c r="AH45" s="12" t="s">
        <v>3576</v>
      </c>
      <c r="AI45" s="12"/>
      <c r="AJ45" s="12"/>
      <c r="AK45" s="12"/>
      <c r="AL45" s="12"/>
      <c r="AM45" s="33">
        <f t="shared" si="20"/>
        <v>0</v>
      </c>
      <c r="AN45" s="1" t="e">
        <f t="shared" si="21"/>
        <v>#VALUE!</v>
      </c>
      <c r="AO45" s="1" t="e">
        <f t="shared" si="2"/>
        <v>#VALUE!</v>
      </c>
      <c r="AP45" s="1" t="e">
        <f t="shared" si="22"/>
        <v>#VALUE!</v>
      </c>
      <c r="AQ45" s="1">
        <f t="shared" si="23"/>
        <v>0.90322580645161288</v>
      </c>
      <c r="AR45" s="1" t="e">
        <f t="shared" si="24"/>
        <v>#VALUE!</v>
      </c>
      <c r="AS45" s="1" t="e">
        <f t="shared" si="25"/>
        <v>#VALUE!</v>
      </c>
      <c r="AV45" s="1" t="s">
        <v>3539</v>
      </c>
    </row>
    <row r="46" spans="1:48" ht="14.25" customHeight="1">
      <c r="A46" s="4">
        <v>481</v>
      </c>
      <c r="B46" s="4">
        <v>8</v>
      </c>
      <c r="C46" s="4" t="s">
        <v>2448</v>
      </c>
      <c r="D46" s="1" t="s">
        <v>2889</v>
      </c>
      <c r="E46" s="1">
        <v>2022</v>
      </c>
      <c r="F46" s="1" t="s">
        <v>3018</v>
      </c>
      <c r="G46" s="1" t="s">
        <v>2910</v>
      </c>
      <c r="H46" s="1" t="s">
        <v>3068</v>
      </c>
      <c r="I46" s="1">
        <v>-37.911065999999998</v>
      </c>
      <c r="J46" s="1">
        <v>143.81197700000001</v>
      </c>
      <c r="K46" s="1" t="s">
        <v>2971</v>
      </c>
      <c r="L46" s="1" t="s">
        <v>2931</v>
      </c>
      <c r="M46" s="1" t="s">
        <v>3104</v>
      </c>
      <c r="N46" s="1" t="s">
        <v>3304</v>
      </c>
      <c r="O46" s="1" t="s">
        <v>3305</v>
      </c>
      <c r="P46" s="1" t="s">
        <v>2890</v>
      </c>
      <c r="Q46" s="1" t="s">
        <v>2983</v>
      </c>
      <c r="R46" s="1" t="s">
        <v>2903</v>
      </c>
      <c r="S46" s="1">
        <v>2009</v>
      </c>
      <c r="T46" s="1">
        <v>8</v>
      </c>
      <c r="V46" s="1" t="s">
        <v>36</v>
      </c>
      <c r="W46" s="1">
        <v>4</v>
      </c>
      <c r="X46" s="1">
        <v>6</v>
      </c>
      <c r="Y46" s="1" t="s">
        <v>2911</v>
      </c>
      <c r="Z46" s="1" t="s">
        <v>2992</v>
      </c>
      <c r="AA46" s="1" t="s">
        <v>22</v>
      </c>
      <c r="AB46" s="1" t="s">
        <v>2912</v>
      </c>
      <c r="AC46" s="1" t="s">
        <v>3134</v>
      </c>
      <c r="AD46" s="1" t="s">
        <v>2913</v>
      </c>
      <c r="AE46" s="1" t="s">
        <v>2914</v>
      </c>
      <c r="AF46" s="1" t="s">
        <v>3523</v>
      </c>
      <c r="AG46" s="39"/>
      <c r="AH46" s="39"/>
      <c r="AI46" s="39"/>
      <c r="AJ46" s="39"/>
      <c r="AK46" s="39"/>
      <c r="AL46" s="39"/>
      <c r="AM46" s="39"/>
      <c r="AN46" s="39"/>
      <c r="AO46" s="39"/>
      <c r="AP46" s="39"/>
      <c r="AQ46" s="39"/>
      <c r="AR46" s="39"/>
      <c r="AS46" s="39"/>
      <c r="AT46" s="39"/>
      <c r="AU46" s="39"/>
      <c r="AV46" s="1" t="s">
        <v>3564</v>
      </c>
    </row>
    <row r="47" spans="1:48" ht="14.25" customHeight="1">
      <c r="A47" s="4">
        <v>481</v>
      </c>
      <c r="B47" s="4">
        <v>8</v>
      </c>
      <c r="C47" s="4" t="s">
        <v>2448</v>
      </c>
      <c r="D47" s="1" t="s">
        <v>2889</v>
      </c>
      <c r="E47" s="1">
        <v>2022</v>
      </c>
      <c r="F47" s="1" t="s">
        <v>3018</v>
      </c>
      <c r="G47" s="1" t="s">
        <v>2910</v>
      </c>
      <c r="H47" s="1" t="s">
        <v>3068</v>
      </c>
      <c r="I47" s="1">
        <v>-37.911065999999998</v>
      </c>
      <c r="J47" s="1">
        <v>143.81197700000001</v>
      </c>
      <c r="K47" s="1" t="s">
        <v>2971</v>
      </c>
      <c r="L47" s="1" t="s">
        <v>2931</v>
      </c>
      <c r="M47" s="1" t="s">
        <v>3104</v>
      </c>
      <c r="N47" s="1" t="s">
        <v>3304</v>
      </c>
      <c r="O47" s="1" t="s">
        <v>3305</v>
      </c>
      <c r="P47" s="1" t="s">
        <v>2890</v>
      </c>
      <c r="Q47" s="1" t="s">
        <v>2983</v>
      </c>
      <c r="R47" s="1" t="s">
        <v>2903</v>
      </c>
      <c r="S47" s="1">
        <v>2009</v>
      </c>
      <c r="T47" s="1">
        <v>8</v>
      </c>
      <c r="V47" s="1" t="s">
        <v>36</v>
      </c>
      <c r="W47" s="1">
        <v>4</v>
      </c>
      <c r="X47" s="1">
        <v>6</v>
      </c>
      <c r="Y47" s="1" t="s">
        <v>2911</v>
      </c>
      <c r="Z47" s="1" t="s">
        <v>2992</v>
      </c>
      <c r="AA47" s="1" t="s">
        <v>22</v>
      </c>
      <c r="AB47" s="1" t="s">
        <v>2912</v>
      </c>
      <c r="AC47" s="1" t="s">
        <v>3134</v>
      </c>
      <c r="AD47" s="1" t="s">
        <v>2913</v>
      </c>
      <c r="AE47" s="1" t="s">
        <v>2914</v>
      </c>
      <c r="AF47" s="1" t="s">
        <v>3517</v>
      </c>
      <c r="AG47" s="39"/>
      <c r="AH47" s="39"/>
      <c r="AI47" s="39"/>
      <c r="AJ47" s="39"/>
      <c r="AK47" s="39"/>
      <c r="AL47" s="39"/>
      <c r="AM47" s="39"/>
      <c r="AN47" s="39"/>
      <c r="AO47" s="39"/>
      <c r="AP47" s="39"/>
      <c r="AQ47" s="39"/>
      <c r="AR47" s="39"/>
      <c r="AS47" s="39"/>
      <c r="AT47" s="39"/>
      <c r="AU47" s="39"/>
      <c r="AV47" s="1" t="s">
        <v>3564</v>
      </c>
    </row>
    <row r="48" spans="1:48" ht="14.25" customHeight="1">
      <c r="A48" s="4">
        <v>481</v>
      </c>
      <c r="B48" s="4">
        <v>8</v>
      </c>
      <c r="C48" s="4" t="s">
        <v>2448</v>
      </c>
      <c r="D48" s="1" t="s">
        <v>2889</v>
      </c>
      <c r="E48" s="1">
        <v>2022</v>
      </c>
      <c r="F48" s="1" t="s">
        <v>3018</v>
      </c>
      <c r="G48" s="1" t="s">
        <v>2910</v>
      </c>
      <c r="H48" s="1" t="s">
        <v>3068</v>
      </c>
      <c r="I48" s="1">
        <v>-37.911065999999998</v>
      </c>
      <c r="J48" s="1">
        <v>143.81197700000001</v>
      </c>
      <c r="K48" s="1" t="s">
        <v>2971</v>
      </c>
      <c r="L48" s="1" t="s">
        <v>2931</v>
      </c>
      <c r="M48" s="1" t="s">
        <v>3104</v>
      </c>
      <c r="N48" s="1" t="s">
        <v>3304</v>
      </c>
      <c r="O48" s="1" t="s">
        <v>3305</v>
      </c>
      <c r="P48" s="1" t="s">
        <v>2890</v>
      </c>
      <c r="Q48" s="1" t="s">
        <v>2983</v>
      </c>
      <c r="R48" s="1" t="s">
        <v>2903</v>
      </c>
      <c r="S48" s="1">
        <v>2009</v>
      </c>
      <c r="T48" s="1">
        <v>8</v>
      </c>
      <c r="V48" s="1" t="s">
        <v>36</v>
      </c>
      <c r="W48" s="1">
        <v>4</v>
      </c>
      <c r="X48" s="1">
        <v>6</v>
      </c>
      <c r="Y48" s="1" t="s">
        <v>2911</v>
      </c>
      <c r="Z48" s="1" t="s">
        <v>3577</v>
      </c>
      <c r="AA48" s="1" t="s">
        <v>22</v>
      </c>
      <c r="AB48" s="1" t="s">
        <v>2912</v>
      </c>
      <c r="AC48" s="1" t="s">
        <v>3134</v>
      </c>
      <c r="AD48" s="1" t="s">
        <v>2913</v>
      </c>
      <c r="AE48" s="1" t="s">
        <v>2914</v>
      </c>
      <c r="AF48" s="12" t="s">
        <v>3036</v>
      </c>
      <c r="AG48" s="12"/>
      <c r="AH48" s="12" t="s">
        <v>3576</v>
      </c>
      <c r="AI48" s="12"/>
      <c r="AJ48" s="12"/>
      <c r="AK48" s="12"/>
      <c r="AL48" s="12"/>
      <c r="AM48" s="33">
        <f t="shared" si="20"/>
        <v>0</v>
      </c>
      <c r="AN48" s="1" t="e">
        <f t="shared" si="21"/>
        <v>#VALUE!</v>
      </c>
      <c r="AO48" s="1" t="e">
        <f t="shared" si="2"/>
        <v>#VALUE!</v>
      </c>
      <c r="AP48" s="1" t="e">
        <f t="shared" si="22"/>
        <v>#VALUE!</v>
      </c>
      <c r="AQ48" s="1">
        <f t="shared" si="23"/>
        <v>0.90322580645161288</v>
      </c>
      <c r="AR48" s="1" t="e">
        <f t="shared" si="24"/>
        <v>#VALUE!</v>
      </c>
      <c r="AS48" s="1" t="e">
        <f t="shared" si="25"/>
        <v>#VALUE!</v>
      </c>
      <c r="AV48" s="1" t="s">
        <v>3539</v>
      </c>
    </row>
    <row r="49" spans="1:48" ht="14.25" customHeight="1">
      <c r="A49" s="4">
        <v>481</v>
      </c>
      <c r="B49" s="4">
        <v>8</v>
      </c>
      <c r="C49" s="4" t="s">
        <v>2448</v>
      </c>
      <c r="D49" s="1" t="s">
        <v>2889</v>
      </c>
      <c r="E49" s="1">
        <v>2022</v>
      </c>
      <c r="F49" s="1" t="s">
        <v>3018</v>
      </c>
      <c r="G49" s="1" t="s">
        <v>2910</v>
      </c>
      <c r="H49" s="1" t="s">
        <v>3068</v>
      </c>
      <c r="I49" s="1">
        <v>-37.911065999999998</v>
      </c>
      <c r="J49" s="1">
        <v>143.81197700000001</v>
      </c>
      <c r="K49" s="1" t="s">
        <v>2971</v>
      </c>
      <c r="L49" s="1" t="s">
        <v>2931</v>
      </c>
      <c r="M49" s="1" t="s">
        <v>3104</v>
      </c>
      <c r="N49" s="1" t="s">
        <v>3304</v>
      </c>
      <c r="O49" s="1" t="s">
        <v>3305</v>
      </c>
      <c r="P49" s="1" t="s">
        <v>2890</v>
      </c>
      <c r="Q49" s="1" t="s">
        <v>2983</v>
      </c>
      <c r="R49" s="1" t="s">
        <v>2903</v>
      </c>
      <c r="S49" s="1">
        <v>2009</v>
      </c>
      <c r="T49" s="1">
        <v>8</v>
      </c>
      <c r="V49" s="1" t="s">
        <v>36</v>
      </c>
      <c r="W49" s="1">
        <v>4</v>
      </c>
      <c r="X49" s="1">
        <v>6</v>
      </c>
      <c r="Y49" s="1" t="s">
        <v>2911</v>
      </c>
      <c r="Z49" s="1" t="s">
        <v>3577</v>
      </c>
      <c r="AA49" s="1" t="s">
        <v>22</v>
      </c>
      <c r="AB49" s="1" t="s">
        <v>2912</v>
      </c>
      <c r="AC49" s="1" t="s">
        <v>3134</v>
      </c>
      <c r="AD49" s="1" t="s">
        <v>2913</v>
      </c>
      <c r="AE49" s="1" t="s">
        <v>2914</v>
      </c>
      <c r="AF49" s="1" t="s">
        <v>3523</v>
      </c>
      <c r="AG49" s="39"/>
      <c r="AH49" s="39"/>
      <c r="AI49" s="39"/>
      <c r="AJ49" s="39"/>
      <c r="AK49" s="39"/>
      <c r="AL49" s="39"/>
      <c r="AM49" s="39"/>
      <c r="AN49" s="39"/>
      <c r="AO49" s="39"/>
      <c r="AP49" s="39"/>
      <c r="AQ49" s="39"/>
      <c r="AR49" s="39"/>
      <c r="AS49" s="39"/>
      <c r="AT49" s="39"/>
      <c r="AU49" s="39"/>
      <c r="AV49" s="1" t="s">
        <v>3564</v>
      </c>
    </row>
    <row r="50" spans="1:48" ht="14.25" customHeight="1">
      <c r="A50" s="4">
        <v>481</v>
      </c>
      <c r="B50" s="4">
        <v>8</v>
      </c>
      <c r="C50" s="4" t="s">
        <v>2448</v>
      </c>
      <c r="D50" s="1" t="s">
        <v>2889</v>
      </c>
      <c r="E50" s="1">
        <v>2022</v>
      </c>
      <c r="F50" s="1" t="s">
        <v>3018</v>
      </c>
      <c r="G50" s="1" t="s">
        <v>2910</v>
      </c>
      <c r="H50" s="1" t="s">
        <v>3068</v>
      </c>
      <c r="I50" s="1">
        <v>-37.911065999999998</v>
      </c>
      <c r="J50" s="1">
        <v>143.81197700000001</v>
      </c>
      <c r="K50" s="1" t="s">
        <v>2971</v>
      </c>
      <c r="L50" s="1" t="s">
        <v>2931</v>
      </c>
      <c r="M50" s="1" t="s">
        <v>3104</v>
      </c>
      <c r="N50" s="1" t="s">
        <v>3304</v>
      </c>
      <c r="O50" s="1" t="s">
        <v>3305</v>
      </c>
      <c r="P50" s="1" t="s">
        <v>2890</v>
      </c>
      <c r="Q50" s="1" t="s">
        <v>2983</v>
      </c>
      <c r="R50" s="1" t="s">
        <v>2903</v>
      </c>
      <c r="S50" s="1">
        <v>2009</v>
      </c>
      <c r="T50" s="1">
        <v>8</v>
      </c>
      <c r="V50" s="1" t="s">
        <v>36</v>
      </c>
      <c r="W50" s="1">
        <v>4</v>
      </c>
      <c r="X50" s="1">
        <v>6</v>
      </c>
      <c r="Y50" s="1" t="s">
        <v>2911</v>
      </c>
      <c r="Z50" s="1" t="s">
        <v>3577</v>
      </c>
      <c r="AA50" s="1" t="s">
        <v>22</v>
      </c>
      <c r="AB50" s="1" t="s">
        <v>2912</v>
      </c>
      <c r="AC50" s="1" t="s">
        <v>3134</v>
      </c>
      <c r="AD50" s="1" t="s">
        <v>2913</v>
      </c>
      <c r="AE50" s="1" t="s">
        <v>2914</v>
      </c>
      <c r="AF50" s="1" t="s">
        <v>3517</v>
      </c>
      <c r="AG50" s="39"/>
      <c r="AH50" s="39"/>
      <c r="AI50" s="39"/>
      <c r="AJ50" s="39"/>
      <c r="AK50" s="39"/>
      <c r="AL50" s="39"/>
      <c r="AM50" s="39"/>
      <c r="AN50" s="39"/>
      <c r="AO50" s="39"/>
      <c r="AP50" s="39"/>
      <c r="AQ50" s="39"/>
      <c r="AR50" s="39"/>
      <c r="AS50" s="39"/>
      <c r="AT50" s="39"/>
      <c r="AU50" s="39"/>
      <c r="AV50" s="1" t="s">
        <v>3564</v>
      </c>
    </row>
    <row r="51" spans="1:48" ht="14.25" customHeight="1">
      <c r="A51" s="4">
        <v>260</v>
      </c>
      <c r="B51" s="4">
        <v>9</v>
      </c>
      <c r="C51" s="4" t="s">
        <v>1432</v>
      </c>
      <c r="D51" s="1" t="s">
        <v>2889</v>
      </c>
      <c r="E51" s="1">
        <v>2021</v>
      </c>
      <c r="F51" s="1">
        <v>2014</v>
      </c>
      <c r="G51" s="1" t="s">
        <v>3025</v>
      </c>
      <c r="H51" s="1" t="s">
        <v>3219</v>
      </c>
      <c r="I51" s="1">
        <v>32.396189999999997</v>
      </c>
      <c r="J51" s="1">
        <v>-110.6938</v>
      </c>
      <c r="K51" s="1" t="s">
        <v>3001</v>
      </c>
      <c r="L51" s="1" t="s">
        <v>3100</v>
      </c>
      <c r="M51" s="1" t="s">
        <v>3118</v>
      </c>
      <c r="N51" s="1" t="s">
        <v>3303</v>
      </c>
      <c r="O51" s="1" t="s">
        <v>3305</v>
      </c>
      <c r="P51" s="1" t="s">
        <v>2890</v>
      </c>
      <c r="Q51" s="1" t="s">
        <v>3161</v>
      </c>
      <c r="R51" s="1" t="s">
        <v>2903</v>
      </c>
      <c r="S51" s="1">
        <v>2003</v>
      </c>
      <c r="T51" s="1">
        <v>11</v>
      </c>
      <c r="V51" s="1">
        <v>32250</v>
      </c>
      <c r="W51" s="1">
        <v>33</v>
      </c>
      <c r="X51" s="1">
        <v>33</v>
      </c>
      <c r="Y51" s="1" t="s">
        <v>2994</v>
      </c>
      <c r="Z51" s="1" t="s">
        <v>36</v>
      </c>
      <c r="AA51" s="1" t="s">
        <v>22</v>
      </c>
      <c r="AB51" s="1" t="s">
        <v>2912</v>
      </c>
      <c r="AC51" s="1" t="s">
        <v>3058</v>
      </c>
      <c r="AD51" s="1" t="s">
        <v>36</v>
      </c>
      <c r="AE51" s="1" t="s">
        <v>2914</v>
      </c>
      <c r="AF51" s="12" t="s">
        <v>3036</v>
      </c>
      <c r="AG51" s="12"/>
      <c r="AH51" s="12" t="s">
        <v>3576</v>
      </c>
      <c r="AI51" s="12"/>
      <c r="AJ51" s="12"/>
      <c r="AK51" s="12"/>
      <c r="AL51" s="12"/>
      <c r="AM51" s="33">
        <f t="shared" si="20"/>
        <v>0</v>
      </c>
      <c r="AN51" s="1" t="e">
        <f t="shared" si="21"/>
        <v>#VALUE!</v>
      </c>
      <c r="AO51" s="1" t="e">
        <f t="shared" si="2"/>
        <v>#VALUE!</v>
      </c>
      <c r="AP51" s="1" t="e">
        <f t="shared" si="22"/>
        <v>#VALUE!</v>
      </c>
      <c r="AQ51" s="1">
        <f t="shared" si="23"/>
        <v>0.9882352941176471</v>
      </c>
      <c r="AR51" s="1" t="e">
        <f t="shared" si="24"/>
        <v>#VALUE!</v>
      </c>
      <c r="AS51" s="1" t="e">
        <f t="shared" si="25"/>
        <v>#VALUE!</v>
      </c>
      <c r="AV51" s="1" t="s">
        <v>3539</v>
      </c>
    </row>
    <row r="52" spans="1:48" ht="14.25" customHeight="1">
      <c r="A52" s="4">
        <v>260</v>
      </c>
      <c r="B52" s="4">
        <v>9</v>
      </c>
      <c r="C52" s="4" t="s">
        <v>1432</v>
      </c>
      <c r="D52" s="1" t="s">
        <v>2889</v>
      </c>
      <c r="E52" s="1">
        <v>2021</v>
      </c>
      <c r="F52" s="1">
        <v>2014</v>
      </c>
      <c r="G52" s="1" t="s">
        <v>3025</v>
      </c>
      <c r="H52" s="1" t="s">
        <v>3219</v>
      </c>
      <c r="I52" s="1">
        <v>32.396189999999997</v>
      </c>
      <c r="J52" s="1">
        <v>-110.6938</v>
      </c>
      <c r="K52" s="1" t="s">
        <v>3001</v>
      </c>
      <c r="L52" s="1" t="s">
        <v>3100</v>
      </c>
      <c r="M52" s="1" t="s">
        <v>3118</v>
      </c>
      <c r="N52" s="1" t="s">
        <v>3303</v>
      </c>
      <c r="O52" s="1" t="s">
        <v>3305</v>
      </c>
      <c r="P52" s="1" t="s">
        <v>2890</v>
      </c>
      <c r="Q52" s="1" t="s">
        <v>3161</v>
      </c>
      <c r="R52" s="1" t="s">
        <v>2903</v>
      </c>
      <c r="S52" s="1">
        <v>2003</v>
      </c>
      <c r="T52" s="1">
        <v>11</v>
      </c>
      <c r="V52" s="1">
        <v>32250</v>
      </c>
      <c r="W52" s="1">
        <v>33</v>
      </c>
      <c r="X52" s="1">
        <v>33</v>
      </c>
      <c r="Y52" s="1" t="s">
        <v>2994</v>
      </c>
      <c r="Z52" s="1" t="s">
        <v>36</v>
      </c>
      <c r="AA52" s="1" t="s">
        <v>22</v>
      </c>
      <c r="AB52" s="1" t="s">
        <v>2912</v>
      </c>
      <c r="AC52" s="1" t="s">
        <v>3058</v>
      </c>
      <c r="AD52" s="1" t="s">
        <v>36</v>
      </c>
      <c r="AE52" s="1" t="s">
        <v>2914</v>
      </c>
      <c r="AF52" s="12" t="s">
        <v>3213</v>
      </c>
      <c r="AG52" s="12"/>
      <c r="AH52" s="12" t="s">
        <v>3576</v>
      </c>
      <c r="AI52" s="12"/>
      <c r="AJ52" s="12"/>
      <c r="AK52" s="12"/>
      <c r="AL52" s="12"/>
      <c r="AM52" s="33">
        <f t="shared" si="20"/>
        <v>0</v>
      </c>
      <c r="AN52" s="1" t="e">
        <f t="shared" si="21"/>
        <v>#VALUE!</v>
      </c>
      <c r="AO52" s="1" t="e">
        <f t="shared" si="2"/>
        <v>#VALUE!</v>
      </c>
      <c r="AP52" s="1" t="e">
        <f t="shared" si="22"/>
        <v>#VALUE!</v>
      </c>
      <c r="AQ52" s="1">
        <f t="shared" si="23"/>
        <v>0.9882352941176471</v>
      </c>
      <c r="AR52" s="1" t="e">
        <f t="shared" si="24"/>
        <v>#VALUE!</v>
      </c>
      <c r="AS52" s="1" t="e">
        <f t="shared" si="25"/>
        <v>#VALUE!</v>
      </c>
      <c r="AV52" s="1" t="s">
        <v>3539</v>
      </c>
    </row>
    <row r="53" spans="1:48" ht="14.25" customHeight="1">
      <c r="A53" s="4">
        <v>260</v>
      </c>
      <c r="B53" s="4">
        <v>9</v>
      </c>
      <c r="C53" s="4" t="s">
        <v>1432</v>
      </c>
      <c r="D53" s="1" t="s">
        <v>2889</v>
      </c>
      <c r="E53" s="1">
        <v>2021</v>
      </c>
      <c r="F53" s="1">
        <v>2014</v>
      </c>
      <c r="G53" s="1" t="s">
        <v>3025</v>
      </c>
      <c r="H53" s="1" t="s">
        <v>3219</v>
      </c>
      <c r="I53" s="1">
        <v>32.650438000000001</v>
      </c>
      <c r="J53" s="1">
        <v>-109.84411299999999</v>
      </c>
      <c r="K53" s="1" t="s">
        <v>3001</v>
      </c>
      <c r="L53" s="1" t="s">
        <v>3100</v>
      </c>
      <c r="M53" s="1" t="s">
        <v>3118</v>
      </c>
      <c r="N53" s="1" t="s">
        <v>3303</v>
      </c>
      <c r="O53" s="1" t="s">
        <v>3305</v>
      </c>
      <c r="P53" s="1" t="s">
        <v>2890</v>
      </c>
      <c r="Q53" s="1" t="s">
        <v>3161</v>
      </c>
      <c r="R53" s="1" t="s">
        <v>2903</v>
      </c>
      <c r="S53" s="1">
        <v>2004</v>
      </c>
      <c r="T53" s="1">
        <v>10</v>
      </c>
      <c r="V53" s="1">
        <v>19892</v>
      </c>
      <c r="W53" s="1">
        <v>30</v>
      </c>
      <c r="X53" s="1">
        <v>30</v>
      </c>
      <c r="Y53" s="1" t="s">
        <v>2994</v>
      </c>
      <c r="Z53" s="1" t="s">
        <v>36</v>
      </c>
      <c r="AA53" s="1" t="s">
        <v>22</v>
      </c>
      <c r="AB53" s="1" t="s">
        <v>2912</v>
      </c>
      <c r="AC53" s="1" t="s">
        <v>3058</v>
      </c>
      <c r="AD53" s="1" t="s">
        <v>36</v>
      </c>
      <c r="AE53" s="1" t="s">
        <v>2914</v>
      </c>
      <c r="AF53" s="12" t="s">
        <v>3036</v>
      </c>
      <c r="AG53" s="12"/>
      <c r="AH53" s="12" t="s">
        <v>3576</v>
      </c>
      <c r="AI53" s="12"/>
      <c r="AJ53" s="12"/>
      <c r="AK53" s="12"/>
      <c r="AL53" s="12"/>
      <c r="AM53" s="33">
        <f t="shared" si="20"/>
        <v>0</v>
      </c>
      <c r="AN53" s="1" t="e">
        <f t="shared" si="21"/>
        <v>#VALUE!</v>
      </c>
      <c r="AO53" s="1" t="e">
        <f t="shared" si="2"/>
        <v>#VALUE!</v>
      </c>
      <c r="AP53" s="1" t="e">
        <f t="shared" si="22"/>
        <v>#VALUE!</v>
      </c>
      <c r="AQ53" s="1">
        <f t="shared" si="23"/>
        <v>0.98701298701298701</v>
      </c>
      <c r="AR53" s="1" t="e">
        <f t="shared" si="24"/>
        <v>#VALUE!</v>
      </c>
      <c r="AS53" s="1" t="e">
        <f t="shared" si="25"/>
        <v>#VALUE!</v>
      </c>
      <c r="AV53" s="1" t="s">
        <v>3539</v>
      </c>
    </row>
    <row r="54" spans="1:48" ht="14.25" customHeight="1">
      <c r="A54" s="4">
        <v>260</v>
      </c>
      <c r="B54" s="4">
        <v>9</v>
      </c>
      <c r="C54" s="4" t="s">
        <v>1432</v>
      </c>
      <c r="D54" s="1" t="s">
        <v>2889</v>
      </c>
      <c r="E54" s="1">
        <v>2021</v>
      </c>
      <c r="F54" s="1">
        <v>2014</v>
      </c>
      <c r="G54" s="1" t="s">
        <v>3025</v>
      </c>
      <c r="H54" s="1" t="s">
        <v>3219</v>
      </c>
      <c r="I54" s="1">
        <v>32.650438000000001</v>
      </c>
      <c r="J54" s="1">
        <v>-109.84411299999999</v>
      </c>
      <c r="K54" s="1" t="s">
        <v>3001</v>
      </c>
      <c r="L54" s="1" t="s">
        <v>3100</v>
      </c>
      <c r="M54" s="1" t="s">
        <v>3118</v>
      </c>
      <c r="N54" s="1" t="s">
        <v>3303</v>
      </c>
      <c r="O54" s="1" t="s">
        <v>3305</v>
      </c>
      <c r="P54" s="1" t="s">
        <v>2890</v>
      </c>
      <c r="Q54" s="1" t="s">
        <v>3161</v>
      </c>
      <c r="R54" s="1" t="s">
        <v>2903</v>
      </c>
      <c r="S54" s="1">
        <v>2004</v>
      </c>
      <c r="T54" s="1">
        <v>10</v>
      </c>
      <c r="V54" s="1">
        <v>19892</v>
      </c>
      <c r="W54" s="1">
        <v>30</v>
      </c>
      <c r="X54" s="1">
        <v>30</v>
      </c>
      <c r="Y54" s="1" t="s">
        <v>2994</v>
      </c>
      <c r="Z54" s="1" t="s">
        <v>36</v>
      </c>
      <c r="AA54" s="1" t="s">
        <v>22</v>
      </c>
      <c r="AB54" s="1" t="s">
        <v>2912</v>
      </c>
      <c r="AC54" s="1" t="s">
        <v>3058</v>
      </c>
      <c r="AD54" s="1" t="s">
        <v>36</v>
      </c>
      <c r="AE54" s="1" t="s">
        <v>2914</v>
      </c>
      <c r="AF54" s="12" t="s">
        <v>3213</v>
      </c>
      <c r="AG54" s="12"/>
      <c r="AH54" s="12" t="s">
        <v>3576</v>
      </c>
      <c r="AI54" s="12"/>
      <c r="AJ54" s="12"/>
      <c r="AK54" s="12"/>
      <c r="AL54" s="12"/>
      <c r="AM54" s="33">
        <f t="shared" si="20"/>
        <v>0</v>
      </c>
      <c r="AN54" s="1" t="e">
        <f t="shared" si="21"/>
        <v>#VALUE!</v>
      </c>
      <c r="AO54" s="1" t="e">
        <f t="shared" si="2"/>
        <v>#VALUE!</v>
      </c>
      <c r="AP54" s="1" t="e">
        <f t="shared" si="22"/>
        <v>#VALUE!</v>
      </c>
      <c r="AQ54" s="1">
        <f t="shared" si="23"/>
        <v>0.98701298701298701</v>
      </c>
      <c r="AR54" s="1" t="e">
        <f t="shared" si="24"/>
        <v>#VALUE!</v>
      </c>
      <c r="AS54" s="1" t="e">
        <f t="shared" si="25"/>
        <v>#VALUE!</v>
      </c>
      <c r="AV54" s="1" t="s">
        <v>3539</v>
      </c>
    </row>
    <row r="55" spans="1:48" ht="14.25" customHeight="1">
      <c r="A55" s="4">
        <v>410</v>
      </c>
      <c r="B55" s="4">
        <v>10</v>
      </c>
      <c r="C55" s="4" t="s">
        <v>2117</v>
      </c>
      <c r="D55" s="1" t="s">
        <v>2889</v>
      </c>
      <c r="E55" s="1">
        <v>2013</v>
      </c>
      <c r="F55" s="1">
        <v>2011</v>
      </c>
      <c r="G55" s="1" t="s">
        <v>3025</v>
      </c>
      <c r="H55" s="1" t="s">
        <v>3019</v>
      </c>
      <c r="I55" s="1">
        <v>33.053629000000001</v>
      </c>
      <c r="J55" s="1">
        <v>-83.677790000000002</v>
      </c>
      <c r="K55" s="1" t="s">
        <v>2971</v>
      </c>
      <c r="L55" s="1" t="s">
        <v>3100</v>
      </c>
      <c r="M55" s="1" t="s">
        <v>3150</v>
      </c>
      <c r="N55" s="1" t="s">
        <v>3303</v>
      </c>
      <c r="P55" s="1" t="s">
        <v>2948</v>
      </c>
      <c r="R55" s="1" t="s">
        <v>2903</v>
      </c>
      <c r="T55" s="1" t="s">
        <v>2991</v>
      </c>
      <c r="Y55" s="1" t="s">
        <v>2911</v>
      </c>
      <c r="Z55" s="1" t="s">
        <v>2992</v>
      </c>
      <c r="AA55" s="1" t="s">
        <v>20</v>
      </c>
      <c r="AB55" s="1" t="s">
        <v>2912</v>
      </c>
      <c r="AC55" s="1" t="s">
        <v>3134</v>
      </c>
      <c r="AD55" s="1" t="s">
        <v>3220</v>
      </c>
      <c r="AE55" s="1" t="s">
        <v>2914</v>
      </c>
      <c r="AM55" s="33">
        <f t="shared" si="20"/>
        <v>0</v>
      </c>
      <c r="AN55" s="1">
        <f t="shared" si="21"/>
        <v>0</v>
      </c>
      <c r="AO55" s="1" t="e">
        <f t="shared" si="2"/>
        <v>#DIV/0!</v>
      </c>
      <c r="AP55" s="1" t="e">
        <f t="shared" si="22"/>
        <v>#DIV/0!</v>
      </c>
      <c r="AQ55" s="1">
        <f t="shared" si="23"/>
        <v>1.3333333333333333</v>
      </c>
      <c r="AR55" s="1" t="e">
        <f t="shared" si="24"/>
        <v>#DIV/0!</v>
      </c>
      <c r="AS55" s="1" t="e">
        <f t="shared" si="25"/>
        <v>#DIV/0!</v>
      </c>
      <c r="AV55" s="1" t="s">
        <v>3539</v>
      </c>
    </row>
    <row r="56" spans="1:48" s="19" customFormat="1" ht="14.25">
      <c r="A56" s="34">
        <v>500</v>
      </c>
      <c r="B56" s="34">
        <v>11</v>
      </c>
      <c r="C56" s="34" t="s">
        <v>3348</v>
      </c>
      <c r="D56" s="34" t="s">
        <v>3349</v>
      </c>
      <c r="E56" s="34">
        <v>2025</v>
      </c>
      <c r="F56" s="34"/>
      <c r="G56" s="34"/>
      <c r="H56" s="34"/>
      <c r="I56" s="34"/>
      <c r="J56" s="34"/>
      <c r="K56" s="34" t="s">
        <v>3579</v>
      </c>
      <c r="L56" s="34"/>
      <c r="M56" s="34"/>
      <c r="N56" s="34"/>
      <c r="O56" s="34"/>
      <c r="P56" s="34"/>
      <c r="Q56" s="34"/>
      <c r="R56" s="34"/>
      <c r="S56" s="34"/>
      <c r="T56" s="34"/>
      <c r="U56" s="34"/>
      <c r="V56" s="34"/>
      <c r="W56" s="34"/>
      <c r="X56" s="34"/>
      <c r="Y56" s="34" t="s">
        <v>3580</v>
      </c>
      <c r="Z56" s="34"/>
      <c r="AA56" s="34"/>
      <c r="AB56" s="34"/>
      <c r="AC56" s="34"/>
      <c r="AD56" s="34"/>
      <c r="AE56" s="34"/>
      <c r="AN56" s="1">
        <f t="shared" si="21"/>
        <v>0</v>
      </c>
      <c r="AO56" s="1" t="e">
        <f t="shared" si="2"/>
        <v>#DIV/0!</v>
      </c>
      <c r="AP56" s="1" t="e">
        <f t="shared" si="22"/>
        <v>#DIV/0!</v>
      </c>
      <c r="AQ56" s="1">
        <f t="shared" si="23"/>
        <v>1.3333333333333333</v>
      </c>
      <c r="AR56" s="1" t="e">
        <f t="shared" si="24"/>
        <v>#DIV/0!</v>
      </c>
      <c r="AS56" s="1" t="e">
        <f t="shared" si="25"/>
        <v>#DIV/0!</v>
      </c>
      <c r="AT56" s="1"/>
      <c r="AU56" s="1"/>
      <c r="AV56" s="1" t="s">
        <v>3539</v>
      </c>
    </row>
    <row r="57" spans="1:48" s="33" customFormat="1" ht="14.25" customHeight="1">
      <c r="A57" s="4">
        <v>180</v>
      </c>
      <c r="B57" s="4">
        <v>12</v>
      </c>
      <c r="C57" s="4" t="s">
        <v>1026</v>
      </c>
      <c r="D57" s="33" t="s">
        <v>2889</v>
      </c>
      <c r="E57" s="33">
        <v>2015</v>
      </c>
      <c r="F57" s="33">
        <v>2009</v>
      </c>
      <c r="G57" s="33" t="s">
        <v>2902</v>
      </c>
      <c r="H57" s="33" t="s">
        <v>2928</v>
      </c>
      <c r="I57" s="33">
        <v>39.831530000000001</v>
      </c>
      <c r="J57" s="33">
        <v>-7.8358790000000003</v>
      </c>
      <c r="K57" s="33" t="s">
        <v>2971</v>
      </c>
      <c r="L57" s="33" t="s">
        <v>3100</v>
      </c>
      <c r="M57" s="33" t="s">
        <v>3101</v>
      </c>
      <c r="N57" s="33" t="s">
        <v>3303</v>
      </c>
      <c r="O57" s="33" t="s">
        <v>3305</v>
      </c>
      <c r="P57" s="33" t="s">
        <v>2890</v>
      </c>
      <c r="R57" s="33" t="s">
        <v>2903</v>
      </c>
      <c r="S57" s="33">
        <v>2003</v>
      </c>
      <c r="W57" s="33">
        <v>3</v>
      </c>
      <c r="X57" s="33">
        <v>3</v>
      </c>
      <c r="Y57" s="33" t="s">
        <v>2911</v>
      </c>
      <c r="Z57" s="33" t="s">
        <v>3034</v>
      </c>
      <c r="AA57" s="33" t="s">
        <v>20</v>
      </c>
      <c r="AB57" s="33" t="s">
        <v>2912</v>
      </c>
      <c r="AC57" s="33" t="s">
        <v>3134</v>
      </c>
      <c r="AD57" s="33" t="s">
        <v>3221</v>
      </c>
      <c r="AE57" s="33" t="s">
        <v>2930</v>
      </c>
      <c r="AF57" s="33" t="s">
        <v>3213</v>
      </c>
      <c r="AG57" s="33">
        <v>242</v>
      </c>
      <c r="AH57" s="33">
        <v>40</v>
      </c>
      <c r="AJ57" s="33">
        <v>288</v>
      </c>
      <c r="AK57" s="33">
        <v>59</v>
      </c>
      <c r="AM57" s="33">
        <f t="shared" ref="AM57:AM122" si="48">AG57-AJ57</f>
        <v>-46</v>
      </c>
      <c r="AN57" s="33">
        <f t="shared" si="21"/>
        <v>50.40337290301116</v>
      </c>
      <c r="AO57" s="33">
        <f t="shared" si="2"/>
        <v>-0.91263733656308355</v>
      </c>
      <c r="AP57" s="33">
        <f t="shared" si="22"/>
        <v>0.73607557567407988</v>
      </c>
      <c r="AQ57" s="33">
        <f t="shared" si="23"/>
        <v>0.8</v>
      </c>
      <c r="AR57" s="33">
        <f t="shared" si="24"/>
        <v>-0.73010986925046684</v>
      </c>
      <c r="AS57" s="33">
        <f t="shared" si="25"/>
        <v>0.6863587753000695</v>
      </c>
      <c r="AV57" s="33" t="s">
        <v>3539</v>
      </c>
    </row>
    <row r="58" spans="1:48" s="33" customFormat="1" ht="14.25" customHeight="1">
      <c r="A58" s="4">
        <v>180</v>
      </c>
      <c r="B58" s="4">
        <v>12</v>
      </c>
      <c r="C58" s="4" t="s">
        <v>1026</v>
      </c>
      <c r="D58" s="33" t="s">
        <v>2889</v>
      </c>
      <c r="E58" s="33">
        <v>2015</v>
      </c>
      <c r="F58" s="33">
        <v>2009</v>
      </c>
      <c r="G58" s="33" t="s">
        <v>2902</v>
      </c>
      <c r="H58" s="33" t="s">
        <v>2928</v>
      </c>
      <c r="I58" s="33">
        <v>39.831530000000001</v>
      </c>
      <c r="J58" s="33">
        <v>-7.8358790000000003</v>
      </c>
      <c r="K58" s="33" t="s">
        <v>2971</v>
      </c>
      <c r="L58" s="33" t="s">
        <v>3100</v>
      </c>
      <c r="M58" s="33" t="s">
        <v>3101</v>
      </c>
      <c r="N58" s="33" t="s">
        <v>3303</v>
      </c>
      <c r="O58" s="33" t="s">
        <v>3305</v>
      </c>
      <c r="P58" s="33" t="s">
        <v>2890</v>
      </c>
      <c r="R58" s="33" t="s">
        <v>2903</v>
      </c>
      <c r="S58" s="33">
        <v>2003</v>
      </c>
      <c r="W58" s="33">
        <v>3</v>
      </c>
      <c r="X58" s="33">
        <v>3</v>
      </c>
      <c r="Y58" s="33" t="s">
        <v>2911</v>
      </c>
      <c r="Z58" s="33" t="s">
        <v>3034</v>
      </c>
      <c r="AA58" s="33" t="s">
        <v>20</v>
      </c>
      <c r="AB58" s="33" t="s">
        <v>2912</v>
      </c>
      <c r="AC58" s="33" t="s">
        <v>3134</v>
      </c>
      <c r="AD58" s="33" t="s">
        <v>3221</v>
      </c>
      <c r="AE58" s="33" t="s">
        <v>2930</v>
      </c>
      <c r="AF58" s="33" t="s">
        <v>3526</v>
      </c>
      <c r="AG58" s="33">
        <v>320</v>
      </c>
      <c r="AH58" s="33">
        <v>61</v>
      </c>
      <c r="AJ58" s="33">
        <v>372</v>
      </c>
      <c r="AK58" s="33">
        <v>91</v>
      </c>
      <c r="AM58" s="33">
        <f t="shared" ref="AM58" si="49">AG58-AJ58</f>
        <v>-52</v>
      </c>
      <c r="AN58" s="33">
        <f t="shared" ref="AN58" si="50">SQRT((((X58-1)*AH58^2)+((W58-1)*AK58^2))/(X58+W58-2))</f>
        <v>77.466121627457255</v>
      </c>
      <c r="AO58" s="33">
        <f t="shared" ref="AO58" si="51">AM58/AN58</f>
        <v>-0.67126117724175582</v>
      </c>
      <c r="AP58" s="33">
        <f t="shared" ref="AP58" si="52">1/X58+1/W58+(AO58^2)/(2*(X58+W58))</f>
        <v>0.70421596400599895</v>
      </c>
      <c r="AQ58" s="33">
        <f t="shared" ref="AQ58" si="53">1-(3/(4*(X58+W58-2)-1))</f>
        <v>0.8</v>
      </c>
      <c r="AR58" s="33">
        <f t="shared" ref="AR58" si="54">AO58*AQ58</f>
        <v>-0.53700894179340464</v>
      </c>
      <c r="AS58" s="33">
        <f t="shared" ref="AS58" si="55">SQRT(AP58*AQ58^2)</f>
        <v>0.67134061173434123</v>
      </c>
      <c r="AV58" s="33" t="s">
        <v>3539</v>
      </c>
    </row>
    <row r="59" spans="1:48" s="33" customFormat="1" ht="14.25" customHeight="1">
      <c r="A59" s="4">
        <v>180</v>
      </c>
      <c r="B59" s="4">
        <v>12</v>
      </c>
      <c r="C59" s="4" t="s">
        <v>1026</v>
      </c>
      <c r="D59" s="33" t="s">
        <v>2889</v>
      </c>
      <c r="E59" s="33">
        <v>2015</v>
      </c>
      <c r="F59" s="33">
        <v>2009</v>
      </c>
      <c r="G59" s="33" t="s">
        <v>2902</v>
      </c>
      <c r="H59" s="33" t="s">
        <v>2928</v>
      </c>
      <c r="I59" s="33">
        <v>39.831530000000001</v>
      </c>
      <c r="J59" s="33">
        <v>-7.8358790000000003</v>
      </c>
      <c r="K59" s="33" t="s">
        <v>2971</v>
      </c>
      <c r="L59" s="33" t="s">
        <v>3100</v>
      </c>
      <c r="M59" s="33" t="s">
        <v>3101</v>
      </c>
      <c r="N59" s="33" t="s">
        <v>3303</v>
      </c>
      <c r="O59" s="33" t="s">
        <v>3305</v>
      </c>
      <c r="P59" s="33" t="s">
        <v>2890</v>
      </c>
      <c r="R59" s="33" t="s">
        <v>2903</v>
      </c>
      <c r="S59" s="33">
        <v>2003</v>
      </c>
      <c r="W59" s="33">
        <v>3</v>
      </c>
      <c r="X59" s="33">
        <v>3</v>
      </c>
      <c r="Y59" s="33" t="s">
        <v>2911</v>
      </c>
      <c r="Z59" s="33" t="s">
        <v>3034</v>
      </c>
      <c r="AA59" s="33" t="s">
        <v>20</v>
      </c>
      <c r="AB59" s="33" t="s">
        <v>2912</v>
      </c>
      <c r="AC59" s="33" t="s">
        <v>3134</v>
      </c>
      <c r="AD59" s="33" t="s">
        <v>3221</v>
      </c>
      <c r="AE59" s="33" t="s">
        <v>2930</v>
      </c>
      <c r="AF59" s="33" t="s">
        <v>3036</v>
      </c>
      <c r="AG59" s="33">
        <v>3.17</v>
      </c>
      <c r="AH59" s="33">
        <v>0.44</v>
      </c>
      <c r="AJ59" s="33">
        <v>4.16</v>
      </c>
      <c r="AK59" s="33">
        <v>0.25</v>
      </c>
      <c r="AM59" s="33">
        <f t="shared" ref="AM59" si="56">AG59-AJ59</f>
        <v>-0.99000000000000021</v>
      </c>
      <c r="AN59" s="33">
        <f t="shared" ref="AN59" si="57">SQRT((((X59-1)*AH59^2)+((W59-1)*AK59^2))/(X59+W59-2))</f>
        <v>0.35784074670165777</v>
      </c>
      <c r="AO59" s="33">
        <f t="shared" ref="AO59" si="58">AM59/AN59</f>
        <v>-2.7665938245579169</v>
      </c>
      <c r="AP59" s="33">
        <f t="shared" ref="AP59" si="59">1/X59+1/W59+(AO59^2)/(2*(X59+W59))</f>
        <v>1.3045034491735001</v>
      </c>
      <c r="AQ59" s="33">
        <f t="shared" ref="AQ59" si="60">1-(3/(4*(X59+W59-2)-1))</f>
        <v>0.8</v>
      </c>
      <c r="AR59" s="33">
        <f t="shared" ref="AR59" si="61">AO59*AQ59</f>
        <v>-2.2132750596463335</v>
      </c>
      <c r="AS59" s="33">
        <f t="shared" ref="AS59" si="62">SQRT(AP59*AQ59^2)</f>
        <v>0.91371888864740025</v>
      </c>
      <c r="AV59" s="33" t="s">
        <v>3539</v>
      </c>
    </row>
    <row r="60" spans="1:48" s="33" customFormat="1" ht="14.25" customHeight="1">
      <c r="A60" s="4">
        <v>180</v>
      </c>
      <c r="B60" s="4">
        <v>12</v>
      </c>
      <c r="C60" s="4" t="s">
        <v>1026</v>
      </c>
      <c r="D60" s="33" t="s">
        <v>2889</v>
      </c>
      <c r="E60" s="33">
        <v>2015</v>
      </c>
      <c r="F60" s="33">
        <v>2009</v>
      </c>
      <c r="G60" s="33" t="s">
        <v>2902</v>
      </c>
      <c r="H60" s="33" t="s">
        <v>2928</v>
      </c>
      <c r="I60" s="33">
        <v>39.831530000000001</v>
      </c>
      <c r="J60" s="33">
        <v>-7.8358790000000003</v>
      </c>
      <c r="K60" s="33" t="s">
        <v>2971</v>
      </c>
      <c r="L60" s="33" t="s">
        <v>3100</v>
      </c>
      <c r="M60" s="33" t="s">
        <v>3101</v>
      </c>
      <c r="N60" s="33" t="s">
        <v>3303</v>
      </c>
      <c r="O60" s="33" t="s">
        <v>3305</v>
      </c>
      <c r="P60" s="33" t="s">
        <v>2890</v>
      </c>
      <c r="R60" s="33" t="s">
        <v>2903</v>
      </c>
      <c r="S60" s="33">
        <v>2003</v>
      </c>
      <c r="W60" s="33">
        <v>3</v>
      </c>
      <c r="X60" s="33">
        <v>3</v>
      </c>
      <c r="Y60" s="33" t="s">
        <v>2911</v>
      </c>
      <c r="Z60" s="33" t="s">
        <v>3034</v>
      </c>
      <c r="AA60" s="33" t="s">
        <v>20</v>
      </c>
      <c r="AB60" s="33" t="s">
        <v>2912</v>
      </c>
      <c r="AC60" s="33" t="s">
        <v>3134</v>
      </c>
      <c r="AD60" s="33" t="s">
        <v>3221</v>
      </c>
      <c r="AE60" s="33" t="s">
        <v>2930</v>
      </c>
      <c r="AF60" s="33" t="s">
        <v>3582</v>
      </c>
      <c r="AG60" s="39"/>
      <c r="AH60" s="39"/>
      <c r="AI60" s="39"/>
      <c r="AJ60" s="39"/>
      <c r="AK60" s="39"/>
      <c r="AL60" s="39"/>
      <c r="AM60" s="39"/>
      <c r="AN60" s="39"/>
      <c r="AO60" s="39"/>
      <c r="AP60" s="39"/>
      <c r="AQ60" s="39"/>
      <c r="AR60" s="39"/>
      <c r="AS60" s="39"/>
      <c r="AT60" s="39"/>
      <c r="AU60" s="39"/>
      <c r="AV60" s="33" t="s">
        <v>3564</v>
      </c>
    </row>
    <row r="61" spans="1:48" ht="14.25" customHeight="1">
      <c r="A61" s="4">
        <v>11</v>
      </c>
      <c r="B61" s="4">
        <v>13</v>
      </c>
      <c r="C61" s="4" t="s">
        <v>79</v>
      </c>
      <c r="D61" s="1" t="s">
        <v>2901</v>
      </c>
      <c r="E61" s="1">
        <v>2010</v>
      </c>
      <c r="F61" s="1">
        <v>2007</v>
      </c>
      <c r="G61" s="1" t="s">
        <v>2902</v>
      </c>
      <c r="H61" s="1" t="s">
        <v>2928</v>
      </c>
      <c r="I61" s="1">
        <v>39.831530000000001</v>
      </c>
      <c r="J61" s="1">
        <v>-7.8358790000000003</v>
      </c>
      <c r="K61" s="1" t="s">
        <v>3001</v>
      </c>
      <c r="L61" s="1" t="s">
        <v>3100</v>
      </c>
      <c r="M61" s="1" t="s">
        <v>3101</v>
      </c>
      <c r="N61" s="1" t="s">
        <v>3303</v>
      </c>
      <c r="P61" s="1" t="s">
        <v>2890</v>
      </c>
      <c r="Q61" s="1" t="s">
        <v>36</v>
      </c>
      <c r="R61" s="1" t="s">
        <v>2903</v>
      </c>
      <c r="S61" s="1">
        <v>2003</v>
      </c>
      <c r="T61" s="1">
        <v>4</v>
      </c>
      <c r="V61" s="1" t="s">
        <v>36</v>
      </c>
      <c r="Y61" s="1" t="s">
        <v>2994</v>
      </c>
      <c r="Z61" s="1" t="s">
        <v>3034</v>
      </c>
      <c r="AA61" s="1" t="s">
        <v>20</v>
      </c>
      <c r="AB61" s="1" t="s">
        <v>2912</v>
      </c>
      <c r="AC61" s="1" t="s">
        <v>3058</v>
      </c>
      <c r="AD61" s="1" t="s">
        <v>3027</v>
      </c>
      <c r="AE61" s="1" t="s">
        <v>2914</v>
      </c>
      <c r="AF61" s="1" t="s">
        <v>2925</v>
      </c>
      <c r="AM61" s="33">
        <f t="shared" si="48"/>
        <v>0</v>
      </c>
      <c r="AN61" s="1">
        <f t="shared" si="21"/>
        <v>0</v>
      </c>
      <c r="AO61" s="1" t="e">
        <f t="shared" si="2"/>
        <v>#DIV/0!</v>
      </c>
      <c r="AP61" s="1" t="e">
        <f t="shared" si="22"/>
        <v>#DIV/0!</v>
      </c>
      <c r="AQ61" s="1">
        <f t="shared" si="23"/>
        <v>1.3333333333333333</v>
      </c>
      <c r="AR61" s="1" t="e">
        <f t="shared" si="24"/>
        <v>#DIV/0!</v>
      </c>
      <c r="AS61" s="1" t="e">
        <f t="shared" si="25"/>
        <v>#DIV/0!</v>
      </c>
      <c r="AV61" s="1" t="s">
        <v>3539</v>
      </c>
    </row>
    <row r="62" spans="1:48" ht="14.25" customHeight="1">
      <c r="A62" s="4">
        <v>11</v>
      </c>
      <c r="B62" s="4">
        <v>13</v>
      </c>
      <c r="C62" s="4" t="s">
        <v>79</v>
      </c>
      <c r="D62" s="1" t="s">
        <v>2901</v>
      </c>
      <c r="E62" s="1">
        <v>2010</v>
      </c>
      <c r="F62" s="1">
        <v>2007</v>
      </c>
      <c r="G62" s="1" t="s">
        <v>2902</v>
      </c>
      <c r="H62" s="1" t="s">
        <v>2928</v>
      </c>
      <c r="I62" s="1">
        <v>39.831530000000001</v>
      </c>
      <c r="J62" s="1">
        <v>-7.8358790000000003</v>
      </c>
      <c r="K62" s="1" t="s">
        <v>3001</v>
      </c>
      <c r="L62" s="1" t="s">
        <v>3100</v>
      </c>
      <c r="M62" s="1" t="s">
        <v>3101</v>
      </c>
      <c r="N62" s="1" t="s">
        <v>3303</v>
      </c>
      <c r="P62" s="1" t="s">
        <v>2890</v>
      </c>
      <c r="Q62" s="1" t="s">
        <v>36</v>
      </c>
      <c r="R62" s="1" t="s">
        <v>2903</v>
      </c>
      <c r="S62" s="1">
        <v>2003</v>
      </c>
      <c r="T62" s="1">
        <v>4</v>
      </c>
      <c r="V62" s="1" t="s">
        <v>36</v>
      </c>
      <c r="Y62" s="1" t="s">
        <v>2994</v>
      </c>
      <c r="Z62" s="1" t="s">
        <v>3034</v>
      </c>
      <c r="AA62" s="1" t="s">
        <v>20</v>
      </c>
      <c r="AB62" s="1" t="s">
        <v>2912</v>
      </c>
      <c r="AC62" s="1" t="s">
        <v>3058</v>
      </c>
      <c r="AD62" s="1" t="s">
        <v>3027</v>
      </c>
      <c r="AE62" s="1" t="s">
        <v>2914</v>
      </c>
      <c r="AF62" s="1" t="s">
        <v>3036</v>
      </c>
      <c r="AM62" s="33">
        <f t="shared" si="48"/>
        <v>0</v>
      </c>
      <c r="AN62" s="1">
        <f t="shared" si="21"/>
        <v>0</v>
      </c>
      <c r="AO62" s="1" t="e">
        <f t="shared" si="2"/>
        <v>#DIV/0!</v>
      </c>
      <c r="AP62" s="1" t="e">
        <f t="shared" si="22"/>
        <v>#DIV/0!</v>
      </c>
      <c r="AQ62" s="1">
        <f t="shared" si="23"/>
        <v>1.3333333333333333</v>
      </c>
      <c r="AR62" s="1" t="e">
        <f t="shared" si="24"/>
        <v>#DIV/0!</v>
      </c>
      <c r="AS62" s="1" t="e">
        <f t="shared" si="25"/>
        <v>#DIV/0!</v>
      </c>
      <c r="AV62" s="1" t="s">
        <v>3539</v>
      </c>
    </row>
    <row r="63" spans="1:48" ht="14.1" customHeight="1">
      <c r="A63" s="4">
        <v>11</v>
      </c>
      <c r="B63" s="4">
        <v>13</v>
      </c>
      <c r="C63" s="4" t="s">
        <v>79</v>
      </c>
      <c r="D63" s="1" t="s">
        <v>2901</v>
      </c>
      <c r="E63" s="1">
        <v>2010</v>
      </c>
      <c r="F63" s="1">
        <v>2007</v>
      </c>
      <c r="G63" s="1" t="s">
        <v>2902</v>
      </c>
      <c r="H63" s="1" t="s">
        <v>2928</v>
      </c>
      <c r="I63" s="1">
        <v>39.831530000000001</v>
      </c>
      <c r="J63" s="1">
        <v>-7.8358790000000003</v>
      </c>
      <c r="K63" s="1" t="s">
        <v>3001</v>
      </c>
      <c r="L63" s="1" t="s">
        <v>3100</v>
      </c>
      <c r="M63" s="1" t="s">
        <v>3101</v>
      </c>
      <c r="N63" s="1" t="s">
        <v>3303</v>
      </c>
      <c r="P63" s="1" t="s">
        <v>2890</v>
      </c>
      <c r="Q63" s="1" t="s">
        <v>36</v>
      </c>
      <c r="R63" s="1" t="s">
        <v>2903</v>
      </c>
      <c r="S63" s="1">
        <v>2003</v>
      </c>
      <c r="T63" s="1">
        <v>4</v>
      </c>
      <c r="V63" s="1" t="s">
        <v>36</v>
      </c>
      <c r="Y63" s="1" t="s">
        <v>2994</v>
      </c>
      <c r="Z63" s="1" t="s">
        <v>3034</v>
      </c>
      <c r="AA63" s="1" t="s">
        <v>20</v>
      </c>
      <c r="AB63" s="1" t="s">
        <v>2912</v>
      </c>
      <c r="AC63" s="1" t="s">
        <v>3058</v>
      </c>
      <c r="AD63" s="1" t="s">
        <v>3027</v>
      </c>
      <c r="AE63" s="1" t="s">
        <v>2914</v>
      </c>
      <c r="AF63" s="1" t="s">
        <v>3028</v>
      </c>
      <c r="AM63" s="33">
        <f t="shared" si="48"/>
        <v>0</v>
      </c>
      <c r="AN63" s="1">
        <f t="shared" si="21"/>
        <v>0</v>
      </c>
      <c r="AO63" s="1" t="e">
        <f t="shared" si="2"/>
        <v>#DIV/0!</v>
      </c>
      <c r="AP63" s="1" t="e">
        <f t="shared" si="22"/>
        <v>#DIV/0!</v>
      </c>
      <c r="AQ63" s="1">
        <f t="shared" si="23"/>
        <v>1.3333333333333333</v>
      </c>
      <c r="AR63" s="1" t="e">
        <f t="shared" si="24"/>
        <v>#DIV/0!</v>
      </c>
      <c r="AS63" s="1" t="e">
        <f t="shared" si="25"/>
        <v>#DIV/0!</v>
      </c>
      <c r="AV63" s="1" t="s">
        <v>3539</v>
      </c>
    </row>
    <row r="64" spans="1:48" ht="14.25" customHeight="1">
      <c r="A64" s="4">
        <v>11</v>
      </c>
      <c r="B64" s="4">
        <v>13</v>
      </c>
      <c r="C64" s="4" t="s">
        <v>79</v>
      </c>
      <c r="D64" s="1" t="s">
        <v>2901</v>
      </c>
      <c r="E64" s="1">
        <v>2010</v>
      </c>
      <c r="F64" s="1">
        <v>2007</v>
      </c>
      <c r="G64" s="1" t="s">
        <v>2902</v>
      </c>
      <c r="H64" s="1" t="s">
        <v>2928</v>
      </c>
      <c r="I64" s="1">
        <v>39.831530000000001</v>
      </c>
      <c r="J64" s="1">
        <v>-7.8358790000000003</v>
      </c>
      <c r="K64" s="1" t="s">
        <v>3001</v>
      </c>
      <c r="L64" s="1" t="s">
        <v>3100</v>
      </c>
      <c r="M64" s="1" t="s">
        <v>3101</v>
      </c>
      <c r="N64" s="1" t="s">
        <v>3303</v>
      </c>
      <c r="P64" s="1" t="s">
        <v>2890</v>
      </c>
      <c r="Q64" s="1" t="s">
        <v>36</v>
      </c>
      <c r="R64" s="1" t="s">
        <v>2903</v>
      </c>
      <c r="S64" s="1">
        <v>2003</v>
      </c>
      <c r="T64" s="1">
        <v>4</v>
      </c>
      <c r="V64" s="1" t="s">
        <v>36</v>
      </c>
      <c r="Y64" s="1" t="s">
        <v>2994</v>
      </c>
      <c r="Z64" s="1" t="s">
        <v>3034</v>
      </c>
      <c r="AA64" s="1" t="s">
        <v>20</v>
      </c>
      <c r="AB64" s="1" t="s">
        <v>2912</v>
      </c>
      <c r="AC64" s="1" t="s">
        <v>3058</v>
      </c>
      <c r="AD64" s="1" t="s">
        <v>3027</v>
      </c>
      <c r="AE64" s="1" t="s">
        <v>2914</v>
      </c>
      <c r="AF64" s="1" t="s">
        <v>3029</v>
      </c>
      <c r="AM64" s="33">
        <f t="shared" si="48"/>
        <v>0</v>
      </c>
      <c r="AN64" s="1">
        <f t="shared" si="21"/>
        <v>0</v>
      </c>
      <c r="AO64" s="1" t="e">
        <f t="shared" si="2"/>
        <v>#DIV/0!</v>
      </c>
      <c r="AP64" s="1" t="e">
        <f t="shared" si="22"/>
        <v>#DIV/0!</v>
      </c>
      <c r="AQ64" s="1">
        <f t="shared" si="23"/>
        <v>1.3333333333333333</v>
      </c>
      <c r="AR64" s="1" t="e">
        <f t="shared" si="24"/>
        <v>#DIV/0!</v>
      </c>
      <c r="AS64" s="1" t="e">
        <f t="shared" si="25"/>
        <v>#DIV/0!</v>
      </c>
      <c r="AV64" s="1" t="s">
        <v>3539</v>
      </c>
    </row>
    <row r="65" spans="1:48" ht="14.25" customHeight="1">
      <c r="A65" s="4">
        <v>11</v>
      </c>
      <c r="B65" s="4">
        <v>13</v>
      </c>
      <c r="C65" s="4" t="s">
        <v>79</v>
      </c>
      <c r="D65" s="1" t="s">
        <v>2901</v>
      </c>
      <c r="E65" s="1">
        <v>2010</v>
      </c>
      <c r="F65" s="1">
        <v>2007</v>
      </c>
      <c r="G65" s="1" t="s">
        <v>2902</v>
      </c>
      <c r="H65" s="1" t="s">
        <v>2928</v>
      </c>
      <c r="I65" s="1">
        <v>39.831530000000001</v>
      </c>
      <c r="J65" s="1">
        <v>-7.8358790000000003</v>
      </c>
      <c r="K65" s="1" t="s">
        <v>3001</v>
      </c>
      <c r="L65" s="1" t="s">
        <v>3102</v>
      </c>
      <c r="M65" s="1" t="s">
        <v>3103</v>
      </c>
      <c r="N65" s="1" t="s">
        <v>3304</v>
      </c>
      <c r="P65" s="1" t="s">
        <v>2890</v>
      </c>
      <c r="Q65" s="1" t="s">
        <v>36</v>
      </c>
      <c r="R65" s="1" t="s">
        <v>2903</v>
      </c>
      <c r="S65" s="1">
        <v>2003</v>
      </c>
      <c r="T65" s="1">
        <v>4</v>
      </c>
      <c r="V65" s="1" t="s">
        <v>36</v>
      </c>
      <c r="Y65" s="1" t="s">
        <v>2994</v>
      </c>
      <c r="Z65" s="1" t="s">
        <v>3034</v>
      </c>
      <c r="AA65" s="1" t="s">
        <v>20</v>
      </c>
      <c r="AB65" s="1" t="s">
        <v>2912</v>
      </c>
      <c r="AC65" s="1" t="s">
        <v>3058</v>
      </c>
      <c r="AD65" s="1" t="s">
        <v>3027</v>
      </c>
      <c r="AE65" s="1" t="s">
        <v>2914</v>
      </c>
      <c r="AF65" s="1" t="s">
        <v>2925</v>
      </c>
      <c r="AM65" s="33">
        <f t="shared" si="48"/>
        <v>0</v>
      </c>
      <c r="AN65" s="1">
        <f t="shared" si="21"/>
        <v>0</v>
      </c>
      <c r="AO65" s="1" t="e">
        <f t="shared" si="2"/>
        <v>#DIV/0!</v>
      </c>
      <c r="AP65" s="1" t="e">
        <f t="shared" si="22"/>
        <v>#DIV/0!</v>
      </c>
      <c r="AQ65" s="1">
        <f t="shared" si="23"/>
        <v>1.3333333333333333</v>
      </c>
      <c r="AR65" s="1" t="e">
        <f t="shared" si="24"/>
        <v>#DIV/0!</v>
      </c>
      <c r="AS65" s="1" t="e">
        <f t="shared" si="25"/>
        <v>#DIV/0!</v>
      </c>
      <c r="AV65" s="1" t="s">
        <v>3539</v>
      </c>
    </row>
    <row r="66" spans="1:48" ht="14.25" customHeight="1">
      <c r="A66" s="4">
        <v>11</v>
      </c>
      <c r="B66" s="4">
        <v>13</v>
      </c>
      <c r="C66" s="4" t="s">
        <v>79</v>
      </c>
      <c r="D66" s="1" t="s">
        <v>2901</v>
      </c>
      <c r="E66" s="1">
        <v>2010</v>
      </c>
      <c r="F66" s="1">
        <v>2007</v>
      </c>
      <c r="G66" s="1" t="s">
        <v>2902</v>
      </c>
      <c r="H66" s="1" t="s">
        <v>2928</v>
      </c>
      <c r="I66" s="1">
        <v>39.831530000000001</v>
      </c>
      <c r="J66" s="1">
        <v>-7.8358790000000003</v>
      </c>
      <c r="K66" s="1" t="s">
        <v>3001</v>
      </c>
      <c r="L66" s="1" t="s">
        <v>3102</v>
      </c>
      <c r="M66" s="1" t="s">
        <v>3103</v>
      </c>
      <c r="N66" s="1" t="s">
        <v>3304</v>
      </c>
      <c r="P66" s="1" t="s">
        <v>2890</v>
      </c>
      <c r="Q66" s="1" t="s">
        <v>36</v>
      </c>
      <c r="R66" s="1" t="s">
        <v>2903</v>
      </c>
      <c r="S66" s="1">
        <v>2003</v>
      </c>
      <c r="T66" s="1">
        <v>4</v>
      </c>
      <c r="V66" s="1" t="s">
        <v>36</v>
      </c>
      <c r="Y66" s="1" t="s">
        <v>2994</v>
      </c>
      <c r="Z66" s="1" t="s">
        <v>3034</v>
      </c>
      <c r="AA66" s="1" t="s">
        <v>20</v>
      </c>
      <c r="AB66" s="1" t="s">
        <v>2912</v>
      </c>
      <c r="AC66" s="1" t="s">
        <v>3058</v>
      </c>
      <c r="AD66" s="1" t="s">
        <v>3027</v>
      </c>
      <c r="AE66" s="1" t="s">
        <v>2914</v>
      </c>
      <c r="AF66" s="1" t="s">
        <v>3036</v>
      </c>
      <c r="AM66" s="33">
        <f t="shared" si="48"/>
        <v>0</v>
      </c>
      <c r="AN66" s="1">
        <f t="shared" si="21"/>
        <v>0</v>
      </c>
      <c r="AO66" s="1" t="e">
        <f t="shared" ref="AO66:AO129" si="63">AM66/AN66</f>
        <v>#DIV/0!</v>
      </c>
      <c r="AP66" s="1" t="e">
        <f t="shared" si="22"/>
        <v>#DIV/0!</v>
      </c>
      <c r="AQ66" s="1">
        <f t="shared" si="23"/>
        <v>1.3333333333333333</v>
      </c>
      <c r="AR66" s="1" t="e">
        <f t="shared" si="24"/>
        <v>#DIV/0!</v>
      </c>
      <c r="AS66" s="1" t="e">
        <f t="shared" si="25"/>
        <v>#DIV/0!</v>
      </c>
      <c r="AV66" s="1" t="s">
        <v>3539</v>
      </c>
    </row>
    <row r="67" spans="1:48" ht="14.25" customHeight="1">
      <c r="A67" s="4">
        <v>11</v>
      </c>
      <c r="B67" s="4">
        <v>13</v>
      </c>
      <c r="C67" s="4" t="s">
        <v>79</v>
      </c>
      <c r="D67" s="1" t="s">
        <v>2901</v>
      </c>
      <c r="E67" s="1">
        <v>2010</v>
      </c>
      <c r="F67" s="1">
        <v>2007</v>
      </c>
      <c r="G67" s="1" t="s">
        <v>2902</v>
      </c>
      <c r="H67" s="1" t="s">
        <v>2928</v>
      </c>
      <c r="I67" s="1">
        <v>39.831530000000001</v>
      </c>
      <c r="J67" s="1">
        <v>-7.8358790000000003</v>
      </c>
      <c r="K67" s="1" t="s">
        <v>3001</v>
      </c>
      <c r="L67" s="1" t="s">
        <v>3102</v>
      </c>
      <c r="M67" s="1" t="s">
        <v>3103</v>
      </c>
      <c r="N67" s="1" t="s">
        <v>3304</v>
      </c>
      <c r="P67" s="1" t="s">
        <v>2890</v>
      </c>
      <c r="Q67" s="1" t="s">
        <v>36</v>
      </c>
      <c r="R67" s="1" t="s">
        <v>2903</v>
      </c>
      <c r="S67" s="1">
        <v>2003</v>
      </c>
      <c r="T67" s="1">
        <v>4</v>
      </c>
      <c r="V67" s="1" t="s">
        <v>36</v>
      </c>
      <c r="Y67" s="1" t="s">
        <v>2994</v>
      </c>
      <c r="Z67" s="1" t="s">
        <v>3034</v>
      </c>
      <c r="AA67" s="1" t="s">
        <v>20</v>
      </c>
      <c r="AB67" s="1" t="s">
        <v>2912</v>
      </c>
      <c r="AC67" s="1" t="s">
        <v>3058</v>
      </c>
      <c r="AD67" s="1" t="s">
        <v>3027</v>
      </c>
      <c r="AE67" s="1" t="s">
        <v>2914</v>
      </c>
      <c r="AF67" s="1" t="s">
        <v>3028</v>
      </c>
      <c r="AM67" s="33">
        <f t="shared" si="48"/>
        <v>0</v>
      </c>
      <c r="AN67" s="1">
        <f t="shared" si="21"/>
        <v>0</v>
      </c>
      <c r="AO67" s="1" t="e">
        <f t="shared" si="63"/>
        <v>#DIV/0!</v>
      </c>
      <c r="AP67" s="1" t="e">
        <f t="shared" si="22"/>
        <v>#DIV/0!</v>
      </c>
      <c r="AQ67" s="1">
        <f t="shared" si="23"/>
        <v>1.3333333333333333</v>
      </c>
      <c r="AR67" s="1" t="e">
        <f t="shared" si="24"/>
        <v>#DIV/0!</v>
      </c>
      <c r="AS67" s="1" t="e">
        <f t="shared" si="25"/>
        <v>#DIV/0!</v>
      </c>
      <c r="AV67" s="1" t="s">
        <v>3539</v>
      </c>
    </row>
    <row r="68" spans="1:48" ht="14.25" customHeight="1">
      <c r="A68" s="4">
        <v>11</v>
      </c>
      <c r="B68" s="4">
        <v>13</v>
      </c>
      <c r="C68" s="4" t="s">
        <v>79</v>
      </c>
      <c r="D68" s="1" t="s">
        <v>2901</v>
      </c>
      <c r="E68" s="1">
        <v>2010</v>
      </c>
      <c r="F68" s="1">
        <v>2007</v>
      </c>
      <c r="G68" s="1" t="s">
        <v>2902</v>
      </c>
      <c r="H68" s="1" t="s">
        <v>2928</v>
      </c>
      <c r="I68" s="1">
        <v>39.831530000000001</v>
      </c>
      <c r="J68" s="1">
        <v>-7.8358790000000003</v>
      </c>
      <c r="K68" s="1" t="s">
        <v>3001</v>
      </c>
      <c r="L68" s="1" t="s">
        <v>3102</v>
      </c>
      <c r="M68" s="1" t="s">
        <v>3103</v>
      </c>
      <c r="N68" s="1" t="s">
        <v>3304</v>
      </c>
      <c r="P68" s="1" t="s">
        <v>2890</v>
      </c>
      <c r="Q68" s="1" t="s">
        <v>36</v>
      </c>
      <c r="R68" s="1" t="s">
        <v>2903</v>
      </c>
      <c r="S68" s="1">
        <v>2003</v>
      </c>
      <c r="T68" s="1">
        <v>4</v>
      </c>
      <c r="V68" s="1" t="s">
        <v>36</v>
      </c>
      <c r="Y68" s="1" t="s">
        <v>2994</v>
      </c>
      <c r="Z68" s="1" t="s">
        <v>3034</v>
      </c>
      <c r="AA68" s="1" t="s">
        <v>20</v>
      </c>
      <c r="AB68" s="1" t="s">
        <v>2912</v>
      </c>
      <c r="AC68" s="1" t="s">
        <v>3058</v>
      </c>
      <c r="AD68" s="1" t="s">
        <v>3027</v>
      </c>
      <c r="AE68" s="1" t="s">
        <v>2914</v>
      </c>
      <c r="AF68" s="1" t="s">
        <v>3029</v>
      </c>
      <c r="AM68" s="33">
        <f t="shared" si="48"/>
        <v>0</v>
      </c>
      <c r="AN68" s="1">
        <f t="shared" si="21"/>
        <v>0</v>
      </c>
      <c r="AO68" s="1" t="e">
        <f t="shared" si="63"/>
        <v>#DIV/0!</v>
      </c>
      <c r="AP68" s="1" t="e">
        <f t="shared" si="22"/>
        <v>#DIV/0!</v>
      </c>
      <c r="AQ68" s="1">
        <f t="shared" si="23"/>
        <v>1.3333333333333333</v>
      </c>
      <c r="AR68" s="1" t="e">
        <f t="shared" si="24"/>
        <v>#DIV/0!</v>
      </c>
      <c r="AS68" s="1" t="e">
        <f t="shared" si="25"/>
        <v>#DIV/0!</v>
      </c>
      <c r="AV68" s="1" t="s">
        <v>3539</v>
      </c>
    </row>
    <row r="69" spans="1:48" ht="14.25" customHeight="1">
      <c r="A69" s="28">
        <v>521</v>
      </c>
      <c r="B69" s="28"/>
      <c r="C69" s="28" t="s">
        <v>2634</v>
      </c>
      <c r="D69" s="28" t="s">
        <v>2889</v>
      </c>
      <c r="E69" s="28">
        <v>2020</v>
      </c>
      <c r="F69" s="28">
        <v>2014</v>
      </c>
      <c r="G69" s="28" t="s">
        <v>2946</v>
      </c>
      <c r="H69" s="28" t="s">
        <v>2928</v>
      </c>
      <c r="I69" s="28">
        <v>41.696944000000002</v>
      </c>
      <c r="J69" s="28">
        <v>-6.2241109999999997</v>
      </c>
      <c r="K69" s="28" t="s">
        <v>2971</v>
      </c>
      <c r="L69" s="28" t="s">
        <v>3108</v>
      </c>
      <c r="M69" s="28" t="s">
        <v>3109</v>
      </c>
      <c r="N69" s="28" t="s">
        <v>3304</v>
      </c>
      <c r="O69" s="28"/>
      <c r="P69" s="28" t="s">
        <v>2890</v>
      </c>
      <c r="Q69" s="28"/>
      <c r="R69" s="28" t="s">
        <v>2903</v>
      </c>
      <c r="S69" s="28">
        <v>2002</v>
      </c>
      <c r="T69" s="28">
        <v>8</v>
      </c>
      <c r="U69" s="28"/>
      <c r="V69" s="28"/>
      <c r="W69" s="28"/>
      <c r="X69" s="28"/>
      <c r="Y69" s="28" t="s">
        <v>2911</v>
      </c>
      <c r="Z69" s="28" t="s">
        <v>2955</v>
      </c>
      <c r="AA69" s="28" t="s">
        <v>20</v>
      </c>
      <c r="AB69" s="28" t="s">
        <v>2912</v>
      </c>
      <c r="AC69" s="28" t="s">
        <v>3134</v>
      </c>
      <c r="AD69" s="28" t="s">
        <v>2913</v>
      </c>
      <c r="AE69" s="28" t="s">
        <v>2930</v>
      </c>
      <c r="AF69" s="28"/>
      <c r="AJ69" s="28"/>
      <c r="AK69" s="28"/>
      <c r="AL69" s="28"/>
      <c r="AM69" s="33">
        <f t="shared" si="48"/>
        <v>0</v>
      </c>
      <c r="AN69" s="1">
        <f t="shared" si="21"/>
        <v>0</v>
      </c>
      <c r="AO69" s="1" t="e">
        <f t="shared" si="63"/>
        <v>#DIV/0!</v>
      </c>
      <c r="AP69" s="1" t="e">
        <f t="shared" si="22"/>
        <v>#DIV/0!</v>
      </c>
      <c r="AQ69" s="1">
        <f t="shared" si="23"/>
        <v>1.3333333333333333</v>
      </c>
      <c r="AR69" s="1" t="e">
        <f t="shared" si="24"/>
        <v>#DIV/0!</v>
      </c>
      <c r="AS69" s="1" t="e">
        <f t="shared" si="25"/>
        <v>#DIV/0!</v>
      </c>
      <c r="AV69" s="1" t="s">
        <v>3539</v>
      </c>
    </row>
    <row r="70" spans="1:48" ht="14.25" customHeight="1">
      <c r="A70" s="28">
        <v>521</v>
      </c>
      <c r="B70" s="28"/>
      <c r="C70" s="28" t="s">
        <v>2634</v>
      </c>
      <c r="D70" s="28" t="s">
        <v>2897</v>
      </c>
      <c r="E70" s="28">
        <v>2020</v>
      </c>
      <c r="F70" s="28">
        <v>2014</v>
      </c>
      <c r="G70" s="28" t="s">
        <v>2946</v>
      </c>
      <c r="H70" s="28" t="s">
        <v>2928</v>
      </c>
      <c r="I70" s="28">
        <v>41.696944000000002</v>
      </c>
      <c r="J70" s="28">
        <v>-6.2241109999999997</v>
      </c>
      <c r="K70" s="28" t="s">
        <v>2971</v>
      </c>
      <c r="L70" s="28" t="s">
        <v>3108</v>
      </c>
      <c r="M70" s="28" t="s">
        <v>3109</v>
      </c>
      <c r="N70" s="28"/>
      <c r="O70" s="28"/>
      <c r="P70" s="28" t="s">
        <v>2890</v>
      </c>
      <c r="Q70" s="28"/>
      <c r="R70" s="28" t="s">
        <v>2903</v>
      </c>
      <c r="S70" s="28">
        <v>2002</v>
      </c>
      <c r="T70" s="28">
        <v>8</v>
      </c>
      <c r="U70" s="28"/>
      <c r="V70" s="28"/>
      <c r="W70" s="28"/>
      <c r="X70" s="28"/>
      <c r="Y70" s="28" t="s">
        <v>2911</v>
      </c>
      <c r="Z70" s="28" t="s">
        <v>2955</v>
      </c>
      <c r="AA70" s="28" t="s">
        <v>20</v>
      </c>
      <c r="AB70" s="28" t="s">
        <v>2912</v>
      </c>
      <c r="AC70" s="28" t="s">
        <v>3134</v>
      </c>
      <c r="AD70" s="28" t="s">
        <v>2913</v>
      </c>
      <c r="AE70" s="28" t="s">
        <v>2930</v>
      </c>
      <c r="AF70" s="28"/>
      <c r="AJ70" s="28"/>
      <c r="AK70" s="28"/>
      <c r="AL70" s="28"/>
      <c r="AM70" s="33">
        <f t="shared" si="48"/>
        <v>0</v>
      </c>
      <c r="AN70" s="1">
        <f t="shared" si="21"/>
        <v>0</v>
      </c>
      <c r="AO70" s="1" t="e">
        <f t="shared" si="63"/>
        <v>#DIV/0!</v>
      </c>
      <c r="AP70" s="1" t="e">
        <f t="shared" si="22"/>
        <v>#DIV/0!</v>
      </c>
      <c r="AQ70" s="1">
        <f t="shared" si="23"/>
        <v>1.3333333333333333</v>
      </c>
      <c r="AR70" s="1" t="e">
        <f t="shared" si="24"/>
        <v>#DIV/0!</v>
      </c>
      <c r="AS70" s="1" t="e">
        <f t="shared" si="25"/>
        <v>#DIV/0!</v>
      </c>
      <c r="AV70" s="1" t="s">
        <v>3539</v>
      </c>
    </row>
    <row r="71" spans="1:48" ht="14.25" customHeight="1">
      <c r="A71" s="4">
        <v>291</v>
      </c>
      <c r="C71" s="4" t="s">
        <v>1566</v>
      </c>
      <c r="D71" s="1" t="s">
        <v>2889</v>
      </c>
      <c r="E71" s="1">
        <v>2002</v>
      </c>
      <c r="F71" s="1">
        <v>2000</v>
      </c>
      <c r="G71" s="1" t="s">
        <v>2910</v>
      </c>
      <c r="H71" s="1" t="s">
        <v>2928</v>
      </c>
      <c r="I71" s="1">
        <v>-33.767738999999999</v>
      </c>
      <c r="J71" s="1">
        <v>150.989138</v>
      </c>
      <c r="K71" s="1" t="s">
        <v>2971</v>
      </c>
      <c r="L71" s="1" t="s">
        <v>2931</v>
      </c>
      <c r="N71" s="1" t="s">
        <v>3304</v>
      </c>
      <c r="P71" s="1" t="s">
        <v>2948</v>
      </c>
      <c r="R71" s="1" t="s">
        <v>2935</v>
      </c>
      <c r="S71" s="1">
        <v>2000</v>
      </c>
      <c r="T71" s="1" t="s">
        <v>3172</v>
      </c>
      <c r="Y71" s="1" t="s">
        <v>2911</v>
      </c>
      <c r="Z71" s="1" t="s">
        <v>3054</v>
      </c>
      <c r="AA71" s="1" t="s">
        <v>20</v>
      </c>
      <c r="AB71" s="1" t="s">
        <v>2912</v>
      </c>
      <c r="AC71" s="1" t="s">
        <v>3211</v>
      </c>
      <c r="AD71" s="1" t="s">
        <v>3173</v>
      </c>
      <c r="AE71" s="1" t="s">
        <v>2914</v>
      </c>
      <c r="AM71" s="33">
        <f t="shared" si="48"/>
        <v>0</v>
      </c>
      <c r="AN71" s="1">
        <f t="shared" si="21"/>
        <v>0</v>
      </c>
      <c r="AO71" s="1" t="e">
        <f t="shared" si="63"/>
        <v>#DIV/0!</v>
      </c>
      <c r="AP71" s="1" t="e">
        <f t="shared" si="22"/>
        <v>#DIV/0!</v>
      </c>
      <c r="AQ71" s="1">
        <f t="shared" si="23"/>
        <v>1.3333333333333333</v>
      </c>
      <c r="AR71" s="1" t="e">
        <f t="shared" ref="AR71:AR134" si="64">AO71*AQ71</f>
        <v>#DIV/0!</v>
      </c>
      <c r="AS71" s="1" t="e">
        <f t="shared" si="25"/>
        <v>#DIV/0!</v>
      </c>
      <c r="AV71" s="1" t="s">
        <v>3539</v>
      </c>
    </row>
    <row r="72" spans="1:48" ht="14.25" customHeight="1">
      <c r="A72" s="4">
        <v>493</v>
      </c>
      <c r="C72" s="4" t="s">
        <v>2507</v>
      </c>
      <c r="D72" s="1" t="s">
        <v>2889</v>
      </c>
      <c r="E72" s="1">
        <v>2023</v>
      </c>
      <c r="F72" s="1">
        <v>2020</v>
      </c>
      <c r="G72" s="1" t="s">
        <v>3183</v>
      </c>
      <c r="H72" s="1" t="s">
        <v>3059</v>
      </c>
      <c r="I72" s="1">
        <v>53.468417000000002</v>
      </c>
      <c r="J72" s="1">
        <v>122.35216699999999</v>
      </c>
      <c r="K72" s="1" t="s">
        <v>2971</v>
      </c>
      <c r="L72" s="1" t="s">
        <v>3096</v>
      </c>
      <c r="M72" s="1" t="s">
        <v>3097</v>
      </c>
      <c r="N72" s="1" t="s">
        <v>3303</v>
      </c>
      <c r="P72" s="1" t="s">
        <v>2890</v>
      </c>
      <c r="Q72" s="1" t="s">
        <v>3033</v>
      </c>
      <c r="R72" s="1" t="s">
        <v>2903</v>
      </c>
      <c r="S72" s="1">
        <v>2010</v>
      </c>
      <c r="T72" s="1">
        <v>10</v>
      </c>
      <c r="Y72" s="1" t="s">
        <v>2911</v>
      </c>
      <c r="Z72" s="1" t="s">
        <v>2992</v>
      </c>
      <c r="AA72" s="1" t="s">
        <v>20</v>
      </c>
      <c r="AB72" s="1" t="s">
        <v>2912</v>
      </c>
      <c r="AC72" s="1" t="s">
        <v>3134</v>
      </c>
      <c r="AD72" s="1" t="s">
        <v>2913</v>
      </c>
      <c r="AE72" s="1" t="s">
        <v>2914</v>
      </c>
      <c r="AM72" s="33">
        <f t="shared" si="48"/>
        <v>0</v>
      </c>
      <c r="AN72" s="1">
        <f t="shared" si="21"/>
        <v>0</v>
      </c>
      <c r="AO72" s="1" t="e">
        <f t="shared" si="63"/>
        <v>#DIV/0!</v>
      </c>
      <c r="AP72" s="1" t="e">
        <f t="shared" si="22"/>
        <v>#DIV/0!</v>
      </c>
      <c r="AQ72" s="1">
        <f t="shared" si="23"/>
        <v>1.3333333333333333</v>
      </c>
      <c r="AR72" s="1" t="e">
        <f t="shared" si="64"/>
        <v>#DIV/0!</v>
      </c>
      <c r="AS72" s="1" t="e">
        <f t="shared" si="25"/>
        <v>#DIV/0!</v>
      </c>
      <c r="AV72" s="1" t="s">
        <v>3539</v>
      </c>
    </row>
    <row r="73" spans="1:48" ht="14.25" customHeight="1">
      <c r="A73" s="4">
        <v>493</v>
      </c>
      <c r="C73" s="4" t="s">
        <v>2507</v>
      </c>
      <c r="D73" s="1" t="s">
        <v>2889</v>
      </c>
      <c r="E73" s="1">
        <v>2023</v>
      </c>
      <c r="F73" s="1">
        <v>2020</v>
      </c>
      <c r="G73" s="1" t="s">
        <v>3183</v>
      </c>
      <c r="H73" s="1" t="s">
        <v>3059</v>
      </c>
      <c r="I73" s="1">
        <v>53.468417000000002</v>
      </c>
      <c r="J73" s="1">
        <v>122.35216699999999</v>
      </c>
      <c r="K73" s="1" t="s">
        <v>2971</v>
      </c>
      <c r="L73" s="1" t="s">
        <v>3096</v>
      </c>
      <c r="M73" s="1" t="s">
        <v>3097</v>
      </c>
      <c r="N73" s="1" t="s">
        <v>3303</v>
      </c>
      <c r="P73" s="1" t="s">
        <v>2890</v>
      </c>
      <c r="Q73" s="1" t="s">
        <v>3161</v>
      </c>
      <c r="R73" s="1" t="s">
        <v>2903</v>
      </c>
      <c r="S73" s="1">
        <v>2010</v>
      </c>
      <c r="T73" s="1">
        <v>10</v>
      </c>
      <c r="Y73" s="1" t="s">
        <v>2911</v>
      </c>
      <c r="Z73" s="1" t="s">
        <v>2992</v>
      </c>
      <c r="AA73" s="1" t="s">
        <v>20</v>
      </c>
      <c r="AB73" s="1" t="s">
        <v>2912</v>
      </c>
      <c r="AC73" s="1" t="s">
        <v>3134</v>
      </c>
      <c r="AD73" s="1" t="s">
        <v>2913</v>
      </c>
      <c r="AE73" s="1" t="s">
        <v>2914</v>
      </c>
      <c r="AM73" s="33">
        <f t="shared" si="48"/>
        <v>0</v>
      </c>
      <c r="AN73" s="1">
        <f t="shared" si="21"/>
        <v>0</v>
      </c>
      <c r="AO73" s="1" t="e">
        <f t="shared" si="63"/>
        <v>#DIV/0!</v>
      </c>
      <c r="AP73" s="1" t="e">
        <f t="shared" si="22"/>
        <v>#DIV/0!</v>
      </c>
      <c r="AQ73" s="1">
        <f t="shared" si="23"/>
        <v>1.3333333333333333</v>
      </c>
      <c r="AR73" s="1" t="e">
        <f t="shared" si="64"/>
        <v>#DIV/0!</v>
      </c>
      <c r="AS73" s="1" t="e">
        <f t="shared" si="25"/>
        <v>#DIV/0!</v>
      </c>
      <c r="AV73" s="1" t="s">
        <v>3539</v>
      </c>
    </row>
    <row r="74" spans="1:48" ht="14.25" customHeight="1">
      <c r="A74" s="4">
        <v>493</v>
      </c>
      <c r="C74" s="4" t="s">
        <v>2507</v>
      </c>
      <c r="D74" s="1" t="s">
        <v>2889</v>
      </c>
      <c r="E74" s="1">
        <v>2023</v>
      </c>
      <c r="F74" s="1">
        <v>2020</v>
      </c>
      <c r="G74" s="1" t="s">
        <v>3183</v>
      </c>
      <c r="H74" s="1" t="s">
        <v>3059</v>
      </c>
      <c r="I74" s="1">
        <v>53.468417000000002</v>
      </c>
      <c r="J74" s="1">
        <v>122.35216699999999</v>
      </c>
      <c r="K74" s="1" t="s">
        <v>2971</v>
      </c>
      <c r="L74" s="1" t="s">
        <v>3096</v>
      </c>
      <c r="M74" s="1" t="s">
        <v>3097</v>
      </c>
      <c r="N74" s="1" t="s">
        <v>3303</v>
      </c>
      <c r="P74" s="1" t="s">
        <v>2890</v>
      </c>
      <c r="Q74" s="1" t="s">
        <v>2983</v>
      </c>
      <c r="R74" s="1" t="s">
        <v>2903</v>
      </c>
      <c r="S74" s="1">
        <v>2010</v>
      </c>
      <c r="T74" s="1">
        <v>10</v>
      </c>
      <c r="Y74" s="1" t="s">
        <v>2911</v>
      </c>
      <c r="Z74" s="1" t="s">
        <v>2992</v>
      </c>
      <c r="AA74" s="1" t="s">
        <v>20</v>
      </c>
      <c r="AB74" s="1" t="s">
        <v>2912</v>
      </c>
      <c r="AC74" s="1" t="s">
        <v>3134</v>
      </c>
      <c r="AD74" s="1" t="s">
        <v>2913</v>
      </c>
      <c r="AE74" s="1" t="s">
        <v>2914</v>
      </c>
      <c r="AM74" s="33">
        <f t="shared" si="48"/>
        <v>0</v>
      </c>
      <c r="AN74" s="1">
        <f t="shared" si="21"/>
        <v>0</v>
      </c>
      <c r="AO74" s="1" t="e">
        <f t="shared" si="63"/>
        <v>#DIV/0!</v>
      </c>
      <c r="AP74" s="1" t="e">
        <f t="shared" si="22"/>
        <v>#DIV/0!</v>
      </c>
      <c r="AQ74" s="1">
        <f t="shared" si="23"/>
        <v>1.3333333333333333</v>
      </c>
      <c r="AR74" s="1" t="e">
        <f t="shared" si="64"/>
        <v>#DIV/0!</v>
      </c>
      <c r="AS74" s="1" t="e">
        <f t="shared" si="25"/>
        <v>#DIV/0!</v>
      </c>
      <c r="AV74" s="1" t="s">
        <v>3539</v>
      </c>
    </row>
    <row r="75" spans="1:48" ht="14.25" customHeight="1">
      <c r="A75" s="4">
        <v>44</v>
      </c>
      <c r="C75" s="4" t="s">
        <v>274</v>
      </c>
      <c r="D75" s="1" t="s">
        <v>2897</v>
      </c>
      <c r="E75" s="1">
        <v>2016</v>
      </c>
      <c r="F75" s="1">
        <v>2013</v>
      </c>
      <c r="G75" s="1" t="s">
        <v>3025</v>
      </c>
      <c r="H75" s="1" t="s">
        <v>2944</v>
      </c>
      <c r="I75" s="1">
        <v>43.7</v>
      </c>
      <c r="J75" s="1">
        <v>-121.61666700000001</v>
      </c>
      <c r="K75" s="1" t="s">
        <v>3001</v>
      </c>
      <c r="L75" s="1" t="s">
        <v>3100</v>
      </c>
      <c r="M75" s="1" t="s">
        <v>3118</v>
      </c>
      <c r="N75" s="1" t="s">
        <v>3303</v>
      </c>
      <c r="P75" s="1" t="s">
        <v>2948</v>
      </c>
      <c r="R75" s="1" t="s">
        <v>2903</v>
      </c>
      <c r="S75" s="1">
        <v>2013</v>
      </c>
      <c r="T75" s="1" t="s">
        <v>3057</v>
      </c>
      <c r="Y75" s="1" t="s">
        <v>2994</v>
      </c>
      <c r="Z75" s="1" t="s">
        <v>20</v>
      </c>
      <c r="AA75" s="1" t="s">
        <v>22</v>
      </c>
      <c r="AB75" s="1" t="s">
        <v>2912</v>
      </c>
      <c r="AC75" s="1" t="s">
        <v>3058</v>
      </c>
      <c r="AD75" s="1" t="s">
        <v>36</v>
      </c>
      <c r="AE75" s="1" t="s">
        <v>2914</v>
      </c>
      <c r="AM75" s="33">
        <f t="shared" si="48"/>
        <v>0</v>
      </c>
      <c r="AN75" s="1">
        <f t="shared" si="21"/>
        <v>0</v>
      </c>
      <c r="AO75" s="1" t="e">
        <f t="shared" si="63"/>
        <v>#DIV/0!</v>
      </c>
      <c r="AP75" s="1" t="e">
        <f t="shared" si="22"/>
        <v>#DIV/0!</v>
      </c>
      <c r="AQ75" s="1">
        <f t="shared" si="23"/>
        <v>1.3333333333333333</v>
      </c>
      <c r="AR75" s="1" t="e">
        <f t="shared" si="64"/>
        <v>#DIV/0!</v>
      </c>
      <c r="AS75" s="1" t="e">
        <f t="shared" ref="AS75:AS138" si="65">SQRT(AP75*AQ75^2)</f>
        <v>#DIV/0!</v>
      </c>
      <c r="AV75" s="1" t="s">
        <v>3539</v>
      </c>
    </row>
    <row r="76" spans="1:48" ht="14.25" customHeight="1">
      <c r="A76" s="4">
        <v>154</v>
      </c>
      <c r="C76" s="4" t="s">
        <v>890</v>
      </c>
      <c r="D76" s="1" t="s">
        <v>2889</v>
      </c>
      <c r="E76" s="1">
        <v>2011</v>
      </c>
      <c r="F76" s="1">
        <v>2008</v>
      </c>
      <c r="G76" s="1" t="s">
        <v>3130</v>
      </c>
      <c r="H76" s="1" t="s">
        <v>3068</v>
      </c>
      <c r="I76" s="1">
        <v>57.245134999999998</v>
      </c>
      <c r="J76" s="1">
        <v>-3.6523870000000001</v>
      </c>
      <c r="K76" s="1" t="s">
        <v>2971</v>
      </c>
      <c r="L76" s="1" t="s">
        <v>3100</v>
      </c>
      <c r="M76" s="1" t="s">
        <v>3106</v>
      </c>
      <c r="N76" s="1" t="s">
        <v>3303</v>
      </c>
      <c r="P76" s="1" t="s">
        <v>2948</v>
      </c>
      <c r="Q76" s="1" t="s">
        <v>3033</v>
      </c>
      <c r="R76" s="1" t="s">
        <v>2903</v>
      </c>
      <c r="S76" s="1">
        <v>2002</v>
      </c>
      <c r="T76" s="1">
        <v>6</v>
      </c>
      <c r="Y76" s="1" t="s">
        <v>2911</v>
      </c>
      <c r="Z76" s="1" t="s">
        <v>2992</v>
      </c>
      <c r="AA76" s="1" t="s">
        <v>20</v>
      </c>
      <c r="AB76" s="1" t="s">
        <v>2912</v>
      </c>
      <c r="AC76" s="1" t="s">
        <v>3211</v>
      </c>
      <c r="AD76" s="1" t="s">
        <v>3064</v>
      </c>
      <c r="AE76" s="1" t="s">
        <v>2914</v>
      </c>
      <c r="AM76" s="33">
        <f t="shared" si="48"/>
        <v>0</v>
      </c>
      <c r="AN76" s="1">
        <f t="shared" si="21"/>
        <v>0</v>
      </c>
      <c r="AO76" s="1" t="e">
        <f t="shared" si="63"/>
        <v>#DIV/0!</v>
      </c>
      <c r="AP76" s="1" t="e">
        <f t="shared" si="22"/>
        <v>#DIV/0!</v>
      </c>
      <c r="AQ76" s="1">
        <f t="shared" si="23"/>
        <v>1.3333333333333333</v>
      </c>
      <c r="AR76" s="1" t="e">
        <f t="shared" si="64"/>
        <v>#DIV/0!</v>
      </c>
      <c r="AS76" s="1" t="e">
        <f t="shared" si="65"/>
        <v>#DIV/0!</v>
      </c>
      <c r="AV76" s="1" t="s">
        <v>3539</v>
      </c>
    </row>
    <row r="77" spans="1:48" ht="14.25" customHeight="1">
      <c r="A77" s="4">
        <v>215</v>
      </c>
      <c r="C77" s="4" t="s">
        <v>1203</v>
      </c>
      <c r="D77" s="1" t="s">
        <v>2889</v>
      </c>
      <c r="E77" s="1">
        <v>2001</v>
      </c>
      <c r="F77" s="1">
        <v>1997</v>
      </c>
      <c r="G77" s="1" t="s">
        <v>2938</v>
      </c>
      <c r="H77" s="1" t="s">
        <v>2939</v>
      </c>
      <c r="I77" s="1">
        <v>61.1</v>
      </c>
      <c r="J77" s="1">
        <v>16</v>
      </c>
      <c r="K77" s="1" t="s">
        <v>3001</v>
      </c>
      <c r="L77" s="1" t="s">
        <v>3100</v>
      </c>
      <c r="M77" s="1" t="s">
        <v>3106</v>
      </c>
      <c r="N77" s="1" t="s">
        <v>3303</v>
      </c>
      <c r="P77" s="1" t="s">
        <v>2948</v>
      </c>
      <c r="Q77" s="1" t="s">
        <v>3033</v>
      </c>
      <c r="R77" s="1" t="s">
        <v>3225</v>
      </c>
      <c r="S77" s="1">
        <v>1997</v>
      </c>
      <c r="T77" s="1" t="s">
        <v>3056</v>
      </c>
      <c r="Y77" s="1" t="s">
        <v>2994</v>
      </c>
      <c r="Z77" s="1" t="s">
        <v>3054</v>
      </c>
      <c r="AA77" s="1" t="s">
        <v>20</v>
      </c>
      <c r="AB77" s="1" t="s">
        <v>2912</v>
      </c>
      <c r="AC77" s="1" t="s">
        <v>3211</v>
      </c>
      <c r="AD77" s="1" t="s">
        <v>36</v>
      </c>
      <c r="AE77" s="1" t="s">
        <v>2914</v>
      </c>
      <c r="AM77" s="33">
        <f t="shared" si="48"/>
        <v>0</v>
      </c>
      <c r="AN77" s="1">
        <f t="shared" si="21"/>
        <v>0</v>
      </c>
      <c r="AO77" s="1" t="e">
        <f t="shared" si="63"/>
        <v>#DIV/0!</v>
      </c>
      <c r="AP77" s="1" t="e">
        <f t="shared" si="22"/>
        <v>#DIV/0!</v>
      </c>
      <c r="AQ77" s="1">
        <f t="shared" si="23"/>
        <v>1.3333333333333333</v>
      </c>
      <c r="AR77" s="1" t="e">
        <f t="shared" si="64"/>
        <v>#DIV/0!</v>
      </c>
      <c r="AS77" s="1" t="e">
        <f t="shared" si="65"/>
        <v>#DIV/0!</v>
      </c>
      <c r="AV77" s="1" t="s">
        <v>3539</v>
      </c>
    </row>
    <row r="78" spans="1:48" ht="14.25" customHeight="1">
      <c r="A78" s="4">
        <v>215</v>
      </c>
      <c r="C78" s="4" t="s">
        <v>1203</v>
      </c>
      <c r="D78" s="1" t="s">
        <v>2889</v>
      </c>
      <c r="E78" s="1">
        <v>2001</v>
      </c>
      <c r="F78" s="1">
        <v>1997</v>
      </c>
      <c r="G78" s="1" t="s">
        <v>2938</v>
      </c>
      <c r="H78" s="1" t="s">
        <v>2939</v>
      </c>
      <c r="I78" s="1">
        <v>61.1</v>
      </c>
      <c r="J78" s="1">
        <v>16</v>
      </c>
      <c r="K78" s="1" t="s">
        <v>2968</v>
      </c>
      <c r="L78" s="1" t="s">
        <v>3100</v>
      </c>
      <c r="M78" s="1" t="s">
        <v>3106</v>
      </c>
      <c r="N78" s="1" t="s">
        <v>3303</v>
      </c>
      <c r="P78" s="1" t="s">
        <v>2948</v>
      </c>
      <c r="Q78" s="1" t="s">
        <v>2983</v>
      </c>
      <c r="R78" s="1" t="s">
        <v>3225</v>
      </c>
      <c r="S78" s="1">
        <v>1997</v>
      </c>
      <c r="T78" s="1" t="s">
        <v>3056</v>
      </c>
      <c r="Y78" s="1" t="s">
        <v>2933</v>
      </c>
      <c r="Z78" s="1" t="s">
        <v>3054</v>
      </c>
      <c r="AA78" s="1" t="s">
        <v>20</v>
      </c>
      <c r="AB78" s="1" t="s">
        <v>2932</v>
      </c>
      <c r="AC78" s="1" t="s">
        <v>36</v>
      </c>
      <c r="AD78" s="1" t="s">
        <v>36</v>
      </c>
      <c r="AE78" s="1" t="s">
        <v>36</v>
      </c>
      <c r="AM78" s="33">
        <f t="shared" si="48"/>
        <v>0</v>
      </c>
      <c r="AN78" s="1">
        <f t="shared" si="21"/>
        <v>0</v>
      </c>
      <c r="AO78" s="1" t="e">
        <f t="shared" si="63"/>
        <v>#DIV/0!</v>
      </c>
      <c r="AP78" s="1" t="e">
        <f t="shared" si="22"/>
        <v>#DIV/0!</v>
      </c>
      <c r="AQ78" s="1">
        <f t="shared" si="23"/>
        <v>1.3333333333333333</v>
      </c>
      <c r="AR78" s="1" t="e">
        <f t="shared" si="64"/>
        <v>#DIV/0!</v>
      </c>
      <c r="AS78" s="1" t="e">
        <f t="shared" si="65"/>
        <v>#DIV/0!</v>
      </c>
      <c r="AV78" s="1" t="s">
        <v>3539</v>
      </c>
    </row>
    <row r="79" spans="1:48" ht="14.25" customHeight="1">
      <c r="A79" s="4">
        <v>191</v>
      </c>
      <c r="C79" s="4" t="s">
        <v>1089</v>
      </c>
      <c r="D79" s="1" t="s">
        <v>2889</v>
      </c>
      <c r="E79" s="1">
        <v>1983</v>
      </c>
      <c r="F79" s="1" t="s">
        <v>3141</v>
      </c>
      <c r="G79" s="1" t="s">
        <v>3048</v>
      </c>
      <c r="H79" s="1" t="s">
        <v>2939</v>
      </c>
      <c r="I79" s="1">
        <v>58.043793000000001</v>
      </c>
      <c r="J79" s="1">
        <v>-110.644034</v>
      </c>
      <c r="K79" s="1" t="s">
        <v>2968</v>
      </c>
      <c r="L79" s="1" t="s">
        <v>3100</v>
      </c>
      <c r="M79" s="1" t="s">
        <v>3116</v>
      </c>
      <c r="N79" s="1" t="s">
        <v>3303</v>
      </c>
      <c r="P79" s="1" t="s">
        <v>2890</v>
      </c>
      <c r="R79" s="1" t="s">
        <v>2903</v>
      </c>
      <c r="S79" s="1">
        <v>1970</v>
      </c>
      <c r="T79" s="1">
        <v>6</v>
      </c>
      <c r="U79" s="1" t="s">
        <v>3268</v>
      </c>
      <c r="Y79" s="1" t="s">
        <v>2933</v>
      </c>
      <c r="Z79" s="1" t="s">
        <v>36</v>
      </c>
      <c r="AA79" s="1" t="s">
        <v>20</v>
      </c>
      <c r="AB79" s="1" t="s">
        <v>2932</v>
      </c>
      <c r="AC79" s="1" t="s">
        <v>36</v>
      </c>
      <c r="AD79" s="1" t="s">
        <v>36</v>
      </c>
      <c r="AE79" s="1" t="s">
        <v>36</v>
      </c>
      <c r="AM79" s="33">
        <f t="shared" si="48"/>
        <v>0</v>
      </c>
      <c r="AN79" s="1">
        <f t="shared" si="21"/>
        <v>0</v>
      </c>
      <c r="AO79" s="1" t="e">
        <f t="shared" si="63"/>
        <v>#DIV/0!</v>
      </c>
      <c r="AP79" s="1" t="e">
        <f t="shared" si="22"/>
        <v>#DIV/0!</v>
      </c>
      <c r="AQ79" s="1">
        <f t="shared" si="23"/>
        <v>1.3333333333333333</v>
      </c>
      <c r="AR79" s="1" t="e">
        <f t="shared" si="64"/>
        <v>#DIV/0!</v>
      </c>
      <c r="AS79" s="1" t="e">
        <f t="shared" si="65"/>
        <v>#DIV/0!</v>
      </c>
      <c r="AV79" s="1" t="s">
        <v>3539</v>
      </c>
    </row>
    <row r="80" spans="1:48" ht="14.25" customHeight="1">
      <c r="A80" s="4">
        <v>191</v>
      </c>
      <c r="C80" s="4" t="s">
        <v>1089</v>
      </c>
      <c r="D80" s="1" t="s">
        <v>2889</v>
      </c>
      <c r="E80" s="1">
        <v>1983</v>
      </c>
      <c r="F80" s="1" t="s">
        <v>3141</v>
      </c>
      <c r="G80" s="1" t="s">
        <v>3048</v>
      </c>
      <c r="H80" s="1" t="s">
        <v>2939</v>
      </c>
      <c r="I80" s="1">
        <v>58.043793000000001</v>
      </c>
      <c r="J80" s="1">
        <v>-110.644034</v>
      </c>
      <c r="K80" s="1" t="s">
        <v>2968</v>
      </c>
      <c r="L80" s="1" t="s">
        <v>3100</v>
      </c>
      <c r="M80" s="1" t="s">
        <v>3116</v>
      </c>
      <c r="N80" s="1" t="s">
        <v>3303</v>
      </c>
      <c r="P80" s="1" t="s">
        <v>2890</v>
      </c>
      <c r="R80" s="1" t="s">
        <v>2903</v>
      </c>
      <c r="S80" s="1">
        <v>1970</v>
      </c>
      <c r="T80" s="1">
        <v>6</v>
      </c>
      <c r="U80" s="1" t="s">
        <v>3268</v>
      </c>
      <c r="Y80" s="1" t="s">
        <v>3269</v>
      </c>
      <c r="Z80" s="1" t="s">
        <v>36</v>
      </c>
      <c r="AA80" s="1" t="s">
        <v>20</v>
      </c>
      <c r="AB80" s="1" t="s">
        <v>36</v>
      </c>
      <c r="AC80" s="1" t="s">
        <v>36</v>
      </c>
      <c r="AD80" s="1" t="s">
        <v>36</v>
      </c>
      <c r="AE80" s="1" t="s">
        <v>36</v>
      </c>
      <c r="AM80" s="33">
        <f t="shared" si="48"/>
        <v>0</v>
      </c>
      <c r="AN80" s="1">
        <f t="shared" si="21"/>
        <v>0</v>
      </c>
      <c r="AO80" s="1" t="e">
        <f t="shared" si="63"/>
        <v>#DIV/0!</v>
      </c>
      <c r="AP80" s="1" t="e">
        <f t="shared" si="22"/>
        <v>#DIV/0!</v>
      </c>
      <c r="AQ80" s="1">
        <f t="shared" si="23"/>
        <v>1.3333333333333333</v>
      </c>
      <c r="AR80" s="1" t="e">
        <f t="shared" si="64"/>
        <v>#DIV/0!</v>
      </c>
      <c r="AS80" s="1" t="e">
        <f t="shared" si="65"/>
        <v>#DIV/0!</v>
      </c>
      <c r="AV80" s="1" t="s">
        <v>3539</v>
      </c>
    </row>
    <row r="81" spans="1:48" ht="14.25" customHeight="1">
      <c r="A81" s="10">
        <v>10</v>
      </c>
      <c r="B81" s="10"/>
      <c r="C81" s="10" t="s">
        <v>75</v>
      </c>
      <c r="D81" s="10" t="s">
        <v>2889</v>
      </c>
      <c r="E81" s="10">
        <v>2020</v>
      </c>
      <c r="F81" s="10">
        <v>2015</v>
      </c>
      <c r="G81" s="10" t="s">
        <v>3048</v>
      </c>
      <c r="H81" s="10" t="s">
        <v>2939</v>
      </c>
      <c r="I81" s="10">
        <v>65.460055999999994</v>
      </c>
      <c r="J81" s="10">
        <v>-124.091013</v>
      </c>
      <c r="K81" s="10" t="s">
        <v>2971</v>
      </c>
      <c r="L81" s="10" t="s">
        <v>2919</v>
      </c>
      <c r="M81" s="10" t="s">
        <v>3113</v>
      </c>
      <c r="N81" s="10" t="s">
        <v>3303</v>
      </c>
      <c r="O81" s="10"/>
      <c r="P81" s="10" t="s">
        <v>2890</v>
      </c>
      <c r="Q81" s="10"/>
      <c r="R81" s="10" t="s">
        <v>2903</v>
      </c>
      <c r="S81" s="10">
        <v>2014</v>
      </c>
      <c r="T81" s="10">
        <v>1</v>
      </c>
      <c r="U81" s="10"/>
      <c r="V81" s="10" t="s">
        <v>2980</v>
      </c>
      <c r="W81" s="10"/>
      <c r="X81" s="10"/>
      <c r="Y81" s="10" t="s">
        <v>2911</v>
      </c>
      <c r="Z81" s="10" t="s">
        <v>2985</v>
      </c>
      <c r="AA81" s="10" t="s">
        <v>20</v>
      </c>
      <c r="AB81" s="10" t="s">
        <v>2912</v>
      </c>
      <c r="AC81" s="10" t="s">
        <v>3134</v>
      </c>
      <c r="AD81" s="10" t="s">
        <v>2913</v>
      </c>
      <c r="AE81" s="10" t="s">
        <v>2930</v>
      </c>
      <c r="AF81" s="10"/>
      <c r="AJ81" s="10"/>
      <c r="AK81" s="10"/>
      <c r="AL81" s="10"/>
      <c r="AM81" s="33">
        <f t="shared" si="48"/>
        <v>0</v>
      </c>
      <c r="AN81" s="1">
        <f t="shared" si="21"/>
        <v>0</v>
      </c>
      <c r="AO81" s="1" t="e">
        <f t="shared" si="63"/>
        <v>#DIV/0!</v>
      </c>
      <c r="AP81" s="1" t="e">
        <f t="shared" si="22"/>
        <v>#DIV/0!</v>
      </c>
      <c r="AQ81" s="1">
        <f t="shared" si="23"/>
        <v>1.3333333333333333</v>
      </c>
      <c r="AR81" s="1" t="e">
        <f t="shared" si="64"/>
        <v>#DIV/0!</v>
      </c>
      <c r="AS81" s="1" t="e">
        <f t="shared" si="65"/>
        <v>#DIV/0!</v>
      </c>
      <c r="AV81" s="1" t="s">
        <v>3539</v>
      </c>
    </row>
    <row r="82" spans="1:48" ht="14.25" customHeight="1">
      <c r="A82" s="10">
        <v>10</v>
      </c>
      <c r="B82" s="10"/>
      <c r="C82" s="10" t="s">
        <v>75</v>
      </c>
      <c r="D82" s="10" t="s">
        <v>2889</v>
      </c>
      <c r="E82" s="10">
        <v>2020</v>
      </c>
      <c r="F82" s="10">
        <v>2015</v>
      </c>
      <c r="G82" s="10" t="s">
        <v>3048</v>
      </c>
      <c r="H82" s="10" t="s">
        <v>2939</v>
      </c>
      <c r="I82" s="10">
        <v>65.460055999999994</v>
      </c>
      <c r="J82" s="10">
        <v>-124.091013</v>
      </c>
      <c r="K82" s="10" t="s">
        <v>2971</v>
      </c>
      <c r="L82" s="10" t="s">
        <v>2919</v>
      </c>
      <c r="M82" s="10" t="s">
        <v>3113</v>
      </c>
      <c r="N82" s="10" t="s">
        <v>3303</v>
      </c>
      <c r="O82" s="10"/>
      <c r="P82" s="10" t="s">
        <v>2890</v>
      </c>
      <c r="Q82" s="10"/>
      <c r="R82" s="10" t="s">
        <v>2903</v>
      </c>
      <c r="S82" s="10">
        <v>2014</v>
      </c>
      <c r="T82" s="10">
        <v>1</v>
      </c>
      <c r="U82" s="10"/>
      <c r="V82" s="10" t="s">
        <v>2980</v>
      </c>
      <c r="W82" s="10"/>
      <c r="X82" s="10"/>
      <c r="Y82" s="10" t="s">
        <v>3269</v>
      </c>
      <c r="Z82" s="10" t="s">
        <v>2985</v>
      </c>
      <c r="AA82" s="10" t="s">
        <v>20</v>
      </c>
      <c r="AB82" s="10" t="s">
        <v>2912</v>
      </c>
      <c r="AC82" s="10" t="s">
        <v>3134</v>
      </c>
      <c r="AD82" s="10" t="s">
        <v>2913</v>
      </c>
      <c r="AE82" s="10" t="s">
        <v>2930</v>
      </c>
      <c r="AF82" s="10"/>
      <c r="AJ82" s="10"/>
      <c r="AK82" s="10"/>
      <c r="AL82" s="10"/>
      <c r="AM82" s="33">
        <f t="shared" si="48"/>
        <v>0</v>
      </c>
      <c r="AN82" s="1">
        <f t="shared" si="21"/>
        <v>0</v>
      </c>
      <c r="AO82" s="1" t="e">
        <f t="shared" si="63"/>
        <v>#DIV/0!</v>
      </c>
      <c r="AP82" s="1" t="e">
        <f t="shared" si="22"/>
        <v>#DIV/0!</v>
      </c>
      <c r="AQ82" s="1">
        <f t="shared" si="23"/>
        <v>1.3333333333333333</v>
      </c>
      <c r="AR82" s="1" t="e">
        <f t="shared" si="64"/>
        <v>#DIV/0!</v>
      </c>
      <c r="AS82" s="1" t="e">
        <f t="shared" si="65"/>
        <v>#DIV/0!</v>
      </c>
      <c r="AV82" s="1" t="s">
        <v>3539</v>
      </c>
    </row>
    <row r="83" spans="1:48" ht="14.25" customHeight="1">
      <c r="A83" s="10">
        <v>449</v>
      </c>
      <c r="B83" s="10"/>
      <c r="C83" s="10" t="s">
        <v>2294</v>
      </c>
      <c r="D83" s="10" t="s">
        <v>2889</v>
      </c>
      <c r="E83" s="10">
        <v>2019</v>
      </c>
      <c r="F83" s="10">
        <v>2015</v>
      </c>
      <c r="G83" s="10" t="s">
        <v>3048</v>
      </c>
      <c r="H83" s="10" t="s">
        <v>2939</v>
      </c>
      <c r="I83" s="10">
        <v>65.460055999999994</v>
      </c>
      <c r="J83" s="10">
        <v>-124.091013</v>
      </c>
      <c r="K83" s="10" t="s">
        <v>2971</v>
      </c>
      <c r="L83" s="10" t="s">
        <v>2919</v>
      </c>
      <c r="M83" s="10" t="s">
        <v>3113</v>
      </c>
      <c r="N83" s="10" t="s">
        <v>3303</v>
      </c>
      <c r="O83" s="10"/>
      <c r="P83" s="10" t="s">
        <v>2890</v>
      </c>
      <c r="Q83" s="10"/>
      <c r="R83" s="10" t="s">
        <v>2903</v>
      </c>
      <c r="S83" s="10">
        <v>2014</v>
      </c>
      <c r="T83" s="10">
        <v>1</v>
      </c>
      <c r="U83" s="10"/>
      <c r="V83" s="10" t="s">
        <v>2980</v>
      </c>
      <c r="W83" s="10">
        <v>24</v>
      </c>
      <c r="X83" s="10">
        <v>137</v>
      </c>
      <c r="Y83" s="10" t="s">
        <v>2911</v>
      </c>
      <c r="Z83" s="10" t="s">
        <v>2985</v>
      </c>
      <c r="AA83" s="10" t="s">
        <v>22</v>
      </c>
      <c r="AB83" s="10" t="s">
        <v>2912</v>
      </c>
      <c r="AC83" s="10" t="s">
        <v>3134</v>
      </c>
      <c r="AD83" s="10" t="s">
        <v>2913</v>
      </c>
      <c r="AE83" s="10" t="s">
        <v>2930</v>
      </c>
      <c r="AF83" s="10"/>
      <c r="AJ83" s="10"/>
      <c r="AK83" s="10"/>
      <c r="AL83" s="10"/>
      <c r="AM83" s="33">
        <f t="shared" si="48"/>
        <v>0</v>
      </c>
      <c r="AN83" s="1">
        <f t="shared" si="21"/>
        <v>0</v>
      </c>
      <c r="AO83" s="1" t="e">
        <f t="shared" si="63"/>
        <v>#DIV/0!</v>
      </c>
      <c r="AP83" s="1" t="e">
        <f t="shared" si="22"/>
        <v>#DIV/0!</v>
      </c>
      <c r="AQ83" s="1">
        <f t="shared" si="23"/>
        <v>0.99527559055118109</v>
      </c>
      <c r="AR83" s="1" t="e">
        <f t="shared" si="64"/>
        <v>#DIV/0!</v>
      </c>
      <c r="AS83" s="1" t="e">
        <f t="shared" si="65"/>
        <v>#DIV/0!</v>
      </c>
      <c r="AV83" s="1" t="s">
        <v>3539</v>
      </c>
    </row>
    <row r="84" spans="1:48" ht="14.25" customHeight="1">
      <c r="A84" s="4">
        <v>21</v>
      </c>
      <c r="C84" s="4" t="s">
        <v>135</v>
      </c>
      <c r="D84" s="1" t="s">
        <v>2889</v>
      </c>
      <c r="E84" s="1">
        <v>2005</v>
      </c>
      <c r="F84" s="1" t="s">
        <v>3032</v>
      </c>
      <c r="G84" s="1" t="s">
        <v>2946</v>
      </c>
      <c r="H84" s="1" t="s">
        <v>2928</v>
      </c>
      <c r="I84" s="1">
        <v>42.641388999999997</v>
      </c>
      <c r="J84" s="1">
        <v>-2.2769439999999999</v>
      </c>
      <c r="K84" s="1" t="s">
        <v>3001</v>
      </c>
      <c r="L84" s="1" t="s">
        <v>3102</v>
      </c>
      <c r="M84" s="1" t="s">
        <v>3120</v>
      </c>
      <c r="N84" s="1" t="s">
        <v>3303</v>
      </c>
      <c r="P84" s="1" t="s">
        <v>2890</v>
      </c>
      <c r="Q84" s="1" t="s">
        <v>3033</v>
      </c>
      <c r="R84" s="1" t="s">
        <v>2903</v>
      </c>
      <c r="S84" s="1">
        <v>1994</v>
      </c>
      <c r="T84" s="1">
        <v>4</v>
      </c>
      <c r="V84" s="1">
        <v>38</v>
      </c>
      <c r="Y84" s="1" t="s">
        <v>2994</v>
      </c>
      <c r="Z84" s="1" t="s">
        <v>2992</v>
      </c>
      <c r="AA84" s="1" t="s">
        <v>20</v>
      </c>
      <c r="AB84" s="1" t="s">
        <v>3035</v>
      </c>
      <c r="AC84" s="1" t="s">
        <v>36</v>
      </c>
      <c r="AD84" s="1" t="s">
        <v>36</v>
      </c>
      <c r="AE84" s="1" t="s">
        <v>36</v>
      </c>
      <c r="AF84" s="1" t="s">
        <v>3022</v>
      </c>
      <c r="AM84" s="33">
        <f t="shared" si="48"/>
        <v>0</v>
      </c>
      <c r="AN84" s="1">
        <f t="shared" si="21"/>
        <v>0</v>
      </c>
      <c r="AO84" s="1" t="e">
        <f t="shared" si="63"/>
        <v>#DIV/0!</v>
      </c>
      <c r="AP84" s="1" t="e">
        <f t="shared" si="22"/>
        <v>#DIV/0!</v>
      </c>
      <c r="AQ84" s="1">
        <f t="shared" si="23"/>
        <v>1.3333333333333333</v>
      </c>
      <c r="AR84" s="1" t="e">
        <f t="shared" si="64"/>
        <v>#DIV/0!</v>
      </c>
      <c r="AS84" s="1" t="e">
        <f t="shared" si="65"/>
        <v>#DIV/0!</v>
      </c>
      <c r="AV84" s="1" t="s">
        <v>3539</v>
      </c>
    </row>
    <row r="85" spans="1:48" ht="14.25" customHeight="1">
      <c r="A85" s="4">
        <v>21</v>
      </c>
      <c r="C85" s="4" t="s">
        <v>135</v>
      </c>
      <c r="D85" s="1" t="s">
        <v>2889</v>
      </c>
      <c r="E85" s="1">
        <v>2005</v>
      </c>
      <c r="F85" s="1" t="s">
        <v>3032</v>
      </c>
      <c r="G85" s="1" t="s">
        <v>2946</v>
      </c>
      <c r="H85" s="1" t="s">
        <v>2928</v>
      </c>
      <c r="I85" s="1">
        <v>42.641388999999997</v>
      </c>
      <c r="J85" s="1">
        <v>-2.2769439999999999</v>
      </c>
      <c r="K85" s="1" t="s">
        <v>3001</v>
      </c>
      <c r="L85" s="1" t="s">
        <v>3102</v>
      </c>
      <c r="M85" s="1" t="s">
        <v>3120</v>
      </c>
      <c r="N85" s="1" t="s">
        <v>3303</v>
      </c>
      <c r="P85" s="1" t="s">
        <v>2890</v>
      </c>
      <c r="Q85" s="1" t="s">
        <v>3033</v>
      </c>
      <c r="R85" s="1" t="s">
        <v>2903</v>
      </c>
      <c r="S85" s="1">
        <v>1994</v>
      </c>
      <c r="T85" s="1">
        <v>4</v>
      </c>
      <c r="V85" s="1">
        <v>38</v>
      </c>
      <c r="Y85" s="1" t="s">
        <v>2994</v>
      </c>
      <c r="Z85" s="1" t="s">
        <v>2992</v>
      </c>
      <c r="AA85" s="1" t="s">
        <v>20</v>
      </c>
      <c r="AB85" s="1" t="s">
        <v>3035</v>
      </c>
      <c r="AC85" s="1" t="s">
        <v>36</v>
      </c>
      <c r="AD85" s="1" t="s">
        <v>36</v>
      </c>
      <c r="AE85" s="1" t="s">
        <v>36</v>
      </c>
      <c r="AF85" s="1" t="s">
        <v>3028</v>
      </c>
      <c r="AM85" s="33">
        <f t="shared" si="48"/>
        <v>0</v>
      </c>
      <c r="AN85" s="1">
        <f t="shared" si="21"/>
        <v>0</v>
      </c>
      <c r="AO85" s="1" t="e">
        <f t="shared" si="63"/>
        <v>#DIV/0!</v>
      </c>
      <c r="AP85" s="1" t="e">
        <f t="shared" si="22"/>
        <v>#DIV/0!</v>
      </c>
      <c r="AQ85" s="1">
        <f t="shared" si="23"/>
        <v>1.3333333333333333</v>
      </c>
      <c r="AR85" s="1" t="e">
        <f t="shared" si="64"/>
        <v>#DIV/0!</v>
      </c>
      <c r="AS85" s="1" t="e">
        <f t="shared" si="65"/>
        <v>#DIV/0!</v>
      </c>
      <c r="AV85" s="1" t="s">
        <v>3539</v>
      </c>
    </row>
    <row r="86" spans="1:48" ht="14.25" customHeight="1">
      <c r="A86" s="4">
        <v>21</v>
      </c>
      <c r="C86" s="4" t="s">
        <v>135</v>
      </c>
      <c r="D86" s="1" t="s">
        <v>2889</v>
      </c>
      <c r="E86" s="1">
        <v>2005</v>
      </c>
      <c r="F86" s="1" t="s">
        <v>3032</v>
      </c>
      <c r="G86" s="1" t="s">
        <v>2946</v>
      </c>
      <c r="H86" s="1" t="s">
        <v>2928</v>
      </c>
      <c r="I86" s="1">
        <v>42.641388999999997</v>
      </c>
      <c r="J86" s="1">
        <v>-2.2769439999999999</v>
      </c>
      <c r="K86" s="1" t="s">
        <v>3001</v>
      </c>
      <c r="L86" s="1" t="s">
        <v>3102</v>
      </c>
      <c r="M86" s="1" t="s">
        <v>3120</v>
      </c>
      <c r="N86" s="1" t="s">
        <v>3303</v>
      </c>
      <c r="P86" s="1" t="s">
        <v>2890</v>
      </c>
      <c r="Q86" s="1" t="s">
        <v>3033</v>
      </c>
      <c r="R86" s="1" t="s">
        <v>2903</v>
      </c>
      <c r="S86" s="1">
        <v>1994</v>
      </c>
      <c r="T86" s="1">
        <v>4</v>
      </c>
      <c r="V86" s="1">
        <v>38</v>
      </c>
      <c r="Y86" s="1" t="s">
        <v>2994</v>
      </c>
      <c r="Z86" s="1" t="s">
        <v>2992</v>
      </c>
      <c r="AA86" s="1" t="s">
        <v>20</v>
      </c>
      <c r="AB86" s="1" t="s">
        <v>3035</v>
      </c>
      <c r="AC86" s="1" t="s">
        <v>36</v>
      </c>
      <c r="AD86" s="1" t="s">
        <v>36</v>
      </c>
      <c r="AE86" s="1" t="s">
        <v>36</v>
      </c>
      <c r="AF86" s="1" t="s">
        <v>3036</v>
      </c>
      <c r="AM86" s="33">
        <f t="shared" si="48"/>
        <v>0</v>
      </c>
      <c r="AN86" s="1">
        <f t="shared" si="21"/>
        <v>0</v>
      </c>
      <c r="AO86" s="1" t="e">
        <f t="shared" si="63"/>
        <v>#DIV/0!</v>
      </c>
      <c r="AP86" s="1" t="e">
        <f t="shared" si="22"/>
        <v>#DIV/0!</v>
      </c>
      <c r="AQ86" s="1">
        <f t="shared" si="23"/>
        <v>1.3333333333333333</v>
      </c>
      <c r="AR86" s="1" t="e">
        <f t="shared" si="64"/>
        <v>#DIV/0!</v>
      </c>
      <c r="AS86" s="1" t="e">
        <f t="shared" si="65"/>
        <v>#DIV/0!</v>
      </c>
      <c r="AV86" s="1" t="s">
        <v>3539</v>
      </c>
    </row>
    <row r="87" spans="1:48" ht="14.25" customHeight="1">
      <c r="A87" s="4">
        <v>141</v>
      </c>
      <c r="C87" s="4" t="s">
        <v>823</v>
      </c>
      <c r="D87" s="1" t="s">
        <v>2889</v>
      </c>
      <c r="E87" s="1">
        <v>2022</v>
      </c>
      <c r="F87" s="1">
        <v>2015</v>
      </c>
      <c r="G87" s="1" t="s">
        <v>3128</v>
      </c>
      <c r="H87" s="1" t="s">
        <v>2961</v>
      </c>
      <c r="I87" s="1">
        <v>20.327825000000001</v>
      </c>
      <c r="J87" s="1">
        <v>-74.804070999999993</v>
      </c>
      <c r="K87" s="1" t="s">
        <v>2968</v>
      </c>
      <c r="L87" s="1" t="s">
        <v>3100</v>
      </c>
      <c r="M87" s="1" t="s">
        <v>3129</v>
      </c>
      <c r="N87" s="1" t="s">
        <v>3303</v>
      </c>
      <c r="P87" s="1" t="s">
        <v>2948</v>
      </c>
      <c r="R87" s="1" t="s">
        <v>2935</v>
      </c>
      <c r="S87" s="1">
        <v>2015</v>
      </c>
      <c r="T87" s="1" t="s">
        <v>3056</v>
      </c>
      <c r="Y87" s="1" t="s">
        <v>2933</v>
      </c>
      <c r="Z87" s="1" t="s">
        <v>3226</v>
      </c>
      <c r="AA87" s="1" t="s">
        <v>22</v>
      </c>
      <c r="AB87" s="1" t="s">
        <v>2932</v>
      </c>
      <c r="AC87" s="1" t="s">
        <v>36</v>
      </c>
      <c r="AD87" s="1" t="s">
        <v>36</v>
      </c>
      <c r="AE87" s="1" t="s">
        <v>36</v>
      </c>
      <c r="AM87" s="33">
        <f t="shared" si="48"/>
        <v>0</v>
      </c>
      <c r="AN87" s="1">
        <f t="shared" si="21"/>
        <v>0</v>
      </c>
      <c r="AO87" s="1" t="e">
        <f t="shared" si="63"/>
        <v>#DIV/0!</v>
      </c>
      <c r="AP87" s="1" t="e">
        <f t="shared" si="22"/>
        <v>#DIV/0!</v>
      </c>
      <c r="AQ87" s="1">
        <f t="shared" si="23"/>
        <v>1.3333333333333333</v>
      </c>
      <c r="AR87" s="1" t="e">
        <f t="shared" si="64"/>
        <v>#DIV/0!</v>
      </c>
      <c r="AS87" s="1" t="e">
        <f t="shared" si="65"/>
        <v>#DIV/0!</v>
      </c>
      <c r="AV87" s="1" t="s">
        <v>3539</v>
      </c>
    </row>
    <row r="88" spans="1:48" ht="14.25" customHeight="1">
      <c r="A88" s="4">
        <v>474</v>
      </c>
      <c r="C88" s="4" t="s">
        <v>2415</v>
      </c>
      <c r="D88" s="1" t="s">
        <v>2889</v>
      </c>
      <c r="E88" s="1">
        <v>2023</v>
      </c>
      <c r="F88" s="1">
        <v>2020</v>
      </c>
      <c r="G88" s="1" t="s">
        <v>2946</v>
      </c>
      <c r="H88" s="1" t="s">
        <v>2928</v>
      </c>
      <c r="I88" s="1">
        <v>37.020277999999998</v>
      </c>
      <c r="J88" s="1">
        <v>-6.48</v>
      </c>
      <c r="K88" s="1" t="s">
        <v>2971</v>
      </c>
      <c r="P88" s="1" t="s">
        <v>2948</v>
      </c>
      <c r="R88" s="1" t="s">
        <v>2935</v>
      </c>
      <c r="S88" s="1">
        <v>2020</v>
      </c>
      <c r="T88" s="1" t="s">
        <v>2952</v>
      </c>
      <c r="Y88" s="1" t="s">
        <v>2911</v>
      </c>
      <c r="Z88" s="1" t="s">
        <v>3227</v>
      </c>
      <c r="AA88" s="1" t="s">
        <v>22</v>
      </c>
      <c r="AB88" s="1" t="s">
        <v>2912</v>
      </c>
      <c r="AC88" s="1" t="s">
        <v>3134</v>
      </c>
      <c r="AD88" s="1" t="s">
        <v>2913</v>
      </c>
      <c r="AE88" s="1" t="s">
        <v>2917</v>
      </c>
      <c r="AM88" s="33">
        <f t="shared" si="48"/>
        <v>0</v>
      </c>
      <c r="AN88" s="1">
        <f t="shared" si="21"/>
        <v>0</v>
      </c>
      <c r="AO88" s="1" t="e">
        <f t="shared" si="63"/>
        <v>#DIV/0!</v>
      </c>
      <c r="AP88" s="1" t="e">
        <f t="shared" si="22"/>
        <v>#DIV/0!</v>
      </c>
      <c r="AQ88" s="1">
        <f t="shared" si="23"/>
        <v>1.3333333333333333</v>
      </c>
      <c r="AR88" s="1" t="e">
        <f t="shared" si="64"/>
        <v>#DIV/0!</v>
      </c>
      <c r="AS88" s="1" t="e">
        <f t="shared" si="65"/>
        <v>#DIV/0!</v>
      </c>
      <c r="AV88" s="1" t="s">
        <v>3539</v>
      </c>
    </row>
    <row r="89" spans="1:48" ht="14.25" customHeight="1">
      <c r="A89" s="4">
        <v>102</v>
      </c>
      <c r="C89" s="4" t="s">
        <v>609</v>
      </c>
      <c r="D89" s="1" t="s">
        <v>2889</v>
      </c>
      <c r="E89" s="1">
        <v>2024</v>
      </c>
      <c r="F89" s="1">
        <v>2020</v>
      </c>
      <c r="G89" s="1" t="s">
        <v>3025</v>
      </c>
      <c r="H89" s="1" t="s">
        <v>3085</v>
      </c>
      <c r="I89" s="1">
        <v>44.798842</v>
      </c>
      <c r="J89" s="1">
        <v>-111.290696</v>
      </c>
      <c r="K89" s="1" t="s">
        <v>2971</v>
      </c>
      <c r="L89" s="1" t="s">
        <v>3100</v>
      </c>
      <c r="M89" s="1" t="s">
        <v>3112</v>
      </c>
      <c r="P89" s="1" t="s">
        <v>2948</v>
      </c>
      <c r="R89" s="1" t="s">
        <v>2903</v>
      </c>
      <c r="S89" s="1">
        <v>2019</v>
      </c>
      <c r="T89" s="1" t="s">
        <v>3084</v>
      </c>
      <c r="Y89" s="1" t="s">
        <v>2911</v>
      </c>
      <c r="Z89" s="1" t="s">
        <v>2985</v>
      </c>
      <c r="AA89" s="1" t="s">
        <v>22</v>
      </c>
      <c r="AB89" s="1" t="s">
        <v>2912</v>
      </c>
      <c r="AC89" s="1" t="s">
        <v>3134</v>
      </c>
      <c r="AD89" s="1" t="s">
        <v>2913</v>
      </c>
      <c r="AE89" s="1" t="s">
        <v>2930</v>
      </c>
      <c r="AM89" s="33">
        <f t="shared" si="48"/>
        <v>0</v>
      </c>
      <c r="AN89" s="1">
        <f t="shared" si="21"/>
        <v>0</v>
      </c>
      <c r="AO89" s="1" t="e">
        <f t="shared" si="63"/>
        <v>#DIV/0!</v>
      </c>
      <c r="AP89" s="1" t="e">
        <f t="shared" si="22"/>
        <v>#DIV/0!</v>
      </c>
      <c r="AQ89" s="1">
        <f t="shared" si="23"/>
        <v>1.3333333333333333</v>
      </c>
      <c r="AR89" s="1" t="e">
        <f t="shared" si="64"/>
        <v>#DIV/0!</v>
      </c>
      <c r="AS89" s="1" t="e">
        <f t="shared" si="65"/>
        <v>#DIV/0!</v>
      </c>
      <c r="AV89" s="1" t="s">
        <v>3539</v>
      </c>
    </row>
    <row r="90" spans="1:48" ht="14.25" customHeight="1">
      <c r="A90" s="4">
        <v>297</v>
      </c>
      <c r="C90" s="4" t="s">
        <v>1602</v>
      </c>
      <c r="D90" s="1" t="s">
        <v>2889</v>
      </c>
      <c r="E90" s="1">
        <v>2024</v>
      </c>
      <c r="F90" s="1">
        <v>2018</v>
      </c>
      <c r="G90" s="1" t="s">
        <v>3025</v>
      </c>
      <c r="H90" s="1" t="s">
        <v>3019</v>
      </c>
      <c r="I90" s="1">
        <v>30.238056</v>
      </c>
      <c r="J90" s="1">
        <v>-82.411389</v>
      </c>
      <c r="K90" s="1" t="s">
        <v>2971</v>
      </c>
      <c r="L90" s="1" t="s">
        <v>3100</v>
      </c>
      <c r="M90" s="1" t="s">
        <v>3115</v>
      </c>
      <c r="P90" s="1" t="s">
        <v>2948</v>
      </c>
      <c r="R90" s="1" t="s">
        <v>2903</v>
      </c>
      <c r="S90" s="1">
        <v>2018</v>
      </c>
      <c r="T90" s="1" t="s">
        <v>3057</v>
      </c>
      <c r="U90" s="1" t="s">
        <v>3273</v>
      </c>
      <c r="Y90" s="1" t="s">
        <v>2911</v>
      </c>
      <c r="AA90" s="1" t="s">
        <v>22</v>
      </c>
      <c r="AB90" s="1" t="s">
        <v>2912</v>
      </c>
      <c r="AC90" s="1" t="s">
        <v>3134</v>
      </c>
      <c r="AD90" s="1" t="s">
        <v>2913</v>
      </c>
      <c r="AE90" s="1" t="s">
        <v>2917</v>
      </c>
      <c r="AM90" s="33">
        <f t="shared" si="48"/>
        <v>0</v>
      </c>
      <c r="AN90" s="1">
        <f t="shared" ref="AN90:AN153" si="66">SQRT((((X90-1)*AH90^2)+((W90-1)*AK90^2))/(X90+W90-2))</f>
        <v>0</v>
      </c>
      <c r="AO90" s="1" t="e">
        <f t="shared" si="63"/>
        <v>#DIV/0!</v>
      </c>
      <c r="AP90" s="1" t="e">
        <f t="shared" ref="AP90:AP153" si="67">1/X90+1/W90+(AO90^2)/(2*(X90+W90))</f>
        <v>#DIV/0!</v>
      </c>
      <c r="AQ90" s="1">
        <f t="shared" ref="AQ90:AQ153" si="68">1-(3/(4*(X90+W90-2)-1))</f>
        <v>1.3333333333333333</v>
      </c>
      <c r="AR90" s="1" t="e">
        <f t="shared" si="64"/>
        <v>#DIV/0!</v>
      </c>
      <c r="AS90" s="1" t="e">
        <f t="shared" si="65"/>
        <v>#DIV/0!</v>
      </c>
      <c r="AV90" s="1" t="s">
        <v>3539</v>
      </c>
    </row>
    <row r="91" spans="1:48" ht="14.25" customHeight="1">
      <c r="A91" s="4">
        <v>297</v>
      </c>
      <c r="C91" s="4" t="s">
        <v>1602</v>
      </c>
      <c r="D91" s="1" t="s">
        <v>2889</v>
      </c>
      <c r="E91" s="1">
        <v>2024</v>
      </c>
      <c r="F91" s="1">
        <v>2018</v>
      </c>
      <c r="G91" s="1" t="s">
        <v>3025</v>
      </c>
      <c r="H91" s="1" t="s">
        <v>3019</v>
      </c>
      <c r="I91" s="1">
        <v>30.238056</v>
      </c>
      <c r="J91" s="1">
        <v>-82.411389</v>
      </c>
      <c r="K91" s="1" t="s">
        <v>2971</v>
      </c>
      <c r="L91" s="1" t="s">
        <v>3100</v>
      </c>
      <c r="M91" s="1" t="s">
        <v>3115</v>
      </c>
      <c r="P91" s="1" t="s">
        <v>2948</v>
      </c>
      <c r="R91" s="1" t="s">
        <v>2903</v>
      </c>
      <c r="S91" s="1">
        <v>2018</v>
      </c>
      <c r="T91" s="1" t="s">
        <v>3057</v>
      </c>
      <c r="U91" s="1" t="s">
        <v>3274</v>
      </c>
      <c r="Y91" s="1" t="s">
        <v>2911</v>
      </c>
      <c r="AA91" s="1" t="s">
        <v>22</v>
      </c>
      <c r="AB91" s="1" t="s">
        <v>2912</v>
      </c>
      <c r="AC91" s="1" t="s">
        <v>3134</v>
      </c>
      <c r="AD91" s="1" t="s">
        <v>2913</v>
      </c>
      <c r="AE91" s="1" t="s">
        <v>2917</v>
      </c>
      <c r="AM91" s="33">
        <f t="shared" si="48"/>
        <v>0</v>
      </c>
      <c r="AN91" s="1">
        <f t="shared" si="66"/>
        <v>0</v>
      </c>
      <c r="AO91" s="1" t="e">
        <f t="shared" si="63"/>
        <v>#DIV/0!</v>
      </c>
      <c r="AP91" s="1" t="e">
        <f t="shared" si="67"/>
        <v>#DIV/0!</v>
      </c>
      <c r="AQ91" s="1">
        <f t="shared" si="68"/>
        <v>1.3333333333333333</v>
      </c>
      <c r="AR91" s="1" t="e">
        <f t="shared" si="64"/>
        <v>#DIV/0!</v>
      </c>
      <c r="AS91" s="1" t="e">
        <f t="shared" si="65"/>
        <v>#DIV/0!</v>
      </c>
      <c r="AV91" s="1" t="s">
        <v>3539</v>
      </c>
    </row>
    <row r="92" spans="1:48" ht="14.25" customHeight="1">
      <c r="A92" s="4">
        <v>297</v>
      </c>
      <c r="C92" s="4" t="s">
        <v>1602</v>
      </c>
      <c r="D92" s="1" t="s">
        <v>2889</v>
      </c>
      <c r="E92" s="1">
        <v>2024</v>
      </c>
      <c r="F92" s="1">
        <v>2018</v>
      </c>
      <c r="G92" s="1" t="s">
        <v>3025</v>
      </c>
      <c r="H92" s="1" t="s">
        <v>3019</v>
      </c>
      <c r="I92" s="1">
        <v>30.238056</v>
      </c>
      <c r="J92" s="1">
        <v>-82.411389</v>
      </c>
      <c r="K92" s="1" t="s">
        <v>2971</v>
      </c>
      <c r="L92" s="1" t="s">
        <v>3100</v>
      </c>
      <c r="M92" s="1" t="s">
        <v>3115</v>
      </c>
      <c r="P92" s="1" t="s">
        <v>2948</v>
      </c>
      <c r="R92" s="1" t="s">
        <v>2903</v>
      </c>
      <c r="S92" s="1">
        <v>2018</v>
      </c>
      <c r="T92" s="1" t="s">
        <v>3057</v>
      </c>
      <c r="U92" s="1" t="s">
        <v>3275</v>
      </c>
      <c r="Y92" s="1" t="s">
        <v>2911</v>
      </c>
      <c r="AA92" s="1" t="s">
        <v>22</v>
      </c>
      <c r="AB92" s="1" t="s">
        <v>2912</v>
      </c>
      <c r="AC92" s="1" t="s">
        <v>3134</v>
      </c>
      <c r="AD92" s="1" t="s">
        <v>2913</v>
      </c>
      <c r="AE92" s="1" t="s">
        <v>2917</v>
      </c>
      <c r="AM92" s="33">
        <f t="shared" si="48"/>
        <v>0</v>
      </c>
      <c r="AN92" s="1">
        <f t="shared" si="66"/>
        <v>0</v>
      </c>
      <c r="AO92" s="1" t="e">
        <f t="shared" si="63"/>
        <v>#DIV/0!</v>
      </c>
      <c r="AP92" s="1" t="e">
        <f t="shared" si="67"/>
        <v>#DIV/0!</v>
      </c>
      <c r="AQ92" s="1">
        <f t="shared" si="68"/>
        <v>1.3333333333333333</v>
      </c>
      <c r="AR92" s="1" t="e">
        <f t="shared" si="64"/>
        <v>#DIV/0!</v>
      </c>
      <c r="AS92" s="1" t="e">
        <f t="shared" si="65"/>
        <v>#DIV/0!</v>
      </c>
      <c r="AV92" s="1" t="s">
        <v>3539</v>
      </c>
    </row>
    <row r="93" spans="1:48" ht="14.25" customHeight="1">
      <c r="A93" s="30">
        <v>252</v>
      </c>
      <c r="B93" s="30"/>
      <c r="C93" s="30" t="s">
        <v>1393</v>
      </c>
      <c r="D93" s="30" t="s">
        <v>2889</v>
      </c>
      <c r="E93" s="30">
        <v>2011</v>
      </c>
      <c r="F93" s="30" t="s">
        <v>3278</v>
      </c>
      <c r="G93" s="30" t="s">
        <v>3162</v>
      </c>
      <c r="H93" s="30" t="s">
        <v>2928</v>
      </c>
      <c r="I93" s="30">
        <v>41.831111</v>
      </c>
      <c r="J93" s="30">
        <v>-6.5036110000000003</v>
      </c>
      <c r="K93" s="30" t="s">
        <v>2968</v>
      </c>
      <c r="L93" s="30" t="s">
        <v>3100</v>
      </c>
      <c r="M93" s="30" t="s">
        <v>3101</v>
      </c>
      <c r="N93" s="30"/>
      <c r="O93" s="30"/>
      <c r="P93" s="30" t="s">
        <v>2890</v>
      </c>
      <c r="Q93" s="30" t="s">
        <v>2983</v>
      </c>
      <c r="R93" s="30" t="s">
        <v>2903</v>
      </c>
      <c r="S93" s="30">
        <v>2002</v>
      </c>
      <c r="T93" s="30"/>
      <c r="U93" s="30"/>
      <c r="V93" s="30">
        <v>1427</v>
      </c>
      <c r="W93" s="30"/>
      <c r="X93" s="30"/>
      <c r="Y93" s="30" t="s">
        <v>2933</v>
      </c>
      <c r="Z93" s="30" t="s">
        <v>36</v>
      </c>
      <c r="AA93" s="30" t="s">
        <v>20</v>
      </c>
      <c r="AB93" s="30" t="s">
        <v>2932</v>
      </c>
      <c r="AC93" s="30" t="s">
        <v>36</v>
      </c>
      <c r="AD93" s="30" t="s">
        <v>36</v>
      </c>
      <c r="AE93" s="30" t="s">
        <v>36</v>
      </c>
      <c r="AF93" s="30"/>
      <c r="AJ93" s="30"/>
      <c r="AK93" s="30"/>
      <c r="AL93" s="30"/>
      <c r="AM93" s="33">
        <f t="shared" si="48"/>
        <v>0</v>
      </c>
      <c r="AN93" s="1">
        <f t="shared" si="66"/>
        <v>0</v>
      </c>
      <c r="AO93" s="1" t="e">
        <f t="shared" si="63"/>
        <v>#DIV/0!</v>
      </c>
      <c r="AP93" s="1" t="e">
        <f t="shared" si="67"/>
        <v>#DIV/0!</v>
      </c>
      <c r="AQ93" s="1">
        <f t="shared" si="68"/>
        <v>1.3333333333333333</v>
      </c>
      <c r="AR93" s="1" t="e">
        <f t="shared" si="64"/>
        <v>#DIV/0!</v>
      </c>
      <c r="AS93" s="1" t="e">
        <f t="shared" si="65"/>
        <v>#DIV/0!</v>
      </c>
      <c r="AV93" s="1" t="s">
        <v>3539</v>
      </c>
    </row>
    <row r="94" spans="1:48" ht="14.25" customHeight="1">
      <c r="A94" s="30">
        <v>232</v>
      </c>
      <c r="B94" s="30"/>
      <c r="C94" s="30" t="s">
        <v>1290</v>
      </c>
      <c r="D94" s="30" t="s">
        <v>2889</v>
      </c>
      <c r="E94" s="30">
        <v>2014</v>
      </c>
      <c r="F94" s="30" t="s">
        <v>3278</v>
      </c>
      <c r="G94" s="30" t="s">
        <v>2946</v>
      </c>
      <c r="H94" s="30" t="s">
        <v>2928</v>
      </c>
      <c r="I94" s="30">
        <v>41.831111</v>
      </c>
      <c r="J94" s="30">
        <v>-6.5036110000000003</v>
      </c>
      <c r="K94" s="30" t="s">
        <v>2968</v>
      </c>
      <c r="L94" s="30" t="s">
        <v>3100</v>
      </c>
      <c r="M94" s="30" t="s">
        <v>3101</v>
      </c>
      <c r="N94" s="30"/>
      <c r="O94" s="30"/>
      <c r="P94" s="30" t="s">
        <v>2890</v>
      </c>
      <c r="Q94" s="30" t="s">
        <v>2983</v>
      </c>
      <c r="R94" s="30" t="s">
        <v>2903</v>
      </c>
      <c r="S94" s="30">
        <v>2002</v>
      </c>
      <c r="T94" s="30"/>
      <c r="U94" s="30"/>
      <c r="V94" s="30">
        <v>1427</v>
      </c>
      <c r="W94" s="30"/>
      <c r="X94" s="30"/>
      <c r="Y94" s="30" t="s">
        <v>2933</v>
      </c>
      <c r="Z94" s="30" t="s">
        <v>36</v>
      </c>
      <c r="AA94" s="30" t="s">
        <v>20</v>
      </c>
      <c r="AB94" s="30" t="s">
        <v>2932</v>
      </c>
      <c r="AC94" s="30" t="s">
        <v>36</v>
      </c>
      <c r="AD94" s="30" t="s">
        <v>36</v>
      </c>
      <c r="AE94" s="30" t="s">
        <v>36</v>
      </c>
      <c r="AF94" s="30"/>
      <c r="AJ94" s="30"/>
      <c r="AK94" s="30"/>
      <c r="AL94" s="30"/>
      <c r="AM94" s="33">
        <f t="shared" si="48"/>
        <v>0</v>
      </c>
      <c r="AN94" s="1">
        <f t="shared" si="66"/>
        <v>0</v>
      </c>
      <c r="AO94" s="1" t="e">
        <f t="shared" si="63"/>
        <v>#DIV/0!</v>
      </c>
      <c r="AP94" s="1" t="e">
        <f t="shared" si="67"/>
        <v>#DIV/0!</v>
      </c>
      <c r="AQ94" s="1">
        <f t="shared" si="68"/>
        <v>1.3333333333333333</v>
      </c>
      <c r="AR94" s="1" t="e">
        <f t="shared" si="64"/>
        <v>#DIV/0!</v>
      </c>
      <c r="AS94" s="1" t="e">
        <f t="shared" si="65"/>
        <v>#DIV/0!</v>
      </c>
      <c r="AV94" s="1" t="s">
        <v>3539</v>
      </c>
    </row>
    <row r="95" spans="1:48" ht="14.25" customHeight="1">
      <c r="A95" s="30">
        <v>111</v>
      </c>
      <c r="B95" s="30"/>
      <c r="C95" s="30" t="s">
        <v>654</v>
      </c>
      <c r="D95" s="30" t="s">
        <v>2889</v>
      </c>
      <c r="E95" s="30">
        <v>2019</v>
      </c>
      <c r="F95" s="30"/>
      <c r="G95" s="30" t="s">
        <v>2946</v>
      </c>
      <c r="H95" s="30" t="s">
        <v>2928</v>
      </c>
      <c r="I95" s="30">
        <v>41.831111</v>
      </c>
      <c r="J95" s="30">
        <v>-6.5036110000000003</v>
      </c>
      <c r="K95" s="30" t="s">
        <v>2968</v>
      </c>
      <c r="L95" s="30" t="s">
        <v>3100</v>
      </c>
      <c r="M95" s="30" t="s">
        <v>3101</v>
      </c>
      <c r="N95" s="30"/>
      <c r="O95" s="30"/>
      <c r="P95" s="30" t="s">
        <v>2890</v>
      </c>
      <c r="Q95" s="30" t="s">
        <v>2983</v>
      </c>
      <c r="R95" s="30" t="s">
        <v>2903</v>
      </c>
      <c r="S95" s="30">
        <v>2002</v>
      </c>
      <c r="T95" s="30">
        <v>1</v>
      </c>
      <c r="U95" s="30"/>
      <c r="V95" s="30">
        <v>1427</v>
      </c>
      <c r="W95" s="30"/>
      <c r="X95" s="30"/>
      <c r="Y95" s="30" t="s">
        <v>2933</v>
      </c>
      <c r="Z95" s="30" t="s">
        <v>36</v>
      </c>
      <c r="AA95" s="30" t="s">
        <v>20</v>
      </c>
      <c r="AB95" s="30" t="s">
        <v>2932</v>
      </c>
      <c r="AC95" s="30" t="s">
        <v>36</v>
      </c>
      <c r="AD95" s="30" t="s">
        <v>36</v>
      </c>
      <c r="AE95" s="30" t="s">
        <v>36</v>
      </c>
      <c r="AF95" s="30"/>
      <c r="AJ95" s="30"/>
      <c r="AK95" s="30"/>
      <c r="AL95" s="30"/>
      <c r="AM95" s="33">
        <f t="shared" si="48"/>
        <v>0</v>
      </c>
      <c r="AN95" s="1">
        <f t="shared" si="66"/>
        <v>0</v>
      </c>
      <c r="AO95" s="1" t="e">
        <f t="shared" si="63"/>
        <v>#DIV/0!</v>
      </c>
      <c r="AP95" s="1" t="e">
        <f t="shared" si="67"/>
        <v>#DIV/0!</v>
      </c>
      <c r="AQ95" s="1">
        <f t="shared" si="68"/>
        <v>1.3333333333333333</v>
      </c>
      <c r="AR95" s="1" t="e">
        <f t="shared" si="64"/>
        <v>#DIV/0!</v>
      </c>
      <c r="AS95" s="1" t="e">
        <f t="shared" si="65"/>
        <v>#DIV/0!</v>
      </c>
      <c r="AV95" s="1" t="s">
        <v>3539</v>
      </c>
    </row>
    <row r="96" spans="1:48" ht="14.25" customHeight="1">
      <c r="A96" s="30">
        <v>111</v>
      </c>
      <c r="B96" s="30"/>
      <c r="C96" s="30" t="s">
        <v>654</v>
      </c>
      <c r="D96" s="30" t="s">
        <v>2889</v>
      </c>
      <c r="E96" s="30">
        <v>2019</v>
      </c>
      <c r="F96" s="30"/>
      <c r="G96" s="30" t="s">
        <v>2946</v>
      </c>
      <c r="H96" s="30" t="s">
        <v>2928</v>
      </c>
      <c r="I96" s="30">
        <v>41.831111</v>
      </c>
      <c r="J96" s="30">
        <v>-6.5036110000000003</v>
      </c>
      <c r="K96" s="30" t="s">
        <v>2968</v>
      </c>
      <c r="L96" s="30" t="s">
        <v>3100</v>
      </c>
      <c r="M96" s="30" t="s">
        <v>3101</v>
      </c>
      <c r="N96" s="30"/>
      <c r="O96" s="30"/>
      <c r="P96" s="30" t="s">
        <v>2890</v>
      </c>
      <c r="Q96" s="30" t="s">
        <v>2983</v>
      </c>
      <c r="R96" s="30" t="s">
        <v>2903</v>
      </c>
      <c r="S96" s="30">
        <v>2002</v>
      </c>
      <c r="T96" s="30">
        <v>5</v>
      </c>
      <c r="U96" s="30"/>
      <c r="V96" s="30">
        <v>1427</v>
      </c>
      <c r="W96" s="30"/>
      <c r="X96" s="30"/>
      <c r="Y96" s="30" t="s">
        <v>2933</v>
      </c>
      <c r="Z96" s="30" t="s">
        <v>36</v>
      </c>
      <c r="AA96" s="30" t="s">
        <v>20</v>
      </c>
      <c r="AB96" s="30" t="s">
        <v>2932</v>
      </c>
      <c r="AC96" s="30" t="s">
        <v>36</v>
      </c>
      <c r="AD96" s="30" t="s">
        <v>36</v>
      </c>
      <c r="AE96" s="30" t="s">
        <v>36</v>
      </c>
      <c r="AF96" s="30"/>
      <c r="AJ96" s="30"/>
      <c r="AK96" s="30"/>
      <c r="AL96" s="30"/>
      <c r="AM96" s="33">
        <f t="shared" si="48"/>
        <v>0</v>
      </c>
      <c r="AN96" s="1">
        <f t="shared" si="66"/>
        <v>0</v>
      </c>
      <c r="AO96" s="1" t="e">
        <f t="shared" si="63"/>
        <v>#DIV/0!</v>
      </c>
      <c r="AP96" s="1" t="e">
        <f t="shared" si="67"/>
        <v>#DIV/0!</v>
      </c>
      <c r="AQ96" s="1">
        <f t="shared" si="68"/>
        <v>1.3333333333333333</v>
      </c>
      <c r="AR96" s="1" t="e">
        <f t="shared" si="64"/>
        <v>#DIV/0!</v>
      </c>
      <c r="AS96" s="1" t="e">
        <f t="shared" si="65"/>
        <v>#DIV/0!</v>
      </c>
      <c r="AV96" s="1" t="s">
        <v>3539</v>
      </c>
    </row>
    <row r="97" spans="1:48" ht="14.25" customHeight="1">
      <c r="A97" s="29">
        <v>111</v>
      </c>
      <c r="B97" s="29"/>
      <c r="C97" s="29" t="s">
        <v>654</v>
      </c>
      <c r="D97" s="29" t="s">
        <v>2889</v>
      </c>
      <c r="E97" s="29">
        <v>2019</v>
      </c>
      <c r="F97" s="29"/>
      <c r="G97" s="29" t="s">
        <v>2946</v>
      </c>
      <c r="H97" s="29" t="s">
        <v>2928</v>
      </c>
      <c r="I97" s="29"/>
      <c r="J97" s="29"/>
      <c r="K97" s="29" t="s">
        <v>2968</v>
      </c>
      <c r="L97" s="29" t="s">
        <v>3100</v>
      </c>
      <c r="M97" s="29" t="s">
        <v>3117</v>
      </c>
      <c r="N97" s="29"/>
      <c r="O97" s="29"/>
      <c r="P97" s="29" t="s">
        <v>2890</v>
      </c>
      <c r="Q97" s="29" t="s">
        <v>2983</v>
      </c>
      <c r="R97" s="29" t="s">
        <v>2903</v>
      </c>
      <c r="S97" s="29">
        <v>2002</v>
      </c>
      <c r="T97" s="29">
        <v>1</v>
      </c>
      <c r="U97" s="29"/>
      <c r="V97" s="29">
        <v>118.03</v>
      </c>
      <c r="W97" s="29"/>
      <c r="X97" s="29"/>
      <c r="Y97" s="29" t="s">
        <v>2933</v>
      </c>
      <c r="Z97" s="29" t="s">
        <v>36</v>
      </c>
      <c r="AA97" s="29" t="s">
        <v>20</v>
      </c>
      <c r="AB97" s="29" t="s">
        <v>2932</v>
      </c>
      <c r="AC97" s="29" t="s">
        <v>36</v>
      </c>
      <c r="AD97" s="29" t="s">
        <v>36</v>
      </c>
      <c r="AE97" s="29" t="s">
        <v>36</v>
      </c>
      <c r="AF97" s="29"/>
      <c r="AJ97" s="29"/>
      <c r="AK97" s="29"/>
      <c r="AL97" s="29"/>
      <c r="AM97" s="33">
        <f t="shared" si="48"/>
        <v>0</v>
      </c>
      <c r="AN97" s="1">
        <f t="shared" si="66"/>
        <v>0</v>
      </c>
      <c r="AO97" s="1" t="e">
        <f t="shared" si="63"/>
        <v>#DIV/0!</v>
      </c>
      <c r="AP97" s="1" t="e">
        <f t="shared" si="67"/>
        <v>#DIV/0!</v>
      </c>
      <c r="AQ97" s="1">
        <f t="shared" si="68"/>
        <v>1.3333333333333333</v>
      </c>
      <c r="AR97" s="1" t="e">
        <f t="shared" si="64"/>
        <v>#DIV/0!</v>
      </c>
      <c r="AS97" s="1" t="e">
        <f t="shared" si="65"/>
        <v>#DIV/0!</v>
      </c>
      <c r="AV97" s="1" t="s">
        <v>3539</v>
      </c>
    </row>
    <row r="98" spans="1:48" ht="14.25" customHeight="1">
      <c r="A98" s="29">
        <v>111</v>
      </c>
      <c r="B98" s="29"/>
      <c r="C98" s="29" t="s">
        <v>654</v>
      </c>
      <c r="D98" s="29" t="s">
        <v>2889</v>
      </c>
      <c r="E98" s="29">
        <v>2019</v>
      </c>
      <c r="F98" s="29"/>
      <c r="G98" s="29" t="s">
        <v>2946</v>
      </c>
      <c r="H98" s="29" t="s">
        <v>2928</v>
      </c>
      <c r="I98" s="29"/>
      <c r="J98" s="29"/>
      <c r="K98" s="29" t="s">
        <v>2968</v>
      </c>
      <c r="L98" s="29" t="s">
        <v>3100</v>
      </c>
      <c r="M98" s="29" t="s">
        <v>3117</v>
      </c>
      <c r="N98" s="29"/>
      <c r="O98" s="29"/>
      <c r="P98" s="29" t="s">
        <v>2890</v>
      </c>
      <c r="Q98" s="29" t="s">
        <v>2983</v>
      </c>
      <c r="R98" s="29" t="s">
        <v>2903</v>
      </c>
      <c r="S98" s="29">
        <v>2002</v>
      </c>
      <c r="T98" s="29">
        <v>5</v>
      </c>
      <c r="U98" s="29"/>
      <c r="V98" s="29">
        <v>118.03</v>
      </c>
      <c r="W98" s="29"/>
      <c r="X98" s="29"/>
      <c r="Y98" s="29" t="s">
        <v>2933</v>
      </c>
      <c r="Z98" s="29" t="s">
        <v>36</v>
      </c>
      <c r="AA98" s="29" t="s">
        <v>20</v>
      </c>
      <c r="AB98" s="29" t="s">
        <v>2932</v>
      </c>
      <c r="AC98" s="29" t="s">
        <v>36</v>
      </c>
      <c r="AD98" s="29" t="s">
        <v>36</v>
      </c>
      <c r="AE98" s="29" t="s">
        <v>36</v>
      </c>
      <c r="AF98" s="29"/>
      <c r="AJ98" s="29"/>
      <c r="AK98" s="29"/>
      <c r="AL98" s="29"/>
      <c r="AM98" s="33">
        <f t="shared" si="48"/>
        <v>0</v>
      </c>
      <c r="AN98" s="1">
        <f t="shared" si="66"/>
        <v>0</v>
      </c>
      <c r="AO98" s="1" t="e">
        <f t="shared" si="63"/>
        <v>#DIV/0!</v>
      </c>
      <c r="AP98" s="1" t="e">
        <f t="shared" si="67"/>
        <v>#DIV/0!</v>
      </c>
      <c r="AQ98" s="1">
        <f t="shared" si="68"/>
        <v>1.3333333333333333</v>
      </c>
      <c r="AR98" s="1" t="e">
        <f t="shared" si="64"/>
        <v>#DIV/0!</v>
      </c>
      <c r="AS98" s="1" t="e">
        <f t="shared" si="65"/>
        <v>#DIV/0!</v>
      </c>
      <c r="AV98" s="1" t="s">
        <v>3539</v>
      </c>
    </row>
    <row r="99" spans="1:48" ht="14.25" customHeight="1">
      <c r="A99" s="29">
        <v>111</v>
      </c>
      <c r="B99" s="29"/>
      <c r="C99" s="29" t="s">
        <v>654</v>
      </c>
      <c r="D99" s="29" t="s">
        <v>2889</v>
      </c>
      <c r="E99" s="29">
        <v>2019</v>
      </c>
      <c r="F99" s="29"/>
      <c r="G99" s="29" t="s">
        <v>3051</v>
      </c>
      <c r="H99" s="29" t="s">
        <v>2939</v>
      </c>
      <c r="I99" s="29"/>
      <c r="J99" s="29"/>
      <c r="K99" s="29" t="s">
        <v>2968</v>
      </c>
      <c r="L99" s="29" t="s">
        <v>3100</v>
      </c>
      <c r="M99" s="29" t="s">
        <v>3106</v>
      </c>
      <c r="N99" s="29"/>
      <c r="O99" s="29"/>
      <c r="P99" s="29" t="s">
        <v>2890</v>
      </c>
      <c r="Q99" s="29" t="s">
        <v>2983</v>
      </c>
      <c r="R99" s="29" t="s">
        <v>2903</v>
      </c>
      <c r="S99" s="29">
        <v>1992</v>
      </c>
      <c r="T99" s="29">
        <v>1</v>
      </c>
      <c r="U99" s="29"/>
      <c r="V99" s="29">
        <v>143</v>
      </c>
      <c r="W99" s="29"/>
      <c r="X99" s="29"/>
      <c r="Y99" s="29" t="s">
        <v>2933</v>
      </c>
      <c r="Z99" s="29" t="s">
        <v>36</v>
      </c>
      <c r="AA99" s="29" t="s">
        <v>20</v>
      </c>
      <c r="AB99" s="29" t="s">
        <v>2932</v>
      </c>
      <c r="AC99" s="29" t="s">
        <v>36</v>
      </c>
      <c r="AD99" s="29" t="s">
        <v>36</v>
      </c>
      <c r="AE99" s="29" t="s">
        <v>36</v>
      </c>
      <c r="AF99" s="29"/>
      <c r="AJ99" s="29"/>
      <c r="AK99" s="29"/>
      <c r="AL99" s="29"/>
      <c r="AM99" s="33">
        <f t="shared" si="48"/>
        <v>0</v>
      </c>
      <c r="AN99" s="1">
        <f t="shared" si="66"/>
        <v>0</v>
      </c>
      <c r="AO99" s="1" t="e">
        <f t="shared" si="63"/>
        <v>#DIV/0!</v>
      </c>
      <c r="AP99" s="1" t="e">
        <f t="shared" si="67"/>
        <v>#DIV/0!</v>
      </c>
      <c r="AQ99" s="1">
        <f t="shared" si="68"/>
        <v>1.3333333333333333</v>
      </c>
      <c r="AR99" s="1" t="e">
        <f t="shared" si="64"/>
        <v>#DIV/0!</v>
      </c>
      <c r="AS99" s="1" t="e">
        <f t="shared" si="65"/>
        <v>#DIV/0!</v>
      </c>
      <c r="AV99" s="1" t="s">
        <v>3539</v>
      </c>
    </row>
    <row r="100" spans="1:48" ht="14.25" customHeight="1">
      <c r="A100" s="29">
        <v>111</v>
      </c>
      <c r="B100" s="29"/>
      <c r="C100" s="29" t="s">
        <v>654</v>
      </c>
      <c r="D100" s="29" t="s">
        <v>2889</v>
      </c>
      <c r="E100" s="29">
        <v>2019</v>
      </c>
      <c r="F100" s="29"/>
      <c r="G100" s="29" t="s">
        <v>3051</v>
      </c>
      <c r="H100" s="29" t="s">
        <v>2939</v>
      </c>
      <c r="I100" s="29"/>
      <c r="J100" s="29"/>
      <c r="K100" s="29" t="s">
        <v>2968</v>
      </c>
      <c r="L100" s="29" t="s">
        <v>3100</v>
      </c>
      <c r="M100" s="29" t="s">
        <v>3106</v>
      </c>
      <c r="N100" s="29"/>
      <c r="O100" s="29"/>
      <c r="P100" s="29" t="s">
        <v>2890</v>
      </c>
      <c r="Q100" s="29" t="s">
        <v>2983</v>
      </c>
      <c r="R100" s="29" t="s">
        <v>2903</v>
      </c>
      <c r="S100" s="29">
        <v>1992</v>
      </c>
      <c r="T100" s="29">
        <v>5</v>
      </c>
      <c r="U100" s="29"/>
      <c r="V100" s="29">
        <v>143</v>
      </c>
      <c r="W100" s="29"/>
      <c r="X100" s="29"/>
      <c r="Y100" s="29" t="s">
        <v>2933</v>
      </c>
      <c r="Z100" s="29" t="s">
        <v>36</v>
      </c>
      <c r="AA100" s="29" t="s">
        <v>20</v>
      </c>
      <c r="AB100" s="29" t="s">
        <v>2932</v>
      </c>
      <c r="AC100" s="29" t="s">
        <v>36</v>
      </c>
      <c r="AD100" s="29" t="s">
        <v>36</v>
      </c>
      <c r="AE100" s="29" t="s">
        <v>36</v>
      </c>
      <c r="AF100" s="29"/>
      <c r="AJ100" s="29"/>
      <c r="AK100" s="29"/>
      <c r="AL100" s="29"/>
      <c r="AM100" s="33">
        <f t="shared" si="48"/>
        <v>0</v>
      </c>
      <c r="AN100" s="1">
        <f t="shared" si="66"/>
        <v>0</v>
      </c>
      <c r="AO100" s="1" t="e">
        <f t="shared" si="63"/>
        <v>#DIV/0!</v>
      </c>
      <c r="AP100" s="1" t="e">
        <f t="shared" si="67"/>
        <v>#DIV/0!</v>
      </c>
      <c r="AQ100" s="1">
        <f t="shared" si="68"/>
        <v>1.3333333333333333</v>
      </c>
      <c r="AR100" s="1" t="e">
        <f t="shared" si="64"/>
        <v>#DIV/0!</v>
      </c>
      <c r="AS100" s="1" t="e">
        <f t="shared" si="65"/>
        <v>#DIV/0!</v>
      </c>
      <c r="AV100" s="1" t="s">
        <v>3539</v>
      </c>
    </row>
    <row r="101" spans="1:48" ht="14.25" customHeight="1">
      <c r="A101" s="4">
        <v>76</v>
      </c>
      <c r="C101" s="4" t="s">
        <v>463</v>
      </c>
      <c r="D101" s="1" t="s">
        <v>2889</v>
      </c>
      <c r="E101" s="1">
        <v>2016</v>
      </c>
      <c r="F101" s="1">
        <v>2013</v>
      </c>
      <c r="G101" s="1" t="s">
        <v>3025</v>
      </c>
      <c r="H101" s="1" t="s">
        <v>2928</v>
      </c>
      <c r="I101" s="1">
        <v>38.249952999999998</v>
      </c>
      <c r="J101" s="1">
        <v>-120.001614</v>
      </c>
      <c r="K101" s="1" t="s">
        <v>3001</v>
      </c>
      <c r="L101" s="1" t="s">
        <v>3100</v>
      </c>
      <c r="M101" s="1" t="s">
        <v>3118</v>
      </c>
      <c r="P101" s="1" t="s">
        <v>2890</v>
      </c>
      <c r="Q101" s="1" t="s">
        <v>2983</v>
      </c>
      <c r="R101" s="1" t="s">
        <v>2935</v>
      </c>
      <c r="S101" s="1">
        <v>2013</v>
      </c>
      <c r="T101" s="1" t="s">
        <v>3277</v>
      </c>
      <c r="V101" s="1">
        <v>100000</v>
      </c>
      <c r="W101" s="1">
        <v>13</v>
      </c>
      <c r="X101" s="1">
        <v>26</v>
      </c>
      <c r="Y101" s="1" t="s">
        <v>2994</v>
      </c>
      <c r="Z101" s="1" t="s">
        <v>3228</v>
      </c>
      <c r="AA101" s="1" t="s">
        <v>22</v>
      </c>
      <c r="AB101" s="1" t="s">
        <v>2912</v>
      </c>
      <c r="AC101" s="1" t="s">
        <v>3134</v>
      </c>
      <c r="AD101" s="1" t="s">
        <v>3221</v>
      </c>
      <c r="AE101" s="1" t="s">
        <v>2930</v>
      </c>
      <c r="AM101" s="33">
        <f t="shared" si="48"/>
        <v>0</v>
      </c>
      <c r="AN101" s="1">
        <f t="shared" si="66"/>
        <v>0</v>
      </c>
      <c r="AO101" s="1" t="e">
        <f t="shared" si="63"/>
        <v>#DIV/0!</v>
      </c>
      <c r="AP101" s="1" t="e">
        <f t="shared" si="67"/>
        <v>#DIV/0!</v>
      </c>
      <c r="AQ101" s="1">
        <f t="shared" si="68"/>
        <v>0.97959183673469385</v>
      </c>
      <c r="AR101" s="1" t="e">
        <f t="shared" si="64"/>
        <v>#DIV/0!</v>
      </c>
      <c r="AS101" s="1" t="e">
        <f t="shared" si="65"/>
        <v>#DIV/0!</v>
      </c>
      <c r="AV101" s="1" t="s">
        <v>3539</v>
      </c>
    </row>
    <row r="102" spans="1:48" ht="14.25" customHeight="1">
      <c r="A102" s="4">
        <v>76</v>
      </c>
      <c r="C102" s="4" t="s">
        <v>463</v>
      </c>
      <c r="D102" s="1" t="s">
        <v>2901</v>
      </c>
      <c r="E102" s="1">
        <v>2016</v>
      </c>
      <c r="G102" s="1" t="s">
        <v>3025</v>
      </c>
      <c r="H102" s="1" t="s">
        <v>2928</v>
      </c>
      <c r="I102" s="1">
        <v>38.249952999999998</v>
      </c>
      <c r="J102" s="1">
        <v>-120.001614</v>
      </c>
      <c r="K102" s="1" t="s">
        <v>3001</v>
      </c>
      <c r="L102" s="1" t="s">
        <v>3100</v>
      </c>
      <c r="M102" s="1" t="s">
        <v>3206</v>
      </c>
      <c r="P102" s="1" t="s">
        <v>2890</v>
      </c>
      <c r="Q102" s="1" t="s">
        <v>2983</v>
      </c>
      <c r="R102" s="1" t="s">
        <v>2935</v>
      </c>
      <c r="S102" s="1">
        <v>2013</v>
      </c>
      <c r="V102" s="1">
        <v>100000</v>
      </c>
      <c r="W102" s="1">
        <v>13</v>
      </c>
      <c r="X102" s="1">
        <v>26</v>
      </c>
      <c r="Y102" s="1" t="s">
        <v>2994</v>
      </c>
      <c r="Z102" s="1" t="s">
        <v>3228</v>
      </c>
      <c r="AA102" s="1" t="s">
        <v>22</v>
      </c>
      <c r="AB102" s="1" t="s">
        <v>2912</v>
      </c>
      <c r="AC102" s="1" t="s">
        <v>3134</v>
      </c>
      <c r="AD102" s="1" t="s">
        <v>3221</v>
      </c>
      <c r="AE102" s="1" t="s">
        <v>2930</v>
      </c>
      <c r="AM102" s="33">
        <f t="shared" si="48"/>
        <v>0</v>
      </c>
      <c r="AN102" s="1">
        <f t="shared" si="66"/>
        <v>0</v>
      </c>
      <c r="AO102" s="1" t="e">
        <f t="shared" si="63"/>
        <v>#DIV/0!</v>
      </c>
      <c r="AP102" s="1" t="e">
        <f t="shared" si="67"/>
        <v>#DIV/0!</v>
      </c>
      <c r="AQ102" s="1">
        <f t="shared" si="68"/>
        <v>0.97959183673469385</v>
      </c>
      <c r="AR102" s="1" t="e">
        <f t="shared" si="64"/>
        <v>#DIV/0!</v>
      </c>
      <c r="AS102" s="1" t="e">
        <f t="shared" si="65"/>
        <v>#DIV/0!</v>
      </c>
      <c r="AV102" s="1" t="s">
        <v>3539</v>
      </c>
    </row>
    <row r="103" spans="1:48" ht="14.25" customHeight="1">
      <c r="A103" s="4">
        <v>562</v>
      </c>
      <c r="C103" s="4" t="s">
        <v>2809</v>
      </c>
      <c r="D103" s="1" t="s">
        <v>2889</v>
      </c>
      <c r="E103" s="1">
        <v>2023</v>
      </c>
      <c r="F103" s="1">
        <v>2021</v>
      </c>
      <c r="G103" s="1" t="s">
        <v>2910</v>
      </c>
      <c r="H103" s="1" t="s">
        <v>2944</v>
      </c>
      <c r="I103" s="1">
        <v>-36.537121999999997</v>
      </c>
      <c r="J103" s="1">
        <v>142.010153</v>
      </c>
      <c r="K103" s="1" t="s">
        <v>2971</v>
      </c>
      <c r="L103" s="1" t="s">
        <v>2931</v>
      </c>
      <c r="P103" s="1" t="s">
        <v>2890</v>
      </c>
      <c r="R103" s="1" t="s">
        <v>2903</v>
      </c>
      <c r="T103" s="1">
        <v>1</v>
      </c>
      <c r="Y103" s="1" t="s">
        <v>2911</v>
      </c>
      <c r="Z103" s="1" t="s">
        <v>2924</v>
      </c>
      <c r="AA103" s="1" t="s">
        <v>22</v>
      </c>
      <c r="AB103" s="1" t="s">
        <v>2912</v>
      </c>
      <c r="AC103" s="1" t="s">
        <v>3134</v>
      </c>
      <c r="AD103" s="1" t="s">
        <v>2913</v>
      </c>
      <c r="AE103" s="1" t="s">
        <v>2917</v>
      </c>
      <c r="AM103" s="33">
        <f t="shared" si="48"/>
        <v>0</v>
      </c>
      <c r="AN103" s="1">
        <f t="shared" si="66"/>
        <v>0</v>
      </c>
      <c r="AO103" s="1" t="e">
        <f t="shared" si="63"/>
        <v>#DIV/0!</v>
      </c>
      <c r="AP103" s="1" t="e">
        <f t="shared" si="67"/>
        <v>#DIV/0!</v>
      </c>
      <c r="AQ103" s="1">
        <f t="shared" si="68"/>
        <v>1.3333333333333333</v>
      </c>
      <c r="AR103" s="1" t="e">
        <f t="shared" si="64"/>
        <v>#DIV/0!</v>
      </c>
      <c r="AS103" s="1" t="e">
        <f t="shared" si="65"/>
        <v>#DIV/0!</v>
      </c>
      <c r="AV103" s="1" t="s">
        <v>3539</v>
      </c>
    </row>
    <row r="104" spans="1:48" ht="14.25" customHeight="1">
      <c r="A104" s="4">
        <v>562</v>
      </c>
      <c r="C104" s="4" t="s">
        <v>2809</v>
      </c>
      <c r="D104" s="1" t="s">
        <v>2889</v>
      </c>
      <c r="E104" s="1">
        <v>2023</v>
      </c>
      <c r="F104" s="1">
        <v>2021</v>
      </c>
      <c r="G104" s="1" t="s">
        <v>2910</v>
      </c>
      <c r="H104" s="1" t="s">
        <v>2944</v>
      </c>
      <c r="I104" s="1">
        <v>-36.537121999999997</v>
      </c>
      <c r="J104" s="1">
        <v>142.010153</v>
      </c>
      <c r="K104" s="1" t="s">
        <v>2971</v>
      </c>
      <c r="L104" s="1" t="s">
        <v>2931</v>
      </c>
      <c r="P104" s="1" t="s">
        <v>2890</v>
      </c>
      <c r="R104" s="1" t="s">
        <v>2903</v>
      </c>
      <c r="T104" s="1">
        <v>2</v>
      </c>
      <c r="Y104" s="1" t="s">
        <v>2911</v>
      </c>
      <c r="Z104" s="1" t="s">
        <v>2924</v>
      </c>
      <c r="AA104" s="1" t="s">
        <v>22</v>
      </c>
      <c r="AB104" s="1" t="s">
        <v>2912</v>
      </c>
      <c r="AC104" s="1" t="s">
        <v>3134</v>
      </c>
      <c r="AD104" s="1" t="s">
        <v>2913</v>
      </c>
      <c r="AE104" s="1" t="s">
        <v>2917</v>
      </c>
      <c r="AM104" s="33">
        <f t="shared" si="48"/>
        <v>0</v>
      </c>
      <c r="AN104" s="1">
        <f t="shared" si="66"/>
        <v>0</v>
      </c>
      <c r="AO104" s="1" t="e">
        <f t="shared" si="63"/>
        <v>#DIV/0!</v>
      </c>
      <c r="AP104" s="1" t="e">
        <f t="shared" si="67"/>
        <v>#DIV/0!</v>
      </c>
      <c r="AQ104" s="1">
        <f t="shared" si="68"/>
        <v>1.3333333333333333</v>
      </c>
      <c r="AR104" s="1" t="e">
        <f t="shared" si="64"/>
        <v>#DIV/0!</v>
      </c>
      <c r="AS104" s="1" t="e">
        <f t="shared" si="65"/>
        <v>#DIV/0!</v>
      </c>
      <c r="AV104" s="1" t="s">
        <v>3539</v>
      </c>
    </row>
    <row r="105" spans="1:48" ht="14.25" customHeight="1">
      <c r="A105" s="4">
        <v>562</v>
      </c>
      <c r="C105" s="4" t="s">
        <v>2809</v>
      </c>
      <c r="D105" s="1" t="s">
        <v>2889</v>
      </c>
      <c r="E105" s="1">
        <v>2023</v>
      </c>
      <c r="F105" s="1">
        <v>2021</v>
      </c>
      <c r="G105" s="1" t="s">
        <v>2910</v>
      </c>
      <c r="H105" s="1" t="s">
        <v>2944</v>
      </c>
      <c r="I105" s="1">
        <v>-36.537121999999997</v>
      </c>
      <c r="J105" s="1">
        <v>142.010153</v>
      </c>
      <c r="K105" s="1" t="s">
        <v>2971</v>
      </c>
      <c r="L105" s="1" t="s">
        <v>2931</v>
      </c>
      <c r="P105" s="1" t="s">
        <v>2890</v>
      </c>
      <c r="R105" s="1" t="s">
        <v>2903</v>
      </c>
      <c r="T105" s="1">
        <v>3</v>
      </c>
      <c r="Y105" s="1" t="s">
        <v>2911</v>
      </c>
      <c r="Z105" s="1" t="s">
        <v>2924</v>
      </c>
      <c r="AA105" s="1" t="s">
        <v>22</v>
      </c>
      <c r="AB105" s="1" t="s">
        <v>2912</v>
      </c>
      <c r="AC105" s="1" t="s">
        <v>3134</v>
      </c>
      <c r="AD105" s="1" t="s">
        <v>2913</v>
      </c>
      <c r="AE105" s="1" t="s">
        <v>2917</v>
      </c>
      <c r="AM105" s="33">
        <f t="shared" si="48"/>
        <v>0</v>
      </c>
      <c r="AN105" s="1">
        <f t="shared" si="66"/>
        <v>0</v>
      </c>
      <c r="AO105" s="1" t="e">
        <f t="shared" si="63"/>
        <v>#DIV/0!</v>
      </c>
      <c r="AP105" s="1" t="e">
        <f t="shared" si="67"/>
        <v>#DIV/0!</v>
      </c>
      <c r="AQ105" s="1">
        <f t="shared" si="68"/>
        <v>1.3333333333333333</v>
      </c>
      <c r="AR105" s="1" t="e">
        <f t="shared" si="64"/>
        <v>#DIV/0!</v>
      </c>
      <c r="AS105" s="1" t="e">
        <f t="shared" si="65"/>
        <v>#DIV/0!</v>
      </c>
      <c r="AV105" s="1" t="s">
        <v>3539</v>
      </c>
    </row>
    <row r="106" spans="1:48" ht="14.25" customHeight="1">
      <c r="A106" s="4">
        <v>562</v>
      </c>
      <c r="C106" s="4" t="s">
        <v>2809</v>
      </c>
      <c r="D106" s="1" t="s">
        <v>2889</v>
      </c>
      <c r="E106" s="1">
        <v>2023</v>
      </c>
      <c r="F106" s="1">
        <v>2021</v>
      </c>
      <c r="G106" s="1" t="s">
        <v>2910</v>
      </c>
      <c r="H106" s="1" t="s">
        <v>2944</v>
      </c>
      <c r="I106" s="1">
        <v>-36.537121999999997</v>
      </c>
      <c r="J106" s="1">
        <v>142.010153</v>
      </c>
      <c r="K106" s="1" t="s">
        <v>2971</v>
      </c>
      <c r="L106" s="1" t="s">
        <v>2931</v>
      </c>
      <c r="P106" s="1" t="s">
        <v>2890</v>
      </c>
      <c r="R106" s="1" t="s">
        <v>2903</v>
      </c>
      <c r="T106" s="1">
        <v>4</v>
      </c>
      <c r="Y106" s="1" t="s">
        <v>2911</v>
      </c>
      <c r="Z106" s="1" t="s">
        <v>2924</v>
      </c>
      <c r="AA106" s="1" t="s">
        <v>22</v>
      </c>
      <c r="AB106" s="1" t="s">
        <v>2912</v>
      </c>
      <c r="AC106" s="1" t="s">
        <v>3134</v>
      </c>
      <c r="AD106" s="1" t="s">
        <v>2913</v>
      </c>
      <c r="AE106" s="1" t="s">
        <v>2917</v>
      </c>
      <c r="AM106" s="33">
        <f t="shared" si="48"/>
        <v>0</v>
      </c>
      <c r="AN106" s="1">
        <f t="shared" si="66"/>
        <v>0</v>
      </c>
      <c r="AO106" s="1" t="e">
        <f t="shared" si="63"/>
        <v>#DIV/0!</v>
      </c>
      <c r="AP106" s="1" t="e">
        <f t="shared" si="67"/>
        <v>#DIV/0!</v>
      </c>
      <c r="AQ106" s="1">
        <f t="shared" si="68"/>
        <v>1.3333333333333333</v>
      </c>
      <c r="AR106" s="1" t="e">
        <f t="shared" si="64"/>
        <v>#DIV/0!</v>
      </c>
      <c r="AS106" s="1" t="e">
        <f t="shared" si="65"/>
        <v>#DIV/0!</v>
      </c>
      <c r="AV106" s="1" t="s">
        <v>3539</v>
      </c>
    </row>
    <row r="107" spans="1:48" ht="14.25" customHeight="1">
      <c r="A107" s="4">
        <v>562</v>
      </c>
      <c r="C107" s="4" t="s">
        <v>2809</v>
      </c>
      <c r="D107" s="1" t="s">
        <v>2889</v>
      </c>
      <c r="E107" s="1">
        <v>2023</v>
      </c>
      <c r="F107" s="1">
        <v>2021</v>
      </c>
      <c r="G107" s="1" t="s">
        <v>2910</v>
      </c>
      <c r="H107" s="1" t="s">
        <v>2944</v>
      </c>
      <c r="I107" s="1">
        <v>-36.537121999999997</v>
      </c>
      <c r="J107" s="1">
        <v>142.010153</v>
      </c>
      <c r="K107" s="1" t="s">
        <v>2971</v>
      </c>
      <c r="L107" s="1" t="s">
        <v>2931</v>
      </c>
      <c r="P107" s="1" t="s">
        <v>2890</v>
      </c>
      <c r="R107" s="1" t="s">
        <v>2903</v>
      </c>
      <c r="T107" s="1">
        <v>5</v>
      </c>
      <c r="Y107" s="1" t="s">
        <v>2911</v>
      </c>
      <c r="Z107" s="1" t="s">
        <v>2924</v>
      </c>
      <c r="AA107" s="1" t="s">
        <v>22</v>
      </c>
      <c r="AB107" s="1" t="s">
        <v>2912</v>
      </c>
      <c r="AC107" s="1" t="s">
        <v>3134</v>
      </c>
      <c r="AD107" s="1" t="s">
        <v>2913</v>
      </c>
      <c r="AE107" s="1" t="s">
        <v>2917</v>
      </c>
      <c r="AM107" s="33">
        <f t="shared" si="48"/>
        <v>0</v>
      </c>
      <c r="AN107" s="1">
        <f t="shared" si="66"/>
        <v>0</v>
      </c>
      <c r="AO107" s="1" t="e">
        <f t="shared" si="63"/>
        <v>#DIV/0!</v>
      </c>
      <c r="AP107" s="1" t="e">
        <f t="shared" si="67"/>
        <v>#DIV/0!</v>
      </c>
      <c r="AQ107" s="1">
        <f t="shared" si="68"/>
        <v>1.3333333333333333</v>
      </c>
      <c r="AR107" s="1" t="e">
        <f t="shared" si="64"/>
        <v>#DIV/0!</v>
      </c>
      <c r="AS107" s="1" t="e">
        <f t="shared" si="65"/>
        <v>#DIV/0!</v>
      </c>
      <c r="AV107" s="1" t="s">
        <v>3539</v>
      </c>
    </row>
    <row r="108" spans="1:48" ht="14.25" customHeight="1">
      <c r="A108" s="4">
        <v>562</v>
      </c>
      <c r="C108" s="4" t="s">
        <v>2809</v>
      </c>
      <c r="D108" s="1" t="s">
        <v>2889</v>
      </c>
      <c r="E108" s="1">
        <v>2023</v>
      </c>
      <c r="F108" s="1">
        <v>2021</v>
      </c>
      <c r="G108" s="1" t="s">
        <v>2910</v>
      </c>
      <c r="H108" s="1" t="s">
        <v>2944</v>
      </c>
      <c r="I108" s="1">
        <v>-36.537121999999997</v>
      </c>
      <c r="J108" s="1">
        <v>142.010153</v>
      </c>
      <c r="K108" s="1" t="s">
        <v>2971</v>
      </c>
      <c r="L108" s="1" t="s">
        <v>2931</v>
      </c>
      <c r="P108" s="1" t="s">
        <v>2890</v>
      </c>
      <c r="R108" s="1" t="s">
        <v>2903</v>
      </c>
      <c r="T108" s="1">
        <v>6</v>
      </c>
      <c r="Y108" s="1" t="s">
        <v>2911</v>
      </c>
      <c r="Z108" s="1" t="s">
        <v>2924</v>
      </c>
      <c r="AA108" s="1" t="s">
        <v>22</v>
      </c>
      <c r="AB108" s="1" t="s">
        <v>2912</v>
      </c>
      <c r="AC108" s="1" t="s">
        <v>3134</v>
      </c>
      <c r="AD108" s="1" t="s">
        <v>2913</v>
      </c>
      <c r="AE108" s="1" t="s">
        <v>2917</v>
      </c>
      <c r="AM108" s="33">
        <f t="shared" si="48"/>
        <v>0</v>
      </c>
      <c r="AN108" s="1">
        <f t="shared" si="66"/>
        <v>0</v>
      </c>
      <c r="AO108" s="1" t="e">
        <f t="shared" si="63"/>
        <v>#DIV/0!</v>
      </c>
      <c r="AP108" s="1" t="e">
        <f t="shared" si="67"/>
        <v>#DIV/0!</v>
      </c>
      <c r="AQ108" s="1">
        <f t="shared" si="68"/>
        <v>1.3333333333333333</v>
      </c>
      <c r="AR108" s="1" t="e">
        <f t="shared" si="64"/>
        <v>#DIV/0!</v>
      </c>
      <c r="AS108" s="1" t="e">
        <f t="shared" si="65"/>
        <v>#DIV/0!</v>
      </c>
      <c r="AV108" s="1" t="s">
        <v>3539</v>
      </c>
    </row>
    <row r="109" spans="1:48" ht="14.25" customHeight="1">
      <c r="A109" s="4">
        <v>562</v>
      </c>
      <c r="C109" s="4" t="s">
        <v>2809</v>
      </c>
      <c r="D109" s="1" t="s">
        <v>2889</v>
      </c>
      <c r="E109" s="1">
        <v>2023</v>
      </c>
      <c r="F109" s="1">
        <v>2021</v>
      </c>
      <c r="G109" s="1" t="s">
        <v>2910</v>
      </c>
      <c r="H109" s="1" t="s">
        <v>2944</v>
      </c>
      <c r="I109" s="1">
        <v>-36.537121999999997</v>
      </c>
      <c r="J109" s="1">
        <v>142.010153</v>
      </c>
      <c r="K109" s="1" t="s">
        <v>2971</v>
      </c>
      <c r="L109" s="1" t="s">
        <v>2931</v>
      </c>
      <c r="P109" s="1" t="s">
        <v>2890</v>
      </c>
      <c r="R109" s="1" t="s">
        <v>2903</v>
      </c>
      <c r="T109" s="1">
        <v>7</v>
      </c>
      <c r="Y109" s="1" t="s">
        <v>2911</v>
      </c>
      <c r="Z109" s="1" t="s">
        <v>2924</v>
      </c>
      <c r="AA109" s="1" t="s">
        <v>22</v>
      </c>
      <c r="AB109" s="1" t="s">
        <v>2912</v>
      </c>
      <c r="AC109" s="1" t="s">
        <v>3134</v>
      </c>
      <c r="AD109" s="1" t="s">
        <v>2913</v>
      </c>
      <c r="AE109" s="1" t="s">
        <v>2917</v>
      </c>
      <c r="AM109" s="33">
        <f t="shared" si="48"/>
        <v>0</v>
      </c>
      <c r="AN109" s="1">
        <f t="shared" si="66"/>
        <v>0</v>
      </c>
      <c r="AO109" s="1" t="e">
        <f t="shared" si="63"/>
        <v>#DIV/0!</v>
      </c>
      <c r="AP109" s="1" t="e">
        <f t="shared" si="67"/>
        <v>#DIV/0!</v>
      </c>
      <c r="AQ109" s="1">
        <f t="shared" si="68"/>
        <v>1.3333333333333333</v>
      </c>
      <c r="AR109" s="1" t="e">
        <f t="shared" si="64"/>
        <v>#DIV/0!</v>
      </c>
      <c r="AS109" s="1" t="e">
        <f t="shared" si="65"/>
        <v>#DIV/0!</v>
      </c>
      <c r="AV109" s="1" t="s">
        <v>3539</v>
      </c>
    </row>
    <row r="110" spans="1:48" ht="14.25" customHeight="1">
      <c r="A110" s="4">
        <v>562</v>
      </c>
      <c r="C110" s="4" t="s">
        <v>2809</v>
      </c>
      <c r="D110" s="1" t="s">
        <v>2889</v>
      </c>
      <c r="E110" s="1">
        <v>2023</v>
      </c>
      <c r="F110" s="1">
        <v>2021</v>
      </c>
      <c r="G110" s="1" t="s">
        <v>2910</v>
      </c>
      <c r="H110" s="1" t="s">
        <v>2944</v>
      </c>
      <c r="I110" s="1">
        <v>-36.537121999999997</v>
      </c>
      <c r="J110" s="1">
        <v>142.010153</v>
      </c>
      <c r="K110" s="1" t="s">
        <v>2971</v>
      </c>
      <c r="L110" s="1" t="s">
        <v>2931</v>
      </c>
      <c r="P110" s="1" t="s">
        <v>2890</v>
      </c>
      <c r="R110" s="1" t="s">
        <v>2903</v>
      </c>
      <c r="T110" s="1">
        <v>8</v>
      </c>
      <c r="Y110" s="1" t="s">
        <v>2911</v>
      </c>
      <c r="Z110" s="1" t="s">
        <v>2924</v>
      </c>
      <c r="AA110" s="1" t="s">
        <v>22</v>
      </c>
      <c r="AB110" s="1" t="s">
        <v>2912</v>
      </c>
      <c r="AC110" s="1" t="s">
        <v>3134</v>
      </c>
      <c r="AD110" s="1" t="s">
        <v>2913</v>
      </c>
      <c r="AE110" s="1" t="s">
        <v>2917</v>
      </c>
      <c r="AM110" s="33">
        <f t="shared" si="48"/>
        <v>0</v>
      </c>
      <c r="AN110" s="1">
        <f t="shared" si="66"/>
        <v>0</v>
      </c>
      <c r="AO110" s="1" t="e">
        <f t="shared" si="63"/>
        <v>#DIV/0!</v>
      </c>
      <c r="AP110" s="1" t="e">
        <f t="shared" si="67"/>
        <v>#DIV/0!</v>
      </c>
      <c r="AQ110" s="1">
        <f t="shared" si="68"/>
        <v>1.3333333333333333</v>
      </c>
      <c r="AR110" s="1" t="e">
        <f t="shared" si="64"/>
        <v>#DIV/0!</v>
      </c>
      <c r="AS110" s="1" t="e">
        <f t="shared" si="65"/>
        <v>#DIV/0!</v>
      </c>
      <c r="AV110" s="1" t="s">
        <v>3539</v>
      </c>
    </row>
    <row r="111" spans="1:48" ht="14.25" customHeight="1">
      <c r="A111" s="4">
        <v>562</v>
      </c>
      <c r="C111" s="4" t="s">
        <v>2809</v>
      </c>
      <c r="D111" s="1" t="s">
        <v>2889</v>
      </c>
      <c r="E111" s="1">
        <v>2023</v>
      </c>
      <c r="F111" s="1">
        <v>2021</v>
      </c>
      <c r="G111" s="1" t="s">
        <v>2910</v>
      </c>
      <c r="H111" s="1" t="s">
        <v>2944</v>
      </c>
      <c r="I111" s="1">
        <v>-36.537121999999997</v>
      </c>
      <c r="J111" s="1">
        <v>142.010153</v>
      </c>
      <c r="K111" s="1" t="s">
        <v>2971</v>
      </c>
      <c r="L111" s="1" t="s">
        <v>2931</v>
      </c>
      <c r="P111" s="1" t="s">
        <v>2890</v>
      </c>
      <c r="R111" s="1" t="s">
        <v>2903</v>
      </c>
      <c r="T111" s="1">
        <v>12</v>
      </c>
      <c r="Y111" s="1" t="s">
        <v>2911</v>
      </c>
      <c r="Z111" s="1" t="s">
        <v>2924</v>
      </c>
      <c r="AA111" s="1" t="s">
        <v>22</v>
      </c>
      <c r="AB111" s="1" t="s">
        <v>2912</v>
      </c>
      <c r="AC111" s="1" t="s">
        <v>3134</v>
      </c>
      <c r="AD111" s="1" t="s">
        <v>2913</v>
      </c>
      <c r="AE111" s="1" t="s">
        <v>2917</v>
      </c>
      <c r="AM111" s="33">
        <f t="shared" si="48"/>
        <v>0</v>
      </c>
      <c r="AN111" s="1">
        <f t="shared" si="66"/>
        <v>0</v>
      </c>
      <c r="AO111" s="1" t="e">
        <f t="shared" si="63"/>
        <v>#DIV/0!</v>
      </c>
      <c r="AP111" s="1" t="e">
        <f t="shared" si="67"/>
        <v>#DIV/0!</v>
      </c>
      <c r="AQ111" s="1">
        <f t="shared" si="68"/>
        <v>1.3333333333333333</v>
      </c>
      <c r="AR111" s="1" t="e">
        <f t="shared" si="64"/>
        <v>#DIV/0!</v>
      </c>
      <c r="AS111" s="1" t="e">
        <f t="shared" si="65"/>
        <v>#DIV/0!</v>
      </c>
      <c r="AV111" s="1" t="s">
        <v>3539</v>
      </c>
    </row>
    <row r="112" spans="1:48" ht="14.25" customHeight="1">
      <c r="A112" s="4">
        <v>562</v>
      </c>
      <c r="C112" s="4" t="s">
        <v>2809</v>
      </c>
      <c r="D112" s="1" t="s">
        <v>2889</v>
      </c>
      <c r="E112" s="1">
        <v>2023</v>
      </c>
      <c r="F112" s="1">
        <v>2021</v>
      </c>
      <c r="G112" s="1" t="s">
        <v>2910</v>
      </c>
      <c r="H112" s="1" t="s">
        <v>2944</v>
      </c>
      <c r="I112" s="1">
        <v>-36.537121999999997</v>
      </c>
      <c r="J112" s="1">
        <v>142.010153</v>
      </c>
      <c r="K112" s="1" t="s">
        <v>2971</v>
      </c>
      <c r="L112" s="1" t="s">
        <v>2931</v>
      </c>
      <c r="P112" s="1" t="s">
        <v>2890</v>
      </c>
      <c r="R112" s="1" t="s">
        <v>2903</v>
      </c>
      <c r="T112" s="1">
        <v>13</v>
      </c>
      <c r="Y112" s="1" t="s">
        <v>2911</v>
      </c>
      <c r="Z112" s="1" t="s">
        <v>2924</v>
      </c>
      <c r="AA112" s="1" t="s">
        <v>22</v>
      </c>
      <c r="AB112" s="1" t="s">
        <v>2912</v>
      </c>
      <c r="AC112" s="1" t="s">
        <v>3134</v>
      </c>
      <c r="AD112" s="1" t="s">
        <v>2913</v>
      </c>
      <c r="AE112" s="1" t="s">
        <v>2917</v>
      </c>
      <c r="AM112" s="33">
        <f t="shared" si="48"/>
        <v>0</v>
      </c>
      <c r="AN112" s="1">
        <f t="shared" si="66"/>
        <v>0</v>
      </c>
      <c r="AO112" s="1" t="e">
        <f t="shared" si="63"/>
        <v>#DIV/0!</v>
      </c>
      <c r="AP112" s="1" t="e">
        <f t="shared" si="67"/>
        <v>#DIV/0!</v>
      </c>
      <c r="AQ112" s="1">
        <f t="shared" si="68"/>
        <v>1.3333333333333333</v>
      </c>
      <c r="AR112" s="1" t="e">
        <f t="shared" si="64"/>
        <v>#DIV/0!</v>
      </c>
      <c r="AS112" s="1" t="e">
        <f t="shared" si="65"/>
        <v>#DIV/0!</v>
      </c>
      <c r="AV112" s="1" t="s">
        <v>3539</v>
      </c>
    </row>
    <row r="113" spans="1:48" ht="14.25" customHeight="1">
      <c r="A113" s="4">
        <v>562</v>
      </c>
      <c r="C113" s="4" t="s">
        <v>2809</v>
      </c>
      <c r="D113" s="1" t="s">
        <v>2889</v>
      </c>
      <c r="E113" s="1">
        <v>2023</v>
      </c>
      <c r="F113" s="1">
        <v>2021</v>
      </c>
      <c r="G113" s="1" t="s">
        <v>2910</v>
      </c>
      <c r="H113" s="1" t="s">
        <v>2944</v>
      </c>
      <c r="I113" s="1">
        <v>-36.537121999999997</v>
      </c>
      <c r="J113" s="1">
        <v>142.010153</v>
      </c>
      <c r="K113" s="1" t="s">
        <v>2971</v>
      </c>
      <c r="L113" s="1" t="s">
        <v>2931</v>
      </c>
      <c r="P113" s="1" t="s">
        <v>2890</v>
      </c>
      <c r="R113" s="1" t="s">
        <v>2903</v>
      </c>
      <c r="T113" s="1">
        <v>14</v>
      </c>
      <c r="Y113" s="1" t="s">
        <v>2911</v>
      </c>
      <c r="Z113" s="1" t="s">
        <v>2924</v>
      </c>
      <c r="AA113" s="1" t="s">
        <v>22</v>
      </c>
      <c r="AB113" s="1" t="s">
        <v>2912</v>
      </c>
      <c r="AC113" s="1" t="s">
        <v>3134</v>
      </c>
      <c r="AD113" s="1" t="s">
        <v>2913</v>
      </c>
      <c r="AE113" s="1" t="s">
        <v>2917</v>
      </c>
      <c r="AM113" s="33">
        <f t="shared" si="48"/>
        <v>0</v>
      </c>
      <c r="AN113" s="1">
        <f t="shared" si="66"/>
        <v>0</v>
      </c>
      <c r="AO113" s="1" t="e">
        <f t="shared" si="63"/>
        <v>#DIV/0!</v>
      </c>
      <c r="AP113" s="1" t="e">
        <f t="shared" si="67"/>
        <v>#DIV/0!</v>
      </c>
      <c r="AQ113" s="1">
        <f t="shared" si="68"/>
        <v>1.3333333333333333</v>
      </c>
      <c r="AR113" s="1" t="e">
        <f t="shared" si="64"/>
        <v>#DIV/0!</v>
      </c>
      <c r="AS113" s="1" t="e">
        <f t="shared" si="65"/>
        <v>#DIV/0!</v>
      </c>
      <c r="AV113" s="1" t="s">
        <v>3539</v>
      </c>
    </row>
    <row r="114" spans="1:48" ht="14.25" customHeight="1">
      <c r="A114" s="4">
        <v>174</v>
      </c>
      <c r="C114" s="4" t="s">
        <v>992</v>
      </c>
      <c r="D114" s="1" t="s">
        <v>2889</v>
      </c>
      <c r="E114" s="1">
        <v>2018</v>
      </c>
      <c r="F114" s="1">
        <v>2014</v>
      </c>
      <c r="G114" s="1" t="s">
        <v>3025</v>
      </c>
      <c r="I114" s="1">
        <v>45.633378</v>
      </c>
      <c r="J114" s="1">
        <v>-117.217235</v>
      </c>
      <c r="K114" s="1" t="s">
        <v>3001</v>
      </c>
      <c r="L114" s="1" t="s">
        <v>3100</v>
      </c>
      <c r="M114" s="1" t="s">
        <v>3118</v>
      </c>
      <c r="P114" s="1" t="s">
        <v>2948</v>
      </c>
      <c r="R114" s="1" t="s">
        <v>2903</v>
      </c>
      <c r="S114" s="1">
        <v>2000</v>
      </c>
      <c r="T114" s="1">
        <v>14</v>
      </c>
      <c r="W114" s="1">
        <v>12</v>
      </c>
      <c r="X114" s="1">
        <v>12</v>
      </c>
      <c r="Y114" s="1" t="s">
        <v>2994</v>
      </c>
      <c r="Z114" s="1" t="s">
        <v>3227</v>
      </c>
      <c r="AA114" s="1" t="s">
        <v>22</v>
      </c>
      <c r="AB114" s="1" t="s">
        <v>2912</v>
      </c>
      <c r="AD114" s="1" t="s">
        <v>3135</v>
      </c>
      <c r="AE114" s="1" t="s">
        <v>2914</v>
      </c>
      <c r="AF114" s="1" t="s">
        <v>3028</v>
      </c>
      <c r="AM114" s="33">
        <f t="shared" si="48"/>
        <v>0</v>
      </c>
      <c r="AN114" s="1">
        <f t="shared" si="66"/>
        <v>0</v>
      </c>
      <c r="AO114" s="1" t="e">
        <f t="shared" si="63"/>
        <v>#DIV/0!</v>
      </c>
      <c r="AP114" s="1" t="e">
        <f t="shared" si="67"/>
        <v>#DIV/0!</v>
      </c>
      <c r="AQ114" s="1">
        <f t="shared" si="68"/>
        <v>0.96551724137931039</v>
      </c>
      <c r="AR114" s="1" t="e">
        <f t="shared" si="64"/>
        <v>#DIV/0!</v>
      </c>
      <c r="AS114" s="1" t="e">
        <f t="shared" si="65"/>
        <v>#DIV/0!</v>
      </c>
      <c r="AV114" s="1" t="s">
        <v>3539</v>
      </c>
    </row>
    <row r="115" spans="1:48" ht="14.25" customHeight="1">
      <c r="A115" s="4">
        <v>174</v>
      </c>
      <c r="C115" s="4" t="s">
        <v>992</v>
      </c>
      <c r="D115" s="1" t="s">
        <v>2889</v>
      </c>
      <c r="E115" s="1">
        <v>2018</v>
      </c>
      <c r="F115" s="1">
        <v>2014</v>
      </c>
      <c r="G115" s="1" t="s">
        <v>3025</v>
      </c>
      <c r="I115" s="1">
        <v>45.633378</v>
      </c>
      <c r="J115" s="1">
        <v>-117.217235</v>
      </c>
      <c r="K115" s="1" t="s">
        <v>3001</v>
      </c>
      <c r="L115" s="1" t="s">
        <v>3100</v>
      </c>
      <c r="M115" s="1" t="s">
        <v>3118</v>
      </c>
      <c r="P115" s="1" t="s">
        <v>2948</v>
      </c>
      <c r="R115" s="1" t="s">
        <v>2903</v>
      </c>
      <c r="S115" s="1">
        <v>2000</v>
      </c>
      <c r="T115" s="1">
        <v>14</v>
      </c>
      <c r="W115" s="1">
        <v>12</v>
      </c>
      <c r="X115" s="1">
        <v>12</v>
      </c>
      <c r="Y115" s="1" t="s">
        <v>2994</v>
      </c>
      <c r="Z115" s="1" t="s">
        <v>3227</v>
      </c>
      <c r="AA115" s="1" t="s">
        <v>22</v>
      </c>
      <c r="AB115" s="1" t="s">
        <v>2912</v>
      </c>
      <c r="AD115" s="1" t="s">
        <v>3135</v>
      </c>
      <c r="AE115" s="1" t="s">
        <v>2914</v>
      </c>
      <c r="AF115" s="1" t="s">
        <v>3036</v>
      </c>
      <c r="AM115" s="33">
        <f t="shared" si="48"/>
        <v>0</v>
      </c>
      <c r="AN115" s="1">
        <f t="shared" si="66"/>
        <v>0</v>
      </c>
      <c r="AO115" s="1" t="e">
        <f t="shared" si="63"/>
        <v>#DIV/0!</v>
      </c>
      <c r="AP115" s="1" t="e">
        <f t="shared" si="67"/>
        <v>#DIV/0!</v>
      </c>
      <c r="AQ115" s="1">
        <f t="shared" si="68"/>
        <v>0.96551724137931039</v>
      </c>
      <c r="AR115" s="1" t="e">
        <f t="shared" si="64"/>
        <v>#DIV/0!</v>
      </c>
      <c r="AS115" s="1" t="e">
        <f t="shared" si="65"/>
        <v>#DIV/0!</v>
      </c>
      <c r="AV115" s="1" t="s">
        <v>3539</v>
      </c>
    </row>
    <row r="116" spans="1:48" ht="14.25" customHeight="1">
      <c r="A116" s="4">
        <v>174</v>
      </c>
      <c r="C116" s="4" t="s">
        <v>992</v>
      </c>
      <c r="D116" s="1" t="s">
        <v>2889</v>
      </c>
      <c r="E116" s="1">
        <v>2018</v>
      </c>
      <c r="F116" s="1">
        <v>2014</v>
      </c>
      <c r="G116" s="1" t="s">
        <v>3025</v>
      </c>
      <c r="I116" s="1">
        <v>45.633378</v>
      </c>
      <c r="J116" s="1">
        <v>-117.217235</v>
      </c>
      <c r="K116" s="1" t="s">
        <v>3001</v>
      </c>
      <c r="L116" s="1" t="s">
        <v>3100</v>
      </c>
      <c r="M116" s="1" t="s">
        <v>3118</v>
      </c>
      <c r="P116" s="1" t="s">
        <v>2948</v>
      </c>
      <c r="R116" s="1" t="s">
        <v>2903</v>
      </c>
      <c r="S116" s="1">
        <v>2000</v>
      </c>
      <c r="T116" s="1">
        <v>14</v>
      </c>
      <c r="W116" s="1">
        <v>12</v>
      </c>
      <c r="X116" s="1">
        <v>12</v>
      </c>
      <c r="Y116" s="1" t="s">
        <v>2994</v>
      </c>
      <c r="Z116" s="1" t="s">
        <v>3227</v>
      </c>
      <c r="AA116" s="1" t="s">
        <v>22</v>
      </c>
      <c r="AB116" s="1" t="s">
        <v>2912</v>
      </c>
      <c r="AD116" s="1" t="s">
        <v>3135</v>
      </c>
      <c r="AE116" s="1" t="s">
        <v>2914</v>
      </c>
      <c r="AF116" s="1" t="s">
        <v>3029</v>
      </c>
      <c r="AM116" s="33">
        <f t="shared" si="48"/>
        <v>0</v>
      </c>
      <c r="AN116" s="1">
        <f t="shared" si="66"/>
        <v>0</v>
      </c>
      <c r="AO116" s="1" t="e">
        <f t="shared" si="63"/>
        <v>#DIV/0!</v>
      </c>
      <c r="AP116" s="1" t="e">
        <f t="shared" si="67"/>
        <v>#DIV/0!</v>
      </c>
      <c r="AQ116" s="1">
        <f t="shared" si="68"/>
        <v>0.96551724137931039</v>
      </c>
      <c r="AR116" s="1" t="e">
        <f t="shared" si="64"/>
        <v>#DIV/0!</v>
      </c>
      <c r="AS116" s="1" t="e">
        <f t="shared" si="65"/>
        <v>#DIV/0!</v>
      </c>
      <c r="AV116" s="1" t="s">
        <v>3539</v>
      </c>
    </row>
    <row r="117" spans="1:48" ht="14.25" customHeight="1">
      <c r="A117" s="14">
        <v>436</v>
      </c>
      <c r="B117" s="14"/>
      <c r="C117" s="14" t="s">
        <v>2234</v>
      </c>
      <c r="D117" s="14" t="s">
        <v>2889</v>
      </c>
      <c r="E117" s="14">
        <v>2013</v>
      </c>
      <c r="F117" s="14">
        <v>2003</v>
      </c>
      <c r="G117" s="14" t="s">
        <v>2946</v>
      </c>
      <c r="H117" s="14" t="s">
        <v>2928</v>
      </c>
      <c r="I117" s="14">
        <v>41.696944000000002</v>
      </c>
      <c r="J117" s="14">
        <v>-6.2241109999999997</v>
      </c>
      <c r="K117" s="14" t="s">
        <v>2968</v>
      </c>
      <c r="L117" s="14" t="s">
        <v>3108</v>
      </c>
      <c r="M117" s="14" t="s">
        <v>3109</v>
      </c>
      <c r="N117" s="14"/>
      <c r="O117" s="14"/>
      <c r="P117" s="14" t="s">
        <v>2890</v>
      </c>
      <c r="Q117" s="14"/>
      <c r="R117" s="14"/>
      <c r="S117" s="14">
        <v>2002</v>
      </c>
      <c r="T117" s="14"/>
      <c r="U117" s="14"/>
      <c r="V117" s="14"/>
      <c r="W117" s="14"/>
      <c r="X117" s="14"/>
      <c r="Y117" s="14" t="s">
        <v>2933</v>
      </c>
      <c r="Z117" s="1" t="s">
        <v>3229</v>
      </c>
      <c r="AA117" s="14"/>
      <c r="AB117" s="14" t="s">
        <v>2932</v>
      </c>
      <c r="AD117" s="14"/>
      <c r="AE117" s="14"/>
      <c r="AF117" s="14"/>
      <c r="AJ117" s="14"/>
      <c r="AK117" s="14"/>
      <c r="AL117" s="14"/>
      <c r="AM117" s="33">
        <f t="shared" si="48"/>
        <v>0</v>
      </c>
      <c r="AN117" s="1">
        <f t="shared" si="66"/>
        <v>0</v>
      </c>
      <c r="AO117" s="1" t="e">
        <f t="shared" si="63"/>
        <v>#DIV/0!</v>
      </c>
      <c r="AP117" s="1" t="e">
        <f t="shared" si="67"/>
        <v>#DIV/0!</v>
      </c>
      <c r="AQ117" s="1">
        <f t="shared" si="68"/>
        <v>1.3333333333333333</v>
      </c>
      <c r="AR117" s="1" t="e">
        <f t="shared" si="64"/>
        <v>#DIV/0!</v>
      </c>
      <c r="AS117" s="1" t="e">
        <f t="shared" si="65"/>
        <v>#DIV/0!</v>
      </c>
      <c r="AV117" s="1" t="s">
        <v>3539</v>
      </c>
    </row>
    <row r="118" spans="1:48" ht="14.25" customHeight="1">
      <c r="A118" s="14">
        <v>442</v>
      </c>
      <c r="B118" s="14"/>
      <c r="C118" s="14" t="s">
        <v>2264</v>
      </c>
      <c r="D118" s="14" t="s">
        <v>2889</v>
      </c>
      <c r="E118" s="14">
        <v>2015</v>
      </c>
      <c r="F118" s="14" t="s">
        <v>3200</v>
      </c>
      <c r="G118" s="14" t="s">
        <v>2946</v>
      </c>
      <c r="H118" s="14" t="s">
        <v>2928</v>
      </c>
      <c r="I118" s="14">
        <v>41.696944000000002</v>
      </c>
      <c r="J118" s="14">
        <v>-6.2241109999999997</v>
      </c>
      <c r="K118" s="14" t="s">
        <v>2968</v>
      </c>
      <c r="L118" s="14" t="s">
        <v>3108</v>
      </c>
      <c r="M118" s="14" t="s">
        <v>3109</v>
      </c>
      <c r="N118" s="14"/>
      <c r="O118" s="14"/>
      <c r="P118" s="14" t="s">
        <v>2890</v>
      </c>
      <c r="Q118" s="14"/>
      <c r="R118" s="14" t="s">
        <v>2903</v>
      </c>
      <c r="S118" s="14"/>
      <c r="T118" s="14">
        <v>8</v>
      </c>
      <c r="U118" s="14"/>
      <c r="V118" s="14"/>
      <c r="W118" s="14"/>
      <c r="X118" s="14"/>
      <c r="Y118" s="14" t="s">
        <v>2933</v>
      </c>
      <c r="Z118" s="1" t="s">
        <v>3230</v>
      </c>
      <c r="AA118" s="14"/>
      <c r="AB118" s="14" t="s">
        <v>2932</v>
      </c>
      <c r="AD118" s="14"/>
      <c r="AE118" s="14"/>
      <c r="AF118" s="14"/>
      <c r="AJ118" s="14"/>
      <c r="AK118" s="14"/>
      <c r="AL118" s="14"/>
      <c r="AM118" s="33">
        <f t="shared" si="48"/>
        <v>0</v>
      </c>
      <c r="AN118" s="1">
        <f t="shared" si="66"/>
        <v>0</v>
      </c>
      <c r="AO118" s="1" t="e">
        <f t="shared" si="63"/>
        <v>#DIV/0!</v>
      </c>
      <c r="AP118" s="1" t="e">
        <f t="shared" si="67"/>
        <v>#DIV/0!</v>
      </c>
      <c r="AQ118" s="1">
        <f t="shared" si="68"/>
        <v>1.3333333333333333</v>
      </c>
      <c r="AR118" s="1" t="e">
        <f t="shared" si="64"/>
        <v>#DIV/0!</v>
      </c>
      <c r="AS118" s="1" t="e">
        <f t="shared" si="65"/>
        <v>#DIV/0!</v>
      </c>
      <c r="AV118" s="1" t="s">
        <v>3539</v>
      </c>
    </row>
    <row r="119" spans="1:48" ht="14.25" customHeight="1">
      <c r="A119" s="14">
        <v>251</v>
      </c>
      <c r="B119" s="14"/>
      <c r="C119" s="14" t="s">
        <v>1387</v>
      </c>
      <c r="D119" s="14" t="s">
        <v>2889</v>
      </c>
      <c r="E119" s="14">
        <v>2013</v>
      </c>
      <c r="F119" s="14">
        <v>2009</v>
      </c>
      <c r="G119" s="14" t="s">
        <v>3025</v>
      </c>
      <c r="H119" s="14" t="s">
        <v>2939</v>
      </c>
      <c r="I119" s="14">
        <v>68.109883999999994</v>
      </c>
      <c r="J119" s="14">
        <v>-151.01973899999999</v>
      </c>
      <c r="K119" s="14" t="s">
        <v>3001</v>
      </c>
      <c r="L119" s="14" t="s">
        <v>3159</v>
      </c>
      <c r="M119" s="14" t="s">
        <v>3160</v>
      </c>
      <c r="N119" s="14"/>
      <c r="O119" s="14"/>
      <c r="P119" s="14" t="s">
        <v>2890</v>
      </c>
      <c r="Q119" s="14" t="s">
        <v>3033</v>
      </c>
      <c r="R119" s="14" t="s">
        <v>2903</v>
      </c>
      <c r="S119" s="14">
        <v>2007</v>
      </c>
      <c r="T119" s="14">
        <v>2</v>
      </c>
      <c r="U119" s="14"/>
      <c r="V119" s="14">
        <v>103900</v>
      </c>
      <c r="W119" s="14"/>
      <c r="X119" s="14"/>
      <c r="Y119" s="14" t="s">
        <v>2994</v>
      </c>
      <c r="Z119" s="1" t="s">
        <v>3231</v>
      </c>
      <c r="AA119" s="14"/>
      <c r="AB119" s="14" t="s">
        <v>2912</v>
      </c>
      <c r="AD119" s="14"/>
      <c r="AE119" s="14"/>
      <c r="AF119" s="14"/>
      <c r="AJ119" s="14"/>
      <c r="AK119" s="14"/>
      <c r="AL119" s="14"/>
      <c r="AM119" s="33">
        <f t="shared" si="48"/>
        <v>0</v>
      </c>
      <c r="AN119" s="1">
        <f t="shared" si="66"/>
        <v>0</v>
      </c>
      <c r="AO119" s="1" t="e">
        <f t="shared" si="63"/>
        <v>#DIV/0!</v>
      </c>
      <c r="AP119" s="1" t="e">
        <f t="shared" si="67"/>
        <v>#DIV/0!</v>
      </c>
      <c r="AQ119" s="1">
        <f t="shared" si="68"/>
        <v>1.3333333333333333</v>
      </c>
      <c r="AR119" s="1" t="e">
        <f t="shared" si="64"/>
        <v>#DIV/0!</v>
      </c>
      <c r="AS119" s="1" t="e">
        <f t="shared" si="65"/>
        <v>#DIV/0!</v>
      </c>
      <c r="AV119" s="1" t="s">
        <v>3539</v>
      </c>
    </row>
    <row r="120" spans="1:48" ht="14.25" customHeight="1">
      <c r="A120" s="14">
        <v>251</v>
      </c>
      <c r="B120" s="14"/>
      <c r="C120" s="14" t="s">
        <v>1387</v>
      </c>
      <c r="D120" s="14" t="s">
        <v>2889</v>
      </c>
      <c r="E120" s="14">
        <v>2013</v>
      </c>
      <c r="F120" s="14">
        <v>2009</v>
      </c>
      <c r="G120" s="14" t="s">
        <v>3025</v>
      </c>
      <c r="H120" s="14" t="s">
        <v>2939</v>
      </c>
      <c r="I120" s="14">
        <v>68.109883999999994</v>
      </c>
      <c r="J120" s="14">
        <v>-151.01973899999999</v>
      </c>
      <c r="K120" s="14" t="s">
        <v>3001</v>
      </c>
      <c r="L120" s="14" t="s">
        <v>3159</v>
      </c>
      <c r="M120" s="14" t="s">
        <v>3160</v>
      </c>
      <c r="N120" s="14"/>
      <c r="O120" s="14"/>
      <c r="P120" s="14" t="s">
        <v>2890</v>
      </c>
      <c r="Q120" s="14" t="s">
        <v>3161</v>
      </c>
      <c r="R120" s="14" t="s">
        <v>2903</v>
      </c>
      <c r="S120" s="14">
        <v>2007</v>
      </c>
      <c r="T120" s="14">
        <v>2</v>
      </c>
      <c r="U120" s="14"/>
      <c r="V120" s="14">
        <v>103900</v>
      </c>
      <c r="W120" s="14"/>
      <c r="X120" s="14"/>
      <c r="Y120" s="14" t="s">
        <v>2994</v>
      </c>
      <c r="Z120" s="1" t="s">
        <v>3231</v>
      </c>
      <c r="AA120" s="14"/>
      <c r="AB120" s="14" t="s">
        <v>2912</v>
      </c>
      <c r="AD120" s="14"/>
      <c r="AE120" s="14"/>
      <c r="AF120" s="14"/>
      <c r="AJ120" s="14"/>
      <c r="AK120" s="14"/>
      <c r="AL120" s="14"/>
      <c r="AM120" s="33">
        <f t="shared" si="48"/>
        <v>0</v>
      </c>
      <c r="AN120" s="1">
        <f t="shared" si="66"/>
        <v>0</v>
      </c>
      <c r="AO120" s="1" t="e">
        <f t="shared" si="63"/>
        <v>#DIV/0!</v>
      </c>
      <c r="AP120" s="1" t="e">
        <f t="shared" si="67"/>
        <v>#DIV/0!</v>
      </c>
      <c r="AQ120" s="1">
        <f t="shared" si="68"/>
        <v>1.3333333333333333</v>
      </c>
      <c r="AR120" s="1" t="e">
        <f t="shared" si="64"/>
        <v>#DIV/0!</v>
      </c>
      <c r="AS120" s="1" t="e">
        <f t="shared" si="65"/>
        <v>#DIV/0!</v>
      </c>
      <c r="AV120" s="1" t="s">
        <v>3539</v>
      </c>
    </row>
    <row r="121" spans="1:48" ht="14.25" customHeight="1">
      <c r="A121" s="14">
        <v>251</v>
      </c>
      <c r="B121" s="14"/>
      <c r="C121" s="14" t="s">
        <v>1387</v>
      </c>
      <c r="D121" s="14" t="s">
        <v>2889</v>
      </c>
      <c r="E121" s="14">
        <v>2013</v>
      </c>
      <c r="F121" s="14">
        <v>2009</v>
      </c>
      <c r="G121" s="14" t="s">
        <v>3025</v>
      </c>
      <c r="H121" s="14" t="s">
        <v>2939</v>
      </c>
      <c r="I121" s="14">
        <v>68.109883999999994</v>
      </c>
      <c r="J121" s="14">
        <v>-151.01973899999999</v>
      </c>
      <c r="K121" s="14" t="s">
        <v>3001</v>
      </c>
      <c r="L121" s="14" t="s">
        <v>3159</v>
      </c>
      <c r="M121" s="14" t="s">
        <v>3160</v>
      </c>
      <c r="N121" s="14"/>
      <c r="O121" s="14"/>
      <c r="P121" s="14" t="s">
        <v>2890</v>
      </c>
      <c r="Q121" s="14" t="s">
        <v>2983</v>
      </c>
      <c r="R121" s="14" t="s">
        <v>2903</v>
      </c>
      <c r="S121" s="14">
        <v>2007</v>
      </c>
      <c r="T121" s="14">
        <v>2</v>
      </c>
      <c r="U121" s="14"/>
      <c r="V121" s="14">
        <v>103900</v>
      </c>
      <c r="W121" s="14"/>
      <c r="X121" s="14"/>
      <c r="Y121" s="14" t="s">
        <v>2994</v>
      </c>
      <c r="Z121" s="1" t="s">
        <v>3231</v>
      </c>
      <c r="AA121" s="14"/>
      <c r="AB121" s="14" t="s">
        <v>2912</v>
      </c>
      <c r="AD121" s="14"/>
      <c r="AE121" s="14"/>
      <c r="AF121" s="14"/>
      <c r="AJ121" s="14"/>
      <c r="AK121" s="14"/>
      <c r="AL121" s="14"/>
      <c r="AM121" s="33">
        <f t="shared" si="48"/>
        <v>0</v>
      </c>
      <c r="AN121" s="1">
        <f t="shared" si="66"/>
        <v>0</v>
      </c>
      <c r="AO121" s="1" t="e">
        <f t="shared" si="63"/>
        <v>#DIV/0!</v>
      </c>
      <c r="AP121" s="1" t="e">
        <f t="shared" si="67"/>
        <v>#DIV/0!</v>
      </c>
      <c r="AQ121" s="1">
        <f t="shared" si="68"/>
        <v>1.3333333333333333</v>
      </c>
      <c r="AR121" s="1" t="e">
        <f t="shared" si="64"/>
        <v>#DIV/0!</v>
      </c>
      <c r="AS121" s="1" t="e">
        <f t="shared" si="65"/>
        <v>#DIV/0!</v>
      </c>
      <c r="AV121" s="1" t="s">
        <v>3539</v>
      </c>
    </row>
    <row r="122" spans="1:48" ht="14.25" customHeight="1">
      <c r="A122" s="14">
        <v>471</v>
      </c>
      <c r="B122" s="14"/>
      <c r="C122" s="14" t="s">
        <v>2401</v>
      </c>
      <c r="D122" s="14" t="s">
        <v>2901</v>
      </c>
      <c r="E122" s="14">
        <v>2016</v>
      </c>
      <c r="F122" s="14">
        <v>2008</v>
      </c>
      <c r="G122" s="14" t="s">
        <v>3025</v>
      </c>
      <c r="H122" s="14" t="s">
        <v>2939</v>
      </c>
      <c r="I122" s="14">
        <v>68.109883999999994</v>
      </c>
      <c r="J122" s="14">
        <v>-151.01973899999999</v>
      </c>
      <c r="K122" s="14" t="s">
        <v>3001</v>
      </c>
      <c r="L122" s="14" t="s">
        <v>3110</v>
      </c>
      <c r="M122" s="14" t="s">
        <v>3111</v>
      </c>
      <c r="N122" s="14"/>
      <c r="O122" s="14"/>
      <c r="P122" s="14" t="s">
        <v>2890</v>
      </c>
      <c r="Q122" s="14"/>
      <c r="R122" s="14"/>
      <c r="S122" s="14">
        <v>2007</v>
      </c>
      <c r="T122" s="14">
        <v>1</v>
      </c>
      <c r="U122" s="14"/>
      <c r="V122" s="14"/>
      <c r="W122" s="14"/>
      <c r="X122" s="14"/>
      <c r="Y122" s="14" t="s">
        <v>2994</v>
      </c>
      <c r="AA122" s="14"/>
      <c r="AB122" s="1" t="s">
        <v>36</v>
      </c>
      <c r="AD122" s="14"/>
      <c r="AE122" s="14"/>
      <c r="AF122" s="14"/>
      <c r="AJ122" s="14"/>
      <c r="AK122" s="14"/>
      <c r="AL122" s="14"/>
      <c r="AM122" s="33">
        <f t="shared" si="48"/>
        <v>0</v>
      </c>
      <c r="AN122" s="1">
        <f t="shared" si="66"/>
        <v>0</v>
      </c>
      <c r="AO122" s="1" t="e">
        <f t="shared" si="63"/>
        <v>#DIV/0!</v>
      </c>
      <c r="AP122" s="1" t="e">
        <f t="shared" si="67"/>
        <v>#DIV/0!</v>
      </c>
      <c r="AQ122" s="1">
        <f t="shared" si="68"/>
        <v>1.3333333333333333</v>
      </c>
      <c r="AR122" s="1" t="e">
        <f t="shared" si="64"/>
        <v>#DIV/0!</v>
      </c>
      <c r="AS122" s="1" t="e">
        <f t="shared" si="65"/>
        <v>#DIV/0!</v>
      </c>
      <c r="AV122" s="1" t="s">
        <v>3539</v>
      </c>
    </row>
    <row r="123" spans="1:48" ht="14.25" customHeight="1">
      <c r="A123" s="4">
        <v>152</v>
      </c>
      <c r="C123" s="4" t="s">
        <v>879</v>
      </c>
      <c r="D123" s="1" t="s">
        <v>2889</v>
      </c>
      <c r="E123" s="1">
        <v>2013</v>
      </c>
      <c r="F123" s="1">
        <v>2010</v>
      </c>
      <c r="G123" s="1" t="s">
        <v>3025</v>
      </c>
      <c r="H123" s="1" t="s">
        <v>2939</v>
      </c>
      <c r="I123" s="1">
        <v>63.826408000000001</v>
      </c>
      <c r="J123" s="1">
        <v>-145.86067399999999</v>
      </c>
      <c r="K123" s="1" t="s">
        <v>2971</v>
      </c>
      <c r="L123" s="1" t="s">
        <v>2919</v>
      </c>
      <c r="M123" s="1" t="s">
        <v>3113</v>
      </c>
      <c r="P123" s="1" t="s">
        <v>2890</v>
      </c>
      <c r="R123" s="1" t="s">
        <v>2903</v>
      </c>
      <c r="S123" s="1">
        <v>2010</v>
      </c>
      <c r="T123" s="1" t="s">
        <v>3056</v>
      </c>
      <c r="Y123" s="1" t="s">
        <v>2911</v>
      </c>
      <c r="Z123" s="1" t="s">
        <v>3232</v>
      </c>
      <c r="AA123" s="1" t="s">
        <v>22</v>
      </c>
      <c r="AB123" s="1" t="s">
        <v>2912</v>
      </c>
      <c r="AC123" s="1" t="s">
        <v>3134</v>
      </c>
      <c r="AD123" s="1" t="s">
        <v>3221</v>
      </c>
      <c r="AE123" s="1" t="s">
        <v>2986</v>
      </c>
      <c r="AM123" s="33">
        <f t="shared" ref="AM123:AM186" si="69">AG123-AJ123</f>
        <v>0</v>
      </c>
      <c r="AN123" s="1">
        <f t="shared" si="66"/>
        <v>0</v>
      </c>
      <c r="AO123" s="1" t="e">
        <f t="shared" si="63"/>
        <v>#DIV/0!</v>
      </c>
      <c r="AP123" s="1" t="e">
        <f t="shared" si="67"/>
        <v>#DIV/0!</v>
      </c>
      <c r="AQ123" s="1">
        <f t="shared" si="68"/>
        <v>1.3333333333333333</v>
      </c>
      <c r="AR123" s="1" t="e">
        <f t="shared" si="64"/>
        <v>#DIV/0!</v>
      </c>
      <c r="AS123" s="1" t="e">
        <f t="shared" si="65"/>
        <v>#DIV/0!</v>
      </c>
      <c r="AV123" s="1" t="s">
        <v>3539</v>
      </c>
    </row>
    <row r="124" spans="1:48" ht="14.25" customHeight="1">
      <c r="A124" s="4">
        <v>152</v>
      </c>
      <c r="C124" s="4" t="s">
        <v>879</v>
      </c>
      <c r="D124" s="1" t="s">
        <v>2889</v>
      </c>
      <c r="E124" s="1">
        <v>2013</v>
      </c>
      <c r="F124" s="1">
        <v>2010</v>
      </c>
      <c r="G124" s="1" t="s">
        <v>3025</v>
      </c>
      <c r="H124" s="1" t="s">
        <v>2939</v>
      </c>
      <c r="I124" s="1">
        <v>63.826408000000001</v>
      </c>
      <c r="J124" s="1">
        <v>-145.86067399999999</v>
      </c>
      <c r="K124" s="1" t="s">
        <v>2971</v>
      </c>
      <c r="L124" s="1" t="s">
        <v>2919</v>
      </c>
      <c r="M124" s="1" t="s">
        <v>3113</v>
      </c>
      <c r="P124" s="1" t="s">
        <v>2890</v>
      </c>
      <c r="R124" s="1" t="s">
        <v>2903</v>
      </c>
      <c r="S124" s="1">
        <v>2004</v>
      </c>
      <c r="T124" s="1">
        <v>6</v>
      </c>
      <c r="Y124" s="1" t="s">
        <v>2911</v>
      </c>
      <c r="Z124" s="1" t="s">
        <v>3232</v>
      </c>
      <c r="AA124" s="1" t="s">
        <v>22</v>
      </c>
      <c r="AB124" s="1" t="s">
        <v>2912</v>
      </c>
      <c r="AC124" s="1" t="s">
        <v>3134</v>
      </c>
      <c r="AD124" s="1" t="s">
        <v>3221</v>
      </c>
      <c r="AE124" s="1" t="s">
        <v>2986</v>
      </c>
      <c r="AM124" s="33">
        <f t="shared" si="69"/>
        <v>0</v>
      </c>
      <c r="AN124" s="1">
        <f t="shared" si="66"/>
        <v>0</v>
      </c>
      <c r="AO124" s="1" t="e">
        <f t="shared" si="63"/>
        <v>#DIV/0!</v>
      </c>
      <c r="AP124" s="1" t="e">
        <f t="shared" si="67"/>
        <v>#DIV/0!</v>
      </c>
      <c r="AQ124" s="1">
        <f t="shared" si="68"/>
        <v>1.3333333333333333</v>
      </c>
      <c r="AR124" s="1" t="e">
        <f t="shared" si="64"/>
        <v>#DIV/0!</v>
      </c>
      <c r="AS124" s="1" t="e">
        <f t="shared" si="65"/>
        <v>#DIV/0!</v>
      </c>
      <c r="AV124" s="1" t="s">
        <v>3539</v>
      </c>
    </row>
    <row r="125" spans="1:48" ht="14.25" customHeight="1">
      <c r="A125" s="4">
        <v>152</v>
      </c>
      <c r="C125" s="4" t="s">
        <v>879</v>
      </c>
      <c r="D125" s="1" t="s">
        <v>2889</v>
      </c>
      <c r="E125" s="1">
        <v>2013</v>
      </c>
      <c r="F125" s="1">
        <v>2010</v>
      </c>
      <c r="G125" s="1" t="s">
        <v>3025</v>
      </c>
      <c r="H125" s="1" t="s">
        <v>2939</v>
      </c>
      <c r="I125" s="1">
        <v>63.826408000000001</v>
      </c>
      <c r="J125" s="1">
        <v>-145.86067399999999</v>
      </c>
      <c r="K125" s="1" t="s">
        <v>2971</v>
      </c>
      <c r="L125" s="1" t="s">
        <v>2919</v>
      </c>
      <c r="M125" s="1" t="s">
        <v>3113</v>
      </c>
      <c r="P125" s="1" t="s">
        <v>2890</v>
      </c>
      <c r="R125" s="1" t="s">
        <v>2903</v>
      </c>
      <c r="S125" s="1">
        <v>1999</v>
      </c>
      <c r="T125" s="1">
        <v>11</v>
      </c>
      <c r="Y125" s="1" t="s">
        <v>2911</v>
      </c>
      <c r="Z125" s="1" t="s">
        <v>3232</v>
      </c>
      <c r="AA125" s="1" t="s">
        <v>22</v>
      </c>
      <c r="AB125" s="1" t="s">
        <v>2912</v>
      </c>
      <c r="AC125" s="1" t="s">
        <v>3134</v>
      </c>
      <c r="AD125" s="1" t="s">
        <v>3221</v>
      </c>
      <c r="AE125" s="1" t="s">
        <v>2986</v>
      </c>
      <c r="AM125" s="33">
        <f t="shared" si="69"/>
        <v>0</v>
      </c>
      <c r="AN125" s="1">
        <f t="shared" si="66"/>
        <v>0</v>
      </c>
      <c r="AO125" s="1" t="e">
        <f t="shared" si="63"/>
        <v>#DIV/0!</v>
      </c>
      <c r="AP125" s="1" t="e">
        <f t="shared" si="67"/>
        <v>#DIV/0!</v>
      </c>
      <c r="AQ125" s="1">
        <f t="shared" si="68"/>
        <v>1.3333333333333333</v>
      </c>
      <c r="AR125" s="1" t="e">
        <f t="shared" si="64"/>
        <v>#DIV/0!</v>
      </c>
      <c r="AS125" s="1" t="e">
        <f t="shared" si="65"/>
        <v>#DIV/0!</v>
      </c>
      <c r="AV125" s="1" t="s">
        <v>3539</v>
      </c>
    </row>
    <row r="126" spans="1:48" ht="14.25" customHeight="1">
      <c r="A126" s="4">
        <v>425</v>
      </c>
      <c r="C126" s="4" t="s">
        <v>2187</v>
      </c>
      <c r="D126" s="1" t="s">
        <v>2889</v>
      </c>
      <c r="E126" s="1">
        <v>2021</v>
      </c>
      <c r="G126" s="1" t="s">
        <v>3025</v>
      </c>
      <c r="I126" s="1">
        <v>30.75</v>
      </c>
      <c r="J126" s="1">
        <v>-84</v>
      </c>
      <c r="K126" s="1" t="s">
        <v>2971</v>
      </c>
      <c r="L126" s="1" t="s">
        <v>3100</v>
      </c>
      <c r="M126" s="1" t="s">
        <v>3115</v>
      </c>
      <c r="P126" s="1" t="s">
        <v>2948</v>
      </c>
      <c r="R126" s="1" t="s">
        <v>2903</v>
      </c>
      <c r="S126" s="1">
        <v>2017</v>
      </c>
      <c r="Y126" s="1" t="s">
        <v>2911</v>
      </c>
      <c r="Z126" s="1" t="s">
        <v>2989</v>
      </c>
      <c r="AB126" s="1" t="s">
        <v>2912</v>
      </c>
      <c r="AC126" s="1" t="s">
        <v>3134</v>
      </c>
      <c r="AD126" s="1" t="s">
        <v>2913</v>
      </c>
      <c r="AE126" s="1" t="s">
        <v>2917</v>
      </c>
      <c r="AM126" s="33">
        <f t="shared" si="69"/>
        <v>0</v>
      </c>
      <c r="AN126" s="1">
        <f t="shared" si="66"/>
        <v>0</v>
      </c>
      <c r="AO126" s="1" t="e">
        <f t="shared" si="63"/>
        <v>#DIV/0!</v>
      </c>
      <c r="AP126" s="1" t="e">
        <f t="shared" si="67"/>
        <v>#DIV/0!</v>
      </c>
      <c r="AQ126" s="1">
        <f t="shared" si="68"/>
        <v>1.3333333333333333</v>
      </c>
      <c r="AR126" s="1" t="e">
        <f t="shared" si="64"/>
        <v>#DIV/0!</v>
      </c>
      <c r="AS126" s="1" t="e">
        <f t="shared" si="65"/>
        <v>#DIV/0!</v>
      </c>
      <c r="AV126" s="1" t="s">
        <v>3539</v>
      </c>
    </row>
    <row r="127" spans="1:48" ht="14.25" customHeight="1">
      <c r="A127" s="4">
        <v>356</v>
      </c>
      <c r="C127" s="4" t="s">
        <v>1873</v>
      </c>
      <c r="D127" s="1" t="s">
        <v>2889</v>
      </c>
      <c r="E127" s="1">
        <v>2020</v>
      </c>
      <c r="F127" s="1" t="s">
        <v>2934</v>
      </c>
      <c r="G127" s="1" t="s">
        <v>3025</v>
      </c>
      <c r="H127" s="1" t="s">
        <v>3019</v>
      </c>
      <c r="I127" s="1">
        <v>35.584622000000003</v>
      </c>
      <c r="J127" s="1">
        <v>-83.530636999999999</v>
      </c>
      <c r="K127" s="1" t="s">
        <v>2968</v>
      </c>
      <c r="P127" s="1" t="s">
        <v>2890</v>
      </c>
      <c r="R127" s="1" t="s">
        <v>2935</v>
      </c>
      <c r="S127" s="1">
        <v>2016</v>
      </c>
      <c r="Y127" s="1" t="s">
        <v>2933</v>
      </c>
      <c r="Z127" s="1" t="s">
        <v>3233</v>
      </c>
      <c r="AB127" s="1" t="s">
        <v>2912</v>
      </c>
      <c r="AD127" s="1" t="s">
        <v>2936</v>
      </c>
      <c r="AE127" s="1" t="s">
        <v>2914</v>
      </c>
      <c r="AM127" s="33">
        <f t="shared" si="69"/>
        <v>0</v>
      </c>
      <c r="AN127" s="1">
        <f t="shared" si="66"/>
        <v>0</v>
      </c>
      <c r="AO127" s="1" t="e">
        <f t="shared" si="63"/>
        <v>#DIV/0!</v>
      </c>
      <c r="AP127" s="1" t="e">
        <f t="shared" si="67"/>
        <v>#DIV/0!</v>
      </c>
      <c r="AQ127" s="1">
        <f t="shared" si="68"/>
        <v>1.3333333333333333</v>
      </c>
      <c r="AR127" s="1" t="e">
        <f t="shared" si="64"/>
        <v>#DIV/0!</v>
      </c>
      <c r="AS127" s="1" t="e">
        <f t="shared" si="65"/>
        <v>#DIV/0!</v>
      </c>
      <c r="AV127" s="1" t="s">
        <v>3539</v>
      </c>
    </row>
    <row r="128" spans="1:48" ht="14.25" customHeight="1">
      <c r="A128" s="14">
        <v>368</v>
      </c>
      <c r="B128" s="14"/>
      <c r="C128" s="14" t="s">
        <v>1609</v>
      </c>
      <c r="D128" s="1" t="s">
        <v>2889</v>
      </c>
      <c r="E128" s="14">
        <v>1995</v>
      </c>
      <c r="F128" s="14" t="s">
        <v>3000</v>
      </c>
      <c r="G128" s="14" t="s">
        <v>2910</v>
      </c>
      <c r="H128" s="14"/>
      <c r="I128" s="14">
        <v>-42.516666999999998</v>
      </c>
      <c r="J128" s="14">
        <v>147.41666699999999</v>
      </c>
      <c r="K128" s="14" t="s">
        <v>2962</v>
      </c>
      <c r="L128" s="14" t="s">
        <v>2931</v>
      </c>
      <c r="M128" s="14" t="s">
        <v>3179</v>
      </c>
      <c r="N128" s="14"/>
      <c r="O128" s="14"/>
      <c r="P128" s="14" t="s">
        <v>2948</v>
      </c>
      <c r="Q128" s="14"/>
      <c r="R128" s="14" t="s">
        <v>2903</v>
      </c>
      <c r="S128" s="14" t="s">
        <v>3000</v>
      </c>
      <c r="T128" s="14"/>
      <c r="U128" s="14"/>
      <c r="V128" s="14"/>
      <c r="W128" s="14"/>
      <c r="X128" s="14"/>
      <c r="Y128" s="14" t="s">
        <v>2933</v>
      </c>
      <c r="Z128" s="14" t="s">
        <v>36</v>
      </c>
      <c r="AA128" s="14" t="s">
        <v>20</v>
      </c>
      <c r="AB128" s="14" t="s">
        <v>2932</v>
      </c>
      <c r="AD128" s="14"/>
      <c r="AE128" s="14"/>
      <c r="AF128" s="14"/>
      <c r="AJ128" s="14"/>
      <c r="AK128" s="14"/>
      <c r="AL128" s="14"/>
      <c r="AM128" s="33">
        <f t="shared" si="69"/>
        <v>0</v>
      </c>
      <c r="AN128" s="1">
        <f t="shared" si="66"/>
        <v>0</v>
      </c>
      <c r="AO128" s="1" t="e">
        <f t="shared" si="63"/>
        <v>#DIV/0!</v>
      </c>
      <c r="AP128" s="1" t="e">
        <f t="shared" si="67"/>
        <v>#DIV/0!</v>
      </c>
      <c r="AQ128" s="1">
        <f t="shared" si="68"/>
        <v>1.3333333333333333</v>
      </c>
      <c r="AR128" s="1" t="e">
        <f t="shared" si="64"/>
        <v>#DIV/0!</v>
      </c>
      <c r="AS128" s="1" t="e">
        <f t="shared" si="65"/>
        <v>#DIV/0!</v>
      </c>
      <c r="AV128" s="1" t="s">
        <v>3539</v>
      </c>
    </row>
    <row r="129" spans="1:48" ht="14.25" customHeight="1">
      <c r="A129" s="14">
        <v>419</v>
      </c>
      <c r="B129" s="14"/>
      <c r="C129" s="14" t="s">
        <v>2157</v>
      </c>
      <c r="D129" s="1" t="s">
        <v>2889</v>
      </c>
      <c r="E129" s="14">
        <v>1997</v>
      </c>
      <c r="F129" s="14">
        <v>1992</v>
      </c>
      <c r="G129" s="14" t="s">
        <v>2910</v>
      </c>
      <c r="H129" s="14"/>
      <c r="I129" s="14">
        <v>-42.516666999999998</v>
      </c>
      <c r="J129" s="14">
        <v>147.41666699999999</v>
      </c>
      <c r="K129" s="14" t="s">
        <v>2962</v>
      </c>
      <c r="L129" s="14" t="s">
        <v>2931</v>
      </c>
      <c r="M129" s="14" t="s">
        <v>3179</v>
      </c>
      <c r="N129" s="14"/>
      <c r="O129" s="14"/>
      <c r="P129" s="14" t="s">
        <v>2948</v>
      </c>
      <c r="Q129" s="14"/>
      <c r="R129" s="14" t="s">
        <v>2903</v>
      </c>
      <c r="S129" s="14">
        <v>1990</v>
      </c>
      <c r="T129" s="14"/>
      <c r="U129" s="14"/>
      <c r="V129" s="14"/>
      <c r="W129" s="14"/>
      <c r="X129" s="14"/>
      <c r="Y129" s="14" t="s">
        <v>2933</v>
      </c>
      <c r="Z129" s="14" t="s">
        <v>36</v>
      </c>
      <c r="AA129" s="14" t="s">
        <v>20</v>
      </c>
      <c r="AB129" s="14" t="s">
        <v>2932</v>
      </c>
      <c r="AD129" s="14"/>
      <c r="AE129" s="14"/>
      <c r="AF129" s="14"/>
      <c r="AJ129" s="14"/>
      <c r="AK129" s="14"/>
      <c r="AL129" s="14"/>
      <c r="AM129" s="33">
        <f t="shared" si="69"/>
        <v>0</v>
      </c>
      <c r="AN129" s="1">
        <f t="shared" si="66"/>
        <v>0</v>
      </c>
      <c r="AO129" s="1" t="e">
        <f t="shared" si="63"/>
        <v>#DIV/0!</v>
      </c>
      <c r="AP129" s="1" t="e">
        <f t="shared" si="67"/>
        <v>#DIV/0!</v>
      </c>
      <c r="AQ129" s="1">
        <f t="shared" si="68"/>
        <v>1.3333333333333333</v>
      </c>
      <c r="AR129" s="1" t="e">
        <f t="shared" si="64"/>
        <v>#DIV/0!</v>
      </c>
      <c r="AS129" s="1" t="e">
        <f t="shared" si="65"/>
        <v>#DIV/0!</v>
      </c>
      <c r="AV129" s="1" t="s">
        <v>3539</v>
      </c>
    </row>
    <row r="130" spans="1:48" ht="14.25" customHeight="1">
      <c r="A130" s="14">
        <v>419</v>
      </c>
      <c r="B130" s="14"/>
      <c r="C130" s="14" t="s">
        <v>2157</v>
      </c>
      <c r="D130" s="1" t="s">
        <v>2889</v>
      </c>
      <c r="E130" s="14">
        <v>1997</v>
      </c>
      <c r="F130" s="14">
        <v>1992</v>
      </c>
      <c r="G130" s="14" t="s">
        <v>2910</v>
      </c>
      <c r="H130" s="14"/>
      <c r="I130" s="14">
        <v>-42.516666999999998</v>
      </c>
      <c r="J130" s="14">
        <v>147.41666699999999</v>
      </c>
      <c r="K130" s="14" t="s">
        <v>2962</v>
      </c>
      <c r="L130" s="14" t="s">
        <v>2931</v>
      </c>
      <c r="M130" s="14" t="s">
        <v>3179</v>
      </c>
      <c r="N130" s="14"/>
      <c r="O130" s="14"/>
      <c r="P130" s="14" t="s">
        <v>2948</v>
      </c>
      <c r="Q130" s="14"/>
      <c r="R130" s="14" t="s">
        <v>2903</v>
      </c>
      <c r="S130" s="14">
        <v>1991</v>
      </c>
      <c r="T130" s="14"/>
      <c r="U130" s="14"/>
      <c r="V130" s="14"/>
      <c r="W130" s="14"/>
      <c r="X130" s="14"/>
      <c r="Y130" s="14" t="s">
        <v>2933</v>
      </c>
      <c r="Z130" s="14" t="s">
        <v>36</v>
      </c>
      <c r="AA130" s="14" t="s">
        <v>20</v>
      </c>
      <c r="AB130" s="14" t="s">
        <v>2932</v>
      </c>
      <c r="AD130" s="14"/>
      <c r="AE130" s="14"/>
      <c r="AF130" s="14"/>
      <c r="AJ130" s="14"/>
      <c r="AK130" s="14"/>
      <c r="AL130" s="14"/>
      <c r="AM130" s="33">
        <f t="shared" si="69"/>
        <v>0</v>
      </c>
      <c r="AN130" s="1">
        <f t="shared" si="66"/>
        <v>0</v>
      </c>
      <c r="AO130" s="1" t="e">
        <f t="shared" ref="AO130:AO193" si="70">AM130/AN130</f>
        <v>#DIV/0!</v>
      </c>
      <c r="AP130" s="1" t="e">
        <f t="shared" si="67"/>
        <v>#DIV/0!</v>
      </c>
      <c r="AQ130" s="1">
        <f t="shared" si="68"/>
        <v>1.3333333333333333</v>
      </c>
      <c r="AR130" s="1" t="e">
        <f t="shared" si="64"/>
        <v>#DIV/0!</v>
      </c>
      <c r="AS130" s="1" t="e">
        <f t="shared" si="65"/>
        <v>#DIV/0!</v>
      </c>
      <c r="AV130" s="1" t="s">
        <v>3539</v>
      </c>
    </row>
    <row r="131" spans="1:48" ht="14.25" customHeight="1">
      <c r="A131" s="4">
        <v>545</v>
      </c>
      <c r="C131" s="4" t="s">
        <v>2738</v>
      </c>
      <c r="D131" s="1" t="s">
        <v>2889</v>
      </c>
      <c r="E131" s="1">
        <v>2024</v>
      </c>
      <c r="G131" s="1" t="s">
        <v>2910</v>
      </c>
      <c r="H131" s="1" t="s">
        <v>2928</v>
      </c>
      <c r="I131" s="1">
        <v>-38.46</v>
      </c>
      <c r="J131" s="1">
        <v>144.09</v>
      </c>
      <c r="K131" s="1" t="s">
        <v>2971</v>
      </c>
      <c r="P131" s="1" t="s">
        <v>2948</v>
      </c>
      <c r="R131" s="1" t="s">
        <v>2903</v>
      </c>
      <c r="T131" s="18" t="s">
        <v>2949</v>
      </c>
      <c r="U131" s="18"/>
      <c r="Y131" s="1" t="s">
        <v>2911</v>
      </c>
      <c r="Z131" s="1" t="s">
        <v>3234</v>
      </c>
      <c r="AB131" s="1" t="s">
        <v>2912</v>
      </c>
      <c r="AC131" s="1" t="s">
        <v>3134</v>
      </c>
      <c r="AD131" s="1" t="s">
        <v>2913</v>
      </c>
      <c r="AE131" s="1" t="s">
        <v>2914</v>
      </c>
      <c r="AM131" s="33">
        <f t="shared" si="69"/>
        <v>0</v>
      </c>
      <c r="AN131" s="1">
        <f t="shared" si="66"/>
        <v>0</v>
      </c>
      <c r="AO131" s="1" t="e">
        <f t="shared" si="70"/>
        <v>#DIV/0!</v>
      </c>
      <c r="AP131" s="1" t="e">
        <f t="shared" si="67"/>
        <v>#DIV/0!</v>
      </c>
      <c r="AQ131" s="1">
        <f t="shared" si="68"/>
        <v>1.3333333333333333</v>
      </c>
      <c r="AR131" s="1" t="e">
        <f t="shared" si="64"/>
        <v>#DIV/0!</v>
      </c>
      <c r="AS131" s="1" t="e">
        <f t="shared" si="65"/>
        <v>#DIV/0!</v>
      </c>
      <c r="AV131" s="1" t="s">
        <v>3539</v>
      </c>
    </row>
    <row r="132" spans="1:48" ht="14.25" customHeight="1">
      <c r="A132" s="4">
        <v>372</v>
      </c>
      <c r="C132" s="4" t="s">
        <v>1954</v>
      </c>
      <c r="D132" s="1" t="s">
        <v>2889</v>
      </c>
      <c r="E132" s="1">
        <v>2010</v>
      </c>
      <c r="F132" s="1">
        <v>2005</v>
      </c>
      <c r="G132" s="1" t="s">
        <v>3048</v>
      </c>
      <c r="I132" s="1">
        <v>51.2</v>
      </c>
      <c r="J132" s="1">
        <v>-120.11666700000001</v>
      </c>
      <c r="K132" s="1" t="s">
        <v>3001</v>
      </c>
      <c r="L132" s="1" t="s">
        <v>3098</v>
      </c>
      <c r="M132" s="1" t="s">
        <v>3099</v>
      </c>
      <c r="P132" s="1" t="s">
        <v>2890</v>
      </c>
      <c r="R132" s="1" t="s">
        <v>2903</v>
      </c>
      <c r="S132" s="1">
        <v>2003</v>
      </c>
      <c r="V132" s="1">
        <v>26000</v>
      </c>
      <c r="Y132" s="1" t="s">
        <v>2911</v>
      </c>
      <c r="Z132" s="1" t="s">
        <v>3235</v>
      </c>
      <c r="AA132" s="1" t="s">
        <v>22</v>
      </c>
      <c r="AB132" s="1" t="s">
        <v>2912</v>
      </c>
      <c r="AE132" s="1" t="s">
        <v>2914</v>
      </c>
      <c r="AM132" s="33">
        <f t="shared" si="69"/>
        <v>0</v>
      </c>
      <c r="AN132" s="1">
        <f t="shared" si="66"/>
        <v>0</v>
      </c>
      <c r="AO132" s="1" t="e">
        <f t="shared" si="70"/>
        <v>#DIV/0!</v>
      </c>
      <c r="AP132" s="1" t="e">
        <f t="shared" si="67"/>
        <v>#DIV/0!</v>
      </c>
      <c r="AQ132" s="1">
        <f t="shared" si="68"/>
        <v>1.3333333333333333</v>
      </c>
      <c r="AR132" s="1" t="e">
        <f t="shared" si="64"/>
        <v>#DIV/0!</v>
      </c>
      <c r="AS132" s="1" t="e">
        <f t="shared" si="65"/>
        <v>#DIV/0!</v>
      </c>
      <c r="AV132" s="1" t="s">
        <v>3539</v>
      </c>
    </row>
    <row r="133" spans="1:48" ht="14.25" customHeight="1">
      <c r="A133" s="4">
        <v>372</v>
      </c>
      <c r="C133" s="4" t="s">
        <v>1954</v>
      </c>
      <c r="D133" s="1" t="s">
        <v>2889</v>
      </c>
      <c r="E133" s="1">
        <v>2010</v>
      </c>
      <c r="F133" s="1">
        <v>2005</v>
      </c>
      <c r="G133" s="1" t="s">
        <v>3048</v>
      </c>
      <c r="I133" s="1">
        <v>51.2</v>
      </c>
      <c r="J133" s="1">
        <v>-120.11666700000001</v>
      </c>
      <c r="K133" s="1" t="s">
        <v>3001</v>
      </c>
      <c r="L133" s="1" t="s">
        <v>3098</v>
      </c>
      <c r="M133" s="1" t="s">
        <v>3099</v>
      </c>
      <c r="P133" s="1" t="s">
        <v>2890</v>
      </c>
      <c r="R133" s="1" t="s">
        <v>2903</v>
      </c>
      <c r="S133" s="1">
        <v>2003</v>
      </c>
      <c r="V133" s="1">
        <v>26000</v>
      </c>
      <c r="Y133" s="1" t="s">
        <v>2994</v>
      </c>
      <c r="Z133" s="1" t="s">
        <v>3235</v>
      </c>
      <c r="AA133" s="1" t="s">
        <v>22</v>
      </c>
      <c r="AB133" s="1" t="s">
        <v>2912</v>
      </c>
      <c r="AE133" s="1" t="s">
        <v>2914</v>
      </c>
      <c r="AM133" s="33">
        <f t="shared" si="69"/>
        <v>0</v>
      </c>
      <c r="AN133" s="1">
        <f t="shared" si="66"/>
        <v>0</v>
      </c>
      <c r="AO133" s="1" t="e">
        <f t="shared" si="70"/>
        <v>#DIV/0!</v>
      </c>
      <c r="AP133" s="1" t="e">
        <f t="shared" si="67"/>
        <v>#DIV/0!</v>
      </c>
      <c r="AQ133" s="1">
        <f t="shared" si="68"/>
        <v>1.3333333333333333</v>
      </c>
      <c r="AR133" s="1" t="e">
        <f t="shared" si="64"/>
        <v>#DIV/0!</v>
      </c>
      <c r="AS133" s="1" t="e">
        <f t="shared" si="65"/>
        <v>#DIV/0!</v>
      </c>
      <c r="AV133" s="1" t="s">
        <v>3539</v>
      </c>
    </row>
    <row r="134" spans="1:48" ht="14.25" customHeight="1">
      <c r="A134" s="4">
        <v>29</v>
      </c>
      <c r="C134" s="4" t="s">
        <v>183</v>
      </c>
      <c r="D134" s="1" t="s">
        <v>2889</v>
      </c>
      <c r="E134" s="1">
        <v>1999</v>
      </c>
      <c r="G134" s="1" t="s">
        <v>2938</v>
      </c>
      <c r="H134" s="1" t="s">
        <v>2939</v>
      </c>
      <c r="I134" s="1">
        <v>64.700007999999997</v>
      </c>
      <c r="J134" s="1">
        <v>14.549446</v>
      </c>
      <c r="K134" s="1" t="s">
        <v>2968</v>
      </c>
      <c r="L134" s="1" t="s">
        <v>3100</v>
      </c>
      <c r="M134" s="1" t="s">
        <v>3106</v>
      </c>
      <c r="P134" s="1" t="s">
        <v>2890</v>
      </c>
      <c r="R134" s="1" t="s">
        <v>2903</v>
      </c>
      <c r="Y134" s="1" t="s">
        <v>2933</v>
      </c>
      <c r="Z134" s="1" t="s">
        <v>3236</v>
      </c>
      <c r="AB134" s="1" t="s">
        <v>2932</v>
      </c>
      <c r="AM134" s="33">
        <f t="shared" si="69"/>
        <v>0</v>
      </c>
      <c r="AN134" s="1">
        <f t="shared" si="66"/>
        <v>0</v>
      </c>
      <c r="AO134" s="1" t="e">
        <f t="shared" si="70"/>
        <v>#DIV/0!</v>
      </c>
      <c r="AP134" s="1" t="e">
        <f t="shared" si="67"/>
        <v>#DIV/0!</v>
      </c>
      <c r="AQ134" s="1">
        <f t="shared" si="68"/>
        <v>1.3333333333333333</v>
      </c>
      <c r="AR134" s="1" t="e">
        <f t="shared" si="64"/>
        <v>#DIV/0!</v>
      </c>
      <c r="AS134" s="1" t="e">
        <f t="shared" si="65"/>
        <v>#DIV/0!</v>
      </c>
      <c r="AV134" s="1" t="s">
        <v>3539</v>
      </c>
    </row>
    <row r="135" spans="1:48" ht="14.25" customHeight="1">
      <c r="A135" s="4">
        <v>29</v>
      </c>
      <c r="C135" s="4" t="s">
        <v>183</v>
      </c>
      <c r="D135" s="1" t="s">
        <v>2889</v>
      </c>
      <c r="E135" s="1">
        <v>1999</v>
      </c>
      <c r="G135" s="1" t="s">
        <v>2938</v>
      </c>
      <c r="H135" s="1" t="s">
        <v>2939</v>
      </c>
      <c r="I135" s="1">
        <v>64.700007999999997</v>
      </c>
      <c r="J135" s="1">
        <v>14.549446</v>
      </c>
      <c r="K135" s="1" t="s">
        <v>3001</v>
      </c>
      <c r="L135" s="1" t="s">
        <v>3100</v>
      </c>
      <c r="M135" s="1" t="s">
        <v>3106</v>
      </c>
      <c r="P135" s="1" t="s">
        <v>2890</v>
      </c>
      <c r="R135" s="1" t="s">
        <v>2903</v>
      </c>
      <c r="Y135" s="1" t="s">
        <v>2994</v>
      </c>
      <c r="Z135" s="1" t="s">
        <v>3236</v>
      </c>
      <c r="AB135" s="1" t="s">
        <v>2912</v>
      </c>
      <c r="AM135" s="33">
        <f t="shared" si="69"/>
        <v>0</v>
      </c>
      <c r="AN135" s="1">
        <f t="shared" si="66"/>
        <v>0</v>
      </c>
      <c r="AO135" s="1" t="e">
        <f t="shared" si="70"/>
        <v>#DIV/0!</v>
      </c>
      <c r="AP135" s="1" t="e">
        <f t="shared" si="67"/>
        <v>#DIV/0!</v>
      </c>
      <c r="AQ135" s="1">
        <f t="shared" si="68"/>
        <v>1.3333333333333333</v>
      </c>
      <c r="AR135" s="1" t="e">
        <f t="shared" ref="AR135:AR198" si="71">AO135*AQ135</f>
        <v>#DIV/0!</v>
      </c>
      <c r="AS135" s="1" t="e">
        <f t="shared" si="65"/>
        <v>#DIV/0!</v>
      </c>
      <c r="AV135" s="1" t="s">
        <v>3539</v>
      </c>
    </row>
    <row r="136" spans="1:48" ht="14.25" customHeight="1">
      <c r="A136" s="4">
        <v>208</v>
      </c>
      <c r="C136" s="4" t="s">
        <v>1167</v>
      </c>
      <c r="D136" s="1" t="s">
        <v>2889</v>
      </c>
      <c r="E136" s="1">
        <v>2020</v>
      </c>
      <c r="G136" s="1" t="s">
        <v>3051</v>
      </c>
      <c r="H136" s="1" t="s">
        <v>2939</v>
      </c>
      <c r="I136" s="1">
        <v>63.166666999999997</v>
      </c>
      <c r="J136" s="1">
        <v>30.694683999999999</v>
      </c>
      <c r="K136" s="1" t="s">
        <v>2968</v>
      </c>
      <c r="L136" s="1" t="s">
        <v>3100</v>
      </c>
      <c r="M136" s="1" t="s">
        <v>3106</v>
      </c>
      <c r="P136" s="1" t="s">
        <v>2948</v>
      </c>
      <c r="R136" s="1" t="s">
        <v>2903</v>
      </c>
      <c r="S136" s="1">
        <v>2001</v>
      </c>
      <c r="Y136" s="1" t="s">
        <v>2933</v>
      </c>
      <c r="Z136" s="1" t="s">
        <v>3237</v>
      </c>
      <c r="AB136" s="1" t="s">
        <v>2932</v>
      </c>
      <c r="AD136" s="1" t="s">
        <v>36</v>
      </c>
      <c r="AE136" s="1" t="s">
        <v>36</v>
      </c>
      <c r="AM136" s="33">
        <f t="shared" si="69"/>
        <v>0</v>
      </c>
      <c r="AN136" s="1">
        <f t="shared" si="66"/>
        <v>0</v>
      </c>
      <c r="AO136" s="1" t="e">
        <f t="shared" si="70"/>
        <v>#DIV/0!</v>
      </c>
      <c r="AP136" s="1" t="e">
        <f t="shared" si="67"/>
        <v>#DIV/0!</v>
      </c>
      <c r="AQ136" s="1">
        <f t="shared" si="68"/>
        <v>1.3333333333333333</v>
      </c>
      <c r="AR136" s="1" t="e">
        <f t="shared" si="71"/>
        <v>#DIV/0!</v>
      </c>
      <c r="AS136" s="1" t="e">
        <f t="shared" si="65"/>
        <v>#DIV/0!</v>
      </c>
      <c r="AV136" s="1" t="s">
        <v>3539</v>
      </c>
    </row>
    <row r="137" spans="1:48" ht="14.25" customHeight="1">
      <c r="A137" s="14">
        <v>271</v>
      </c>
      <c r="B137" s="14"/>
      <c r="C137" s="14" t="s">
        <v>1479</v>
      </c>
      <c r="D137" s="1" t="s">
        <v>2889</v>
      </c>
      <c r="E137" s="14">
        <v>2012</v>
      </c>
      <c r="F137" s="14" t="s">
        <v>3013</v>
      </c>
      <c r="G137" s="14" t="s">
        <v>3012</v>
      </c>
      <c r="H137" s="14"/>
      <c r="I137" s="14">
        <v>55.345132999999997</v>
      </c>
      <c r="J137" s="14">
        <v>21.021471999999999</v>
      </c>
      <c r="K137" s="14" t="s">
        <v>2968</v>
      </c>
      <c r="L137" s="14" t="s">
        <v>3100</v>
      </c>
      <c r="M137" s="14" t="s">
        <v>3119</v>
      </c>
      <c r="N137" s="14"/>
      <c r="O137" s="14"/>
      <c r="P137" s="14" t="s">
        <v>2890</v>
      </c>
      <c r="Q137" s="14" t="s">
        <v>2983</v>
      </c>
      <c r="R137" s="14" t="s">
        <v>2903</v>
      </c>
      <c r="S137" s="14">
        <v>2006</v>
      </c>
      <c r="T137" s="14"/>
      <c r="U137" s="14"/>
      <c r="V137" s="14">
        <v>230</v>
      </c>
      <c r="W137" s="14"/>
      <c r="X137" s="14"/>
      <c r="Y137" s="14" t="s">
        <v>2933</v>
      </c>
      <c r="Z137" s="14" t="s">
        <v>36</v>
      </c>
      <c r="AA137" s="14" t="s">
        <v>22</v>
      </c>
      <c r="AB137" s="14" t="s">
        <v>2932</v>
      </c>
      <c r="AD137" s="14" t="s">
        <v>36</v>
      </c>
      <c r="AE137" s="14" t="s">
        <v>36</v>
      </c>
      <c r="AF137" s="14"/>
      <c r="AJ137" s="14"/>
      <c r="AK137" s="14"/>
      <c r="AL137" s="14"/>
      <c r="AM137" s="33">
        <f t="shared" si="69"/>
        <v>0</v>
      </c>
      <c r="AN137" s="1">
        <f t="shared" si="66"/>
        <v>0</v>
      </c>
      <c r="AO137" s="1" t="e">
        <f t="shared" si="70"/>
        <v>#DIV/0!</v>
      </c>
      <c r="AP137" s="1" t="e">
        <f t="shared" si="67"/>
        <v>#DIV/0!</v>
      </c>
      <c r="AQ137" s="1">
        <f t="shared" si="68"/>
        <v>1.3333333333333333</v>
      </c>
      <c r="AR137" s="1" t="e">
        <f t="shared" si="71"/>
        <v>#DIV/0!</v>
      </c>
      <c r="AS137" s="1" t="e">
        <f t="shared" si="65"/>
        <v>#DIV/0!</v>
      </c>
      <c r="AV137" s="1" t="s">
        <v>3539</v>
      </c>
    </row>
    <row r="138" spans="1:48" ht="14.25" customHeight="1">
      <c r="A138" s="4">
        <v>404</v>
      </c>
      <c r="C138" s="4" t="s">
        <v>2090</v>
      </c>
      <c r="D138" s="1" t="s">
        <v>2901</v>
      </c>
      <c r="E138" s="1">
        <v>1999</v>
      </c>
      <c r="F138" s="1">
        <v>1997</v>
      </c>
      <c r="G138" s="1" t="s">
        <v>2910</v>
      </c>
      <c r="I138" s="1">
        <v>-37.15</v>
      </c>
      <c r="J138" s="1">
        <v>145.15</v>
      </c>
      <c r="K138" s="1" t="s">
        <v>3001</v>
      </c>
      <c r="L138" s="1" t="s">
        <v>2931</v>
      </c>
      <c r="M138" s="1" t="s">
        <v>3104</v>
      </c>
      <c r="P138" s="1" t="s">
        <v>2948</v>
      </c>
      <c r="R138" s="1" t="s">
        <v>2903</v>
      </c>
      <c r="T138" s="1">
        <v>2</v>
      </c>
      <c r="Y138" s="1" t="s">
        <v>2994</v>
      </c>
      <c r="Z138" s="1" t="s">
        <v>3238</v>
      </c>
      <c r="AA138" s="1" t="s">
        <v>22</v>
      </c>
      <c r="AB138" s="1" t="s">
        <v>2925</v>
      </c>
      <c r="AD138" s="1" t="s">
        <v>36</v>
      </c>
      <c r="AE138" s="1" t="s">
        <v>36</v>
      </c>
      <c r="AM138" s="33">
        <f t="shared" si="69"/>
        <v>0</v>
      </c>
      <c r="AN138" s="1">
        <f t="shared" si="66"/>
        <v>0</v>
      </c>
      <c r="AO138" s="1" t="e">
        <f t="shared" si="70"/>
        <v>#DIV/0!</v>
      </c>
      <c r="AP138" s="1" t="e">
        <f t="shared" si="67"/>
        <v>#DIV/0!</v>
      </c>
      <c r="AQ138" s="1">
        <f t="shared" si="68"/>
        <v>1.3333333333333333</v>
      </c>
      <c r="AR138" s="1" t="e">
        <f t="shared" si="71"/>
        <v>#DIV/0!</v>
      </c>
      <c r="AS138" s="1" t="e">
        <f t="shared" si="65"/>
        <v>#DIV/0!</v>
      </c>
      <c r="AV138" s="1" t="s">
        <v>3539</v>
      </c>
    </row>
    <row r="139" spans="1:48" ht="14.25" customHeight="1">
      <c r="A139" s="4">
        <v>35</v>
      </c>
      <c r="C139" s="4" t="s">
        <v>222</v>
      </c>
      <c r="D139" s="1" t="s">
        <v>2889</v>
      </c>
      <c r="E139" s="1">
        <v>2005</v>
      </c>
      <c r="F139" s="1">
        <v>2000</v>
      </c>
      <c r="G139" s="1" t="s">
        <v>3048</v>
      </c>
      <c r="H139" s="1" t="s">
        <v>2939</v>
      </c>
      <c r="I139" s="1">
        <v>56.733333000000002</v>
      </c>
      <c r="J139" s="1">
        <v>-118.333333</v>
      </c>
      <c r="K139" s="1" t="s">
        <v>3001</v>
      </c>
      <c r="L139" s="1" t="s">
        <v>2919</v>
      </c>
      <c r="M139" s="1" t="s">
        <v>3121</v>
      </c>
      <c r="P139" s="1" t="s">
        <v>2948</v>
      </c>
      <c r="Q139" s="1" t="s">
        <v>36</v>
      </c>
      <c r="R139" s="1" t="s">
        <v>2903</v>
      </c>
      <c r="S139" s="1">
        <v>1999</v>
      </c>
      <c r="T139" s="1">
        <v>1</v>
      </c>
      <c r="V139" s="1" t="s">
        <v>36</v>
      </c>
      <c r="Y139" s="1" t="s">
        <v>2994</v>
      </c>
      <c r="Z139" s="1" t="s">
        <v>2985</v>
      </c>
      <c r="AA139" s="1" t="s">
        <v>20</v>
      </c>
      <c r="AB139" s="1" t="s">
        <v>3035</v>
      </c>
      <c r="AD139" s="1" t="s">
        <v>36</v>
      </c>
      <c r="AE139" s="1" t="s">
        <v>36</v>
      </c>
      <c r="AM139" s="33">
        <f t="shared" si="69"/>
        <v>0</v>
      </c>
      <c r="AN139" s="1">
        <f t="shared" si="66"/>
        <v>0</v>
      </c>
      <c r="AO139" s="1" t="e">
        <f t="shared" si="70"/>
        <v>#DIV/0!</v>
      </c>
      <c r="AP139" s="1" t="e">
        <f t="shared" si="67"/>
        <v>#DIV/0!</v>
      </c>
      <c r="AQ139" s="1">
        <f t="shared" si="68"/>
        <v>1.3333333333333333</v>
      </c>
      <c r="AR139" s="1" t="e">
        <f t="shared" si="71"/>
        <v>#DIV/0!</v>
      </c>
      <c r="AS139" s="1" t="e">
        <f t="shared" ref="AS139:AS202" si="72">SQRT(AP139*AQ139^2)</f>
        <v>#DIV/0!</v>
      </c>
      <c r="AV139" s="1" t="s">
        <v>3539</v>
      </c>
    </row>
    <row r="140" spans="1:48" ht="14.25" customHeight="1">
      <c r="A140" s="4">
        <v>45</v>
      </c>
      <c r="C140" s="4" t="s">
        <v>280</v>
      </c>
      <c r="D140" s="1" t="s">
        <v>2889</v>
      </c>
      <c r="E140" s="1">
        <v>2013</v>
      </c>
      <c r="F140" s="1">
        <v>2006</v>
      </c>
      <c r="G140" s="1" t="s">
        <v>3025</v>
      </c>
      <c r="H140" s="1" t="s">
        <v>3059</v>
      </c>
      <c r="I140" s="1">
        <v>44.5</v>
      </c>
      <c r="J140" s="1">
        <v>-84.5</v>
      </c>
      <c r="K140" s="1" t="s">
        <v>3001</v>
      </c>
      <c r="L140" s="1" t="s">
        <v>3100</v>
      </c>
      <c r="M140" s="1" t="s">
        <v>3116</v>
      </c>
      <c r="P140" s="1" t="s">
        <v>2890</v>
      </c>
      <c r="R140" s="1" t="s">
        <v>2903</v>
      </c>
      <c r="T140" s="1">
        <v>5</v>
      </c>
      <c r="Y140" s="1" t="s">
        <v>2994</v>
      </c>
      <c r="Z140" s="1" t="s">
        <v>36</v>
      </c>
      <c r="AA140" s="1" t="s">
        <v>22</v>
      </c>
      <c r="AB140" s="1" t="s">
        <v>2912</v>
      </c>
      <c r="AM140" s="33">
        <f t="shared" si="69"/>
        <v>0</v>
      </c>
      <c r="AN140" s="1">
        <f t="shared" si="66"/>
        <v>0</v>
      </c>
      <c r="AO140" s="1" t="e">
        <f t="shared" si="70"/>
        <v>#DIV/0!</v>
      </c>
      <c r="AP140" s="1" t="e">
        <f t="shared" si="67"/>
        <v>#DIV/0!</v>
      </c>
      <c r="AQ140" s="1">
        <f t="shared" si="68"/>
        <v>1.3333333333333333</v>
      </c>
      <c r="AR140" s="1" t="e">
        <f t="shared" si="71"/>
        <v>#DIV/0!</v>
      </c>
      <c r="AS140" s="1" t="e">
        <f t="shared" si="72"/>
        <v>#DIV/0!</v>
      </c>
      <c r="AV140" s="1" t="s">
        <v>3539</v>
      </c>
    </row>
    <row r="141" spans="1:48" ht="14.25" customHeight="1">
      <c r="A141" s="4">
        <v>45</v>
      </c>
      <c r="C141" s="4" t="s">
        <v>280</v>
      </c>
      <c r="D141" s="1" t="s">
        <v>2889</v>
      </c>
      <c r="E141" s="1">
        <v>2013</v>
      </c>
      <c r="F141" s="1">
        <v>2006</v>
      </c>
      <c r="G141" s="1" t="s">
        <v>3025</v>
      </c>
      <c r="H141" s="1" t="s">
        <v>3059</v>
      </c>
      <c r="I141" s="1">
        <v>44.5</v>
      </c>
      <c r="J141" s="1">
        <v>-84.5</v>
      </c>
      <c r="K141" s="1" t="s">
        <v>3001</v>
      </c>
      <c r="L141" s="1" t="s">
        <v>3100</v>
      </c>
      <c r="M141" s="1" t="s">
        <v>3116</v>
      </c>
      <c r="P141" s="1" t="s">
        <v>2890</v>
      </c>
      <c r="R141" s="1" t="s">
        <v>2903</v>
      </c>
      <c r="T141" s="1">
        <v>11</v>
      </c>
      <c r="Y141" s="1" t="s">
        <v>2994</v>
      </c>
      <c r="Z141" s="1" t="s">
        <v>36</v>
      </c>
      <c r="AA141" s="1" t="s">
        <v>22</v>
      </c>
      <c r="AB141" s="1" t="s">
        <v>2912</v>
      </c>
      <c r="AM141" s="33">
        <f t="shared" si="69"/>
        <v>0</v>
      </c>
      <c r="AN141" s="1">
        <f t="shared" si="66"/>
        <v>0</v>
      </c>
      <c r="AO141" s="1" t="e">
        <f t="shared" si="70"/>
        <v>#DIV/0!</v>
      </c>
      <c r="AP141" s="1" t="e">
        <f t="shared" si="67"/>
        <v>#DIV/0!</v>
      </c>
      <c r="AQ141" s="1">
        <f t="shared" si="68"/>
        <v>1.3333333333333333</v>
      </c>
      <c r="AR141" s="1" t="e">
        <f t="shared" si="71"/>
        <v>#DIV/0!</v>
      </c>
      <c r="AS141" s="1" t="e">
        <f t="shared" si="72"/>
        <v>#DIV/0!</v>
      </c>
      <c r="AV141" s="1" t="s">
        <v>3539</v>
      </c>
    </row>
    <row r="142" spans="1:48" ht="14.25" customHeight="1">
      <c r="A142" s="4">
        <v>96</v>
      </c>
      <c r="C142" s="4" t="s">
        <v>577</v>
      </c>
      <c r="D142" s="1" t="s">
        <v>2889</v>
      </c>
      <c r="E142" s="1">
        <v>2011</v>
      </c>
      <c r="F142" s="1" t="s">
        <v>3077</v>
      </c>
      <c r="G142" s="1" t="s">
        <v>3076</v>
      </c>
      <c r="I142" s="1">
        <v>-41.255277999999997</v>
      </c>
      <c r="J142" s="1">
        <v>-71.281389000000004</v>
      </c>
      <c r="K142" s="1" t="s">
        <v>3001</v>
      </c>
      <c r="L142" s="1" t="s">
        <v>3123</v>
      </c>
      <c r="M142" s="1" t="s">
        <v>3124</v>
      </c>
      <c r="P142" s="1" t="s">
        <v>2890</v>
      </c>
      <c r="R142" s="1" t="s">
        <v>2903</v>
      </c>
      <c r="T142" s="18" t="s">
        <v>3078</v>
      </c>
      <c r="U142" s="18"/>
      <c r="Y142" s="1" t="s">
        <v>2994</v>
      </c>
      <c r="Z142" s="1" t="s">
        <v>3054</v>
      </c>
      <c r="AA142" s="1" t="s">
        <v>22</v>
      </c>
      <c r="AB142" s="1" t="s">
        <v>3035</v>
      </c>
      <c r="AD142" s="1" t="s">
        <v>36</v>
      </c>
      <c r="AE142" s="1" t="s">
        <v>36</v>
      </c>
      <c r="AF142" s="1" t="s">
        <v>2925</v>
      </c>
      <c r="AM142" s="33">
        <f t="shared" si="69"/>
        <v>0</v>
      </c>
      <c r="AN142" s="1">
        <f t="shared" si="66"/>
        <v>0</v>
      </c>
      <c r="AO142" s="1" t="e">
        <f t="shared" si="70"/>
        <v>#DIV/0!</v>
      </c>
      <c r="AP142" s="1" t="e">
        <f t="shared" si="67"/>
        <v>#DIV/0!</v>
      </c>
      <c r="AQ142" s="1">
        <f t="shared" si="68"/>
        <v>1.3333333333333333</v>
      </c>
      <c r="AR142" s="1" t="e">
        <f t="shared" si="71"/>
        <v>#DIV/0!</v>
      </c>
      <c r="AS142" s="1" t="e">
        <f t="shared" si="72"/>
        <v>#DIV/0!</v>
      </c>
      <c r="AV142" s="1" t="s">
        <v>3539</v>
      </c>
    </row>
    <row r="143" spans="1:48" ht="14.25" customHeight="1">
      <c r="A143" s="4">
        <v>96</v>
      </c>
      <c r="C143" s="4" t="s">
        <v>577</v>
      </c>
      <c r="D143" s="1" t="s">
        <v>2889</v>
      </c>
      <c r="E143" s="1">
        <v>2011</v>
      </c>
      <c r="F143" s="1" t="s">
        <v>3077</v>
      </c>
      <c r="G143" s="1" t="s">
        <v>3076</v>
      </c>
      <c r="I143" s="1">
        <v>-41.255277999999997</v>
      </c>
      <c r="J143" s="1">
        <v>-71.281389000000004</v>
      </c>
      <c r="K143" s="1" t="s">
        <v>3001</v>
      </c>
      <c r="L143" s="1" t="s">
        <v>3123</v>
      </c>
      <c r="M143" s="1" t="s">
        <v>3124</v>
      </c>
      <c r="P143" s="1" t="s">
        <v>2890</v>
      </c>
      <c r="R143" s="1" t="s">
        <v>2903</v>
      </c>
      <c r="T143" s="18" t="s">
        <v>3078</v>
      </c>
      <c r="U143" s="18"/>
      <c r="Y143" s="1" t="s">
        <v>2994</v>
      </c>
      <c r="Z143" s="1" t="s">
        <v>3054</v>
      </c>
      <c r="AA143" s="1" t="s">
        <v>22</v>
      </c>
      <c r="AB143" s="1" t="s">
        <v>3035</v>
      </c>
      <c r="AD143" s="1" t="s">
        <v>36</v>
      </c>
      <c r="AE143" s="1" t="s">
        <v>36</v>
      </c>
      <c r="AF143" s="1" t="s">
        <v>3080</v>
      </c>
      <c r="AM143" s="33">
        <f t="shared" si="69"/>
        <v>0</v>
      </c>
      <c r="AN143" s="1">
        <f t="shared" si="66"/>
        <v>0</v>
      </c>
      <c r="AO143" s="1" t="e">
        <f t="shared" si="70"/>
        <v>#DIV/0!</v>
      </c>
      <c r="AP143" s="1" t="e">
        <f t="shared" si="67"/>
        <v>#DIV/0!</v>
      </c>
      <c r="AQ143" s="1">
        <f t="shared" si="68"/>
        <v>1.3333333333333333</v>
      </c>
      <c r="AR143" s="1" t="e">
        <f t="shared" si="71"/>
        <v>#DIV/0!</v>
      </c>
      <c r="AS143" s="1" t="e">
        <f t="shared" si="72"/>
        <v>#DIV/0!</v>
      </c>
      <c r="AV143" s="1" t="s">
        <v>3539</v>
      </c>
    </row>
    <row r="144" spans="1:48" ht="14.25" customHeight="1">
      <c r="A144" s="4">
        <v>480</v>
      </c>
      <c r="C144" s="4" t="s">
        <v>2443</v>
      </c>
      <c r="D144" s="1" t="s">
        <v>2889</v>
      </c>
      <c r="E144" s="1">
        <v>2023</v>
      </c>
      <c r="F144" s="1">
        <v>2021</v>
      </c>
      <c r="G144" s="1" t="s">
        <v>3183</v>
      </c>
      <c r="I144" s="1">
        <v>52.037222</v>
      </c>
      <c r="J144" s="1">
        <v>124.083611</v>
      </c>
      <c r="K144" s="1" t="s">
        <v>2971</v>
      </c>
      <c r="P144" s="1" t="s">
        <v>2890</v>
      </c>
      <c r="R144" s="1" t="s">
        <v>2903</v>
      </c>
      <c r="S144" s="1">
        <v>2020</v>
      </c>
      <c r="T144" s="1">
        <v>1</v>
      </c>
      <c r="Y144" s="1" t="s">
        <v>2911</v>
      </c>
      <c r="Z144" s="1" t="s">
        <v>3239</v>
      </c>
      <c r="AB144" s="1" t="s">
        <v>2912</v>
      </c>
      <c r="AC144" s="1" t="s">
        <v>3134</v>
      </c>
      <c r="AD144" s="1" t="s">
        <v>2913</v>
      </c>
      <c r="AE144" s="1" t="s">
        <v>2930</v>
      </c>
      <c r="AM144" s="33">
        <f t="shared" si="69"/>
        <v>0</v>
      </c>
      <c r="AN144" s="1">
        <f t="shared" si="66"/>
        <v>0</v>
      </c>
      <c r="AO144" s="1" t="e">
        <f t="shared" si="70"/>
        <v>#DIV/0!</v>
      </c>
      <c r="AP144" s="1" t="e">
        <f t="shared" si="67"/>
        <v>#DIV/0!</v>
      </c>
      <c r="AQ144" s="1">
        <f t="shared" si="68"/>
        <v>1.3333333333333333</v>
      </c>
      <c r="AR144" s="1" t="e">
        <f t="shared" si="71"/>
        <v>#DIV/0!</v>
      </c>
      <c r="AS144" s="1" t="e">
        <f t="shared" si="72"/>
        <v>#DIV/0!</v>
      </c>
      <c r="AV144" s="1" t="s">
        <v>3539</v>
      </c>
    </row>
    <row r="145" spans="1:48" ht="14.25" customHeight="1">
      <c r="A145" s="4">
        <v>480</v>
      </c>
      <c r="C145" s="4" t="s">
        <v>2443</v>
      </c>
      <c r="D145" s="1" t="s">
        <v>2889</v>
      </c>
      <c r="E145" s="1">
        <v>2023</v>
      </c>
      <c r="F145" s="1">
        <v>2021</v>
      </c>
      <c r="G145" s="1" t="s">
        <v>3183</v>
      </c>
      <c r="I145" s="1">
        <v>52.037222</v>
      </c>
      <c r="J145" s="1">
        <v>124.083611</v>
      </c>
      <c r="K145" s="1" t="s">
        <v>2971</v>
      </c>
      <c r="P145" s="1" t="s">
        <v>2890</v>
      </c>
      <c r="R145" s="1" t="s">
        <v>2903</v>
      </c>
      <c r="S145" s="1">
        <v>2017</v>
      </c>
      <c r="T145" s="1">
        <v>4</v>
      </c>
      <c r="Y145" s="1" t="s">
        <v>2911</v>
      </c>
      <c r="Z145" s="1" t="s">
        <v>3239</v>
      </c>
      <c r="AB145" s="1" t="s">
        <v>2912</v>
      </c>
      <c r="AC145" s="1" t="s">
        <v>3134</v>
      </c>
      <c r="AD145" s="1" t="s">
        <v>2913</v>
      </c>
      <c r="AE145" s="1" t="s">
        <v>2930</v>
      </c>
      <c r="AM145" s="33">
        <f t="shared" si="69"/>
        <v>0</v>
      </c>
      <c r="AN145" s="1">
        <f t="shared" si="66"/>
        <v>0</v>
      </c>
      <c r="AO145" s="1" t="e">
        <f t="shared" si="70"/>
        <v>#DIV/0!</v>
      </c>
      <c r="AP145" s="1" t="e">
        <f t="shared" si="67"/>
        <v>#DIV/0!</v>
      </c>
      <c r="AQ145" s="1">
        <f t="shared" si="68"/>
        <v>1.3333333333333333</v>
      </c>
      <c r="AR145" s="1" t="e">
        <f t="shared" si="71"/>
        <v>#DIV/0!</v>
      </c>
      <c r="AS145" s="1" t="e">
        <f t="shared" si="72"/>
        <v>#DIV/0!</v>
      </c>
      <c r="AV145" s="1" t="s">
        <v>3539</v>
      </c>
    </row>
    <row r="146" spans="1:48" ht="14.25" customHeight="1">
      <c r="A146" s="4">
        <v>480</v>
      </c>
      <c r="C146" s="4" t="s">
        <v>2443</v>
      </c>
      <c r="D146" s="1" t="s">
        <v>2889</v>
      </c>
      <c r="E146" s="1">
        <v>2023</v>
      </c>
      <c r="F146" s="1">
        <v>2021</v>
      </c>
      <c r="G146" s="1" t="s">
        <v>3183</v>
      </c>
      <c r="I146" s="1">
        <v>52.037222</v>
      </c>
      <c r="J146" s="1">
        <v>124.083611</v>
      </c>
      <c r="K146" s="1" t="s">
        <v>2971</v>
      </c>
      <c r="P146" s="1" t="s">
        <v>2890</v>
      </c>
      <c r="R146" s="1" t="s">
        <v>2903</v>
      </c>
      <c r="S146" s="1">
        <v>2012</v>
      </c>
      <c r="T146" s="1">
        <v>9</v>
      </c>
      <c r="Y146" s="1" t="s">
        <v>2911</v>
      </c>
      <c r="Z146" s="1" t="s">
        <v>3239</v>
      </c>
      <c r="AB146" s="1" t="s">
        <v>2912</v>
      </c>
      <c r="AC146" s="1" t="s">
        <v>3134</v>
      </c>
      <c r="AD146" s="1" t="s">
        <v>2913</v>
      </c>
      <c r="AE146" s="1" t="s">
        <v>2930</v>
      </c>
      <c r="AM146" s="33">
        <f t="shared" si="69"/>
        <v>0</v>
      </c>
      <c r="AN146" s="1">
        <f t="shared" si="66"/>
        <v>0</v>
      </c>
      <c r="AO146" s="1" t="e">
        <f t="shared" si="70"/>
        <v>#DIV/0!</v>
      </c>
      <c r="AP146" s="1" t="e">
        <f t="shared" si="67"/>
        <v>#DIV/0!</v>
      </c>
      <c r="AQ146" s="1">
        <f t="shared" si="68"/>
        <v>1.3333333333333333</v>
      </c>
      <c r="AR146" s="1" t="e">
        <f t="shared" si="71"/>
        <v>#DIV/0!</v>
      </c>
      <c r="AS146" s="1" t="e">
        <f t="shared" si="72"/>
        <v>#DIV/0!</v>
      </c>
      <c r="AV146" s="1" t="s">
        <v>3539</v>
      </c>
    </row>
    <row r="147" spans="1:48" ht="14.25" customHeight="1">
      <c r="A147" s="4">
        <v>480</v>
      </c>
      <c r="C147" s="4" t="s">
        <v>2443</v>
      </c>
      <c r="D147" s="1" t="s">
        <v>2889</v>
      </c>
      <c r="E147" s="1">
        <v>2023</v>
      </c>
      <c r="F147" s="1">
        <v>2021</v>
      </c>
      <c r="G147" s="1" t="s">
        <v>3183</v>
      </c>
      <c r="I147" s="1">
        <v>52.037222</v>
      </c>
      <c r="J147" s="1">
        <v>124.083611</v>
      </c>
      <c r="K147" s="1" t="s">
        <v>2971</v>
      </c>
      <c r="P147" s="1" t="s">
        <v>2890</v>
      </c>
      <c r="R147" s="1" t="s">
        <v>2903</v>
      </c>
      <c r="S147" s="1">
        <v>2004</v>
      </c>
      <c r="T147" s="1">
        <v>17</v>
      </c>
      <c r="Y147" s="1" t="s">
        <v>2911</v>
      </c>
      <c r="Z147" s="1" t="s">
        <v>3239</v>
      </c>
      <c r="AB147" s="1" t="s">
        <v>2912</v>
      </c>
      <c r="AC147" s="1" t="s">
        <v>3134</v>
      </c>
      <c r="AD147" s="1" t="s">
        <v>2913</v>
      </c>
      <c r="AE147" s="1" t="s">
        <v>2930</v>
      </c>
      <c r="AM147" s="33">
        <f t="shared" si="69"/>
        <v>0</v>
      </c>
      <c r="AN147" s="1">
        <f t="shared" si="66"/>
        <v>0</v>
      </c>
      <c r="AO147" s="1" t="e">
        <f t="shared" si="70"/>
        <v>#DIV/0!</v>
      </c>
      <c r="AP147" s="1" t="e">
        <f t="shared" si="67"/>
        <v>#DIV/0!</v>
      </c>
      <c r="AQ147" s="1">
        <f t="shared" si="68"/>
        <v>1.3333333333333333</v>
      </c>
      <c r="AR147" s="1" t="e">
        <f t="shared" si="71"/>
        <v>#DIV/0!</v>
      </c>
      <c r="AS147" s="1" t="e">
        <f t="shared" si="72"/>
        <v>#DIV/0!</v>
      </c>
      <c r="AV147" s="1" t="s">
        <v>3539</v>
      </c>
    </row>
    <row r="148" spans="1:48" ht="14.25" customHeight="1">
      <c r="A148" s="4">
        <v>94</v>
      </c>
      <c r="C148" s="4" t="s">
        <v>563</v>
      </c>
      <c r="D148" s="1" t="s">
        <v>2889</v>
      </c>
      <c r="E148" s="1">
        <v>2016</v>
      </c>
      <c r="F148" s="1" t="s">
        <v>2959</v>
      </c>
      <c r="G148" s="1" t="s">
        <v>3073</v>
      </c>
      <c r="H148" s="1" t="s">
        <v>2961</v>
      </c>
      <c r="I148" s="1">
        <v>45.327367000000002</v>
      </c>
      <c r="J148" s="1">
        <v>136.49381700000001</v>
      </c>
      <c r="K148" s="1" t="s">
        <v>3001</v>
      </c>
      <c r="L148" s="1" t="s">
        <v>3100</v>
      </c>
      <c r="M148" s="1" t="s">
        <v>3122</v>
      </c>
      <c r="P148" s="1" t="s">
        <v>2890</v>
      </c>
      <c r="R148" s="1" t="s">
        <v>2903</v>
      </c>
      <c r="T148" s="1">
        <v>10</v>
      </c>
      <c r="V148" s="1" t="s">
        <v>36</v>
      </c>
      <c r="Y148" s="1" t="s">
        <v>2994</v>
      </c>
      <c r="Z148" s="1" t="s">
        <v>3074</v>
      </c>
      <c r="AA148" s="1" t="s">
        <v>20</v>
      </c>
      <c r="AB148" s="1" t="s">
        <v>2912</v>
      </c>
      <c r="AD148" s="1" t="s">
        <v>3064</v>
      </c>
      <c r="AE148" s="1" t="s">
        <v>2914</v>
      </c>
      <c r="AM148" s="33">
        <f t="shared" si="69"/>
        <v>0</v>
      </c>
      <c r="AN148" s="1">
        <f t="shared" si="66"/>
        <v>0</v>
      </c>
      <c r="AO148" s="1" t="e">
        <f t="shared" si="70"/>
        <v>#DIV/0!</v>
      </c>
      <c r="AP148" s="1" t="e">
        <f t="shared" si="67"/>
        <v>#DIV/0!</v>
      </c>
      <c r="AQ148" s="1">
        <f t="shared" si="68"/>
        <v>1.3333333333333333</v>
      </c>
      <c r="AR148" s="1" t="e">
        <f t="shared" si="71"/>
        <v>#DIV/0!</v>
      </c>
      <c r="AS148" s="1" t="e">
        <f t="shared" si="72"/>
        <v>#DIV/0!</v>
      </c>
      <c r="AV148" s="1" t="s">
        <v>3539</v>
      </c>
    </row>
    <row r="149" spans="1:48" ht="14.25" customHeight="1">
      <c r="A149" s="4">
        <v>477</v>
      </c>
      <c r="C149" s="4" t="s">
        <v>2429</v>
      </c>
      <c r="D149" s="1" t="s">
        <v>2889</v>
      </c>
      <c r="E149" s="1">
        <v>2014</v>
      </c>
      <c r="F149" s="1">
        <v>2012</v>
      </c>
      <c r="G149" s="1" t="s">
        <v>2967</v>
      </c>
      <c r="H149" s="1" t="s">
        <v>2961</v>
      </c>
      <c r="I149" s="1">
        <v>0.33003500000000002</v>
      </c>
      <c r="J149" s="1">
        <v>117.53198</v>
      </c>
      <c r="K149" s="1" t="s">
        <v>2968</v>
      </c>
      <c r="L149" s="1" t="s">
        <v>2969</v>
      </c>
      <c r="P149" s="1" t="s">
        <v>2890</v>
      </c>
      <c r="R149" s="1" t="s">
        <v>2903</v>
      </c>
      <c r="S149" s="1" t="s">
        <v>2970</v>
      </c>
      <c r="T149" s="1">
        <v>14</v>
      </c>
      <c r="Y149" s="1" t="s">
        <v>2933</v>
      </c>
      <c r="Z149" s="1" t="s">
        <v>36</v>
      </c>
      <c r="AA149" s="1" t="s">
        <v>20</v>
      </c>
      <c r="AB149" s="1" t="s">
        <v>2932</v>
      </c>
      <c r="AM149" s="33">
        <f t="shared" si="69"/>
        <v>0</v>
      </c>
      <c r="AN149" s="1">
        <f t="shared" si="66"/>
        <v>0</v>
      </c>
      <c r="AO149" s="1" t="e">
        <f t="shared" si="70"/>
        <v>#DIV/0!</v>
      </c>
      <c r="AP149" s="1" t="e">
        <f t="shared" si="67"/>
        <v>#DIV/0!</v>
      </c>
      <c r="AQ149" s="1">
        <f t="shared" si="68"/>
        <v>1.3333333333333333</v>
      </c>
      <c r="AR149" s="1" t="e">
        <f t="shared" si="71"/>
        <v>#DIV/0!</v>
      </c>
      <c r="AS149" s="1" t="e">
        <f t="shared" si="72"/>
        <v>#DIV/0!</v>
      </c>
      <c r="AV149" s="1" t="s">
        <v>3539</v>
      </c>
    </row>
    <row r="150" spans="1:48" ht="14.25" customHeight="1">
      <c r="A150" s="14">
        <v>257</v>
      </c>
      <c r="B150" s="14"/>
      <c r="C150" s="14" t="s">
        <v>1419</v>
      </c>
      <c r="D150" s="1" t="s">
        <v>2889</v>
      </c>
      <c r="E150" s="14">
        <v>2006</v>
      </c>
      <c r="F150" s="14">
        <v>2003</v>
      </c>
      <c r="G150" s="14" t="s">
        <v>2946</v>
      </c>
      <c r="H150" s="14" t="s">
        <v>2928</v>
      </c>
      <c r="I150" s="14"/>
      <c r="J150" s="14"/>
      <c r="K150" s="14" t="s">
        <v>2968</v>
      </c>
      <c r="L150" s="14" t="s">
        <v>3100</v>
      </c>
      <c r="M150" s="14" t="s">
        <v>3101</v>
      </c>
      <c r="N150" s="14"/>
      <c r="O150" s="14"/>
      <c r="P150" s="14" t="s">
        <v>2890</v>
      </c>
      <c r="Q150" s="14"/>
      <c r="R150" s="14"/>
      <c r="S150" s="14">
        <v>2002</v>
      </c>
      <c r="T150" s="14"/>
      <c r="U150" s="14"/>
      <c r="V150" s="14"/>
      <c r="W150" s="14"/>
      <c r="X150" s="14"/>
      <c r="Y150" s="14" t="s">
        <v>2933</v>
      </c>
      <c r="Z150" s="1" t="s">
        <v>3240</v>
      </c>
      <c r="AA150" s="14"/>
      <c r="AB150" s="14" t="s">
        <v>2932</v>
      </c>
      <c r="AD150" s="14"/>
      <c r="AE150" s="14"/>
      <c r="AF150" s="14"/>
      <c r="AJ150" s="14"/>
      <c r="AK150" s="14"/>
      <c r="AL150" s="14"/>
      <c r="AM150" s="33">
        <f t="shared" si="69"/>
        <v>0</v>
      </c>
      <c r="AN150" s="1">
        <f t="shared" si="66"/>
        <v>0</v>
      </c>
      <c r="AO150" s="1" t="e">
        <f t="shared" si="70"/>
        <v>#DIV/0!</v>
      </c>
      <c r="AP150" s="1" t="e">
        <f t="shared" si="67"/>
        <v>#DIV/0!</v>
      </c>
      <c r="AQ150" s="1">
        <f t="shared" si="68"/>
        <v>1.3333333333333333</v>
      </c>
      <c r="AR150" s="1" t="e">
        <f t="shared" si="71"/>
        <v>#DIV/0!</v>
      </c>
      <c r="AS150" s="1" t="e">
        <f t="shared" si="72"/>
        <v>#DIV/0!</v>
      </c>
      <c r="AV150" s="1" t="s">
        <v>3539</v>
      </c>
    </row>
    <row r="151" spans="1:48" ht="14.25" customHeight="1">
      <c r="A151" s="14">
        <v>467</v>
      </c>
      <c r="B151" s="14"/>
      <c r="C151" s="14" t="s">
        <v>2382</v>
      </c>
      <c r="D151" s="1" t="s">
        <v>2889</v>
      </c>
      <c r="E151" s="14">
        <v>2023</v>
      </c>
      <c r="F151" s="14">
        <v>2014</v>
      </c>
      <c r="G151" s="14" t="s">
        <v>2946</v>
      </c>
      <c r="H151" s="14" t="s">
        <v>2928</v>
      </c>
      <c r="I151" s="14">
        <v>41.696944000000002</v>
      </c>
      <c r="J151" s="14">
        <v>-6.2241109999999997</v>
      </c>
      <c r="K151" s="14" t="s">
        <v>2971</v>
      </c>
      <c r="L151" s="14" t="s">
        <v>3108</v>
      </c>
      <c r="M151" s="14" t="s">
        <v>3109</v>
      </c>
      <c r="N151" s="14"/>
      <c r="O151" s="14"/>
      <c r="P151" s="14" t="s">
        <v>2890</v>
      </c>
      <c r="Q151" s="14"/>
      <c r="R151" s="14" t="s">
        <v>2903</v>
      </c>
      <c r="S151" s="14"/>
      <c r="T151" s="14">
        <v>8</v>
      </c>
      <c r="U151" s="14"/>
      <c r="V151" s="14"/>
      <c r="W151" s="14"/>
      <c r="X151" s="14"/>
      <c r="Y151" s="1" t="s">
        <v>2911</v>
      </c>
      <c r="Z151" s="1" t="s">
        <v>3241</v>
      </c>
      <c r="AA151" s="14"/>
      <c r="AB151" s="14" t="s">
        <v>2912</v>
      </c>
      <c r="AD151" s="14" t="s">
        <v>36</v>
      </c>
      <c r="AE151" s="14" t="s">
        <v>2917</v>
      </c>
      <c r="AF151" s="14"/>
      <c r="AJ151" s="14"/>
      <c r="AK151" s="14"/>
      <c r="AL151" s="14"/>
      <c r="AM151" s="33">
        <f t="shared" si="69"/>
        <v>0</v>
      </c>
      <c r="AN151" s="1">
        <f t="shared" si="66"/>
        <v>0</v>
      </c>
      <c r="AO151" s="1" t="e">
        <f t="shared" si="70"/>
        <v>#DIV/0!</v>
      </c>
      <c r="AP151" s="1" t="e">
        <f t="shared" si="67"/>
        <v>#DIV/0!</v>
      </c>
      <c r="AQ151" s="1">
        <f t="shared" si="68"/>
        <v>1.3333333333333333</v>
      </c>
      <c r="AR151" s="1" t="e">
        <f t="shared" si="71"/>
        <v>#DIV/0!</v>
      </c>
      <c r="AS151" s="1" t="e">
        <f t="shared" si="72"/>
        <v>#DIV/0!</v>
      </c>
      <c r="AV151" s="1" t="s">
        <v>3539</v>
      </c>
    </row>
    <row r="152" spans="1:48" ht="14.25" customHeight="1">
      <c r="A152" s="4">
        <v>460</v>
      </c>
      <c r="C152" s="4" t="s">
        <v>2347</v>
      </c>
      <c r="D152" s="1" t="s">
        <v>2889</v>
      </c>
      <c r="E152" s="1">
        <v>2023</v>
      </c>
      <c r="F152" s="1">
        <v>2019</v>
      </c>
      <c r="G152" s="1" t="s">
        <v>2946</v>
      </c>
      <c r="H152" s="1" t="s">
        <v>2928</v>
      </c>
      <c r="I152" s="1">
        <v>42.133889000000003</v>
      </c>
      <c r="J152" s="1">
        <v>-7.4380559999999996</v>
      </c>
      <c r="K152" s="1" t="s">
        <v>2971</v>
      </c>
      <c r="L152" s="1" t="s">
        <v>2977</v>
      </c>
      <c r="M152" s="1" t="s">
        <v>3201</v>
      </c>
      <c r="P152" s="1" t="s">
        <v>2948</v>
      </c>
      <c r="R152" s="1" t="s">
        <v>2903</v>
      </c>
      <c r="Y152" s="1" t="s">
        <v>2911</v>
      </c>
      <c r="Z152" s="1" t="s">
        <v>36</v>
      </c>
      <c r="AA152" s="1" t="s">
        <v>22</v>
      </c>
      <c r="AB152" s="1" t="s">
        <v>2912</v>
      </c>
      <c r="AC152" s="1" t="s">
        <v>3134</v>
      </c>
      <c r="AD152" s="1" t="s">
        <v>2913</v>
      </c>
      <c r="AE152" s="1" t="s">
        <v>2917</v>
      </c>
      <c r="AM152" s="33">
        <f t="shared" si="69"/>
        <v>0</v>
      </c>
      <c r="AN152" s="1">
        <f t="shared" si="66"/>
        <v>0</v>
      </c>
      <c r="AO152" s="1" t="e">
        <f t="shared" si="70"/>
        <v>#DIV/0!</v>
      </c>
      <c r="AP152" s="1" t="e">
        <f t="shared" si="67"/>
        <v>#DIV/0!</v>
      </c>
      <c r="AQ152" s="1">
        <f t="shared" si="68"/>
        <v>1.3333333333333333</v>
      </c>
      <c r="AR152" s="1" t="e">
        <f t="shared" si="71"/>
        <v>#DIV/0!</v>
      </c>
      <c r="AS152" s="1" t="e">
        <f t="shared" si="72"/>
        <v>#DIV/0!</v>
      </c>
      <c r="AV152" s="1" t="s">
        <v>3539</v>
      </c>
    </row>
    <row r="153" spans="1:48" ht="14.25" customHeight="1">
      <c r="A153" s="4">
        <v>209</v>
      </c>
      <c r="C153" s="4" t="s">
        <v>1171</v>
      </c>
      <c r="D153" s="1" t="s">
        <v>2889</v>
      </c>
      <c r="E153" s="1">
        <v>2001</v>
      </c>
      <c r="F153" s="1">
        <v>1999</v>
      </c>
      <c r="G153" s="1" t="s">
        <v>3025</v>
      </c>
      <c r="I153" s="1">
        <v>34.998956999999997</v>
      </c>
      <c r="J153" s="1">
        <v>-111.66531999999999</v>
      </c>
      <c r="K153" s="1" t="s">
        <v>2968</v>
      </c>
      <c r="L153" s="1" t="s">
        <v>3100</v>
      </c>
      <c r="M153" s="1" t="s">
        <v>3118</v>
      </c>
      <c r="P153" s="1" t="s">
        <v>2890</v>
      </c>
      <c r="R153" s="1" t="s">
        <v>2903</v>
      </c>
      <c r="S153" s="1">
        <v>1996</v>
      </c>
      <c r="Y153" s="1" t="s">
        <v>2933</v>
      </c>
      <c r="Z153" s="1" t="s">
        <v>3242</v>
      </c>
      <c r="AB153" s="1" t="s">
        <v>2932</v>
      </c>
      <c r="AD153" s="1" t="s">
        <v>36</v>
      </c>
      <c r="AE153" s="1" t="s">
        <v>36</v>
      </c>
      <c r="AM153" s="33">
        <f t="shared" si="69"/>
        <v>0</v>
      </c>
      <c r="AN153" s="1">
        <f t="shared" si="66"/>
        <v>0</v>
      </c>
      <c r="AO153" s="1" t="e">
        <f t="shared" si="70"/>
        <v>#DIV/0!</v>
      </c>
      <c r="AP153" s="1" t="e">
        <f t="shared" si="67"/>
        <v>#DIV/0!</v>
      </c>
      <c r="AQ153" s="1">
        <f t="shared" si="68"/>
        <v>1.3333333333333333</v>
      </c>
      <c r="AR153" s="1" t="e">
        <f t="shared" si="71"/>
        <v>#DIV/0!</v>
      </c>
      <c r="AS153" s="1" t="e">
        <f t="shared" si="72"/>
        <v>#DIV/0!</v>
      </c>
      <c r="AV153" s="1" t="s">
        <v>3539</v>
      </c>
    </row>
    <row r="154" spans="1:48" ht="14.25" customHeight="1">
      <c r="A154" s="4">
        <v>138</v>
      </c>
      <c r="C154" s="4" t="s">
        <v>807</v>
      </c>
      <c r="D154" s="1" t="s">
        <v>2889</v>
      </c>
      <c r="E154" s="1">
        <v>2014</v>
      </c>
      <c r="F154" s="1">
        <v>2007</v>
      </c>
      <c r="G154" s="1" t="s">
        <v>2946</v>
      </c>
      <c r="H154" s="1" t="s">
        <v>2928</v>
      </c>
      <c r="I154" s="1">
        <v>42.673546999999999</v>
      </c>
      <c r="J154" s="1">
        <v>-4.5904389999999999</v>
      </c>
      <c r="K154" s="1" t="s">
        <v>2968</v>
      </c>
      <c r="L154" s="1" t="s">
        <v>3100</v>
      </c>
      <c r="M154" s="1" t="s">
        <v>3117</v>
      </c>
      <c r="P154" s="1" t="s">
        <v>2890</v>
      </c>
      <c r="R154" s="1" t="s">
        <v>2903</v>
      </c>
      <c r="S154" s="1">
        <v>2002</v>
      </c>
      <c r="T154" s="1">
        <v>5</v>
      </c>
      <c r="V154" s="1">
        <v>118.03</v>
      </c>
      <c r="Y154" s="1" t="s">
        <v>2933</v>
      </c>
      <c r="Z154" s="1" t="s">
        <v>3243</v>
      </c>
      <c r="AB154" s="1" t="s">
        <v>2932</v>
      </c>
      <c r="AD154" s="1" t="s">
        <v>36</v>
      </c>
      <c r="AE154" s="1" t="s">
        <v>36</v>
      </c>
      <c r="AM154" s="33">
        <f t="shared" si="69"/>
        <v>0</v>
      </c>
      <c r="AN154" s="1">
        <f t="shared" ref="AN154:AN217" si="73">SQRT((((X154-1)*AH154^2)+((W154-1)*AK154^2))/(X154+W154-2))</f>
        <v>0</v>
      </c>
      <c r="AO154" s="1" t="e">
        <f t="shared" si="70"/>
        <v>#DIV/0!</v>
      </c>
      <c r="AP154" s="1" t="e">
        <f t="shared" ref="AP154:AP217" si="74">1/X154+1/W154+(AO154^2)/(2*(X154+W154))</f>
        <v>#DIV/0!</v>
      </c>
      <c r="AQ154" s="1">
        <f t="shared" ref="AQ154:AQ217" si="75">1-(3/(4*(X154+W154-2)-1))</f>
        <v>1.3333333333333333</v>
      </c>
      <c r="AR154" s="1" t="e">
        <f t="shared" si="71"/>
        <v>#DIV/0!</v>
      </c>
      <c r="AS154" s="1" t="e">
        <f t="shared" si="72"/>
        <v>#DIV/0!</v>
      </c>
      <c r="AV154" s="1" t="s">
        <v>3539</v>
      </c>
    </row>
    <row r="155" spans="1:48" ht="14.25" customHeight="1">
      <c r="A155" s="4">
        <v>138</v>
      </c>
      <c r="C155" s="4" t="s">
        <v>807</v>
      </c>
      <c r="D155" s="1" t="s">
        <v>2889</v>
      </c>
      <c r="E155" s="1">
        <v>2014</v>
      </c>
      <c r="F155" s="1">
        <v>2007</v>
      </c>
      <c r="G155" s="1" t="s">
        <v>2946</v>
      </c>
      <c r="H155" s="1" t="s">
        <v>2928</v>
      </c>
      <c r="I155" s="1">
        <v>42.673546999999999</v>
      </c>
      <c r="J155" s="1">
        <v>-4.5904389999999999</v>
      </c>
      <c r="K155" s="1" t="s">
        <v>2968</v>
      </c>
      <c r="L155" s="1" t="s">
        <v>3100</v>
      </c>
      <c r="M155" s="1" t="s">
        <v>3117</v>
      </c>
      <c r="P155" s="1" t="s">
        <v>2890</v>
      </c>
      <c r="R155" s="1" t="s">
        <v>2903</v>
      </c>
      <c r="S155" s="1">
        <v>2006</v>
      </c>
      <c r="T155" s="1">
        <v>1</v>
      </c>
      <c r="V155" s="1">
        <v>135.37</v>
      </c>
      <c r="Y155" s="1" t="s">
        <v>2933</v>
      </c>
      <c r="Z155" s="1" t="s">
        <v>3243</v>
      </c>
      <c r="AB155" s="1" t="s">
        <v>2932</v>
      </c>
      <c r="AD155" s="1" t="s">
        <v>36</v>
      </c>
      <c r="AE155" s="1" t="s">
        <v>36</v>
      </c>
      <c r="AM155" s="33">
        <f t="shared" si="69"/>
        <v>0</v>
      </c>
      <c r="AN155" s="1">
        <f t="shared" si="73"/>
        <v>0</v>
      </c>
      <c r="AO155" s="1" t="e">
        <f t="shared" si="70"/>
        <v>#DIV/0!</v>
      </c>
      <c r="AP155" s="1" t="e">
        <f t="shared" si="74"/>
        <v>#DIV/0!</v>
      </c>
      <c r="AQ155" s="1">
        <f t="shared" si="75"/>
        <v>1.3333333333333333</v>
      </c>
      <c r="AR155" s="1" t="e">
        <f t="shared" si="71"/>
        <v>#DIV/0!</v>
      </c>
      <c r="AS155" s="1" t="e">
        <f t="shared" si="72"/>
        <v>#DIV/0!</v>
      </c>
      <c r="AV155" s="1" t="s">
        <v>3539</v>
      </c>
    </row>
    <row r="156" spans="1:48" ht="14.25" customHeight="1">
      <c r="A156" s="4">
        <v>488</v>
      </c>
      <c r="C156" s="4" t="s">
        <v>2479</v>
      </c>
      <c r="D156" s="1" t="s">
        <v>2889</v>
      </c>
      <c r="E156" s="1">
        <v>2008</v>
      </c>
      <c r="F156" s="1">
        <v>2007</v>
      </c>
      <c r="G156" s="1" t="s">
        <v>3025</v>
      </c>
      <c r="I156" s="1">
        <v>37.858994000000003</v>
      </c>
      <c r="J156" s="1">
        <v>-119.525509</v>
      </c>
      <c r="K156" s="1" t="s">
        <v>2962</v>
      </c>
      <c r="P156" s="1" t="s">
        <v>2948</v>
      </c>
      <c r="R156" s="1" t="s">
        <v>2903</v>
      </c>
      <c r="S156" s="1">
        <v>2005</v>
      </c>
      <c r="T156" s="1">
        <v>2</v>
      </c>
      <c r="V156" s="1" t="s">
        <v>3193</v>
      </c>
      <c r="Y156" s="1" t="s">
        <v>2933</v>
      </c>
      <c r="Z156" s="1" t="s">
        <v>3244</v>
      </c>
      <c r="AB156" s="1" t="s">
        <v>2932</v>
      </c>
      <c r="AM156" s="33">
        <f t="shared" si="69"/>
        <v>0</v>
      </c>
      <c r="AN156" s="1">
        <f t="shared" si="73"/>
        <v>0</v>
      </c>
      <c r="AO156" s="1" t="e">
        <f t="shared" si="70"/>
        <v>#DIV/0!</v>
      </c>
      <c r="AP156" s="1" t="e">
        <f t="shared" si="74"/>
        <v>#DIV/0!</v>
      </c>
      <c r="AQ156" s="1">
        <f t="shared" si="75"/>
        <v>1.3333333333333333</v>
      </c>
      <c r="AR156" s="1" t="e">
        <f t="shared" si="71"/>
        <v>#DIV/0!</v>
      </c>
      <c r="AS156" s="1" t="e">
        <f t="shared" si="72"/>
        <v>#DIV/0!</v>
      </c>
      <c r="AV156" s="1" t="s">
        <v>3539</v>
      </c>
    </row>
    <row r="157" spans="1:48" ht="14.25" customHeight="1">
      <c r="A157" s="4">
        <v>488</v>
      </c>
      <c r="C157" s="4" t="s">
        <v>2479</v>
      </c>
      <c r="D157" s="1" t="s">
        <v>2889</v>
      </c>
      <c r="E157" s="1">
        <v>2008</v>
      </c>
      <c r="F157" s="1">
        <v>2006</v>
      </c>
      <c r="G157" s="1" t="s">
        <v>3025</v>
      </c>
      <c r="I157" s="1">
        <v>37.858994000000003</v>
      </c>
      <c r="J157" s="1">
        <v>-119.525509</v>
      </c>
      <c r="K157" s="1" t="s">
        <v>2962</v>
      </c>
      <c r="P157" s="1" t="s">
        <v>2948</v>
      </c>
      <c r="R157" s="1" t="s">
        <v>2903</v>
      </c>
      <c r="S157" s="1">
        <v>2002</v>
      </c>
      <c r="T157" s="1">
        <v>4</v>
      </c>
      <c r="V157" s="1" t="s">
        <v>3193</v>
      </c>
      <c r="Y157" s="1" t="s">
        <v>2933</v>
      </c>
      <c r="Z157" s="1" t="s">
        <v>3244</v>
      </c>
      <c r="AB157" s="1" t="s">
        <v>2932</v>
      </c>
      <c r="AM157" s="33">
        <f t="shared" si="69"/>
        <v>0</v>
      </c>
      <c r="AN157" s="1">
        <f t="shared" si="73"/>
        <v>0</v>
      </c>
      <c r="AO157" s="1" t="e">
        <f t="shared" si="70"/>
        <v>#DIV/0!</v>
      </c>
      <c r="AP157" s="1" t="e">
        <f t="shared" si="74"/>
        <v>#DIV/0!</v>
      </c>
      <c r="AQ157" s="1">
        <f t="shared" si="75"/>
        <v>1.3333333333333333</v>
      </c>
      <c r="AR157" s="1" t="e">
        <f t="shared" si="71"/>
        <v>#DIV/0!</v>
      </c>
      <c r="AS157" s="1" t="e">
        <f t="shared" si="72"/>
        <v>#DIV/0!</v>
      </c>
      <c r="AV157" s="1" t="s">
        <v>3539</v>
      </c>
    </row>
    <row r="158" spans="1:48" ht="14.25" customHeight="1">
      <c r="A158" s="4">
        <v>488</v>
      </c>
      <c r="C158" s="4" t="s">
        <v>2479</v>
      </c>
      <c r="D158" s="1" t="s">
        <v>2889</v>
      </c>
      <c r="E158" s="1">
        <v>2008</v>
      </c>
      <c r="F158" s="1">
        <v>2006</v>
      </c>
      <c r="G158" s="1" t="s">
        <v>3025</v>
      </c>
      <c r="I158" s="1">
        <v>37.858994000000003</v>
      </c>
      <c r="J158" s="1">
        <v>-119.525509</v>
      </c>
      <c r="K158" s="1" t="s">
        <v>2962</v>
      </c>
      <c r="P158" s="1" t="s">
        <v>2948</v>
      </c>
      <c r="R158" s="1" t="s">
        <v>2903</v>
      </c>
      <c r="S158" s="1">
        <v>1999</v>
      </c>
      <c r="T158" s="1">
        <v>7</v>
      </c>
      <c r="V158" s="1" t="s">
        <v>3193</v>
      </c>
      <c r="Y158" s="1" t="s">
        <v>2933</v>
      </c>
      <c r="Z158" s="1" t="s">
        <v>3244</v>
      </c>
      <c r="AB158" s="1" t="s">
        <v>2932</v>
      </c>
      <c r="AM158" s="33">
        <f t="shared" si="69"/>
        <v>0</v>
      </c>
      <c r="AN158" s="1">
        <f t="shared" si="73"/>
        <v>0</v>
      </c>
      <c r="AO158" s="1" t="e">
        <f t="shared" si="70"/>
        <v>#DIV/0!</v>
      </c>
      <c r="AP158" s="1" t="e">
        <f t="shared" si="74"/>
        <v>#DIV/0!</v>
      </c>
      <c r="AQ158" s="1">
        <f t="shared" si="75"/>
        <v>1.3333333333333333</v>
      </c>
      <c r="AR158" s="1" t="e">
        <f t="shared" si="71"/>
        <v>#DIV/0!</v>
      </c>
      <c r="AS158" s="1" t="e">
        <f t="shared" si="72"/>
        <v>#DIV/0!</v>
      </c>
      <c r="AV158" s="1" t="s">
        <v>3539</v>
      </c>
    </row>
    <row r="159" spans="1:48" ht="14.25" customHeight="1">
      <c r="A159" s="4">
        <v>488</v>
      </c>
      <c r="C159" s="4" t="s">
        <v>2479</v>
      </c>
      <c r="D159" s="1" t="s">
        <v>2889</v>
      </c>
      <c r="E159" s="1">
        <v>2008</v>
      </c>
      <c r="F159" s="1">
        <v>2006</v>
      </c>
      <c r="G159" s="1" t="s">
        <v>3025</v>
      </c>
      <c r="I159" s="1">
        <v>37.858994000000003</v>
      </c>
      <c r="J159" s="1">
        <v>-119.525509</v>
      </c>
      <c r="K159" s="1" t="s">
        <v>2962</v>
      </c>
      <c r="P159" s="1" t="s">
        <v>2948</v>
      </c>
      <c r="R159" s="1" t="s">
        <v>2903</v>
      </c>
      <c r="S159" s="1">
        <v>1998</v>
      </c>
      <c r="T159" s="1">
        <v>8</v>
      </c>
      <c r="V159" s="1" t="s">
        <v>3193</v>
      </c>
      <c r="Y159" s="1" t="s">
        <v>2933</v>
      </c>
      <c r="Z159" s="1" t="s">
        <v>3244</v>
      </c>
      <c r="AB159" s="1" t="s">
        <v>2932</v>
      </c>
      <c r="AM159" s="33">
        <f t="shared" si="69"/>
        <v>0</v>
      </c>
      <c r="AN159" s="1">
        <f t="shared" si="73"/>
        <v>0</v>
      </c>
      <c r="AO159" s="1" t="e">
        <f t="shared" si="70"/>
        <v>#DIV/0!</v>
      </c>
      <c r="AP159" s="1" t="e">
        <f t="shared" si="74"/>
        <v>#DIV/0!</v>
      </c>
      <c r="AQ159" s="1">
        <f t="shared" si="75"/>
        <v>1.3333333333333333</v>
      </c>
      <c r="AR159" s="1" t="e">
        <f t="shared" si="71"/>
        <v>#DIV/0!</v>
      </c>
      <c r="AS159" s="1" t="e">
        <f t="shared" si="72"/>
        <v>#DIV/0!</v>
      </c>
      <c r="AV159" s="1" t="s">
        <v>3539</v>
      </c>
    </row>
    <row r="160" spans="1:48" ht="14.25" customHeight="1">
      <c r="A160" s="4">
        <v>434</v>
      </c>
      <c r="C160" s="4" t="s">
        <v>2224</v>
      </c>
      <c r="D160" s="1" t="s">
        <v>2889</v>
      </c>
      <c r="E160" s="1">
        <v>2005</v>
      </c>
      <c r="G160" s="1" t="s">
        <v>3025</v>
      </c>
      <c r="H160" s="1" t="s">
        <v>2928</v>
      </c>
      <c r="I160" s="1">
        <v>36.960092000000003</v>
      </c>
      <c r="J160" s="1">
        <v>-119.025964</v>
      </c>
      <c r="K160" s="1" t="s">
        <v>2962</v>
      </c>
      <c r="L160" s="1" t="s">
        <v>3163</v>
      </c>
      <c r="P160" s="1" t="s">
        <v>2948</v>
      </c>
      <c r="R160" s="1" t="s">
        <v>2903</v>
      </c>
      <c r="S160" s="1">
        <v>2001</v>
      </c>
      <c r="Y160" s="1" t="s">
        <v>2933</v>
      </c>
      <c r="Z160" s="1" t="s">
        <v>3245</v>
      </c>
      <c r="AB160" s="1" t="s">
        <v>2932</v>
      </c>
      <c r="AM160" s="33">
        <f t="shared" si="69"/>
        <v>0</v>
      </c>
      <c r="AN160" s="1">
        <f t="shared" si="73"/>
        <v>0</v>
      </c>
      <c r="AO160" s="1" t="e">
        <f t="shared" si="70"/>
        <v>#DIV/0!</v>
      </c>
      <c r="AP160" s="1" t="e">
        <f t="shared" si="74"/>
        <v>#DIV/0!</v>
      </c>
      <c r="AQ160" s="1">
        <f t="shared" si="75"/>
        <v>1.3333333333333333</v>
      </c>
      <c r="AR160" s="1" t="e">
        <f t="shared" si="71"/>
        <v>#DIV/0!</v>
      </c>
      <c r="AS160" s="1" t="e">
        <f t="shared" si="72"/>
        <v>#DIV/0!</v>
      </c>
      <c r="AV160" s="1" t="s">
        <v>3539</v>
      </c>
    </row>
    <row r="161" spans="1:48" ht="14.25" customHeight="1">
      <c r="A161" s="4">
        <v>537</v>
      </c>
      <c r="C161" s="4" t="s">
        <v>2701</v>
      </c>
      <c r="D161" s="1" t="s">
        <v>2889</v>
      </c>
      <c r="E161" s="1">
        <v>1994</v>
      </c>
      <c r="F161" s="1" t="s">
        <v>3204</v>
      </c>
      <c r="G161" s="1" t="s">
        <v>3025</v>
      </c>
      <c r="I161" s="1">
        <v>44.082059999999998</v>
      </c>
      <c r="J161" s="1">
        <v>-110.682638</v>
      </c>
      <c r="K161" s="1" t="s">
        <v>2950</v>
      </c>
      <c r="P161" s="1" t="s">
        <v>2890</v>
      </c>
      <c r="R161" s="1" t="s">
        <v>2903</v>
      </c>
      <c r="S161" s="1">
        <v>1988</v>
      </c>
      <c r="Y161" s="1" t="s">
        <v>2911</v>
      </c>
      <c r="Z161" s="1" t="s">
        <v>3246</v>
      </c>
      <c r="AB161" s="1" t="s">
        <v>3157</v>
      </c>
      <c r="AM161" s="33">
        <f t="shared" si="69"/>
        <v>0</v>
      </c>
      <c r="AN161" s="1">
        <f t="shared" si="73"/>
        <v>0</v>
      </c>
      <c r="AO161" s="1" t="e">
        <f t="shared" si="70"/>
        <v>#DIV/0!</v>
      </c>
      <c r="AP161" s="1" t="e">
        <f t="shared" si="74"/>
        <v>#DIV/0!</v>
      </c>
      <c r="AQ161" s="1">
        <f t="shared" si="75"/>
        <v>1.3333333333333333</v>
      </c>
      <c r="AR161" s="1" t="e">
        <f t="shared" si="71"/>
        <v>#DIV/0!</v>
      </c>
      <c r="AS161" s="1" t="e">
        <f t="shared" si="72"/>
        <v>#DIV/0!</v>
      </c>
      <c r="AV161" s="1" t="s">
        <v>3539</v>
      </c>
    </row>
    <row r="162" spans="1:48" ht="14.1" customHeight="1">
      <c r="A162" s="4">
        <v>137</v>
      </c>
      <c r="C162" s="4" t="s">
        <v>802</v>
      </c>
      <c r="D162" s="1" t="s">
        <v>2889</v>
      </c>
      <c r="E162" s="1">
        <v>2021</v>
      </c>
      <c r="F162" s="1">
        <v>2019</v>
      </c>
      <c r="G162" s="1" t="s">
        <v>3073</v>
      </c>
      <c r="H162" s="1" t="s">
        <v>3059</v>
      </c>
      <c r="I162" s="1">
        <v>53.832859999999997</v>
      </c>
      <c r="J162" s="1">
        <v>127.168154</v>
      </c>
      <c r="K162" s="1" t="s">
        <v>3001</v>
      </c>
      <c r="L162" s="1" t="s">
        <v>3096</v>
      </c>
      <c r="M162" s="1" t="s">
        <v>3097</v>
      </c>
      <c r="P162" s="1" t="s">
        <v>2890</v>
      </c>
      <c r="R162" s="1" t="s">
        <v>2903</v>
      </c>
      <c r="S162" s="1">
        <v>2003</v>
      </c>
      <c r="T162" s="1">
        <v>16</v>
      </c>
      <c r="V162" s="1">
        <v>24500</v>
      </c>
      <c r="Y162" s="1" t="s">
        <v>2994</v>
      </c>
      <c r="Z162" s="1" t="s">
        <v>3247</v>
      </c>
      <c r="AA162" s="1" t="s">
        <v>22</v>
      </c>
      <c r="AB162" s="1" t="s">
        <v>2912</v>
      </c>
      <c r="AD162" s="1" t="s">
        <v>3135</v>
      </c>
      <c r="AE162" s="1" t="s">
        <v>2914</v>
      </c>
      <c r="AF162" s="1" t="s">
        <v>3028</v>
      </c>
      <c r="AM162" s="33">
        <f t="shared" si="69"/>
        <v>0</v>
      </c>
      <c r="AN162" s="1">
        <f t="shared" si="73"/>
        <v>0</v>
      </c>
      <c r="AO162" s="1" t="e">
        <f t="shared" si="70"/>
        <v>#DIV/0!</v>
      </c>
      <c r="AP162" s="1" t="e">
        <f t="shared" si="74"/>
        <v>#DIV/0!</v>
      </c>
      <c r="AQ162" s="1">
        <f t="shared" si="75"/>
        <v>1.3333333333333333</v>
      </c>
      <c r="AR162" s="1" t="e">
        <f t="shared" si="71"/>
        <v>#DIV/0!</v>
      </c>
      <c r="AS162" s="1" t="e">
        <f t="shared" si="72"/>
        <v>#DIV/0!</v>
      </c>
      <c r="AV162" s="1" t="s">
        <v>3539</v>
      </c>
    </row>
    <row r="163" spans="1:48" ht="14.1" customHeight="1">
      <c r="A163" s="14">
        <v>121</v>
      </c>
      <c r="B163" s="14"/>
      <c r="C163" s="14" t="s">
        <v>709</v>
      </c>
      <c r="D163" s="1" t="s">
        <v>2889</v>
      </c>
      <c r="E163" s="14">
        <v>2014</v>
      </c>
      <c r="F163" s="14" t="s">
        <v>3013</v>
      </c>
      <c r="G163" s="14" t="s">
        <v>3012</v>
      </c>
      <c r="H163" s="14"/>
      <c r="I163" s="14">
        <v>55.345132999999997</v>
      </c>
      <c r="J163" s="14">
        <v>21.021471999999999</v>
      </c>
      <c r="K163" s="14" t="s">
        <v>2968</v>
      </c>
      <c r="L163" s="14" t="s">
        <v>3100</v>
      </c>
      <c r="M163" s="14" t="s">
        <v>3119</v>
      </c>
      <c r="N163" s="14"/>
      <c r="O163" s="14"/>
      <c r="P163" s="14" t="s">
        <v>2890</v>
      </c>
      <c r="Q163" s="14" t="s">
        <v>2983</v>
      </c>
      <c r="R163" s="14"/>
      <c r="S163" s="14">
        <v>2006</v>
      </c>
      <c r="T163" s="14"/>
      <c r="U163" s="14"/>
      <c r="V163" s="14">
        <v>230</v>
      </c>
      <c r="W163" s="14"/>
      <c r="X163" s="14"/>
      <c r="Y163" s="14" t="s">
        <v>2933</v>
      </c>
      <c r="Z163" s="1" t="s">
        <v>3248</v>
      </c>
      <c r="AA163" s="14"/>
      <c r="AB163" s="1" t="s">
        <v>36</v>
      </c>
      <c r="AD163" s="14"/>
      <c r="AE163" s="14"/>
      <c r="AF163" s="14"/>
      <c r="AJ163" s="14"/>
      <c r="AK163" s="14"/>
      <c r="AL163" s="14"/>
      <c r="AM163" s="33">
        <f t="shared" si="69"/>
        <v>0</v>
      </c>
      <c r="AN163" s="1">
        <f t="shared" si="73"/>
        <v>0</v>
      </c>
      <c r="AO163" s="1" t="e">
        <f t="shared" si="70"/>
        <v>#DIV/0!</v>
      </c>
      <c r="AP163" s="1" t="e">
        <f t="shared" si="74"/>
        <v>#DIV/0!</v>
      </c>
      <c r="AQ163" s="1">
        <f t="shared" si="75"/>
        <v>1.3333333333333333</v>
      </c>
      <c r="AR163" s="1" t="e">
        <f t="shared" si="71"/>
        <v>#DIV/0!</v>
      </c>
      <c r="AS163" s="1" t="e">
        <f t="shared" si="72"/>
        <v>#DIV/0!</v>
      </c>
      <c r="AV163" s="1" t="s">
        <v>3539</v>
      </c>
    </row>
    <row r="164" spans="1:48" ht="14.25" customHeight="1">
      <c r="A164" s="4">
        <v>457</v>
      </c>
      <c r="C164" s="4" t="s">
        <v>2331</v>
      </c>
      <c r="D164" s="1" t="s">
        <v>2889</v>
      </c>
      <c r="E164" s="1">
        <v>2022</v>
      </c>
      <c r="F164" s="1">
        <v>2019</v>
      </c>
      <c r="G164" s="1" t="s">
        <v>3025</v>
      </c>
      <c r="I164" s="1">
        <v>40.990662999999998</v>
      </c>
      <c r="J164" s="1">
        <v>-106.195426</v>
      </c>
      <c r="K164" s="1" t="s">
        <v>2971</v>
      </c>
      <c r="L164" s="1" t="s">
        <v>3100</v>
      </c>
      <c r="M164" s="1" t="s">
        <v>3112</v>
      </c>
      <c r="P164" s="1" t="s">
        <v>2890</v>
      </c>
      <c r="R164" s="1" t="s">
        <v>2903</v>
      </c>
      <c r="S164" s="1">
        <v>2018</v>
      </c>
      <c r="Y164" s="1" t="s">
        <v>2911</v>
      </c>
      <c r="Z164" s="1" t="s">
        <v>2978</v>
      </c>
      <c r="AA164" s="1" t="s">
        <v>22</v>
      </c>
      <c r="AB164" s="1" t="s">
        <v>2912</v>
      </c>
      <c r="AC164" s="1" t="s">
        <v>3134</v>
      </c>
      <c r="AD164" s="1" t="s">
        <v>2913</v>
      </c>
      <c r="AE164" s="1" t="s">
        <v>2914</v>
      </c>
      <c r="AM164" s="33">
        <f t="shared" si="69"/>
        <v>0</v>
      </c>
      <c r="AN164" s="1">
        <f t="shared" si="73"/>
        <v>0</v>
      </c>
      <c r="AO164" s="1" t="e">
        <f t="shared" si="70"/>
        <v>#DIV/0!</v>
      </c>
      <c r="AP164" s="1" t="e">
        <f t="shared" si="74"/>
        <v>#DIV/0!</v>
      </c>
      <c r="AQ164" s="1">
        <f t="shared" si="75"/>
        <v>1.3333333333333333</v>
      </c>
      <c r="AR164" s="1" t="e">
        <f t="shared" si="71"/>
        <v>#DIV/0!</v>
      </c>
      <c r="AS164" s="1" t="e">
        <f t="shared" si="72"/>
        <v>#DIV/0!</v>
      </c>
      <c r="AV164" s="1" t="s">
        <v>3539</v>
      </c>
    </row>
    <row r="165" spans="1:48" ht="14.25" customHeight="1">
      <c r="A165" s="4">
        <v>288</v>
      </c>
      <c r="C165" s="4" t="s">
        <v>1554</v>
      </c>
      <c r="D165" s="1" t="s">
        <v>2889</v>
      </c>
      <c r="E165" s="1">
        <v>1987</v>
      </c>
      <c r="G165" s="1" t="s">
        <v>3025</v>
      </c>
      <c r="I165" s="1">
        <v>31.624082000000001</v>
      </c>
      <c r="J165" s="1">
        <v>-94.647064</v>
      </c>
      <c r="K165" s="1" t="s">
        <v>2968</v>
      </c>
      <c r="L165" s="1" t="s">
        <v>3100</v>
      </c>
      <c r="M165" s="1" t="s">
        <v>3171</v>
      </c>
      <c r="P165" s="1" t="s">
        <v>2948</v>
      </c>
      <c r="R165" s="1" t="s">
        <v>2903</v>
      </c>
      <c r="S165" s="1">
        <v>1981</v>
      </c>
      <c r="Y165" s="1" t="s">
        <v>2933</v>
      </c>
      <c r="Z165" s="1" t="s">
        <v>36</v>
      </c>
      <c r="AA165" s="1" t="s">
        <v>20</v>
      </c>
      <c r="AB165" s="1" t="s">
        <v>2932</v>
      </c>
      <c r="AD165" s="1" t="s">
        <v>36</v>
      </c>
      <c r="AE165" s="1" t="s">
        <v>36</v>
      </c>
      <c r="AM165" s="33">
        <f t="shared" si="69"/>
        <v>0</v>
      </c>
      <c r="AN165" s="1">
        <f t="shared" si="73"/>
        <v>0</v>
      </c>
      <c r="AO165" s="1" t="e">
        <f t="shared" si="70"/>
        <v>#DIV/0!</v>
      </c>
      <c r="AP165" s="1" t="e">
        <f t="shared" si="74"/>
        <v>#DIV/0!</v>
      </c>
      <c r="AQ165" s="1">
        <f t="shared" si="75"/>
        <v>1.3333333333333333</v>
      </c>
      <c r="AR165" s="1" t="e">
        <f t="shared" si="71"/>
        <v>#DIV/0!</v>
      </c>
      <c r="AS165" s="1" t="e">
        <f t="shared" si="72"/>
        <v>#DIV/0!</v>
      </c>
      <c r="AV165" s="1" t="s">
        <v>3539</v>
      </c>
    </row>
    <row r="166" spans="1:48" ht="14.25" customHeight="1">
      <c r="A166" s="4">
        <v>70</v>
      </c>
      <c r="C166" s="4" t="s">
        <v>432</v>
      </c>
      <c r="D166" s="1" t="s">
        <v>2889</v>
      </c>
      <c r="E166" s="1">
        <v>2021</v>
      </c>
      <c r="F166" s="1">
        <v>2019</v>
      </c>
      <c r="G166" s="1" t="s">
        <v>3066</v>
      </c>
      <c r="H166" s="1" t="s">
        <v>3068</v>
      </c>
      <c r="I166" s="1">
        <v>53.366832000000002</v>
      </c>
      <c r="J166" s="1">
        <v>21.324096999999998</v>
      </c>
      <c r="K166" s="1" t="s">
        <v>3001</v>
      </c>
      <c r="L166" s="1" t="s">
        <v>3100</v>
      </c>
      <c r="M166" s="1" t="s">
        <v>3106</v>
      </c>
      <c r="P166" s="1" t="s">
        <v>2890</v>
      </c>
      <c r="Q166" s="1" t="s">
        <v>2983</v>
      </c>
      <c r="R166" s="1" t="s">
        <v>2903</v>
      </c>
      <c r="S166" s="1">
        <v>2014</v>
      </c>
      <c r="T166" s="1">
        <v>5</v>
      </c>
      <c r="V166" s="1">
        <v>96</v>
      </c>
      <c r="Y166" s="1" t="s">
        <v>2994</v>
      </c>
      <c r="Z166" s="1" t="s">
        <v>36</v>
      </c>
      <c r="AA166" s="1" t="s">
        <v>22</v>
      </c>
      <c r="AB166" s="1" t="s">
        <v>2912</v>
      </c>
      <c r="AE166" s="1" t="s">
        <v>3067</v>
      </c>
      <c r="AF166" s="1" t="s">
        <v>3022</v>
      </c>
      <c r="AM166" s="33">
        <f t="shared" si="69"/>
        <v>0</v>
      </c>
      <c r="AN166" s="1">
        <f t="shared" si="73"/>
        <v>0</v>
      </c>
      <c r="AO166" s="1" t="e">
        <f t="shared" si="70"/>
        <v>#DIV/0!</v>
      </c>
      <c r="AP166" s="1" t="e">
        <f t="shared" si="74"/>
        <v>#DIV/0!</v>
      </c>
      <c r="AQ166" s="1">
        <f t="shared" si="75"/>
        <v>1.3333333333333333</v>
      </c>
      <c r="AR166" s="1" t="e">
        <f t="shared" si="71"/>
        <v>#DIV/0!</v>
      </c>
      <c r="AS166" s="1" t="e">
        <f t="shared" si="72"/>
        <v>#DIV/0!</v>
      </c>
      <c r="AV166" s="1" t="s">
        <v>3539</v>
      </c>
    </row>
    <row r="167" spans="1:48" ht="14.25" customHeight="1">
      <c r="A167" s="4">
        <v>70</v>
      </c>
      <c r="C167" s="4" t="s">
        <v>432</v>
      </c>
      <c r="D167" s="1" t="s">
        <v>2889</v>
      </c>
      <c r="E167" s="1">
        <v>2021</v>
      </c>
      <c r="F167" s="1">
        <v>2019</v>
      </c>
      <c r="G167" s="1" t="s">
        <v>3066</v>
      </c>
      <c r="H167" s="1" t="s">
        <v>3068</v>
      </c>
      <c r="I167" s="1">
        <v>53.366832000000002</v>
      </c>
      <c r="J167" s="1">
        <v>21.324096999999998</v>
      </c>
      <c r="K167" s="1" t="s">
        <v>3001</v>
      </c>
      <c r="L167" s="1" t="s">
        <v>3100</v>
      </c>
      <c r="M167" s="1" t="s">
        <v>3106</v>
      </c>
      <c r="P167" s="1" t="s">
        <v>2890</v>
      </c>
      <c r="Q167" s="1" t="s">
        <v>2983</v>
      </c>
      <c r="R167" s="1" t="s">
        <v>2903</v>
      </c>
      <c r="S167" s="1">
        <v>2014</v>
      </c>
      <c r="T167" s="1">
        <v>5</v>
      </c>
      <c r="V167" s="1">
        <v>96</v>
      </c>
      <c r="Y167" s="1" t="s">
        <v>2994</v>
      </c>
      <c r="Z167" s="1" t="s">
        <v>36</v>
      </c>
      <c r="AA167" s="1" t="s">
        <v>22</v>
      </c>
      <c r="AB167" s="1" t="s">
        <v>2912</v>
      </c>
      <c r="AE167" s="1" t="s">
        <v>3067</v>
      </c>
      <c r="AF167" s="1" t="s">
        <v>3036</v>
      </c>
      <c r="AM167" s="33">
        <f t="shared" si="69"/>
        <v>0</v>
      </c>
      <c r="AN167" s="1">
        <f t="shared" si="73"/>
        <v>0</v>
      </c>
      <c r="AO167" s="1" t="e">
        <f t="shared" si="70"/>
        <v>#DIV/0!</v>
      </c>
      <c r="AP167" s="1" t="e">
        <f t="shared" si="74"/>
        <v>#DIV/0!</v>
      </c>
      <c r="AQ167" s="1">
        <f t="shared" si="75"/>
        <v>1.3333333333333333</v>
      </c>
      <c r="AR167" s="1" t="e">
        <f t="shared" si="71"/>
        <v>#DIV/0!</v>
      </c>
      <c r="AS167" s="1" t="e">
        <f t="shared" si="72"/>
        <v>#DIV/0!</v>
      </c>
      <c r="AV167" s="1" t="s">
        <v>3539</v>
      </c>
    </row>
    <row r="168" spans="1:48" ht="14.25" customHeight="1">
      <c r="A168" s="4">
        <v>279</v>
      </c>
      <c r="C168" s="4" t="s">
        <v>1517</v>
      </c>
      <c r="D168" s="1" t="s">
        <v>2889</v>
      </c>
      <c r="E168" s="1">
        <v>2015</v>
      </c>
      <c r="F168" s="1">
        <v>2011</v>
      </c>
      <c r="G168" s="1" t="s">
        <v>3025</v>
      </c>
      <c r="I168" s="1">
        <v>33.056356000000001</v>
      </c>
      <c r="J168" s="1">
        <v>-83.680222000000001</v>
      </c>
      <c r="K168" s="1" t="s">
        <v>2971</v>
      </c>
      <c r="L168" s="1" t="s">
        <v>3100</v>
      </c>
      <c r="M168" s="1" t="s">
        <v>3150</v>
      </c>
      <c r="P168" s="1" t="s">
        <v>2948</v>
      </c>
      <c r="R168" s="1" t="s">
        <v>2903</v>
      </c>
      <c r="S168" s="1">
        <v>2008</v>
      </c>
      <c r="Y168" s="1" t="s">
        <v>2911</v>
      </c>
      <c r="Z168" s="1" t="s">
        <v>3249</v>
      </c>
      <c r="AA168" s="1" t="s">
        <v>22</v>
      </c>
      <c r="AB168" s="1" t="s">
        <v>2912</v>
      </c>
      <c r="AC168" s="1" t="s">
        <v>3134</v>
      </c>
      <c r="AD168" s="1" t="s">
        <v>2913</v>
      </c>
      <c r="AE168" s="1" t="s">
        <v>2917</v>
      </c>
      <c r="AM168" s="33">
        <f t="shared" si="69"/>
        <v>0</v>
      </c>
      <c r="AN168" s="1">
        <f t="shared" si="73"/>
        <v>0</v>
      </c>
      <c r="AO168" s="1" t="e">
        <f t="shared" si="70"/>
        <v>#DIV/0!</v>
      </c>
      <c r="AP168" s="1" t="e">
        <f t="shared" si="74"/>
        <v>#DIV/0!</v>
      </c>
      <c r="AQ168" s="1">
        <f t="shared" si="75"/>
        <v>1.3333333333333333</v>
      </c>
      <c r="AR168" s="1" t="e">
        <f t="shared" si="71"/>
        <v>#DIV/0!</v>
      </c>
      <c r="AS168" s="1" t="e">
        <f t="shared" si="72"/>
        <v>#DIV/0!</v>
      </c>
      <c r="AV168" s="1" t="s">
        <v>3539</v>
      </c>
    </row>
    <row r="169" spans="1:48" ht="14.25" customHeight="1">
      <c r="A169" s="14">
        <v>438</v>
      </c>
      <c r="B169" s="14"/>
      <c r="C169" s="14" t="s">
        <v>2246</v>
      </c>
      <c r="D169" s="1" t="s">
        <v>2889</v>
      </c>
      <c r="E169" s="14">
        <v>2022</v>
      </c>
      <c r="F169" s="14">
        <v>2020</v>
      </c>
      <c r="G169" s="14" t="s">
        <v>2910</v>
      </c>
      <c r="H169" s="14" t="s">
        <v>2928</v>
      </c>
      <c r="I169" s="14">
        <v>-35.700000000000003</v>
      </c>
      <c r="J169" s="14">
        <v>136.88333299999999</v>
      </c>
      <c r="K169" s="14" t="s">
        <v>2971</v>
      </c>
      <c r="L169" s="14" t="s">
        <v>2931</v>
      </c>
      <c r="M169" s="14"/>
      <c r="N169" s="14"/>
      <c r="O169" s="14"/>
      <c r="P169" s="14" t="s">
        <v>2890</v>
      </c>
      <c r="Q169" s="14" t="s">
        <v>2983</v>
      </c>
      <c r="R169" s="14" t="s">
        <v>2903</v>
      </c>
      <c r="S169" s="14">
        <v>2019</v>
      </c>
      <c r="T169" s="14">
        <v>1</v>
      </c>
      <c r="U169" s="14"/>
      <c r="V169" s="14" t="s">
        <v>2984</v>
      </c>
      <c r="W169" s="14"/>
      <c r="X169" s="14"/>
      <c r="Y169" s="1" t="s">
        <v>2911</v>
      </c>
      <c r="Z169" s="14" t="s">
        <v>2985</v>
      </c>
      <c r="AA169" s="14" t="s">
        <v>22</v>
      </c>
      <c r="AB169" s="14" t="s">
        <v>2912</v>
      </c>
      <c r="AC169" s="14" t="s">
        <v>3134</v>
      </c>
      <c r="AD169" s="14" t="s">
        <v>2913</v>
      </c>
      <c r="AE169" s="14" t="s">
        <v>2986</v>
      </c>
      <c r="AF169" s="14"/>
      <c r="AJ169" s="14"/>
      <c r="AK169" s="14"/>
      <c r="AL169" s="14"/>
      <c r="AM169" s="33">
        <f t="shared" si="69"/>
        <v>0</v>
      </c>
      <c r="AN169" s="1">
        <f t="shared" si="73"/>
        <v>0</v>
      </c>
      <c r="AO169" s="1" t="e">
        <f t="shared" si="70"/>
        <v>#DIV/0!</v>
      </c>
      <c r="AP169" s="1" t="e">
        <f t="shared" si="74"/>
        <v>#DIV/0!</v>
      </c>
      <c r="AQ169" s="1">
        <f t="shared" si="75"/>
        <v>1.3333333333333333</v>
      </c>
      <c r="AR169" s="1" t="e">
        <f t="shared" si="71"/>
        <v>#DIV/0!</v>
      </c>
      <c r="AS169" s="1" t="e">
        <f t="shared" si="72"/>
        <v>#DIV/0!</v>
      </c>
      <c r="AV169" s="1" t="s">
        <v>3539</v>
      </c>
    </row>
    <row r="170" spans="1:48" ht="14.25" customHeight="1">
      <c r="A170" s="14">
        <v>564</v>
      </c>
      <c r="B170" s="14"/>
      <c r="C170" s="14" t="s">
        <v>2821</v>
      </c>
      <c r="D170" s="1" t="s">
        <v>2889</v>
      </c>
      <c r="E170" s="14">
        <v>2023</v>
      </c>
      <c r="F170" s="14">
        <v>2020</v>
      </c>
      <c r="G170" s="14" t="s">
        <v>2910</v>
      </c>
      <c r="H170" s="14" t="s">
        <v>2928</v>
      </c>
      <c r="I170" s="14">
        <v>-35.700000000000003</v>
      </c>
      <c r="J170" s="14">
        <v>136.88333299999999</v>
      </c>
      <c r="K170" s="14" t="s">
        <v>2971</v>
      </c>
      <c r="L170" s="14" t="s">
        <v>2931</v>
      </c>
      <c r="M170" s="14"/>
      <c r="N170" s="14"/>
      <c r="O170" s="14"/>
      <c r="P170" s="14" t="s">
        <v>2890</v>
      </c>
      <c r="Q170" s="14"/>
      <c r="R170" s="14" t="s">
        <v>2903</v>
      </c>
      <c r="S170" s="14">
        <v>2019</v>
      </c>
      <c r="T170" s="14" t="s">
        <v>3020</v>
      </c>
      <c r="U170" s="14"/>
      <c r="V170" s="14"/>
      <c r="W170" s="14">
        <v>12</v>
      </c>
      <c r="X170" s="14">
        <v>12</v>
      </c>
      <c r="Y170" s="1" t="s">
        <v>2911</v>
      </c>
      <c r="Z170" s="14" t="s">
        <v>2942</v>
      </c>
      <c r="AA170" s="14" t="s">
        <v>22</v>
      </c>
      <c r="AB170" s="14" t="s">
        <v>2943</v>
      </c>
      <c r="AD170" s="14"/>
      <c r="AE170" s="14" t="s">
        <v>2986</v>
      </c>
      <c r="AF170" s="14" t="s">
        <v>3022</v>
      </c>
      <c r="AJ170" s="14"/>
      <c r="AK170" s="14"/>
      <c r="AL170" s="14"/>
      <c r="AM170" s="33">
        <f t="shared" si="69"/>
        <v>0</v>
      </c>
      <c r="AN170" s="1">
        <f t="shared" si="73"/>
        <v>0</v>
      </c>
      <c r="AO170" s="1" t="e">
        <f t="shared" si="70"/>
        <v>#DIV/0!</v>
      </c>
      <c r="AP170" s="1" t="e">
        <f t="shared" si="74"/>
        <v>#DIV/0!</v>
      </c>
      <c r="AQ170" s="1">
        <f t="shared" si="75"/>
        <v>0.96551724137931039</v>
      </c>
      <c r="AR170" s="1" t="e">
        <f t="shared" si="71"/>
        <v>#DIV/0!</v>
      </c>
      <c r="AS170" s="1" t="e">
        <f t="shared" si="72"/>
        <v>#DIV/0!</v>
      </c>
      <c r="AV170" s="1" t="s">
        <v>3539</v>
      </c>
    </row>
    <row r="171" spans="1:48" ht="14.25" customHeight="1">
      <c r="A171" s="4">
        <v>107</v>
      </c>
      <c r="C171" s="4" t="s">
        <v>634</v>
      </c>
      <c r="D171" s="1" t="s">
        <v>2889</v>
      </c>
      <c r="E171" s="1">
        <v>2022</v>
      </c>
      <c r="F171" s="1">
        <v>2018</v>
      </c>
      <c r="G171" s="1" t="s">
        <v>3086</v>
      </c>
      <c r="H171" s="1" t="s">
        <v>3087</v>
      </c>
      <c r="I171" s="1">
        <v>59.183889000000001</v>
      </c>
      <c r="J171" s="1">
        <v>23.772221999999999</v>
      </c>
      <c r="K171" s="1" t="s">
        <v>2971</v>
      </c>
      <c r="L171" s="1" t="s">
        <v>3100</v>
      </c>
      <c r="M171" s="1" t="s">
        <v>3106</v>
      </c>
      <c r="P171" s="1" t="s">
        <v>2890</v>
      </c>
      <c r="R171" s="1" t="s">
        <v>2903</v>
      </c>
      <c r="S171" s="1">
        <v>2008</v>
      </c>
      <c r="T171" s="1">
        <v>10</v>
      </c>
      <c r="V171" s="1" t="s">
        <v>3088</v>
      </c>
      <c r="Y171" s="1" t="s">
        <v>2911</v>
      </c>
      <c r="Z171" s="1" t="s">
        <v>3250</v>
      </c>
      <c r="AA171" s="1" t="s">
        <v>22</v>
      </c>
      <c r="AB171" s="1" t="s">
        <v>2912</v>
      </c>
      <c r="AF171" s="1" t="s">
        <v>3028</v>
      </c>
      <c r="AM171" s="33">
        <f t="shared" si="69"/>
        <v>0</v>
      </c>
      <c r="AN171" s="1">
        <f t="shared" si="73"/>
        <v>0</v>
      </c>
      <c r="AO171" s="1" t="e">
        <f t="shared" si="70"/>
        <v>#DIV/0!</v>
      </c>
      <c r="AP171" s="1" t="e">
        <f t="shared" si="74"/>
        <v>#DIV/0!</v>
      </c>
      <c r="AQ171" s="1">
        <f t="shared" si="75"/>
        <v>1.3333333333333333</v>
      </c>
      <c r="AR171" s="1" t="e">
        <f t="shared" si="71"/>
        <v>#DIV/0!</v>
      </c>
      <c r="AS171" s="1" t="e">
        <f t="shared" si="72"/>
        <v>#DIV/0!</v>
      </c>
      <c r="AV171" s="1" t="s">
        <v>3539</v>
      </c>
    </row>
    <row r="172" spans="1:48" ht="14.25" customHeight="1">
      <c r="A172" s="4">
        <v>107</v>
      </c>
      <c r="C172" s="4" t="s">
        <v>634</v>
      </c>
      <c r="D172" s="1" t="s">
        <v>2889</v>
      </c>
      <c r="E172" s="1">
        <v>2022</v>
      </c>
      <c r="F172" s="1">
        <v>2018</v>
      </c>
      <c r="G172" s="1" t="s">
        <v>3086</v>
      </c>
      <c r="H172" s="1" t="s">
        <v>3087</v>
      </c>
      <c r="I172" s="1">
        <v>59.183889000000001</v>
      </c>
      <c r="J172" s="1">
        <v>23.772221999999999</v>
      </c>
      <c r="K172" s="1" t="s">
        <v>2971</v>
      </c>
      <c r="L172" s="1" t="s">
        <v>3100</v>
      </c>
      <c r="M172" s="1" t="s">
        <v>3106</v>
      </c>
      <c r="P172" s="1" t="s">
        <v>2890</v>
      </c>
      <c r="R172" s="1" t="s">
        <v>2903</v>
      </c>
      <c r="S172" s="1">
        <v>2008</v>
      </c>
      <c r="T172" s="1">
        <v>10</v>
      </c>
      <c r="V172" s="1" t="s">
        <v>3088</v>
      </c>
      <c r="Y172" s="1" t="s">
        <v>2911</v>
      </c>
      <c r="Z172" s="1" t="s">
        <v>3250</v>
      </c>
      <c r="AA172" s="1" t="s">
        <v>22</v>
      </c>
      <c r="AB172" s="1" t="s">
        <v>2912</v>
      </c>
      <c r="AF172" s="1" t="s">
        <v>3029</v>
      </c>
      <c r="AM172" s="33">
        <f t="shared" si="69"/>
        <v>0</v>
      </c>
      <c r="AN172" s="1">
        <f t="shared" si="73"/>
        <v>0</v>
      </c>
      <c r="AO172" s="1" t="e">
        <f t="shared" si="70"/>
        <v>#DIV/0!</v>
      </c>
      <c r="AP172" s="1" t="e">
        <f t="shared" si="74"/>
        <v>#DIV/0!</v>
      </c>
      <c r="AQ172" s="1">
        <f t="shared" si="75"/>
        <v>1.3333333333333333</v>
      </c>
      <c r="AR172" s="1" t="e">
        <f t="shared" si="71"/>
        <v>#DIV/0!</v>
      </c>
      <c r="AS172" s="1" t="e">
        <f t="shared" si="72"/>
        <v>#DIV/0!</v>
      </c>
      <c r="AV172" s="1" t="s">
        <v>3539</v>
      </c>
    </row>
    <row r="173" spans="1:48" ht="14.25" customHeight="1">
      <c r="A173" s="4">
        <v>107</v>
      </c>
      <c r="C173" s="4" t="s">
        <v>634</v>
      </c>
      <c r="D173" s="1" t="s">
        <v>2889</v>
      </c>
      <c r="E173" s="1">
        <v>2022</v>
      </c>
      <c r="F173" s="1">
        <v>2018</v>
      </c>
      <c r="G173" s="1" t="s">
        <v>3086</v>
      </c>
      <c r="H173" s="1" t="s">
        <v>3087</v>
      </c>
      <c r="I173" s="1">
        <v>59.183889000000001</v>
      </c>
      <c r="J173" s="1">
        <v>23.772221999999999</v>
      </c>
      <c r="K173" s="1" t="s">
        <v>2971</v>
      </c>
      <c r="L173" s="1" t="s">
        <v>3100</v>
      </c>
      <c r="M173" s="1" t="s">
        <v>3106</v>
      </c>
      <c r="P173" s="1" t="s">
        <v>2890</v>
      </c>
      <c r="R173" s="1" t="s">
        <v>2903</v>
      </c>
      <c r="S173" s="1">
        <v>2008</v>
      </c>
      <c r="T173" s="1">
        <v>10</v>
      </c>
      <c r="V173" s="1" t="s">
        <v>3088</v>
      </c>
      <c r="Y173" s="1" t="s">
        <v>2911</v>
      </c>
      <c r="Z173" s="1" t="s">
        <v>3250</v>
      </c>
      <c r="AA173" s="1" t="s">
        <v>22</v>
      </c>
      <c r="AB173" s="1" t="s">
        <v>2912</v>
      </c>
      <c r="AF173" s="1" t="s">
        <v>3036</v>
      </c>
      <c r="AM173" s="33">
        <f t="shared" si="69"/>
        <v>0</v>
      </c>
      <c r="AN173" s="1">
        <f t="shared" si="73"/>
        <v>0</v>
      </c>
      <c r="AO173" s="1" t="e">
        <f t="shared" si="70"/>
        <v>#DIV/0!</v>
      </c>
      <c r="AP173" s="1" t="e">
        <f t="shared" si="74"/>
        <v>#DIV/0!</v>
      </c>
      <c r="AQ173" s="1">
        <f t="shared" si="75"/>
        <v>1.3333333333333333</v>
      </c>
      <c r="AR173" s="1" t="e">
        <f t="shared" si="71"/>
        <v>#DIV/0!</v>
      </c>
      <c r="AS173" s="1" t="e">
        <f t="shared" si="72"/>
        <v>#DIV/0!</v>
      </c>
      <c r="AV173" s="1" t="s">
        <v>3539</v>
      </c>
    </row>
    <row r="174" spans="1:48" ht="14.25" customHeight="1">
      <c r="A174" s="4">
        <v>107</v>
      </c>
      <c r="C174" s="4" t="s">
        <v>634</v>
      </c>
      <c r="D174" s="1" t="s">
        <v>2889</v>
      </c>
      <c r="E174" s="1">
        <v>2022</v>
      </c>
      <c r="F174" s="1">
        <v>2018</v>
      </c>
      <c r="G174" s="1" t="s">
        <v>3086</v>
      </c>
      <c r="H174" s="1" t="s">
        <v>3087</v>
      </c>
      <c r="I174" s="1">
        <v>59.183889000000001</v>
      </c>
      <c r="J174" s="1">
        <v>23.772221999999999</v>
      </c>
      <c r="K174" s="1" t="s">
        <v>2971</v>
      </c>
      <c r="L174" s="1" t="s">
        <v>3100</v>
      </c>
      <c r="M174" s="1" t="s">
        <v>3106</v>
      </c>
      <c r="P174" s="1" t="s">
        <v>2890</v>
      </c>
      <c r="R174" s="1" t="s">
        <v>2903</v>
      </c>
      <c r="S174" s="1">
        <v>1997</v>
      </c>
      <c r="T174" s="1">
        <v>21</v>
      </c>
      <c r="V174" s="1" t="s">
        <v>3088</v>
      </c>
      <c r="Y174" s="1" t="s">
        <v>2911</v>
      </c>
      <c r="Z174" s="1" t="s">
        <v>3250</v>
      </c>
      <c r="AA174" s="1" t="s">
        <v>22</v>
      </c>
      <c r="AB174" s="1" t="s">
        <v>2912</v>
      </c>
      <c r="AF174" s="1" t="s">
        <v>3028</v>
      </c>
      <c r="AM174" s="33">
        <f t="shared" si="69"/>
        <v>0</v>
      </c>
      <c r="AN174" s="1">
        <f t="shared" si="73"/>
        <v>0</v>
      </c>
      <c r="AO174" s="1" t="e">
        <f t="shared" si="70"/>
        <v>#DIV/0!</v>
      </c>
      <c r="AP174" s="1" t="e">
        <f t="shared" si="74"/>
        <v>#DIV/0!</v>
      </c>
      <c r="AQ174" s="1">
        <f t="shared" si="75"/>
        <v>1.3333333333333333</v>
      </c>
      <c r="AR174" s="1" t="e">
        <f t="shared" si="71"/>
        <v>#DIV/0!</v>
      </c>
      <c r="AS174" s="1" t="e">
        <f t="shared" si="72"/>
        <v>#DIV/0!</v>
      </c>
      <c r="AV174" s="1" t="s">
        <v>3539</v>
      </c>
    </row>
    <row r="175" spans="1:48" ht="14.25" customHeight="1">
      <c r="A175" s="4">
        <v>107</v>
      </c>
      <c r="C175" s="4" t="s">
        <v>634</v>
      </c>
      <c r="D175" s="1" t="s">
        <v>2889</v>
      </c>
      <c r="E175" s="1">
        <v>2022</v>
      </c>
      <c r="F175" s="1">
        <v>2018</v>
      </c>
      <c r="G175" s="1" t="s">
        <v>3086</v>
      </c>
      <c r="H175" s="1" t="s">
        <v>3087</v>
      </c>
      <c r="I175" s="1">
        <v>59.183889000000001</v>
      </c>
      <c r="J175" s="1">
        <v>23.772221999999999</v>
      </c>
      <c r="K175" s="1" t="s">
        <v>2971</v>
      </c>
      <c r="L175" s="1" t="s">
        <v>3100</v>
      </c>
      <c r="M175" s="1" t="s">
        <v>3106</v>
      </c>
      <c r="P175" s="1" t="s">
        <v>2890</v>
      </c>
      <c r="R175" s="1" t="s">
        <v>2903</v>
      </c>
      <c r="S175" s="1">
        <v>1997</v>
      </c>
      <c r="T175" s="1">
        <v>21</v>
      </c>
      <c r="V175" s="1" t="s">
        <v>3088</v>
      </c>
      <c r="Y175" s="1" t="s">
        <v>2911</v>
      </c>
      <c r="Z175" s="1" t="s">
        <v>3250</v>
      </c>
      <c r="AA175" s="1" t="s">
        <v>22</v>
      </c>
      <c r="AB175" s="1" t="s">
        <v>2912</v>
      </c>
      <c r="AF175" s="1" t="s">
        <v>3029</v>
      </c>
      <c r="AM175" s="33">
        <f t="shared" si="69"/>
        <v>0</v>
      </c>
      <c r="AN175" s="1">
        <f t="shared" si="73"/>
        <v>0</v>
      </c>
      <c r="AO175" s="1" t="e">
        <f t="shared" si="70"/>
        <v>#DIV/0!</v>
      </c>
      <c r="AP175" s="1" t="e">
        <f t="shared" si="74"/>
        <v>#DIV/0!</v>
      </c>
      <c r="AQ175" s="1">
        <f t="shared" si="75"/>
        <v>1.3333333333333333</v>
      </c>
      <c r="AR175" s="1" t="e">
        <f t="shared" si="71"/>
        <v>#DIV/0!</v>
      </c>
      <c r="AS175" s="1" t="e">
        <f t="shared" si="72"/>
        <v>#DIV/0!</v>
      </c>
      <c r="AV175" s="1" t="s">
        <v>3539</v>
      </c>
    </row>
    <row r="176" spans="1:48" ht="14.25" customHeight="1">
      <c r="A176" s="4">
        <v>107</v>
      </c>
      <c r="C176" s="4" t="s">
        <v>634</v>
      </c>
      <c r="D176" s="1" t="s">
        <v>2889</v>
      </c>
      <c r="E176" s="1">
        <v>2022</v>
      </c>
      <c r="F176" s="1">
        <v>2018</v>
      </c>
      <c r="G176" s="1" t="s">
        <v>3086</v>
      </c>
      <c r="H176" s="1" t="s">
        <v>3087</v>
      </c>
      <c r="I176" s="1">
        <v>59.183889000000001</v>
      </c>
      <c r="J176" s="1">
        <v>23.772221999999999</v>
      </c>
      <c r="K176" s="1" t="s">
        <v>2971</v>
      </c>
      <c r="L176" s="1" t="s">
        <v>3100</v>
      </c>
      <c r="M176" s="1" t="s">
        <v>3106</v>
      </c>
      <c r="P176" s="1" t="s">
        <v>2890</v>
      </c>
      <c r="R176" s="1" t="s">
        <v>2903</v>
      </c>
      <c r="S176" s="1">
        <v>1997</v>
      </c>
      <c r="T176" s="1">
        <v>21</v>
      </c>
      <c r="V176" s="1" t="s">
        <v>3088</v>
      </c>
      <c r="Y176" s="1" t="s">
        <v>2911</v>
      </c>
      <c r="Z176" s="1" t="s">
        <v>3250</v>
      </c>
      <c r="AA176" s="1" t="s">
        <v>22</v>
      </c>
      <c r="AB176" s="1" t="s">
        <v>2912</v>
      </c>
      <c r="AF176" s="1" t="s">
        <v>3036</v>
      </c>
      <c r="AM176" s="33">
        <f t="shared" si="69"/>
        <v>0</v>
      </c>
      <c r="AN176" s="1">
        <f t="shared" si="73"/>
        <v>0</v>
      </c>
      <c r="AO176" s="1" t="e">
        <f t="shared" si="70"/>
        <v>#DIV/0!</v>
      </c>
      <c r="AP176" s="1" t="e">
        <f t="shared" si="74"/>
        <v>#DIV/0!</v>
      </c>
      <c r="AQ176" s="1">
        <f t="shared" si="75"/>
        <v>1.3333333333333333</v>
      </c>
      <c r="AR176" s="1" t="e">
        <f t="shared" si="71"/>
        <v>#DIV/0!</v>
      </c>
      <c r="AS176" s="1" t="e">
        <f t="shared" si="72"/>
        <v>#DIV/0!</v>
      </c>
      <c r="AV176" s="1" t="s">
        <v>3539</v>
      </c>
    </row>
    <row r="177" spans="1:48" ht="14.25" customHeight="1">
      <c r="A177" s="4">
        <v>199</v>
      </c>
      <c r="C177" s="4" t="s">
        <v>1126</v>
      </c>
      <c r="D177" s="1" t="s">
        <v>2889</v>
      </c>
      <c r="E177" s="1">
        <v>2019</v>
      </c>
      <c r="F177" s="1">
        <v>2013</v>
      </c>
      <c r="G177" s="1" t="s">
        <v>3025</v>
      </c>
      <c r="H177" s="1" t="s">
        <v>2928</v>
      </c>
      <c r="I177" s="1">
        <v>34.363706000000001</v>
      </c>
      <c r="J177" s="1">
        <v>-112.274447</v>
      </c>
      <c r="K177" s="1" t="s">
        <v>2968</v>
      </c>
      <c r="L177" s="1" t="s">
        <v>3100</v>
      </c>
      <c r="M177" s="1" t="s">
        <v>3118</v>
      </c>
      <c r="P177" s="1" t="s">
        <v>2890</v>
      </c>
      <c r="Q177" s="1" t="s">
        <v>3033</v>
      </c>
      <c r="R177" s="1" t="s">
        <v>2903</v>
      </c>
      <c r="S177" s="1">
        <v>2000</v>
      </c>
      <c r="T177" s="1">
        <v>13</v>
      </c>
      <c r="V177" s="1">
        <v>6500</v>
      </c>
      <c r="Y177" s="1" t="s">
        <v>2933</v>
      </c>
      <c r="Z177" s="1" t="s">
        <v>3251</v>
      </c>
      <c r="AB177" s="1" t="s">
        <v>2932</v>
      </c>
      <c r="AD177" s="1" t="s">
        <v>36</v>
      </c>
      <c r="AE177" s="1" t="s">
        <v>36</v>
      </c>
      <c r="AM177" s="33">
        <f t="shared" si="69"/>
        <v>0</v>
      </c>
      <c r="AN177" s="1">
        <f t="shared" si="73"/>
        <v>0</v>
      </c>
      <c r="AO177" s="1" t="e">
        <f t="shared" si="70"/>
        <v>#DIV/0!</v>
      </c>
      <c r="AP177" s="1" t="e">
        <f t="shared" si="74"/>
        <v>#DIV/0!</v>
      </c>
      <c r="AQ177" s="1">
        <f t="shared" si="75"/>
        <v>1.3333333333333333</v>
      </c>
      <c r="AR177" s="1" t="e">
        <f t="shared" si="71"/>
        <v>#DIV/0!</v>
      </c>
      <c r="AS177" s="1" t="e">
        <f t="shared" si="72"/>
        <v>#DIV/0!</v>
      </c>
      <c r="AV177" s="1" t="s">
        <v>3539</v>
      </c>
    </row>
    <row r="178" spans="1:48" ht="14.25" customHeight="1">
      <c r="A178" s="4">
        <v>199</v>
      </c>
      <c r="C178" s="4" t="s">
        <v>1126</v>
      </c>
      <c r="D178" s="1" t="s">
        <v>2889</v>
      </c>
      <c r="E178" s="1">
        <v>2019</v>
      </c>
      <c r="F178" s="1">
        <v>2013</v>
      </c>
      <c r="G178" s="1" t="s">
        <v>3025</v>
      </c>
      <c r="H178" s="1" t="s">
        <v>2928</v>
      </c>
      <c r="I178" s="1">
        <v>34.363706000000001</v>
      </c>
      <c r="J178" s="1">
        <v>-112.274447</v>
      </c>
      <c r="K178" s="1" t="s">
        <v>2968</v>
      </c>
      <c r="L178" s="1" t="s">
        <v>3100</v>
      </c>
      <c r="M178" s="1" t="s">
        <v>3118</v>
      </c>
      <c r="P178" s="1" t="s">
        <v>2890</v>
      </c>
      <c r="Q178" s="1" t="s">
        <v>2983</v>
      </c>
      <c r="R178" s="1" t="s">
        <v>2903</v>
      </c>
      <c r="S178" s="1">
        <v>2000</v>
      </c>
      <c r="T178" s="1">
        <v>13</v>
      </c>
      <c r="V178" s="1">
        <v>6500</v>
      </c>
      <c r="Y178" s="1" t="s">
        <v>2933</v>
      </c>
      <c r="Z178" s="1" t="s">
        <v>3251</v>
      </c>
      <c r="AB178" s="1" t="s">
        <v>2932</v>
      </c>
      <c r="AD178" s="1" t="s">
        <v>36</v>
      </c>
      <c r="AE178" s="1" t="s">
        <v>36</v>
      </c>
      <c r="AM178" s="33">
        <f t="shared" si="69"/>
        <v>0</v>
      </c>
      <c r="AN178" s="1">
        <f t="shared" si="73"/>
        <v>0</v>
      </c>
      <c r="AO178" s="1" t="e">
        <f t="shared" si="70"/>
        <v>#DIV/0!</v>
      </c>
      <c r="AP178" s="1" t="e">
        <f t="shared" si="74"/>
        <v>#DIV/0!</v>
      </c>
      <c r="AQ178" s="1">
        <f t="shared" si="75"/>
        <v>1.3333333333333333</v>
      </c>
      <c r="AR178" s="1" t="e">
        <f t="shared" si="71"/>
        <v>#DIV/0!</v>
      </c>
      <c r="AS178" s="1" t="e">
        <f t="shared" si="72"/>
        <v>#DIV/0!</v>
      </c>
      <c r="AV178" s="1" t="s">
        <v>3539</v>
      </c>
    </row>
    <row r="179" spans="1:48" ht="14.25" customHeight="1">
      <c r="A179" s="4">
        <v>199</v>
      </c>
      <c r="C179" s="4" t="s">
        <v>1126</v>
      </c>
      <c r="D179" s="1" t="s">
        <v>2889</v>
      </c>
      <c r="E179" s="1">
        <v>2019</v>
      </c>
      <c r="F179" s="1">
        <v>2013</v>
      </c>
      <c r="G179" s="1" t="s">
        <v>3025</v>
      </c>
      <c r="H179" s="1" t="s">
        <v>2928</v>
      </c>
      <c r="I179" s="1">
        <v>34.363706000000001</v>
      </c>
      <c r="J179" s="1">
        <v>-112.274447</v>
      </c>
      <c r="K179" s="1" t="s">
        <v>2968</v>
      </c>
      <c r="L179" s="1" t="s">
        <v>3100</v>
      </c>
      <c r="M179" s="1" t="s">
        <v>3118</v>
      </c>
      <c r="P179" s="1" t="s">
        <v>2890</v>
      </c>
      <c r="Q179" s="1" t="s">
        <v>2983</v>
      </c>
      <c r="R179" s="1" t="s">
        <v>2903</v>
      </c>
      <c r="S179" s="1">
        <v>2000</v>
      </c>
      <c r="T179" s="1">
        <v>13</v>
      </c>
      <c r="V179" s="1">
        <v>6500</v>
      </c>
      <c r="Y179" s="1" t="s">
        <v>2933</v>
      </c>
      <c r="Z179" s="1" t="s">
        <v>3251</v>
      </c>
      <c r="AB179" s="1" t="s">
        <v>2932</v>
      </c>
      <c r="AD179" s="1" t="s">
        <v>36</v>
      </c>
      <c r="AE179" s="1" t="s">
        <v>36</v>
      </c>
      <c r="AM179" s="33">
        <f t="shared" si="69"/>
        <v>0</v>
      </c>
      <c r="AN179" s="1">
        <f t="shared" si="73"/>
        <v>0</v>
      </c>
      <c r="AO179" s="1" t="e">
        <f t="shared" si="70"/>
        <v>#DIV/0!</v>
      </c>
      <c r="AP179" s="1" t="e">
        <f t="shared" si="74"/>
        <v>#DIV/0!</v>
      </c>
      <c r="AQ179" s="1">
        <f t="shared" si="75"/>
        <v>1.3333333333333333</v>
      </c>
      <c r="AR179" s="1" t="e">
        <f t="shared" si="71"/>
        <v>#DIV/0!</v>
      </c>
      <c r="AS179" s="1" t="e">
        <f t="shared" si="72"/>
        <v>#DIV/0!</v>
      </c>
      <c r="AV179" s="1" t="s">
        <v>3539</v>
      </c>
    </row>
    <row r="180" spans="1:48" ht="14.25" customHeight="1">
      <c r="A180" s="4">
        <v>199</v>
      </c>
      <c r="C180" s="4" t="s">
        <v>1126</v>
      </c>
      <c r="D180" s="1" t="s">
        <v>2889</v>
      </c>
      <c r="E180" s="1">
        <v>2019</v>
      </c>
      <c r="F180" s="1">
        <v>2013</v>
      </c>
      <c r="G180" s="1" t="s">
        <v>3025</v>
      </c>
      <c r="H180" s="1" t="s">
        <v>2928</v>
      </c>
      <c r="I180" s="1">
        <v>34.363706000000001</v>
      </c>
      <c r="J180" s="1">
        <v>-112.274447</v>
      </c>
      <c r="K180" s="1" t="s">
        <v>3001</v>
      </c>
      <c r="L180" s="1" t="s">
        <v>3100</v>
      </c>
      <c r="M180" s="1" t="s">
        <v>3118</v>
      </c>
      <c r="P180" s="1" t="s">
        <v>2890</v>
      </c>
      <c r="Q180" s="1" t="s">
        <v>3033</v>
      </c>
      <c r="R180" s="1" t="s">
        <v>2903</v>
      </c>
      <c r="S180" s="1">
        <v>2000</v>
      </c>
      <c r="T180" s="1">
        <v>13</v>
      </c>
      <c r="V180" s="1">
        <v>6500</v>
      </c>
      <c r="Y180" s="1" t="s">
        <v>2994</v>
      </c>
      <c r="Z180" s="1" t="s">
        <v>3251</v>
      </c>
      <c r="AB180" s="1" t="s">
        <v>2912</v>
      </c>
      <c r="AD180" s="1" t="s">
        <v>3135</v>
      </c>
      <c r="AE180" s="1" t="s">
        <v>2914</v>
      </c>
      <c r="AM180" s="33">
        <f t="shared" si="69"/>
        <v>0</v>
      </c>
      <c r="AN180" s="1">
        <f t="shared" si="73"/>
        <v>0</v>
      </c>
      <c r="AO180" s="1" t="e">
        <f t="shared" si="70"/>
        <v>#DIV/0!</v>
      </c>
      <c r="AP180" s="1" t="e">
        <f t="shared" si="74"/>
        <v>#DIV/0!</v>
      </c>
      <c r="AQ180" s="1">
        <f t="shared" si="75"/>
        <v>1.3333333333333333</v>
      </c>
      <c r="AR180" s="1" t="e">
        <f t="shared" si="71"/>
        <v>#DIV/0!</v>
      </c>
      <c r="AS180" s="1" t="e">
        <f t="shared" si="72"/>
        <v>#DIV/0!</v>
      </c>
      <c r="AV180" s="1" t="s">
        <v>3539</v>
      </c>
    </row>
    <row r="181" spans="1:48" ht="14.25" customHeight="1">
      <c r="A181" s="4">
        <v>199</v>
      </c>
      <c r="C181" s="4" t="s">
        <v>1126</v>
      </c>
      <c r="D181" s="1" t="s">
        <v>2889</v>
      </c>
      <c r="E181" s="1">
        <v>2019</v>
      </c>
      <c r="F181" s="1">
        <v>2013</v>
      </c>
      <c r="G181" s="1" t="s">
        <v>3025</v>
      </c>
      <c r="H181" s="1" t="s">
        <v>2928</v>
      </c>
      <c r="I181" s="1">
        <v>34.363706000000001</v>
      </c>
      <c r="J181" s="1">
        <v>-112.274447</v>
      </c>
      <c r="K181" s="1" t="s">
        <v>3001</v>
      </c>
      <c r="L181" s="1" t="s">
        <v>3100</v>
      </c>
      <c r="M181" s="1" t="s">
        <v>3118</v>
      </c>
      <c r="P181" s="1" t="s">
        <v>2890</v>
      </c>
      <c r="Q181" s="1" t="s">
        <v>2983</v>
      </c>
      <c r="R181" s="1" t="s">
        <v>2903</v>
      </c>
      <c r="S181" s="1">
        <v>2000</v>
      </c>
      <c r="T181" s="1">
        <v>13</v>
      </c>
      <c r="V181" s="1">
        <v>6500</v>
      </c>
      <c r="Y181" s="1" t="s">
        <v>2994</v>
      </c>
      <c r="Z181" s="1" t="s">
        <v>3251</v>
      </c>
      <c r="AB181" s="1" t="s">
        <v>2912</v>
      </c>
      <c r="AD181" s="1" t="s">
        <v>3135</v>
      </c>
      <c r="AE181" s="1" t="s">
        <v>2914</v>
      </c>
      <c r="AM181" s="33">
        <f t="shared" si="69"/>
        <v>0</v>
      </c>
      <c r="AN181" s="1">
        <f t="shared" si="73"/>
        <v>0</v>
      </c>
      <c r="AO181" s="1" t="e">
        <f t="shared" si="70"/>
        <v>#DIV/0!</v>
      </c>
      <c r="AP181" s="1" t="e">
        <f t="shared" si="74"/>
        <v>#DIV/0!</v>
      </c>
      <c r="AQ181" s="1">
        <f t="shared" si="75"/>
        <v>1.3333333333333333</v>
      </c>
      <c r="AR181" s="1" t="e">
        <f t="shared" si="71"/>
        <v>#DIV/0!</v>
      </c>
      <c r="AS181" s="1" t="e">
        <f t="shared" si="72"/>
        <v>#DIV/0!</v>
      </c>
      <c r="AV181" s="1" t="s">
        <v>3539</v>
      </c>
    </row>
    <row r="182" spans="1:48" ht="14.25" customHeight="1">
      <c r="A182" s="4">
        <v>199</v>
      </c>
      <c r="C182" s="4" t="s">
        <v>1126</v>
      </c>
      <c r="D182" s="1" t="s">
        <v>2889</v>
      </c>
      <c r="E182" s="1">
        <v>2019</v>
      </c>
      <c r="F182" s="1">
        <v>2013</v>
      </c>
      <c r="G182" s="1" t="s">
        <v>3025</v>
      </c>
      <c r="H182" s="1" t="s">
        <v>2928</v>
      </c>
      <c r="I182" s="1">
        <v>34.363706000000001</v>
      </c>
      <c r="J182" s="1">
        <v>-112.274447</v>
      </c>
      <c r="K182" s="1" t="s">
        <v>3001</v>
      </c>
      <c r="L182" s="1" t="s">
        <v>3100</v>
      </c>
      <c r="M182" s="1" t="s">
        <v>3118</v>
      </c>
      <c r="P182" s="1" t="s">
        <v>2890</v>
      </c>
      <c r="Q182" s="1" t="s">
        <v>2983</v>
      </c>
      <c r="R182" s="1" t="s">
        <v>2903</v>
      </c>
      <c r="S182" s="1">
        <v>2000</v>
      </c>
      <c r="T182" s="1">
        <v>13</v>
      </c>
      <c r="V182" s="1">
        <v>6500</v>
      </c>
      <c r="Y182" s="1" t="s">
        <v>2994</v>
      </c>
      <c r="Z182" s="1" t="s">
        <v>3251</v>
      </c>
      <c r="AB182" s="1" t="s">
        <v>2912</v>
      </c>
      <c r="AD182" s="1" t="s">
        <v>3135</v>
      </c>
      <c r="AE182" s="1" t="s">
        <v>2914</v>
      </c>
      <c r="AM182" s="33">
        <f t="shared" si="69"/>
        <v>0</v>
      </c>
      <c r="AN182" s="1">
        <f t="shared" si="73"/>
        <v>0</v>
      </c>
      <c r="AO182" s="1" t="e">
        <f t="shared" si="70"/>
        <v>#DIV/0!</v>
      </c>
      <c r="AP182" s="1" t="e">
        <f t="shared" si="74"/>
        <v>#DIV/0!</v>
      </c>
      <c r="AQ182" s="1">
        <f t="shared" si="75"/>
        <v>1.3333333333333333</v>
      </c>
      <c r="AR182" s="1" t="e">
        <f t="shared" si="71"/>
        <v>#DIV/0!</v>
      </c>
      <c r="AS182" s="1" t="e">
        <f t="shared" si="72"/>
        <v>#DIV/0!</v>
      </c>
      <c r="AV182" s="1" t="s">
        <v>3539</v>
      </c>
    </row>
    <row r="183" spans="1:48" ht="14.25" customHeight="1">
      <c r="A183" s="4">
        <v>43</v>
      </c>
      <c r="C183" s="4" t="s">
        <v>270</v>
      </c>
      <c r="D183" s="1" t="s">
        <v>2889</v>
      </c>
      <c r="E183" s="1">
        <v>2023</v>
      </c>
      <c r="F183" s="1">
        <v>2020</v>
      </c>
      <c r="G183" s="1" t="s">
        <v>3048</v>
      </c>
      <c r="H183" s="1" t="s">
        <v>3059</v>
      </c>
      <c r="I183" s="1">
        <v>49.094827000000002</v>
      </c>
      <c r="J183" s="1">
        <v>-121.06218200000001</v>
      </c>
      <c r="K183" s="1" t="s">
        <v>2971</v>
      </c>
      <c r="L183" s="1" t="s">
        <v>3098</v>
      </c>
      <c r="M183" s="1" t="s">
        <v>3099</v>
      </c>
      <c r="P183" s="1" t="s">
        <v>2890</v>
      </c>
      <c r="R183" s="1" t="s">
        <v>2903</v>
      </c>
      <c r="S183" s="1">
        <v>2020</v>
      </c>
      <c r="T183" s="1" t="s">
        <v>3056</v>
      </c>
      <c r="V183" s="1" t="s">
        <v>3055</v>
      </c>
      <c r="Y183" s="1" t="s">
        <v>2911</v>
      </c>
      <c r="Z183" s="1" t="s">
        <v>3252</v>
      </c>
      <c r="AA183" s="1" t="s">
        <v>22</v>
      </c>
      <c r="AB183" s="1" t="s">
        <v>2912</v>
      </c>
      <c r="AC183" s="1" t="s">
        <v>3134</v>
      </c>
      <c r="AD183" s="1" t="s">
        <v>2913</v>
      </c>
      <c r="AE183" s="1" t="s">
        <v>2917</v>
      </c>
      <c r="AM183" s="33">
        <f t="shared" si="69"/>
        <v>0</v>
      </c>
      <c r="AN183" s="1">
        <f t="shared" si="73"/>
        <v>0</v>
      </c>
      <c r="AO183" s="1" t="e">
        <f t="shared" si="70"/>
        <v>#DIV/0!</v>
      </c>
      <c r="AP183" s="1" t="e">
        <f t="shared" si="74"/>
        <v>#DIV/0!</v>
      </c>
      <c r="AQ183" s="1">
        <f t="shared" si="75"/>
        <v>1.3333333333333333</v>
      </c>
      <c r="AR183" s="1" t="e">
        <f t="shared" si="71"/>
        <v>#DIV/0!</v>
      </c>
      <c r="AS183" s="1" t="e">
        <f t="shared" si="72"/>
        <v>#DIV/0!</v>
      </c>
      <c r="AV183" s="1" t="s">
        <v>3539</v>
      </c>
    </row>
    <row r="184" spans="1:48" ht="14.25" customHeight="1">
      <c r="A184" s="4">
        <v>225</v>
      </c>
      <c r="C184" s="4" t="s">
        <v>1257</v>
      </c>
      <c r="D184" s="1" t="s">
        <v>2889</v>
      </c>
      <c r="E184" s="1">
        <v>2008</v>
      </c>
      <c r="F184" s="1" t="s">
        <v>3152</v>
      </c>
      <c r="G184" s="1" t="s">
        <v>3146</v>
      </c>
      <c r="I184" s="1">
        <v>-38</v>
      </c>
      <c r="J184" s="1">
        <v>-71.066666999999995</v>
      </c>
      <c r="K184" s="1" t="s">
        <v>3001</v>
      </c>
      <c r="L184" s="1" t="s">
        <v>3123</v>
      </c>
      <c r="M184" s="1" t="s">
        <v>3153</v>
      </c>
      <c r="P184" s="1" t="s">
        <v>2890</v>
      </c>
      <c r="R184" s="1" t="s">
        <v>2903</v>
      </c>
      <c r="S184" s="1">
        <v>2002</v>
      </c>
      <c r="V184" s="1">
        <v>8000</v>
      </c>
      <c r="Y184" s="1" t="s">
        <v>2994</v>
      </c>
      <c r="Z184" s="1" t="s">
        <v>3253</v>
      </c>
      <c r="AA184" s="1" t="s">
        <v>22</v>
      </c>
      <c r="AB184" s="1" t="s">
        <v>3035</v>
      </c>
      <c r="AD184" s="1" t="s">
        <v>36</v>
      </c>
      <c r="AE184" s="1" t="s">
        <v>36</v>
      </c>
      <c r="AM184" s="33">
        <f t="shared" si="69"/>
        <v>0</v>
      </c>
      <c r="AN184" s="1">
        <f t="shared" si="73"/>
        <v>0</v>
      </c>
      <c r="AO184" s="1" t="e">
        <f t="shared" si="70"/>
        <v>#DIV/0!</v>
      </c>
      <c r="AP184" s="1" t="e">
        <f t="shared" si="74"/>
        <v>#DIV/0!</v>
      </c>
      <c r="AQ184" s="1">
        <f t="shared" si="75"/>
        <v>1.3333333333333333</v>
      </c>
      <c r="AR184" s="1" t="e">
        <f t="shared" si="71"/>
        <v>#DIV/0!</v>
      </c>
      <c r="AS184" s="1" t="e">
        <f t="shared" si="72"/>
        <v>#DIV/0!</v>
      </c>
      <c r="AV184" s="1" t="s">
        <v>3539</v>
      </c>
    </row>
    <row r="185" spans="1:48" ht="14.25" customHeight="1">
      <c r="A185" s="4">
        <v>119</v>
      </c>
      <c r="C185" s="4" t="s">
        <v>699</v>
      </c>
      <c r="D185" s="1" t="s">
        <v>2889</v>
      </c>
      <c r="E185" s="1">
        <v>1994</v>
      </c>
      <c r="F185" s="1">
        <v>1988</v>
      </c>
      <c r="G185" s="1" t="s">
        <v>3025</v>
      </c>
      <c r="I185" s="1">
        <v>38.689985999999998</v>
      </c>
      <c r="J185" s="1">
        <v>-79.500456</v>
      </c>
      <c r="K185" s="1" t="s">
        <v>2968</v>
      </c>
      <c r="L185" s="1" t="s">
        <v>3100</v>
      </c>
      <c r="M185" s="1" t="s">
        <v>3125</v>
      </c>
      <c r="P185" s="1" t="s">
        <v>2890</v>
      </c>
      <c r="R185" s="1" t="s">
        <v>2903</v>
      </c>
      <c r="S185" s="1">
        <v>1988</v>
      </c>
      <c r="T185" s="1" t="s">
        <v>3094</v>
      </c>
      <c r="Y185" s="1" t="s">
        <v>2933</v>
      </c>
      <c r="Z185" s="1" t="s">
        <v>36</v>
      </c>
      <c r="AA185" s="1" t="s">
        <v>20</v>
      </c>
      <c r="AB185" s="1" t="s">
        <v>2932</v>
      </c>
      <c r="AD185" s="1" t="s">
        <v>36</v>
      </c>
      <c r="AE185" s="1" t="s">
        <v>36</v>
      </c>
      <c r="AM185" s="33">
        <f t="shared" si="69"/>
        <v>0</v>
      </c>
      <c r="AN185" s="1">
        <f t="shared" si="73"/>
        <v>0</v>
      </c>
      <c r="AO185" s="1" t="e">
        <f t="shared" si="70"/>
        <v>#DIV/0!</v>
      </c>
      <c r="AP185" s="1" t="e">
        <f t="shared" si="74"/>
        <v>#DIV/0!</v>
      </c>
      <c r="AQ185" s="1">
        <f t="shared" si="75"/>
        <v>1.3333333333333333</v>
      </c>
      <c r="AR185" s="1" t="e">
        <f t="shared" si="71"/>
        <v>#DIV/0!</v>
      </c>
      <c r="AS185" s="1" t="e">
        <f t="shared" si="72"/>
        <v>#DIV/0!</v>
      </c>
      <c r="AV185" s="1" t="s">
        <v>3539</v>
      </c>
    </row>
    <row r="186" spans="1:48" ht="14.25" customHeight="1">
      <c r="A186" s="4">
        <v>239</v>
      </c>
      <c r="C186" s="4" t="s">
        <v>1326</v>
      </c>
      <c r="D186" s="1" t="s">
        <v>2889</v>
      </c>
      <c r="E186" s="1">
        <v>2021</v>
      </c>
      <c r="F186" s="1">
        <v>2016</v>
      </c>
      <c r="G186" s="1" t="s">
        <v>2938</v>
      </c>
      <c r="H186" s="1" t="s">
        <v>2939</v>
      </c>
      <c r="I186" s="1">
        <v>59.895555999999999</v>
      </c>
      <c r="J186" s="1">
        <v>16.240832999999999</v>
      </c>
      <c r="K186" s="1" t="s">
        <v>2971</v>
      </c>
      <c r="L186" s="1" t="s">
        <v>3100</v>
      </c>
      <c r="M186" s="1" t="s">
        <v>3106</v>
      </c>
      <c r="P186" s="1" t="s">
        <v>2890</v>
      </c>
      <c r="R186" s="1" t="s">
        <v>2903</v>
      </c>
      <c r="S186" s="1">
        <v>2014</v>
      </c>
      <c r="T186" s="1">
        <v>2</v>
      </c>
      <c r="V186" s="1">
        <v>13100</v>
      </c>
      <c r="Y186" s="1" t="s">
        <v>2911</v>
      </c>
      <c r="Z186" s="1" t="s">
        <v>3254</v>
      </c>
      <c r="AA186" s="1" t="s">
        <v>22</v>
      </c>
      <c r="AB186" s="1" t="s">
        <v>2912</v>
      </c>
      <c r="AE186" s="1" t="s">
        <v>2917</v>
      </c>
      <c r="AM186" s="33">
        <f t="shared" si="69"/>
        <v>0</v>
      </c>
      <c r="AN186" s="1">
        <f t="shared" si="73"/>
        <v>0</v>
      </c>
      <c r="AO186" s="1" t="e">
        <f t="shared" si="70"/>
        <v>#DIV/0!</v>
      </c>
      <c r="AP186" s="1" t="e">
        <f t="shared" si="74"/>
        <v>#DIV/0!</v>
      </c>
      <c r="AQ186" s="1">
        <f t="shared" si="75"/>
        <v>1.3333333333333333</v>
      </c>
      <c r="AR186" s="1" t="e">
        <f t="shared" si="71"/>
        <v>#DIV/0!</v>
      </c>
      <c r="AS186" s="1" t="e">
        <f t="shared" si="72"/>
        <v>#DIV/0!</v>
      </c>
      <c r="AV186" s="1" t="s">
        <v>3539</v>
      </c>
    </row>
    <row r="187" spans="1:48" ht="14.25" customHeight="1">
      <c r="A187" s="4">
        <v>559</v>
      </c>
      <c r="C187" s="4" t="s">
        <v>2790</v>
      </c>
      <c r="D187" s="1" t="s">
        <v>2889</v>
      </c>
      <c r="E187" s="1">
        <v>2018</v>
      </c>
      <c r="G187" s="1" t="s">
        <v>2946</v>
      </c>
      <c r="H187" s="1" t="s">
        <v>2928</v>
      </c>
      <c r="I187" s="1">
        <v>39.591799999999999</v>
      </c>
      <c r="J187" s="1">
        <v>-0.73202100000000003</v>
      </c>
      <c r="K187" s="1" t="s">
        <v>2971</v>
      </c>
      <c r="P187" s="1" t="s">
        <v>2890</v>
      </c>
      <c r="R187" s="1" t="s">
        <v>2903</v>
      </c>
      <c r="S187" s="1">
        <v>2014</v>
      </c>
      <c r="Y187" s="1" t="s">
        <v>2911</v>
      </c>
      <c r="Z187" s="1" t="s">
        <v>2942</v>
      </c>
      <c r="AA187" s="1" t="s">
        <v>22</v>
      </c>
      <c r="AB187" s="1" t="s">
        <v>2912</v>
      </c>
      <c r="AC187" s="1" t="s">
        <v>3134</v>
      </c>
      <c r="AD187" s="1" t="s">
        <v>3221</v>
      </c>
      <c r="AE187" s="1" t="s">
        <v>2914</v>
      </c>
      <c r="AM187" s="33">
        <f t="shared" ref="AM187:AM250" si="76">AG187-AJ187</f>
        <v>0</v>
      </c>
      <c r="AN187" s="1">
        <f t="shared" si="73"/>
        <v>0</v>
      </c>
      <c r="AO187" s="1" t="e">
        <f t="shared" si="70"/>
        <v>#DIV/0!</v>
      </c>
      <c r="AP187" s="1" t="e">
        <f t="shared" si="74"/>
        <v>#DIV/0!</v>
      </c>
      <c r="AQ187" s="1">
        <f t="shared" si="75"/>
        <v>1.3333333333333333</v>
      </c>
      <c r="AR187" s="1" t="e">
        <f t="shared" si="71"/>
        <v>#DIV/0!</v>
      </c>
      <c r="AS187" s="1" t="e">
        <f t="shared" si="72"/>
        <v>#DIV/0!</v>
      </c>
      <c r="AV187" s="1" t="s">
        <v>3539</v>
      </c>
    </row>
    <row r="188" spans="1:48" ht="14.25" customHeight="1">
      <c r="A188" s="4">
        <v>398</v>
      </c>
      <c r="C188" s="4" t="s">
        <v>2070</v>
      </c>
      <c r="D188" s="1" t="s">
        <v>2889</v>
      </c>
      <c r="E188" s="1">
        <v>2023</v>
      </c>
      <c r="F188" s="1">
        <v>2017</v>
      </c>
      <c r="G188" s="1" t="s">
        <v>3025</v>
      </c>
      <c r="H188" s="1" t="s">
        <v>2996</v>
      </c>
      <c r="I188" s="1">
        <v>49.513615000000001</v>
      </c>
      <c r="J188" s="1">
        <v>-91.655843000000004</v>
      </c>
      <c r="K188" s="1" t="s">
        <v>2971</v>
      </c>
      <c r="L188" s="1" t="s">
        <v>3100</v>
      </c>
      <c r="M188" s="1" t="s">
        <v>3116</v>
      </c>
      <c r="P188" s="1" t="s">
        <v>2890</v>
      </c>
      <c r="R188" s="1" t="s">
        <v>2903</v>
      </c>
      <c r="Y188" s="1" t="s">
        <v>2911</v>
      </c>
      <c r="Z188" s="1" t="s">
        <v>2992</v>
      </c>
      <c r="AA188" s="1" t="s">
        <v>22</v>
      </c>
      <c r="AB188" s="1" t="s">
        <v>2912</v>
      </c>
      <c r="AD188" s="1" t="s">
        <v>3134</v>
      </c>
      <c r="AE188" s="1" t="s">
        <v>2914</v>
      </c>
      <c r="AM188" s="33">
        <f t="shared" si="76"/>
        <v>0</v>
      </c>
      <c r="AN188" s="1">
        <f t="shared" si="73"/>
        <v>0</v>
      </c>
      <c r="AO188" s="1" t="e">
        <f t="shared" si="70"/>
        <v>#DIV/0!</v>
      </c>
      <c r="AP188" s="1" t="e">
        <f t="shared" si="74"/>
        <v>#DIV/0!</v>
      </c>
      <c r="AQ188" s="1">
        <f t="shared" si="75"/>
        <v>1.3333333333333333</v>
      </c>
      <c r="AR188" s="1" t="e">
        <f t="shared" si="71"/>
        <v>#DIV/0!</v>
      </c>
      <c r="AS188" s="1" t="e">
        <f t="shared" si="72"/>
        <v>#DIV/0!</v>
      </c>
      <c r="AV188" s="1" t="s">
        <v>3539</v>
      </c>
    </row>
    <row r="189" spans="1:48" ht="14.25" customHeight="1">
      <c r="A189" s="4">
        <v>238</v>
      </c>
      <c r="C189" s="4" t="s">
        <v>1322</v>
      </c>
      <c r="D189" s="1" t="s">
        <v>2889</v>
      </c>
      <c r="E189" s="1">
        <v>2021</v>
      </c>
      <c r="F189" s="1">
        <v>2017</v>
      </c>
      <c r="G189" s="1" t="s">
        <v>3025</v>
      </c>
      <c r="I189" s="1">
        <v>48.602961000000001</v>
      </c>
      <c r="J189" s="1">
        <v>-119.23058899999999</v>
      </c>
      <c r="K189" s="1" t="s">
        <v>2971</v>
      </c>
      <c r="L189" s="1" t="s">
        <v>3100</v>
      </c>
      <c r="M189" s="1" t="s">
        <v>3118</v>
      </c>
      <c r="P189" s="1" t="s">
        <v>2890</v>
      </c>
      <c r="Q189" s="1" t="s">
        <v>2983</v>
      </c>
      <c r="R189" s="1" t="s">
        <v>2903</v>
      </c>
      <c r="S189" s="1">
        <v>2006</v>
      </c>
      <c r="T189" s="1">
        <v>11</v>
      </c>
      <c r="Y189" s="1" t="s">
        <v>2911</v>
      </c>
      <c r="Z189" s="1" t="s">
        <v>3243</v>
      </c>
      <c r="AA189" s="1" t="s">
        <v>22</v>
      </c>
      <c r="AB189" s="1" t="s">
        <v>2912</v>
      </c>
      <c r="AD189" s="1" t="s">
        <v>3134</v>
      </c>
      <c r="AE189" s="1" t="s">
        <v>2930</v>
      </c>
      <c r="AG189" s="19"/>
      <c r="AH189" s="19"/>
      <c r="AI189" s="19"/>
      <c r="AM189" s="33">
        <f t="shared" si="76"/>
        <v>0</v>
      </c>
      <c r="AN189" s="1">
        <f t="shared" si="73"/>
        <v>0</v>
      </c>
      <c r="AO189" s="1" t="e">
        <f t="shared" si="70"/>
        <v>#DIV/0!</v>
      </c>
      <c r="AP189" s="1" t="e">
        <f t="shared" si="74"/>
        <v>#DIV/0!</v>
      </c>
      <c r="AQ189" s="1">
        <f t="shared" si="75"/>
        <v>1.3333333333333333</v>
      </c>
      <c r="AR189" s="1" t="e">
        <f t="shared" si="71"/>
        <v>#DIV/0!</v>
      </c>
      <c r="AS189" s="1" t="e">
        <f t="shared" si="72"/>
        <v>#DIV/0!</v>
      </c>
      <c r="AV189" s="1" t="s">
        <v>3539</v>
      </c>
    </row>
    <row r="190" spans="1:48" ht="14.25" customHeight="1">
      <c r="A190" s="4">
        <v>238</v>
      </c>
      <c r="C190" s="4" t="s">
        <v>1322</v>
      </c>
      <c r="D190" s="1" t="s">
        <v>2889</v>
      </c>
      <c r="E190" s="1">
        <v>2021</v>
      </c>
      <c r="F190" s="1">
        <v>2017</v>
      </c>
      <c r="G190" s="1" t="s">
        <v>3025</v>
      </c>
      <c r="I190" s="1">
        <v>48.602961000000001</v>
      </c>
      <c r="J190" s="1">
        <v>-119.23058899999999</v>
      </c>
      <c r="K190" s="1" t="s">
        <v>2971</v>
      </c>
      <c r="L190" s="1" t="s">
        <v>3100</v>
      </c>
      <c r="M190" s="1" t="s">
        <v>3118</v>
      </c>
      <c r="P190" s="1" t="s">
        <v>2890</v>
      </c>
      <c r="Q190" s="1" t="s">
        <v>2983</v>
      </c>
      <c r="R190" s="1" t="s">
        <v>2903</v>
      </c>
      <c r="S190" s="1">
        <v>2012</v>
      </c>
      <c r="T190" s="1">
        <v>5</v>
      </c>
      <c r="Y190" s="1" t="s">
        <v>2911</v>
      </c>
      <c r="Z190" s="1" t="s">
        <v>3243</v>
      </c>
      <c r="AA190" s="1" t="s">
        <v>22</v>
      </c>
      <c r="AB190" s="1" t="s">
        <v>2912</v>
      </c>
      <c r="AD190" s="1" t="s">
        <v>3134</v>
      </c>
      <c r="AE190" s="1" t="s">
        <v>2930</v>
      </c>
      <c r="AG190" s="19"/>
      <c r="AH190" s="19"/>
      <c r="AI190" s="19"/>
      <c r="AM190" s="33">
        <f t="shared" si="76"/>
        <v>0</v>
      </c>
      <c r="AN190" s="1">
        <f t="shared" si="73"/>
        <v>0</v>
      </c>
      <c r="AO190" s="1" t="e">
        <f t="shared" si="70"/>
        <v>#DIV/0!</v>
      </c>
      <c r="AP190" s="1" t="e">
        <f t="shared" si="74"/>
        <v>#DIV/0!</v>
      </c>
      <c r="AQ190" s="1">
        <f t="shared" si="75"/>
        <v>1.3333333333333333</v>
      </c>
      <c r="AR190" s="1" t="e">
        <f t="shared" si="71"/>
        <v>#DIV/0!</v>
      </c>
      <c r="AS190" s="1" t="e">
        <f t="shared" si="72"/>
        <v>#DIV/0!</v>
      </c>
      <c r="AV190" s="1" t="s">
        <v>3539</v>
      </c>
    </row>
    <row r="191" spans="1:48" ht="14.25" customHeight="1">
      <c r="A191" s="4">
        <v>238</v>
      </c>
      <c r="C191" s="4" t="s">
        <v>1322</v>
      </c>
      <c r="D191" s="1" t="s">
        <v>2889</v>
      </c>
      <c r="E191" s="1">
        <v>2021</v>
      </c>
      <c r="F191" s="1">
        <v>2017</v>
      </c>
      <c r="G191" s="1" t="s">
        <v>3025</v>
      </c>
      <c r="I191" s="1">
        <v>48.602961000000001</v>
      </c>
      <c r="J191" s="1">
        <v>-119.23058899999999</v>
      </c>
      <c r="K191" s="1" t="s">
        <v>2971</v>
      </c>
      <c r="L191" s="1" t="s">
        <v>3100</v>
      </c>
      <c r="M191" s="1" t="s">
        <v>3118</v>
      </c>
      <c r="P191" s="1" t="s">
        <v>2890</v>
      </c>
      <c r="Q191" s="1" t="s">
        <v>2983</v>
      </c>
      <c r="R191" s="1" t="s">
        <v>2903</v>
      </c>
      <c r="S191" s="1">
        <v>2014</v>
      </c>
      <c r="T191" s="1">
        <v>3</v>
      </c>
      <c r="Y191" s="1" t="s">
        <v>2911</v>
      </c>
      <c r="Z191" s="1" t="s">
        <v>3243</v>
      </c>
      <c r="AA191" s="1" t="s">
        <v>22</v>
      </c>
      <c r="AB191" s="1" t="s">
        <v>2912</v>
      </c>
      <c r="AD191" s="1" t="s">
        <v>3134</v>
      </c>
      <c r="AE191" s="1" t="s">
        <v>2930</v>
      </c>
      <c r="AM191" s="33">
        <f t="shared" si="76"/>
        <v>0</v>
      </c>
      <c r="AN191" s="1">
        <f t="shared" si="73"/>
        <v>0</v>
      </c>
      <c r="AO191" s="1" t="e">
        <f t="shared" si="70"/>
        <v>#DIV/0!</v>
      </c>
      <c r="AP191" s="1" t="e">
        <f t="shared" si="74"/>
        <v>#DIV/0!</v>
      </c>
      <c r="AQ191" s="1">
        <f t="shared" si="75"/>
        <v>1.3333333333333333</v>
      </c>
      <c r="AR191" s="1" t="e">
        <f t="shared" si="71"/>
        <v>#DIV/0!</v>
      </c>
      <c r="AS191" s="1" t="e">
        <f t="shared" si="72"/>
        <v>#DIV/0!</v>
      </c>
      <c r="AV191" s="1" t="s">
        <v>3539</v>
      </c>
    </row>
    <row r="192" spans="1:48" ht="14.25" customHeight="1">
      <c r="A192" s="4">
        <v>238</v>
      </c>
      <c r="C192" s="4" t="s">
        <v>1322</v>
      </c>
      <c r="D192" s="1" t="s">
        <v>2889</v>
      </c>
      <c r="E192" s="1">
        <v>2021</v>
      </c>
      <c r="F192" s="1">
        <v>2017</v>
      </c>
      <c r="G192" s="1" t="s">
        <v>3025</v>
      </c>
      <c r="I192" s="1">
        <v>48.602961000000001</v>
      </c>
      <c r="J192" s="1">
        <v>-119.23058899999999</v>
      </c>
      <c r="K192" s="1" t="s">
        <v>2971</v>
      </c>
      <c r="L192" s="1" t="s">
        <v>3100</v>
      </c>
      <c r="M192" s="1" t="s">
        <v>3118</v>
      </c>
      <c r="P192" s="1" t="s">
        <v>2890</v>
      </c>
      <c r="Q192" s="1" t="s">
        <v>2983</v>
      </c>
      <c r="R192" s="1" t="s">
        <v>2903</v>
      </c>
      <c r="S192" s="1">
        <v>2016</v>
      </c>
      <c r="T192" s="1">
        <v>1</v>
      </c>
      <c r="Y192" s="1" t="s">
        <v>2911</v>
      </c>
      <c r="Z192" s="1" t="s">
        <v>3243</v>
      </c>
      <c r="AA192" s="1" t="s">
        <v>22</v>
      </c>
      <c r="AB192" s="1" t="s">
        <v>2912</v>
      </c>
      <c r="AD192" s="1" t="s">
        <v>3134</v>
      </c>
      <c r="AE192" s="1" t="s">
        <v>2930</v>
      </c>
      <c r="AM192" s="33">
        <f t="shared" si="76"/>
        <v>0</v>
      </c>
      <c r="AN192" s="1">
        <f t="shared" si="73"/>
        <v>0</v>
      </c>
      <c r="AO192" s="1" t="e">
        <f t="shared" si="70"/>
        <v>#DIV/0!</v>
      </c>
      <c r="AP192" s="1" t="e">
        <f t="shared" si="74"/>
        <v>#DIV/0!</v>
      </c>
      <c r="AQ192" s="1">
        <f t="shared" si="75"/>
        <v>1.3333333333333333</v>
      </c>
      <c r="AR192" s="1" t="e">
        <f t="shared" si="71"/>
        <v>#DIV/0!</v>
      </c>
      <c r="AS192" s="1" t="e">
        <f t="shared" si="72"/>
        <v>#DIV/0!</v>
      </c>
      <c r="AV192" s="1" t="s">
        <v>3539</v>
      </c>
    </row>
    <row r="193" spans="1:48" ht="14.25" customHeight="1">
      <c r="A193" s="4">
        <v>534</v>
      </c>
      <c r="C193" s="4" t="s">
        <v>2691</v>
      </c>
      <c r="D193" s="1" t="s">
        <v>2889</v>
      </c>
      <c r="E193" s="1">
        <v>2022</v>
      </c>
      <c r="F193" s="1">
        <v>2018</v>
      </c>
      <c r="G193" s="1" t="s">
        <v>3025</v>
      </c>
      <c r="H193" s="1" t="s">
        <v>2928</v>
      </c>
      <c r="I193" s="1">
        <v>33.299100000000003</v>
      </c>
      <c r="J193" s="1">
        <v>-116.800786</v>
      </c>
      <c r="K193" s="1" t="s">
        <v>2971</v>
      </c>
      <c r="L193" s="1" t="s">
        <v>3202</v>
      </c>
      <c r="M193" s="1" t="s">
        <v>3203</v>
      </c>
      <c r="P193" s="1" t="s">
        <v>2890</v>
      </c>
      <c r="R193" s="1" t="s">
        <v>2903</v>
      </c>
      <c r="S193" s="1">
        <v>2018</v>
      </c>
      <c r="T193" s="1" t="s">
        <v>2952</v>
      </c>
      <c r="Y193" s="1" t="s">
        <v>2911</v>
      </c>
      <c r="Z193" s="1" t="s">
        <v>2924</v>
      </c>
      <c r="AB193" s="1" t="s">
        <v>2912</v>
      </c>
      <c r="AD193" s="1" t="s">
        <v>3134</v>
      </c>
      <c r="AE193" s="1" t="s">
        <v>2917</v>
      </c>
      <c r="AM193" s="33">
        <f t="shared" si="76"/>
        <v>0</v>
      </c>
      <c r="AN193" s="1">
        <f t="shared" si="73"/>
        <v>0</v>
      </c>
      <c r="AO193" s="1" t="e">
        <f t="shared" si="70"/>
        <v>#DIV/0!</v>
      </c>
      <c r="AP193" s="1" t="e">
        <f t="shared" si="74"/>
        <v>#DIV/0!</v>
      </c>
      <c r="AQ193" s="1">
        <f t="shared" si="75"/>
        <v>1.3333333333333333</v>
      </c>
      <c r="AR193" s="1" t="e">
        <f t="shared" si="71"/>
        <v>#DIV/0!</v>
      </c>
      <c r="AS193" s="1" t="e">
        <f t="shared" si="72"/>
        <v>#DIV/0!</v>
      </c>
      <c r="AV193" s="1" t="s">
        <v>3539</v>
      </c>
    </row>
    <row r="194" spans="1:48" ht="14.25" customHeight="1">
      <c r="A194" s="4">
        <v>520</v>
      </c>
      <c r="C194" s="4" t="s">
        <v>2630</v>
      </c>
      <c r="D194" s="1" t="s">
        <v>2889</v>
      </c>
      <c r="E194" s="1">
        <v>2020</v>
      </c>
      <c r="F194" s="1" t="s">
        <v>3195</v>
      </c>
      <c r="G194" s="1" t="s">
        <v>3025</v>
      </c>
      <c r="I194" s="1">
        <v>35.703989</v>
      </c>
      <c r="J194" s="1">
        <v>-83.452045999999996</v>
      </c>
      <c r="K194" s="1" t="s">
        <v>2971</v>
      </c>
      <c r="P194" s="1" t="s">
        <v>2890</v>
      </c>
      <c r="R194" s="1" t="s">
        <v>2903</v>
      </c>
      <c r="S194" s="1">
        <v>2016</v>
      </c>
      <c r="Y194" s="1" t="s">
        <v>2911</v>
      </c>
      <c r="Z194" s="1" t="s">
        <v>3034</v>
      </c>
      <c r="AA194" s="1" t="s">
        <v>20</v>
      </c>
      <c r="AB194" s="1" t="s">
        <v>2912</v>
      </c>
      <c r="AD194" s="1" t="s">
        <v>3134</v>
      </c>
      <c r="AE194" s="1" t="s">
        <v>2930</v>
      </c>
      <c r="AM194" s="33">
        <f t="shared" si="76"/>
        <v>0</v>
      </c>
      <c r="AN194" s="1">
        <f t="shared" si="73"/>
        <v>0</v>
      </c>
      <c r="AO194" s="1" t="e">
        <f t="shared" ref="AO194:AO219" si="77">AM194/AN194</f>
        <v>#DIV/0!</v>
      </c>
      <c r="AP194" s="1" t="e">
        <f t="shared" si="74"/>
        <v>#DIV/0!</v>
      </c>
      <c r="AQ194" s="1">
        <f t="shared" si="75"/>
        <v>1.3333333333333333</v>
      </c>
      <c r="AR194" s="1" t="e">
        <f t="shared" si="71"/>
        <v>#DIV/0!</v>
      </c>
      <c r="AS194" s="1" t="e">
        <f t="shared" si="72"/>
        <v>#DIV/0!</v>
      </c>
      <c r="AV194" s="1" t="s">
        <v>3539</v>
      </c>
    </row>
    <row r="195" spans="1:48" ht="14.25" customHeight="1">
      <c r="A195" s="4">
        <v>294</v>
      </c>
      <c r="C195" s="4" t="s">
        <v>1584</v>
      </c>
      <c r="D195" s="1" t="s">
        <v>2889</v>
      </c>
      <c r="E195" s="1">
        <v>2016</v>
      </c>
      <c r="G195" s="1" t="s">
        <v>3025</v>
      </c>
      <c r="I195" s="1">
        <v>43.7</v>
      </c>
      <c r="J195" s="1">
        <v>-121.61666700000001</v>
      </c>
      <c r="K195" s="1" t="s">
        <v>2971</v>
      </c>
      <c r="L195" s="1" t="s">
        <v>3100</v>
      </c>
      <c r="M195" s="1" t="s">
        <v>3118</v>
      </c>
      <c r="P195" s="1" t="s">
        <v>2948</v>
      </c>
      <c r="R195" s="1" t="s">
        <v>2935</v>
      </c>
      <c r="S195" s="1">
        <v>2013</v>
      </c>
      <c r="T195" s="1" t="s">
        <v>3069</v>
      </c>
      <c r="Y195" s="1" t="s">
        <v>2911</v>
      </c>
      <c r="Z195" s="1" t="s">
        <v>3255</v>
      </c>
      <c r="AA195" s="1" t="s">
        <v>20</v>
      </c>
      <c r="AB195" s="1" t="s">
        <v>2912</v>
      </c>
      <c r="AD195" s="1" t="s">
        <v>3134</v>
      </c>
      <c r="AE195" s="1" t="s">
        <v>2930</v>
      </c>
      <c r="AM195" s="33">
        <f t="shared" si="76"/>
        <v>0</v>
      </c>
      <c r="AN195" s="1">
        <f t="shared" si="73"/>
        <v>0</v>
      </c>
      <c r="AO195" s="1" t="e">
        <f t="shared" si="77"/>
        <v>#DIV/0!</v>
      </c>
      <c r="AP195" s="1" t="e">
        <f t="shared" si="74"/>
        <v>#DIV/0!</v>
      </c>
      <c r="AQ195" s="1">
        <f t="shared" si="75"/>
        <v>1.3333333333333333</v>
      </c>
      <c r="AR195" s="1" t="e">
        <f t="shared" si="71"/>
        <v>#DIV/0!</v>
      </c>
      <c r="AS195" s="1" t="e">
        <f t="shared" si="72"/>
        <v>#DIV/0!</v>
      </c>
      <c r="AV195" s="1" t="s">
        <v>3539</v>
      </c>
    </row>
    <row r="196" spans="1:48" ht="14.25" customHeight="1">
      <c r="A196" s="4">
        <v>213</v>
      </c>
      <c r="C196" s="4" t="s">
        <v>1192</v>
      </c>
      <c r="D196" s="1" t="s">
        <v>2889</v>
      </c>
      <c r="E196" s="1">
        <v>2014</v>
      </c>
      <c r="F196" s="1">
        <v>2008</v>
      </c>
      <c r="G196" s="1" t="s">
        <v>2946</v>
      </c>
      <c r="H196" s="1" t="s">
        <v>2928</v>
      </c>
      <c r="I196" s="1">
        <v>41.05</v>
      </c>
      <c r="J196" s="1">
        <v>-2.4333330000000002</v>
      </c>
      <c r="K196" s="1" t="s">
        <v>3001</v>
      </c>
      <c r="L196" s="1" t="s">
        <v>3100</v>
      </c>
      <c r="M196" s="1" t="s">
        <v>3101</v>
      </c>
      <c r="P196" s="1" t="s">
        <v>2890</v>
      </c>
      <c r="Q196" s="1" t="s">
        <v>2983</v>
      </c>
      <c r="R196" s="1" t="s">
        <v>2903</v>
      </c>
      <c r="S196" s="1">
        <v>1994</v>
      </c>
      <c r="T196" s="1">
        <v>14</v>
      </c>
      <c r="Y196" s="1" t="s">
        <v>2994</v>
      </c>
      <c r="Z196" s="1" t="s">
        <v>3256</v>
      </c>
      <c r="AB196" s="1" t="s">
        <v>2912</v>
      </c>
      <c r="AE196" s="1" t="s">
        <v>2914</v>
      </c>
      <c r="AM196" s="33">
        <f t="shared" si="76"/>
        <v>0</v>
      </c>
      <c r="AN196" s="1">
        <f t="shared" si="73"/>
        <v>0</v>
      </c>
      <c r="AO196" s="1" t="e">
        <f t="shared" si="77"/>
        <v>#DIV/0!</v>
      </c>
      <c r="AP196" s="1" t="e">
        <f t="shared" si="74"/>
        <v>#DIV/0!</v>
      </c>
      <c r="AQ196" s="1">
        <f t="shared" si="75"/>
        <v>1.3333333333333333</v>
      </c>
      <c r="AR196" s="1" t="e">
        <f t="shared" si="71"/>
        <v>#DIV/0!</v>
      </c>
      <c r="AS196" s="1" t="e">
        <f t="shared" si="72"/>
        <v>#DIV/0!</v>
      </c>
      <c r="AV196" s="1" t="s">
        <v>3539</v>
      </c>
    </row>
    <row r="197" spans="1:48" ht="14.25" customHeight="1">
      <c r="A197" s="4">
        <v>213</v>
      </c>
      <c r="C197" s="4" t="s">
        <v>1192</v>
      </c>
      <c r="D197" s="1" t="s">
        <v>2889</v>
      </c>
      <c r="E197" s="1">
        <v>2014</v>
      </c>
      <c r="F197" s="1">
        <v>2008</v>
      </c>
      <c r="G197" s="1" t="s">
        <v>2946</v>
      </c>
      <c r="H197" s="1" t="s">
        <v>2928</v>
      </c>
      <c r="I197" s="1">
        <v>41.05</v>
      </c>
      <c r="J197" s="1">
        <v>-2.4333330000000002</v>
      </c>
      <c r="K197" s="1" t="s">
        <v>3001</v>
      </c>
      <c r="L197" s="1" t="s">
        <v>3100</v>
      </c>
      <c r="M197" s="1" t="s">
        <v>3101</v>
      </c>
      <c r="P197" s="1" t="s">
        <v>2890</v>
      </c>
      <c r="Q197" s="1" t="s">
        <v>2983</v>
      </c>
      <c r="R197" s="1" t="s">
        <v>2903</v>
      </c>
      <c r="S197" s="1">
        <v>2005</v>
      </c>
      <c r="T197" s="1">
        <v>3</v>
      </c>
      <c r="Y197" s="1" t="s">
        <v>2994</v>
      </c>
      <c r="Z197" s="1" t="s">
        <v>3256</v>
      </c>
      <c r="AB197" s="1" t="s">
        <v>2912</v>
      </c>
      <c r="AE197" s="1" t="s">
        <v>2914</v>
      </c>
      <c r="AM197" s="33">
        <f t="shared" si="76"/>
        <v>0</v>
      </c>
      <c r="AN197" s="1">
        <f t="shared" si="73"/>
        <v>0</v>
      </c>
      <c r="AO197" s="1" t="e">
        <f t="shared" si="77"/>
        <v>#DIV/0!</v>
      </c>
      <c r="AP197" s="1" t="e">
        <f t="shared" si="74"/>
        <v>#DIV/0!</v>
      </c>
      <c r="AQ197" s="1">
        <f t="shared" si="75"/>
        <v>1.3333333333333333</v>
      </c>
      <c r="AR197" s="1" t="e">
        <f t="shared" si="71"/>
        <v>#DIV/0!</v>
      </c>
      <c r="AS197" s="1" t="e">
        <f t="shared" si="72"/>
        <v>#DIV/0!</v>
      </c>
      <c r="AV197" s="1" t="s">
        <v>3539</v>
      </c>
    </row>
    <row r="198" spans="1:48" ht="14.25" customHeight="1">
      <c r="A198" s="4">
        <v>295</v>
      </c>
      <c r="C198" s="4" t="s">
        <v>1590</v>
      </c>
      <c r="D198" s="1" t="s">
        <v>2889</v>
      </c>
      <c r="E198" s="1">
        <v>2010</v>
      </c>
      <c r="F198" s="1" t="s">
        <v>3010</v>
      </c>
      <c r="G198" s="1" t="s">
        <v>2946</v>
      </c>
      <c r="H198" s="1" t="s">
        <v>2928</v>
      </c>
      <c r="I198" s="1">
        <v>40.850586</v>
      </c>
      <c r="J198" s="1">
        <v>-2.0015260000000001</v>
      </c>
      <c r="K198" s="1" t="s">
        <v>3001</v>
      </c>
      <c r="L198" s="1" t="s">
        <v>3100</v>
      </c>
      <c r="M198" s="1" t="s">
        <v>3101</v>
      </c>
      <c r="P198" s="1" t="s">
        <v>2890</v>
      </c>
      <c r="R198" s="1" t="s">
        <v>2903</v>
      </c>
      <c r="S198" s="1">
        <v>2005</v>
      </c>
      <c r="V198" s="1">
        <v>10000</v>
      </c>
      <c r="Y198" s="1" t="s">
        <v>2994</v>
      </c>
      <c r="Z198" s="1" t="s">
        <v>3257</v>
      </c>
      <c r="AA198" s="1" t="s">
        <v>20</v>
      </c>
      <c r="AB198" s="1" t="s">
        <v>2912</v>
      </c>
      <c r="AE198" s="1" t="s">
        <v>2914</v>
      </c>
      <c r="AM198" s="33">
        <f t="shared" si="76"/>
        <v>0</v>
      </c>
      <c r="AN198" s="1">
        <f t="shared" si="73"/>
        <v>0</v>
      </c>
      <c r="AO198" s="1" t="e">
        <f t="shared" si="77"/>
        <v>#DIV/0!</v>
      </c>
      <c r="AP198" s="1" t="e">
        <f t="shared" si="74"/>
        <v>#DIV/0!</v>
      </c>
      <c r="AQ198" s="1">
        <f t="shared" si="75"/>
        <v>1.3333333333333333</v>
      </c>
      <c r="AR198" s="1" t="e">
        <f t="shared" si="71"/>
        <v>#DIV/0!</v>
      </c>
      <c r="AS198" s="1" t="e">
        <f t="shared" si="72"/>
        <v>#DIV/0!</v>
      </c>
      <c r="AV198" s="1" t="s">
        <v>3539</v>
      </c>
    </row>
    <row r="199" spans="1:48" ht="14.25" customHeight="1">
      <c r="A199" s="4">
        <v>188</v>
      </c>
      <c r="C199" s="4" t="s">
        <v>1071</v>
      </c>
      <c r="D199" s="1" t="s">
        <v>2889</v>
      </c>
      <c r="E199" s="1">
        <v>2008</v>
      </c>
      <c r="F199" s="1" t="s">
        <v>2937</v>
      </c>
      <c r="G199" s="1" t="s">
        <v>2910</v>
      </c>
      <c r="I199" s="1">
        <v>-34.461578000000003</v>
      </c>
      <c r="J199" s="1">
        <v>116.173176</v>
      </c>
      <c r="K199" s="1" t="s">
        <v>2968</v>
      </c>
      <c r="L199" s="1" t="s">
        <v>2931</v>
      </c>
      <c r="M199" s="1" t="s">
        <v>3105</v>
      </c>
      <c r="P199" s="1" t="s">
        <v>2890</v>
      </c>
      <c r="R199" s="1" t="s">
        <v>2903</v>
      </c>
      <c r="S199" s="1">
        <v>1997</v>
      </c>
      <c r="V199" s="1">
        <v>1600</v>
      </c>
      <c r="Y199" s="1" t="s">
        <v>2933</v>
      </c>
      <c r="Z199" s="1" t="s">
        <v>3244</v>
      </c>
      <c r="AB199" s="1" t="s">
        <v>2932</v>
      </c>
      <c r="AE199" s="1" t="s">
        <v>36</v>
      </c>
      <c r="AM199" s="33">
        <f t="shared" si="76"/>
        <v>0</v>
      </c>
      <c r="AN199" s="1">
        <f t="shared" si="73"/>
        <v>0</v>
      </c>
      <c r="AO199" s="1" t="e">
        <f t="shared" si="77"/>
        <v>#DIV/0!</v>
      </c>
      <c r="AP199" s="1" t="e">
        <f t="shared" si="74"/>
        <v>#DIV/0!</v>
      </c>
      <c r="AQ199" s="1">
        <f t="shared" si="75"/>
        <v>1.3333333333333333</v>
      </c>
      <c r="AR199" s="1" t="e">
        <f t="shared" ref="AR199:AR219" si="78">AO199*AQ199</f>
        <v>#DIV/0!</v>
      </c>
      <c r="AS199" s="1" t="e">
        <f t="shared" si="72"/>
        <v>#DIV/0!</v>
      </c>
      <c r="AV199" s="1" t="s">
        <v>3539</v>
      </c>
    </row>
    <row r="200" spans="1:48" ht="14.25" customHeight="1">
      <c r="A200" s="4">
        <v>221</v>
      </c>
      <c r="C200" s="4" t="s">
        <v>1235</v>
      </c>
      <c r="D200" s="1" t="s">
        <v>2889</v>
      </c>
      <c r="E200" s="1">
        <v>2021</v>
      </c>
      <c r="F200" s="1">
        <v>2016</v>
      </c>
      <c r="G200" s="1" t="s">
        <v>3048</v>
      </c>
      <c r="I200" s="1">
        <v>53.646073000000001</v>
      </c>
      <c r="J200" s="1" t="s">
        <v>3151</v>
      </c>
      <c r="K200" s="1" t="s">
        <v>2971</v>
      </c>
      <c r="L200" s="1" t="s">
        <v>3100</v>
      </c>
      <c r="M200" s="1" t="s">
        <v>3112</v>
      </c>
      <c r="P200" s="1" t="s">
        <v>2890</v>
      </c>
      <c r="R200" s="1" t="s">
        <v>2903</v>
      </c>
      <c r="Y200" s="1" t="s">
        <v>2911</v>
      </c>
      <c r="Z200" s="1" t="s">
        <v>3248</v>
      </c>
      <c r="AA200" s="1" t="s">
        <v>22</v>
      </c>
      <c r="AB200" s="1" t="s">
        <v>2912</v>
      </c>
      <c r="AD200" s="1" t="s">
        <v>3134</v>
      </c>
      <c r="AE200" s="1" t="s">
        <v>2930</v>
      </c>
      <c r="AM200" s="33">
        <f t="shared" si="76"/>
        <v>0</v>
      </c>
      <c r="AN200" s="1">
        <f t="shared" si="73"/>
        <v>0</v>
      </c>
      <c r="AO200" s="1" t="e">
        <f t="shared" si="77"/>
        <v>#DIV/0!</v>
      </c>
      <c r="AP200" s="1" t="e">
        <f t="shared" si="74"/>
        <v>#DIV/0!</v>
      </c>
      <c r="AQ200" s="1">
        <f t="shared" si="75"/>
        <v>1.3333333333333333</v>
      </c>
      <c r="AR200" s="1" t="e">
        <f t="shared" si="78"/>
        <v>#DIV/0!</v>
      </c>
      <c r="AS200" s="1" t="e">
        <f t="shared" si="72"/>
        <v>#DIV/0!</v>
      </c>
      <c r="AV200" s="1" t="s">
        <v>3539</v>
      </c>
    </row>
    <row r="201" spans="1:48" ht="14.25" customHeight="1">
      <c r="A201" s="4">
        <v>38</v>
      </c>
      <c r="C201" s="4" t="s">
        <v>242</v>
      </c>
      <c r="D201" s="1" t="s">
        <v>2889</v>
      </c>
      <c r="E201" s="1">
        <v>2018</v>
      </c>
      <c r="F201" s="1">
        <v>1993</v>
      </c>
      <c r="G201" s="1" t="s">
        <v>3051</v>
      </c>
      <c r="H201" s="1" t="s">
        <v>2939</v>
      </c>
      <c r="I201" s="1">
        <v>63.266666999999998</v>
      </c>
      <c r="J201" s="1">
        <v>30.75</v>
      </c>
      <c r="K201" s="1" t="s">
        <v>2968</v>
      </c>
      <c r="L201" s="1" t="s">
        <v>3100</v>
      </c>
      <c r="M201" s="1" t="s">
        <v>3106</v>
      </c>
      <c r="P201" s="1" t="s">
        <v>2890</v>
      </c>
      <c r="R201" s="1" t="s">
        <v>2903</v>
      </c>
      <c r="S201" s="1">
        <v>1992</v>
      </c>
      <c r="T201" s="1">
        <v>12</v>
      </c>
      <c r="V201" s="1">
        <v>143</v>
      </c>
      <c r="W201" s="1" t="s">
        <v>36</v>
      </c>
      <c r="X201" s="1" t="s">
        <v>36</v>
      </c>
      <c r="Y201" s="1" t="s">
        <v>2933</v>
      </c>
      <c r="Z201" s="1" t="s">
        <v>36</v>
      </c>
      <c r="AA201" s="1" t="s">
        <v>20</v>
      </c>
      <c r="AB201" s="1" t="s">
        <v>2932</v>
      </c>
      <c r="AE201" s="1" t="s">
        <v>36</v>
      </c>
      <c r="AM201" s="33">
        <f t="shared" si="76"/>
        <v>0</v>
      </c>
      <c r="AN201" s="1" t="e">
        <f t="shared" si="73"/>
        <v>#VALUE!</v>
      </c>
      <c r="AO201" s="1" t="e">
        <f t="shared" si="77"/>
        <v>#VALUE!</v>
      </c>
      <c r="AP201" s="1" t="e">
        <f t="shared" si="74"/>
        <v>#VALUE!</v>
      </c>
      <c r="AQ201" s="1" t="e">
        <f t="shared" si="75"/>
        <v>#VALUE!</v>
      </c>
      <c r="AR201" s="1" t="e">
        <f t="shared" si="78"/>
        <v>#VALUE!</v>
      </c>
      <c r="AS201" s="1" t="e">
        <f t="shared" si="72"/>
        <v>#VALUE!</v>
      </c>
      <c r="AV201" s="1" t="s">
        <v>3539</v>
      </c>
    </row>
    <row r="202" spans="1:48" ht="14.25" customHeight="1">
      <c r="A202" s="38">
        <v>170</v>
      </c>
      <c r="B202" s="38"/>
      <c r="C202" s="38" t="s">
        <v>970</v>
      </c>
      <c r="D202" s="1" t="s">
        <v>2889</v>
      </c>
      <c r="E202" s="1">
        <v>2021</v>
      </c>
      <c r="F202" s="1">
        <v>2017</v>
      </c>
      <c r="G202" s="1" t="s">
        <v>3025</v>
      </c>
      <c r="H202" s="1" t="s">
        <v>2928</v>
      </c>
      <c r="I202" s="1">
        <v>38.460099999999997</v>
      </c>
      <c r="J202" s="1">
        <v>-122.5515</v>
      </c>
      <c r="K202" s="1" t="s">
        <v>2971</v>
      </c>
      <c r="L202" s="1" t="s">
        <v>3098</v>
      </c>
      <c r="M202" s="1" t="s">
        <v>3099</v>
      </c>
      <c r="N202" s="1" t="s">
        <v>3303</v>
      </c>
      <c r="O202" s="1" t="s">
        <v>3305</v>
      </c>
      <c r="P202" s="1" t="s">
        <v>2890</v>
      </c>
      <c r="Q202" s="1" t="s">
        <v>2983</v>
      </c>
      <c r="R202" s="1" t="s">
        <v>2903</v>
      </c>
      <c r="S202" s="1">
        <v>2017</v>
      </c>
      <c r="T202" s="1" t="s">
        <v>3047</v>
      </c>
      <c r="V202" s="1">
        <v>90000</v>
      </c>
      <c r="W202" s="1">
        <v>45</v>
      </c>
      <c r="X202" s="1">
        <v>45</v>
      </c>
      <c r="Y202" s="1" t="s">
        <v>2911</v>
      </c>
      <c r="Z202" s="1" t="s">
        <v>2992</v>
      </c>
      <c r="AA202" s="1" t="s">
        <v>22</v>
      </c>
      <c r="AB202" s="1" t="s">
        <v>2912</v>
      </c>
      <c r="AC202" s="1" t="s">
        <v>3134</v>
      </c>
      <c r="AD202" s="1" t="s">
        <v>2913</v>
      </c>
      <c r="AE202" s="1" t="s">
        <v>2914</v>
      </c>
      <c r="AF202" s="1" t="s">
        <v>3213</v>
      </c>
      <c r="AG202" s="1">
        <v>222.85</v>
      </c>
      <c r="AH202" s="1">
        <f>325.47-AG202</f>
        <v>102.62000000000003</v>
      </c>
      <c r="AJ202" s="1">
        <v>383.9</v>
      </c>
      <c r="AK202" s="1">
        <f>487.27-AJ202</f>
        <v>103.37</v>
      </c>
      <c r="AM202" s="33">
        <f t="shared" si="76"/>
        <v>-161.04999999999998</v>
      </c>
      <c r="AN202" s="1">
        <f t="shared" si="73"/>
        <v>102.99568267650837</v>
      </c>
      <c r="AO202" s="1">
        <f t="shared" si="77"/>
        <v>-1.5636577749169369</v>
      </c>
      <c r="AP202" s="1">
        <f t="shared" si="74"/>
        <v>5.8027920205878811E-2</v>
      </c>
      <c r="AQ202" s="1">
        <f t="shared" si="75"/>
        <v>0.99145299145299148</v>
      </c>
      <c r="AR202" s="1">
        <f t="shared" si="78"/>
        <v>-1.5502931785501255</v>
      </c>
      <c r="AS202" s="1">
        <f t="shared" si="72"/>
        <v>0.23883096316046226</v>
      </c>
      <c r="AV202" s="1" t="s">
        <v>3539</v>
      </c>
    </row>
    <row r="203" spans="1:48" ht="14.25" customHeight="1">
      <c r="A203" s="38">
        <v>170</v>
      </c>
      <c r="B203" s="38"/>
      <c r="C203" s="38" t="s">
        <v>970</v>
      </c>
      <c r="D203" s="1" t="s">
        <v>2889</v>
      </c>
      <c r="E203" s="1">
        <v>2021</v>
      </c>
      <c r="F203" s="1">
        <v>2017</v>
      </c>
      <c r="G203" s="1" t="s">
        <v>3025</v>
      </c>
      <c r="H203" s="1" t="s">
        <v>2928</v>
      </c>
      <c r="I203" s="1">
        <v>38.460099999999997</v>
      </c>
      <c r="J203" s="1">
        <v>-122.5515</v>
      </c>
      <c r="K203" s="1" t="s">
        <v>2971</v>
      </c>
      <c r="L203" s="1" t="s">
        <v>3098</v>
      </c>
      <c r="M203" s="1" t="s">
        <v>3099</v>
      </c>
      <c r="N203" s="1" t="s">
        <v>3303</v>
      </c>
      <c r="O203" s="1" t="s">
        <v>3305</v>
      </c>
      <c r="P203" s="1" t="s">
        <v>2890</v>
      </c>
      <c r="Q203" s="1" t="s">
        <v>2983</v>
      </c>
      <c r="R203" s="1" t="s">
        <v>2903</v>
      </c>
      <c r="S203" s="1">
        <v>2017</v>
      </c>
      <c r="T203" s="1" t="s">
        <v>3047</v>
      </c>
      <c r="V203" s="1">
        <v>90000</v>
      </c>
      <c r="W203" s="1">
        <v>45</v>
      </c>
      <c r="X203" s="1">
        <v>45</v>
      </c>
      <c r="Y203" s="1" t="s">
        <v>2911</v>
      </c>
      <c r="Z203" s="1" t="s">
        <v>2992</v>
      </c>
      <c r="AA203" s="1" t="s">
        <v>22</v>
      </c>
      <c r="AB203" s="1" t="s">
        <v>2912</v>
      </c>
      <c r="AC203" s="1" t="s">
        <v>3134</v>
      </c>
      <c r="AD203" s="1" t="s">
        <v>2913</v>
      </c>
      <c r="AE203" s="1" t="s">
        <v>2914</v>
      </c>
      <c r="AF203" s="1" t="s">
        <v>3045</v>
      </c>
      <c r="AG203" s="1">
        <v>16.14</v>
      </c>
      <c r="AH203" s="1">
        <f>25.53-AG203</f>
        <v>9.39</v>
      </c>
      <c r="AJ203" s="1">
        <v>34.18</v>
      </c>
      <c r="AK203" s="1">
        <f>41.72-AJ203</f>
        <v>7.5399999999999991</v>
      </c>
      <c r="AM203" s="33">
        <f t="shared" si="76"/>
        <v>-18.04</v>
      </c>
      <c r="AN203" s="1">
        <f t="shared" si="73"/>
        <v>8.5153890104915337</v>
      </c>
      <c r="AO203" s="1">
        <f t="shared" ref="AO203" si="79">AM203/AN203</f>
        <v>-2.11851742507283</v>
      </c>
      <c r="AP203" s="1">
        <f t="shared" si="74"/>
        <v>6.937842266854008E-2</v>
      </c>
      <c r="AQ203" s="1">
        <f t="shared" si="75"/>
        <v>0.99145299145299148</v>
      </c>
      <c r="AR203" s="1">
        <f t="shared" ref="AR203" si="80">AO203*AQ203</f>
        <v>-2.1004104385337459</v>
      </c>
      <c r="AS203" s="1">
        <f t="shared" ref="AS203" si="81">SQRT(AP203*AQ203^2)</f>
        <v>0.26114657744890879</v>
      </c>
      <c r="AV203" s="1" t="s">
        <v>3539</v>
      </c>
    </row>
    <row r="204" spans="1:48" ht="14.25" customHeight="1">
      <c r="A204" s="38">
        <v>170</v>
      </c>
      <c r="B204" s="38"/>
      <c r="C204" s="38" t="s">
        <v>970</v>
      </c>
      <c r="D204" s="1" t="s">
        <v>2889</v>
      </c>
      <c r="E204" s="1">
        <v>2021</v>
      </c>
      <c r="F204" s="1">
        <v>2017</v>
      </c>
      <c r="G204" s="1" t="s">
        <v>3025</v>
      </c>
      <c r="H204" s="1" t="s">
        <v>2928</v>
      </c>
      <c r="I204" s="1">
        <v>38.460099999999997</v>
      </c>
      <c r="J204" s="1">
        <v>-122.5515</v>
      </c>
      <c r="K204" s="1" t="s">
        <v>2971</v>
      </c>
      <c r="L204" s="1" t="s">
        <v>3098</v>
      </c>
      <c r="M204" s="1" t="s">
        <v>3099</v>
      </c>
      <c r="N204" s="1" t="s">
        <v>3303</v>
      </c>
      <c r="O204" s="1" t="s">
        <v>3305</v>
      </c>
      <c r="P204" s="1" t="s">
        <v>2890</v>
      </c>
      <c r="Q204" s="1" t="s">
        <v>2983</v>
      </c>
      <c r="R204" s="1" t="s">
        <v>2903</v>
      </c>
      <c r="S204" s="1">
        <v>2017</v>
      </c>
      <c r="T204" s="1" t="s">
        <v>3047</v>
      </c>
      <c r="V204" s="1">
        <v>90000</v>
      </c>
      <c r="W204" s="1">
        <v>45</v>
      </c>
      <c r="X204" s="1">
        <v>45</v>
      </c>
      <c r="Y204" s="1" t="s">
        <v>2911</v>
      </c>
      <c r="Z204" s="1" t="s">
        <v>2992</v>
      </c>
      <c r="AA204" s="1" t="s">
        <v>22</v>
      </c>
      <c r="AB204" s="1" t="s">
        <v>2912</v>
      </c>
      <c r="AC204" s="1" t="s">
        <v>3134</v>
      </c>
      <c r="AD204" s="1" t="s">
        <v>2913</v>
      </c>
      <c r="AE204" s="1" t="s">
        <v>2914</v>
      </c>
      <c r="AF204" s="1" t="s">
        <v>3046</v>
      </c>
      <c r="AG204" s="1">
        <v>86.75</v>
      </c>
      <c r="AH204" s="1">
        <f>120.03-AG204</f>
        <v>33.28</v>
      </c>
      <c r="AJ204" s="1">
        <v>133.94</v>
      </c>
      <c r="AK204" s="1">
        <f>167.72-AJ204</f>
        <v>33.78</v>
      </c>
      <c r="AM204" s="33">
        <f t="shared" si="76"/>
        <v>-47.19</v>
      </c>
      <c r="AN204" s="1">
        <f t="shared" si="73"/>
        <v>33.530931988240354</v>
      </c>
      <c r="AO204" s="1">
        <f t="shared" ref="AO204" si="82">AM204/AN204</f>
        <v>-1.4073572430539665</v>
      </c>
      <c r="AP204" s="1">
        <f t="shared" si="74"/>
        <v>5.5448080053202564E-2</v>
      </c>
      <c r="AQ204" s="1">
        <f t="shared" si="75"/>
        <v>0.99145299145299148</v>
      </c>
      <c r="AR204" s="1">
        <f t="shared" ref="AR204" si="83">AO204*AQ204</f>
        <v>-1.3953285486688898</v>
      </c>
      <c r="AS204" s="1">
        <f t="shared" ref="AS204" si="84">SQRT(AP204*AQ204^2)</f>
        <v>0.23346156039555724</v>
      </c>
      <c r="AV204" s="1" t="s">
        <v>3539</v>
      </c>
    </row>
    <row r="205" spans="1:48" ht="14.25" customHeight="1">
      <c r="A205" s="38">
        <v>170</v>
      </c>
      <c r="B205" s="38"/>
      <c r="C205" s="38" t="s">
        <v>970</v>
      </c>
      <c r="D205" s="1" t="s">
        <v>2889</v>
      </c>
      <c r="E205" s="1">
        <v>2021</v>
      </c>
      <c r="F205" s="1">
        <v>2017</v>
      </c>
      <c r="G205" s="1" t="s">
        <v>3025</v>
      </c>
      <c r="H205" s="1" t="s">
        <v>2928</v>
      </c>
      <c r="I205" s="1">
        <v>38.460099999999997</v>
      </c>
      <c r="J205" s="1">
        <v>-122.5515</v>
      </c>
      <c r="K205" s="1" t="s">
        <v>2971</v>
      </c>
      <c r="L205" s="1" t="s">
        <v>3098</v>
      </c>
      <c r="M205" s="1" t="s">
        <v>3099</v>
      </c>
      <c r="N205" s="1" t="s">
        <v>3303</v>
      </c>
      <c r="O205" s="1" t="s">
        <v>3305</v>
      </c>
      <c r="P205" s="1" t="s">
        <v>2890</v>
      </c>
      <c r="Q205" s="1" t="s">
        <v>2983</v>
      </c>
      <c r="R205" s="1" t="s">
        <v>2903</v>
      </c>
      <c r="S205" s="1">
        <v>2017</v>
      </c>
      <c r="T205" s="1" t="s">
        <v>3047</v>
      </c>
      <c r="V205" s="1">
        <v>90000</v>
      </c>
      <c r="W205" s="1">
        <v>45</v>
      </c>
      <c r="X205" s="1">
        <v>45</v>
      </c>
      <c r="Y205" s="1" t="s">
        <v>2911</v>
      </c>
      <c r="Z205" s="1" t="s">
        <v>2992</v>
      </c>
      <c r="AA205" s="1" t="s">
        <v>22</v>
      </c>
      <c r="AB205" s="1" t="s">
        <v>2912</v>
      </c>
      <c r="AC205" s="1" t="s">
        <v>3134</v>
      </c>
      <c r="AD205" s="1" t="s">
        <v>2913</v>
      </c>
      <c r="AE205" s="1" t="s">
        <v>2914</v>
      </c>
      <c r="AF205" s="1" t="s">
        <v>3556</v>
      </c>
      <c r="AG205" s="1">
        <v>34.89</v>
      </c>
      <c r="AH205" s="1">
        <f>49-AG205</f>
        <v>14.11</v>
      </c>
      <c r="AJ205" s="1">
        <v>33.880000000000003</v>
      </c>
      <c r="AK205" s="1">
        <f>48.07-AJ205</f>
        <v>14.189999999999998</v>
      </c>
      <c r="AM205" s="33">
        <f t="shared" si="76"/>
        <v>1.009999999999998</v>
      </c>
      <c r="AN205" s="1">
        <f t="shared" si="73"/>
        <v>14.150056536989522</v>
      </c>
      <c r="AO205" s="1">
        <f t="shared" ref="AO205" si="85">AM205/AN205</f>
        <v>7.1377806679412695E-2</v>
      </c>
      <c r="AP205" s="1">
        <f t="shared" si="74"/>
        <v>4.4472748840479796E-2</v>
      </c>
      <c r="AQ205" s="1">
        <f t="shared" si="75"/>
        <v>0.99145299145299148</v>
      </c>
      <c r="AR205" s="1">
        <f t="shared" ref="AR205" si="86">AO205*AQ205</f>
        <v>7.0767739955657036E-2</v>
      </c>
      <c r="AS205" s="1">
        <f t="shared" ref="AS205" si="87">SQRT(AP205*AQ205^2)</f>
        <v>0.20908318848283963</v>
      </c>
      <c r="AV205" s="1" t="s">
        <v>3539</v>
      </c>
    </row>
    <row r="206" spans="1:48" ht="14.25" customHeight="1">
      <c r="A206" s="38">
        <v>170</v>
      </c>
      <c r="B206" s="38"/>
      <c r="C206" s="38" t="s">
        <v>970</v>
      </c>
      <c r="D206" s="1" t="s">
        <v>2889</v>
      </c>
      <c r="E206" s="1">
        <v>2021</v>
      </c>
      <c r="F206" s="1">
        <v>2017</v>
      </c>
      <c r="G206" s="1" t="s">
        <v>3025</v>
      </c>
      <c r="H206" s="1" t="s">
        <v>2928</v>
      </c>
      <c r="I206" s="1">
        <v>38.460099999999997</v>
      </c>
      <c r="J206" s="1">
        <v>-122.5515</v>
      </c>
      <c r="K206" s="1" t="s">
        <v>2971</v>
      </c>
      <c r="L206" s="1" t="s">
        <v>3102</v>
      </c>
      <c r="M206" s="1" t="s">
        <v>3107</v>
      </c>
      <c r="N206" s="1" t="s">
        <v>3304</v>
      </c>
      <c r="O206" s="1" t="s">
        <v>3305</v>
      </c>
      <c r="P206" s="1" t="s">
        <v>2890</v>
      </c>
      <c r="Q206" s="1" t="s">
        <v>2983</v>
      </c>
      <c r="R206" s="1" t="s">
        <v>2903</v>
      </c>
      <c r="S206" s="1">
        <v>2017</v>
      </c>
      <c r="T206" s="1" t="s">
        <v>3047</v>
      </c>
      <c r="V206" s="1">
        <v>90000</v>
      </c>
      <c r="W206" s="1">
        <v>45</v>
      </c>
      <c r="X206" s="1">
        <v>45</v>
      </c>
      <c r="Y206" s="1" t="s">
        <v>2911</v>
      </c>
      <c r="Z206" s="1" t="s">
        <v>2992</v>
      </c>
      <c r="AA206" s="1" t="s">
        <v>22</v>
      </c>
      <c r="AB206" s="1" t="s">
        <v>2912</v>
      </c>
      <c r="AC206" s="1" t="s">
        <v>3134</v>
      </c>
      <c r="AD206" s="1" t="s">
        <v>2913</v>
      </c>
      <c r="AE206" s="1" t="s">
        <v>2914</v>
      </c>
      <c r="AF206" s="1" t="s">
        <v>3213</v>
      </c>
      <c r="AG206" s="1">
        <v>326.97000000000003</v>
      </c>
      <c r="AH206" s="1">
        <f>443.07-AG206</f>
        <v>116.09999999999997</v>
      </c>
      <c r="AJ206" s="1">
        <v>396.63</v>
      </c>
      <c r="AK206" s="1">
        <f>505.99-AJ206</f>
        <v>109.36000000000001</v>
      </c>
      <c r="AM206" s="33">
        <f t="shared" si="76"/>
        <v>-69.659999999999968</v>
      </c>
      <c r="AN206" s="1">
        <f t="shared" si="73"/>
        <v>112.78036087901118</v>
      </c>
      <c r="AO206" s="1">
        <f t="shared" si="77"/>
        <v>-0.61766072973228037</v>
      </c>
      <c r="AP206" s="1">
        <f t="shared" si="74"/>
        <v>4.6563915428074518E-2</v>
      </c>
      <c r="AQ206" s="1">
        <f t="shared" si="75"/>
        <v>0.99145299145299148</v>
      </c>
      <c r="AR206" s="1">
        <f t="shared" si="78"/>
        <v>-0.61238157819610706</v>
      </c>
      <c r="AS206" s="1">
        <f t="shared" ref="AS206:AS219" si="88">SQRT(AP206*AQ206^2)</f>
        <v>0.21394240491053557</v>
      </c>
      <c r="AV206" s="1" t="s">
        <v>3539</v>
      </c>
    </row>
    <row r="207" spans="1:48" ht="14.25" customHeight="1">
      <c r="A207" s="38">
        <v>170</v>
      </c>
      <c r="B207" s="38"/>
      <c r="C207" s="38" t="s">
        <v>970</v>
      </c>
      <c r="D207" s="1" t="s">
        <v>2889</v>
      </c>
      <c r="E207" s="1">
        <v>2021</v>
      </c>
      <c r="F207" s="1">
        <v>2017</v>
      </c>
      <c r="G207" s="1" t="s">
        <v>3025</v>
      </c>
      <c r="H207" s="1" t="s">
        <v>2928</v>
      </c>
      <c r="I207" s="1">
        <v>38.460099999999997</v>
      </c>
      <c r="J207" s="1">
        <v>-122.5515</v>
      </c>
      <c r="K207" s="1" t="s">
        <v>2971</v>
      </c>
      <c r="L207" s="1" t="s">
        <v>3102</v>
      </c>
      <c r="M207" s="1" t="s">
        <v>3107</v>
      </c>
      <c r="N207" s="1" t="s">
        <v>3304</v>
      </c>
      <c r="O207" s="1" t="s">
        <v>3305</v>
      </c>
      <c r="P207" s="1" t="s">
        <v>2890</v>
      </c>
      <c r="Q207" s="1" t="s">
        <v>2983</v>
      </c>
      <c r="R207" s="1" t="s">
        <v>2903</v>
      </c>
      <c r="S207" s="1">
        <v>2017</v>
      </c>
      <c r="T207" s="1" t="s">
        <v>3047</v>
      </c>
      <c r="V207" s="1">
        <v>90000</v>
      </c>
      <c r="W207" s="1">
        <v>45</v>
      </c>
      <c r="X207" s="1">
        <v>45</v>
      </c>
      <c r="Y207" s="1" t="s">
        <v>2911</v>
      </c>
      <c r="Z207" s="1" t="s">
        <v>2992</v>
      </c>
      <c r="AA207" s="1" t="s">
        <v>22</v>
      </c>
      <c r="AB207" s="1" t="s">
        <v>2912</v>
      </c>
      <c r="AC207" s="1" t="s">
        <v>3134</v>
      </c>
      <c r="AD207" s="1" t="s">
        <v>2913</v>
      </c>
      <c r="AE207" s="1" t="s">
        <v>2914</v>
      </c>
      <c r="AF207" s="1" t="s">
        <v>3045</v>
      </c>
      <c r="AG207" s="1">
        <v>33.29</v>
      </c>
      <c r="AH207" s="1">
        <f>44.01-AG207</f>
        <v>10.719999999999999</v>
      </c>
      <c r="AJ207" s="1">
        <v>35.43</v>
      </c>
      <c r="AK207" s="1">
        <f>46.52-AJ207</f>
        <v>11.090000000000003</v>
      </c>
      <c r="AM207" s="33">
        <f t="shared" si="76"/>
        <v>-2.1400000000000006</v>
      </c>
      <c r="AN207" s="1">
        <f t="shared" si="73"/>
        <v>10.906569121405687</v>
      </c>
      <c r="AO207" s="1">
        <f t="shared" ref="AO207" si="89">AM207/AN207</f>
        <v>-0.19621202379765307</v>
      </c>
      <c r="AP207" s="1">
        <f t="shared" si="74"/>
        <v>4.4658328657126503E-2</v>
      </c>
      <c r="AQ207" s="1">
        <f t="shared" si="75"/>
        <v>0.99145299145299148</v>
      </c>
      <c r="AR207" s="1">
        <f t="shared" ref="AR207" si="90">AO207*AQ207</f>
        <v>-0.19453499795322868</v>
      </c>
      <c r="AS207" s="1">
        <f t="shared" ref="AS207" si="91">SQRT(AP207*AQ207^2)</f>
        <v>0.20951897473760311</v>
      </c>
      <c r="AV207" s="1" t="s">
        <v>3539</v>
      </c>
    </row>
    <row r="208" spans="1:48" ht="14.25" customHeight="1">
      <c r="A208" s="38">
        <v>170</v>
      </c>
      <c r="B208" s="38"/>
      <c r="C208" s="38" t="s">
        <v>970</v>
      </c>
      <c r="D208" s="1" t="s">
        <v>2889</v>
      </c>
      <c r="E208" s="1">
        <v>2021</v>
      </c>
      <c r="F208" s="1">
        <v>2017</v>
      </c>
      <c r="G208" s="1" t="s">
        <v>3025</v>
      </c>
      <c r="H208" s="1" t="s">
        <v>2928</v>
      </c>
      <c r="I208" s="1">
        <v>38.460099999999997</v>
      </c>
      <c r="J208" s="1">
        <v>-122.5515</v>
      </c>
      <c r="K208" s="1" t="s">
        <v>2971</v>
      </c>
      <c r="L208" s="1" t="s">
        <v>3102</v>
      </c>
      <c r="M208" s="1" t="s">
        <v>3107</v>
      </c>
      <c r="N208" s="1" t="s">
        <v>3304</v>
      </c>
      <c r="O208" s="1" t="s">
        <v>3305</v>
      </c>
      <c r="P208" s="1" t="s">
        <v>2890</v>
      </c>
      <c r="Q208" s="1" t="s">
        <v>2983</v>
      </c>
      <c r="R208" s="1" t="s">
        <v>2903</v>
      </c>
      <c r="S208" s="1">
        <v>2017</v>
      </c>
      <c r="T208" s="1" t="s">
        <v>3047</v>
      </c>
      <c r="V208" s="1">
        <v>90000</v>
      </c>
      <c r="W208" s="1">
        <v>45</v>
      </c>
      <c r="X208" s="1">
        <v>45</v>
      </c>
      <c r="Y208" s="1" t="s">
        <v>2911</v>
      </c>
      <c r="Z208" s="1" t="s">
        <v>2992</v>
      </c>
      <c r="AA208" s="1" t="s">
        <v>22</v>
      </c>
      <c r="AB208" s="1" t="s">
        <v>2912</v>
      </c>
      <c r="AC208" s="1" t="s">
        <v>3134</v>
      </c>
      <c r="AD208" s="1" t="s">
        <v>2913</v>
      </c>
      <c r="AE208" s="1" t="s">
        <v>2914</v>
      </c>
      <c r="AF208" s="1" t="s">
        <v>3046</v>
      </c>
      <c r="AG208" s="1">
        <v>121.52</v>
      </c>
      <c r="AH208" s="1">
        <f>160.02-AG208</f>
        <v>38.500000000000014</v>
      </c>
      <c r="AJ208" s="1">
        <v>148.59</v>
      </c>
      <c r="AK208" s="1">
        <f>185.84-AJ208</f>
        <v>37.25</v>
      </c>
      <c r="AM208" s="33">
        <f t="shared" si="76"/>
        <v>-27.070000000000007</v>
      </c>
      <c r="AN208" s="1">
        <f t="shared" si="73"/>
        <v>37.880156414671795</v>
      </c>
      <c r="AO208" s="1">
        <f t="shared" ref="AO208" si="92">AM208/AN208</f>
        <v>-0.71462218116700327</v>
      </c>
      <c r="AP208" s="1">
        <f t="shared" si="74"/>
        <v>4.7281582565643812E-2</v>
      </c>
      <c r="AQ208" s="1">
        <f t="shared" si="75"/>
        <v>0.99145299145299148</v>
      </c>
      <c r="AR208" s="1">
        <f t="shared" ref="AR208" si="93">AO208*AQ208</f>
        <v>-0.70851429927668708</v>
      </c>
      <c r="AS208" s="1">
        <f t="shared" ref="AS208" si="94">SQRT(AP208*AQ208^2)</f>
        <v>0.21558479623737925</v>
      </c>
      <c r="AV208" s="1" t="s">
        <v>3539</v>
      </c>
    </row>
    <row r="209" spans="1:48" ht="14.25" customHeight="1">
      <c r="A209" s="38">
        <v>170</v>
      </c>
      <c r="B209" s="38"/>
      <c r="C209" s="38" t="s">
        <v>970</v>
      </c>
      <c r="D209" s="1" t="s">
        <v>2889</v>
      </c>
      <c r="E209" s="1">
        <v>2021</v>
      </c>
      <c r="F209" s="1">
        <v>2017</v>
      </c>
      <c r="G209" s="1" t="s">
        <v>3025</v>
      </c>
      <c r="H209" s="1" t="s">
        <v>2928</v>
      </c>
      <c r="I209" s="1">
        <v>38.460099999999997</v>
      </c>
      <c r="J209" s="1">
        <v>-122.5515</v>
      </c>
      <c r="K209" s="1" t="s">
        <v>2971</v>
      </c>
      <c r="L209" s="1" t="s">
        <v>3102</v>
      </c>
      <c r="M209" s="1" t="s">
        <v>3107</v>
      </c>
      <c r="N209" s="1" t="s">
        <v>3304</v>
      </c>
      <c r="O209" s="1" t="s">
        <v>3305</v>
      </c>
      <c r="P209" s="1" t="s">
        <v>2890</v>
      </c>
      <c r="Q209" s="1" t="s">
        <v>2983</v>
      </c>
      <c r="R209" s="1" t="s">
        <v>2903</v>
      </c>
      <c r="S209" s="1">
        <v>2017</v>
      </c>
      <c r="T209" s="1" t="s">
        <v>3047</v>
      </c>
      <c r="V209" s="1">
        <v>90000</v>
      </c>
      <c r="W209" s="1">
        <v>45</v>
      </c>
      <c r="X209" s="1">
        <v>45</v>
      </c>
      <c r="Y209" s="1" t="s">
        <v>2911</v>
      </c>
      <c r="Z209" s="1" t="s">
        <v>2992</v>
      </c>
      <c r="AA209" s="1" t="s">
        <v>22</v>
      </c>
      <c r="AB209" s="1" t="s">
        <v>2912</v>
      </c>
      <c r="AC209" s="1" t="s">
        <v>3134</v>
      </c>
      <c r="AD209" s="1" t="s">
        <v>2913</v>
      </c>
      <c r="AE209" s="1" t="s">
        <v>2914</v>
      </c>
      <c r="AF209" s="1" t="s">
        <v>3556</v>
      </c>
      <c r="AG209" s="1">
        <v>39.49</v>
      </c>
      <c r="AH209" s="1">
        <f>55.95-AG209</f>
        <v>16.46</v>
      </c>
      <c r="AJ209" s="1">
        <v>43.47</v>
      </c>
      <c r="AK209" s="1">
        <f>55.79-AJ209</f>
        <v>12.32</v>
      </c>
      <c r="AM209" s="33">
        <f t="shared" si="76"/>
        <v>-3.9799999999999969</v>
      </c>
      <c r="AN209" s="1">
        <f t="shared" si="73"/>
        <v>14.538122299664424</v>
      </c>
      <c r="AO209" s="1">
        <f t="shared" ref="AO209" si="95">AM209/AN209</f>
        <v>-0.27376300171115392</v>
      </c>
      <c r="AP209" s="1">
        <f t="shared" si="74"/>
        <v>4.4860812117255011E-2</v>
      </c>
      <c r="AQ209" s="1">
        <f t="shared" si="75"/>
        <v>0.99145299145299148</v>
      </c>
      <c r="AR209" s="1">
        <f t="shared" ref="AR209" si="96">AO209*AQ209</f>
        <v>-0.27142314699567399</v>
      </c>
      <c r="AS209" s="1">
        <f t="shared" ref="AS209" si="97">SQRT(AP209*AQ209^2)</f>
        <v>0.20999342316174413</v>
      </c>
      <c r="AV209" s="1" t="s">
        <v>3539</v>
      </c>
    </row>
    <row r="210" spans="1:48" ht="14.25" customHeight="1">
      <c r="A210" s="38">
        <v>170</v>
      </c>
      <c r="B210" s="38"/>
      <c r="C210" s="38" t="s">
        <v>970</v>
      </c>
      <c r="D210" s="1" t="s">
        <v>2889</v>
      </c>
      <c r="E210" s="1">
        <v>2021</v>
      </c>
      <c r="F210" s="1">
        <v>2017</v>
      </c>
      <c r="G210" s="1" t="s">
        <v>3025</v>
      </c>
      <c r="H210" s="1" t="s">
        <v>2928</v>
      </c>
      <c r="I210" s="1">
        <v>38.432899999999997</v>
      </c>
      <c r="J210" s="1">
        <v>-122.6324</v>
      </c>
      <c r="K210" s="1" t="s">
        <v>2971</v>
      </c>
      <c r="L210" s="1" t="s">
        <v>3098</v>
      </c>
      <c r="M210" s="1" t="s">
        <v>3099</v>
      </c>
      <c r="N210" s="1" t="s">
        <v>3303</v>
      </c>
      <c r="O210" s="1" t="s">
        <v>3305</v>
      </c>
      <c r="P210" s="1" t="s">
        <v>2890</v>
      </c>
      <c r="Q210" s="1" t="s">
        <v>2983</v>
      </c>
      <c r="R210" s="1" t="s">
        <v>2903</v>
      </c>
      <c r="S210" s="1">
        <v>2017</v>
      </c>
      <c r="T210" s="1" t="s">
        <v>3047</v>
      </c>
      <c r="V210" s="1">
        <v>90000</v>
      </c>
      <c r="W210" s="1">
        <v>30</v>
      </c>
      <c r="X210" s="1">
        <v>30</v>
      </c>
      <c r="Y210" s="1" t="s">
        <v>2911</v>
      </c>
      <c r="Z210" s="1" t="s">
        <v>2992</v>
      </c>
      <c r="AA210" s="1" t="s">
        <v>22</v>
      </c>
      <c r="AB210" s="1" t="s">
        <v>2912</v>
      </c>
      <c r="AC210" s="1" t="s">
        <v>3134</v>
      </c>
      <c r="AD210" s="1" t="s">
        <v>2913</v>
      </c>
      <c r="AE210" s="1" t="s">
        <v>2914</v>
      </c>
      <c r="AM210" s="33">
        <f t="shared" si="76"/>
        <v>0</v>
      </c>
      <c r="AN210" s="1">
        <f t="shared" si="73"/>
        <v>0</v>
      </c>
      <c r="AO210" s="1" t="e">
        <f t="shared" si="77"/>
        <v>#DIV/0!</v>
      </c>
      <c r="AP210" s="1" t="e">
        <f t="shared" si="74"/>
        <v>#DIV/0!</v>
      </c>
      <c r="AQ210" s="1">
        <f t="shared" si="75"/>
        <v>0.98701298701298701</v>
      </c>
      <c r="AR210" s="1" t="e">
        <f t="shared" si="78"/>
        <v>#DIV/0!</v>
      </c>
      <c r="AS210" s="1" t="e">
        <f t="shared" si="88"/>
        <v>#DIV/0!</v>
      </c>
      <c r="AV210" s="1" t="s">
        <v>3539</v>
      </c>
    </row>
    <row r="211" spans="1:48" ht="14.25" customHeight="1">
      <c r="A211" s="38">
        <v>170</v>
      </c>
      <c r="B211" s="38"/>
      <c r="C211" s="38" t="s">
        <v>970</v>
      </c>
      <c r="D211" s="1" t="s">
        <v>2889</v>
      </c>
      <c r="E211" s="1">
        <v>2021</v>
      </c>
      <c r="F211" s="1">
        <v>2017</v>
      </c>
      <c r="G211" s="1" t="s">
        <v>3025</v>
      </c>
      <c r="H211" s="1" t="s">
        <v>2928</v>
      </c>
      <c r="I211" s="1">
        <v>38.432899999999997</v>
      </c>
      <c r="J211" s="1">
        <v>-122.6324</v>
      </c>
      <c r="K211" s="1" t="s">
        <v>2971</v>
      </c>
      <c r="L211" s="1" t="s">
        <v>3102</v>
      </c>
      <c r="M211" s="1" t="s">
        <v>3107</v>
      </c>
      <c r="N211" s="1" t="s">
        <v>3304</v>
      </c>
      <c r="O211" s="1" t="s">
        <v>3305</v>
      </c>
      <c r="P211" s="1" t="s">
        <v>2890</v>
      </c>
      <c r="Q211" s="1" t="s">
        <v>2983</v>
      </c>
      <c r="R211" s="1" t="s">
        <v>2903</v>
      </c>
      <c r="S211" s="1">
        <v>2017</v>
      </c>
      <c r="T211" s="1" t="s">
        <v>3047</v>
      </c>
      <c r="V211" s="1">
        <v>90000</v>
      </c>
      <c r="W211" s="1">
        <v>30</v>
      </c>
      <c r="X211" s="1">
        <v>30</v>
      </c>
      <c r="Y211" s="1" t="s">
        <v>2911</v>
      </c>
      <c r="Z211" s="1" t="s">
        <v>2992</v>
      </c>
      <c r="AA211" s="1" t="s">
        <v>22</v>
      </c>
      <c r="AB211" s="1" t="s">
        <v>2912</v>
      </c>
      <c r="AC211" s="1" t="s">
        <v>3134</v>
      </c>
      <c r="AD211" s="1" t="s">
        <v>2913</v>
      </c>
      <c r="AE211" s="1" t="s">
        <v>2914</v>
      </c>
      <c r="AM211" s="33">
        <f t="shared" si="76"/>
        <v>0</v>
      </c>
      <c r="AN211" s="1">
        <f t="shared" si="73"/>
        <v>0</v>
      </c>
      <c r="AO211" s="1" t="e">
        <f t="shared" si="77"/>
        <v>#DIV/0!</v>
      </c>
      <c r="AP211" s="1" t="e">
        <f t="shared" si="74"/>
        <v>#DIV/0!</v>
      </c>
      <c r="AQ211" s="1">
        <f t="shared" si="75"/>
        <v>0.98701298701298701</v>
      </c>
      <c r="AR211" s="1" t="e">
        <f t="shared" si="78"/>
        <v>#DIV/0!</v>
      </c>
      <c r="AS211" s="1" t="e">
        <f t="shared" si="88"/>
        <v>#DIV/0!</v>
      </c>
      <c r="AV211" s="1" t="s">
        <v>3539</v>
      </c>
    </row>
    <row r="212" spans="1:48" ht="14.25" customHeight="1">
      <c r="A212" s="4">
        <v>155</v>
      </c>
      <c r="C212" s="4" t="s">
        <v>896</v>
      </c>
      <c r="D212" s="1" t="s">
        <v>2889</v>
      </c>
      <c r="E212" s="1">
        <v>2004</v>
      </c>
      <c r="F212" s="1">
        <v>1997</v>
      </c>
      <c r="G212" s="1" t="s">
        <v>3025</v>
      </c>
      <c r="I212" s="1">
        <v>43.500653</v>
      </c>
      <c r="J212" s="1">
        <v>-118.50566999999999</v>
      </c>
      <c r="K212" s="1" t="s">
        <v>3001</v>
      </c>
      <c r="L212" s="1" t="s">
        <v>3100</v>
      </c>
      <c r="M212" s="1" t="s">
        <v>3118</v>
      </c>
      <c r="N212" s="1" t="s">
        <v>3303</v>
      </c>
      <c r="P212" s="1" t="s">
        <v>2948</v>
      </c>
      <c r="S212" s="1">
        <v>1997</v>
      </c>
      <c r="Y212" s="1" t="s">
        <v>2994</v>
      </c>
      <c r="Z212" s="1" t="s">
        <v>3258</v>
      </c>
      <c r="AB212" s="1" t="s">
        <v>2912</v>
      </c>
      <c r="AE212" s="1" t="s">
        <v>2914</v>
      </c>
      <c r="AF212" s="1" t="s">
        <v>3028</v>
      </c>
      <c r="AM212" s="33">
        <f t="shared" si="76"/>
        <v>0</v>
      </c>
      <c r="AN212" s="1">
        <f t="shared" si="73"/>
        <v>0</v>
      </c>
      <c r="AO212" s="1" t="e">
        <f t="shared" si="77"/>
        <v>#DIV/0!</v>
      </c>
      <c r="AP212" s="1" t="e">
        <f t="shared" si="74"/>
        <v>#DIV/0!</v>
      </c>
      <c r="AQ212" s="1">
        <f t="shared" si="75"/>
        <v>1.3333333333333333</v>
      </c>
      <c r="AR212" s="1" t="e">
        <f t="shared" si="78"/>
        <v>#DIV/0!</v>
      </c>
      <c r="AS212" s="1" t="e">
        <f t="shared" si="88"/>
        <v>#DIV/0!</v>
      </c>
      <c r="AV212" s="1" t="s">
        <v>3539</v>
      </c>
    </row>
    <row r="213" spans="1:48" ht="14.25" customHeight="1">
      <c r="A213" s="4">
        <v>155</v>
      </c>
      <c r="C213" s="4" t="s">
        <v>896</v>
      </c>
      <c r="D213" s="1" t="s">
        <v>2889</v>
      </c>
      <c r="E213" s="1">
        <v>2004</v>
      </c>
      <c r="F213" s="1">
        <v>1997</v>
      </c>
      <c r="G213" s="1" t="s">
        <v>3025</v>
      </c>
      <c r="I213" s="1">
        <v>43.500653</v>
      </c>
      <c r="J213" s="1">
        <v>-118.50566999999999</v>
      </c>
      <c r="K213" s="1" t="s">
        <v>3001</v>
      </c>
      <c r="L213" s="1" t="s">
        <v>3100</v>
      </c>
      <c r="M213" s="1" t="s">
        <v>3118</v>
      </c>
      <c r="N213" s="1" t="s">
        <v>3303</v>
      </c>
      <c r="P213" s="1" t="s">
        <v>2948</v>
      </c>
      <c r="S213" s="1">
        <v>1997</v>
      </c>
      <c r="Y213" s="1" t="s">
        <v>2994</v>
      </c>
      <c r="Z213" s="1" t="s">
        <v>3258</v>
      </c>
      <c r="AB213" s="1" t="s">
        <v>2912</v>
      </c>
      <c r="AE213" s="1" t="s">
        <v>2914</v>
      </c>
      <c r="AF213" s="1" t="s">
        <v>3029</v>
      </c>
      <c r="AM213" s="33">
        <f t="shared" si="76"/>
        <v>0</v>
      </c>
      <c r="AN213" s="1">
        <f t="shared" si="73"/>
        <v>0</v>
      </c>
      <c r="AO213" s="1" t="e">
        <f t="shared" si="77"/>
        <v>#DIV/0!</v>
      </c>
      <c r="AP213" s="1" t="e">
        <f t="shared" si="74"/>
        <v>#DIV/0!</v>
      </c>
      <c r="AQ213" s="1">
        <f t="shared" si="75"/>
        <v>1.3333333333333333</v>
      </c>
      <c r="AR213" s="1" t="e">
        <f t="shared" si="78"/>
        <v>#DIV/0!</v>
      </c>
      <c r="AS213" s="1" t="e">
        <f t="shared" si="88"/>
        <v>#DIV/0!</v>
      </c>
      <c r="AV213" s="1" t="s">
        <v>3539</v>
      </c>
    </row>
    <row r="214" spans="1:48" ht="14.25" customHeight="1">
      <c r="A214" s="4">
        <v>155</v>
      </c>
      <c r="C214" s="4" t="s">
        <v>896</v>
      </c>
      <c r="D214" s="1" t="s">
        <v>2889</v>
      </c>
      <c r="E214" s="1">
        <v>2004</v>
      </c>
      <c r="F214" s="1">
        <v>1997</v>
      </c>
      <c r="G214" s="1" t="s">
        <v>3025</v>
      </c>
      <c r="I214" s="1">
        <v>43.500653</v>
      </c>
      <c r="J214" s="1">
        <v>-118.50566999999999</v>
      </c>
      <c r="K214" s="1" t="s">
        <v>3001</v>
      </c>
      <c r="L214" s="1" t="s">
        <v>3100</v>
      </c>
      <c r="M214" s="1" t="s">
        <v>3118</v>
      </c>
      <c r="N214" s="1" t="s">
        <v>3303</v>
      </c>
      <c r="P214" s="1" t="s">
        <v>2948</v>
      </c>
      <c r="S214" s="1">
        <v>1998</v>
      </c>
      <c r="Y214" s="1" t="s">
        <v>2994</v>
      </c>
      <c r="Z214" s="1" t="s">
        <v>3258</v>
      </c>
      <c r="AB214" s="1" t="s">
        <v>2912</v>
      </c>
      <c r="AE214" s="1" t="s">
        <v>2914</v>
      </c>
      <c r="AF214" s="1" t="s">
        <v>3028</v>
      </c>
      <c r="AM214" s="33">
        <f t="shared" si="76"/>
        <v>0</v>
      </c>
      <c r="AN214" s="1">
        <f t="shared" si="73"/>
        <v>0</v>
      </c>
      <c r="AO214" s="1" t="e">
        <f t="shared" si="77"/>
        <v>#DIV/0!</v>
      </c>
      <c r="AP214" s="1" t="e">
        <f t="shared" si="74"/>
        <v>#DIV/0!</v>
      </c>
      <c r="AQ214" s="1">
        <f t="shared" si="75"/>
        <v>1.3333333333333333</v>
      </c>
      <c r="AR214" s="1" t="e">
        <f t="shared" si="78"/>
        <v>#DIV/0!</v>
      </c>
      <c r="AS214" s="1" t="e">
        <f t="shared" si="88"/>
        <v>#DIV/0!</v>
      </c>
      <c r="AV214" s="1" t="s">
        <v>3539</v>
      </c>
    </row>
    <row r="215" spans="1:48" ht="14.25" customHeight="1">
      <c r="A215" s="4">
        <v>155</v>
      </c>
      <c r="C215" s="4" t="s">
        <v>896</v>
      </c>
      <c r="D215" s="1" t="s">
        <v>2889</v>
      </c>
      <c r="E215" s="1">
        <v>2004</v>
      </c>
      <c r="F215" s="1">
        <v>1997</v>
      </c>
      <c r="G215" s="1" t="s">
        <v>3025</v>
      </c>
      <c r="I215" s="1">
        <v>43.500653</v>
      </c>
      <c r="J215" s="1">
        <v>-118.50566999999999</v>
      </c>
      <c r="K215" s="1" t="s">
        <v>3001</v>
      </c>
      <c r="L215" s="1" t="s">
        <v>3100</v>
      </c>
      <c r="M215" s="1" t="s">
        <v>3118</v>
      </c>
      <c r="N215" s="1" t="s">
        <v>3303</v>
      </c>
      <c r="P215" s="1" t="s">
        <v>2948</v>
      </c>
      <c r="S215" s="1">
        <v>1998</v>
      </c>
      <c r="Y215" s="1" t="s">
        <v>2994</v>
      </c>
      <c r="Z215" s="1" t="s">
        <v>3258</v>
      </c>
      <c r="AB215" s="1" t="s">
        <v>2912</v>
      </c>
      <c r="AE215" s="1" t="s">
        <v>2914</v>
      </c>
      <c r="AF215" s="1" t="s">
        <v>3029</v>
      </c>
      <c r="AM215" s="33">
        <f t="shared" si="76"/>
        <v>0</v>
      </c>
      <c r="AN215" s="1">
        <f t="shared" si="73"/>
        <v>0</v>
      </c>
      <c r="AO215" s="1" t="e">
        <f t="shared" si="77"/>
        <v>#DIV/0!</v>
      </c>
      <c r="AP215" s="1" t="e">
        <f t="shared" si="74"/>
        <v>#DIV/0!</v>
      </c>
      <c r="AQ215" s="1">
        <f t="shared" si="75"/>
        <v>1.3333333333333333</v>
      </c>
      <c r="AR215" s="1" t="e">
        <f t="shared" si="78"/>
        <v>#DIV/0!</v>
      </c>
      <c r="AS215" s="1" t="e">
        <f t="shared" si="88"/>
        <v>#DIV/0!</v>
      </c>
      <c r="AV215" s="1" t="s">
        <v>3539</v>
      </c>
    </row>
    <row r="216" spans="1:48" ht="14.25" customHeight="1">
      <c r="A216" s="4">
        <v>108</v>
      </c>
      <c r="C216" s="4" t="s">
        <v>639</v>
      </c>
      <c r="D216" s="1" t="s">
        <v>2889</v>
      </c>
      <c r="E216" s="1">
        <v>2011</v>
      </c>
      <c r="F216" s="1">
        <v>2008</v>
      </c>
      <c r="G216" s="1" t="s">
        <v>3025</v>
      </c>
      <c r="H216" s="1" t="s">
        <v>2928</v>
      </c>
      <c r="I216" s="1">
        <v>40.619979000000001</v>
      </c>
      <c r="J216" s="1">
        <v>-122.521018</v>
      </c>
      <c r="K216" s="1" t="s">
        <v>2971</v>
      </c>
      <c r="L216" s="1" t="s">
        <v>3100</v>
      </c>
      <c r="M216" s="1" t="s">
        <v>3118</v>
      </c>
      <c r="N216" s="1" t="s">
        <v>3303</v>
      </c>
      <c r="P216" s="1" t="s">
        <v>2948</v>
      </c>
      <c r="R216" s="1" t="s">
        <v>2903</v>
      </c>
      <c r="S216" s="1">
        <v>2003</v>
      </c>
      <c r="Y216" s="1" t="s">
        <v>2994</v>
      </c>
      <c r="Z216" s="1" t="s">
        <v>36</v>
      </c>
      <c r="AA216" s="1" t="s">
        <v>22</v>
      </c>
      <c r="AB216" s="1" t="s">
        <v>2912</v>
      </c>
      <c r="AE216" s="1" t="s">
        <v>2930</v>
      </c>
      <c r="AM216" s="33">
        <f t="shared" si="76"/>
        <v>0</v>
      </c>
      <c r="AN216" s="1">
        <f t="shared" si="73"/>
        <v>0</v>
      </c>
      <c r="AO216" s="1" t="e">
        <f t="shared" si="77"/>
        <v>#DIV/0!</v>
      </c>
      <c r="AP216" s="1" t="e">
        <f t="shared" si="74"/>
        <v>#DIV/0!</v>
      </c>
      <c r="AQ216" s="1">
        <f t="shared" si="75"/>
        <v>1.3333333333333333</v>
      </c>
      <c r="AR216" s="1" t="e">
        <f t="shared" si="78"/>
        <v>#DIV/0!</v>
      </c>
      <c r="AS216" s="1" t="e">
        <f t="shared" si="88"/>
        <v>#DIV/0!</v>
      </c>
      <c r="AV216" s="1" t="s">
        <v>3539</v>
      </c>
    </row>
    <row r="217" spans="1:48" ht="14.25" customHeight="1">
      <c r="A217" s="4">
        <v>108</v>
      </c>
      <c r="C217" s="4" t="s">
        <v>639</v>
      </c>
      <c r="D217" s="1" t="s">
        <v>2889</v>
      </c>
      <c r="E217" s="1">
        <v>2011</v>
      </c>
      <c r="F217" s="1">
        <v>2008</v>
      </c>
      <c r="G217" s="1" t="s">
        <v>3025</v>
      </c>
      <c r="H217" s="1" t="s">
        <v>2928</v>
      </c>
      <c r="I217" s="1">
        <v>40.619979000000001</v>
      </c>
      <c r="J217" s="1">
        <v>-122.521018</v>
      </c>
      <c r="K217" s="1" t="s">
        <v>2962</v>
      </c>
      <c r="L217" s="1" t="s">
        <v>3100</v>
      </c>
      <c r="M217" s="1" t="s">
        <v>3118</v>
      </c>
      <c r="N217" s="1" t="s">
        <v>3303</v>
      </c>
      <c r="P217" s="1" t="s">
        <v>2948</v>
      </c>
      <c r="R217" s="1" t="s">
        <v>2903</v>
      </c>
      <c r="S217" s="1">
        <v>2003</v>
      </c>
      <c r="Y217" s="1" t="s">
        <v>2933</v>
      </c>
      <c r="Z217" s="1" t="s">
        <v>36</v>
      </c>
      <c r="AA217" s="1" t="s">
        <v>22</v>
      </c>
      <c r="AB217" s="1" t="s">
        <v>2912</v>
      </c>
      <c r="AE217" s="1" t="s">
        <v>2930</v>
      </c>
      <c r="AM217" s="33">
        <f t="shared" si="76"/>
        <v>0</v>
      </c>
      <c r="AN217" s="1">
        <f t="shared" si="73"/>
        <v>0</v>
      </c>
      <c r="AO217" s="1" t="e">
        <f t="shared" si="77"/>
        <v>#DIV/0!</v>
      </c>
      <c r="AP217" s="1" t="e">
        <f t="shared" si="74"/>
        <v>#DIV/0!</v>
      </c>
      <c r="AQ217" s="1">
        <f t="shared" si="75"/>
        <v>1.3333333333333333</v>
      </c>
      <c r="AR217" s="1" t="e">
        <f t="shared" si="78"/>
        <v>#DIV/0!</v>
      </c>
      <c r="AS217" s="1" t="e">
        <f t="shared" si="88"/>
        <v>#DIV/0!</v>
      </c>
      <c r="AV217" s="1" t="s">
        <v>3539</v>
      </c>
    </row>
    <row r="218" spans="1:48" ht="14.25" customHeight="1">
      <c r="A218" s="4">
        <v>350</v>
      </c>
      <c r="C218" s="4" t="s">
        <v>1842</v>
      </c>
      <c r="D218" s="1" t="s">
        <v>2889</v>
      </c>
      <c r="E218" s="1">
        <v>1999</v>
      </c>
      <c r="F218" s="1" t="s">
        <v>2945</v>
      </c>
      <c r="G218" s="1" t="s">
        <v>3025</v>
      </c>
      <c r="H218" s="1" t="s">
        <v>2928</v>
      </c>
      <c r="I218" s="1">
        <v>36.979999999999997</v>
      </c>
      <c r="J218" s="1">
        <v>-119.136944</v>
      </c>
      <c r="K218" s="1" t="s">
        <v>3001</v>
      </c>
      <c r="L218" s="1" t="s">
        <v>3100</v>
      </c>
      <c r="M218" s="1" t="s">
        <v>3118</v>
      </c>
      <c r="N218" s="1" t="s">
        <v>3303</v>
      </c>
      <c r="P218" s="1" t="s">
        <v>2948</v>
      </c>
      <c r="R218" s="1" t="s">
        <v>3178</v>
      </c>
      <c r="S218" s="1">
        <v>1995</v>
      </c>
      <c r="T218" s="1">
        <v>1</v>
      </c>
      <c r="V218" s="1">
        <v>360</v>
      </c>
      <c r="Y218" s="1" t="s">
        <v>2994</v>
      </c>
      <c r="Z218" s="1" t="s">
        <v>3259</v>
      </c>
      <c r="AB218" s="1" t="s">
        <v>2912</v>
      </c>
      <c r="AE218" s="1" t="s">
        <v>2914</v>
      </c>
      <c r="AM218" s="33">
        <f t="shared" si="76"/>
        <v>0</v>
      </c>
      <c r="AN218" s="1">
        <f t="shared" ref="AN218:AN277" si="98">SQRT((((X218-1)*AH218^2)+((W218-1)*AK218^2))/(X218+W218-2))</f>
        <v>0</v>
      </c>
      <c r="AO218" s="1" t="e">
        <f t="shared" si="77"/>
        <v>#DIV/0!</v>
      </c>
      <c r="AP218" s="1" t="e">
        <f t="shared" ref="AP218:AP277" si="99">1/X218+1/W218+(AO218^2)/(2*(X218+W218))</f>
        <v>#DIV/0!</v>
      </c>
      <c r="AQ218" s="1">
        <f t="shared" ref="AQ218:AQ277" si="100">1-(3/(4*(X218+W218-2)-1))</f>
        <v>1.3333333333333333</v>
      </c>
      <c r="AR218" s="1" t="e">
        <f t="shared" si="78"/>
        <v>#DIV/0!</v>
      </c>
      <c r="AS218" s="1" t="e">
        <f t="shared" si="88"/>
        <v>#DIV/0!</v>
      </c>
      <c r="AV218" s="1" t="s">
        <v>3539</v>
      </c>
    </row>
    <row r="219" spans="1:48" ht="14.25" customHeight="1">
      <c r="A219" s="4">
        <v>211</v>
      </c>
      <c r="C219" s="4" t="s">
        <v>1182</v>
      </c>
      <c r="D219" s="1" t="s">
        <v>2901</v>
      </c>
      <c r="E219" s="1">
        <v>2013</v>
      </c>
      <c r="F219" s="1">
        <v>2006</v>
      </c>
      <c r="G219" s="1" t="s">
        <v>3025</v>
      </c>
      <c r="I219" s="1">
        <v>34.689487</v>
      </c>
      <c r="J219" s="1">
        <v>-82.872074999999995</v>
      </c>
      <c r="K219" s="1" t="s">
        <v>3001</v>
      </c>
      <c r="L219" s="1" t="s">
        <v>3100</v>
      </c>
      <c r="M219" s="1" t="s">
        <v>3150</v>
      </c>
      <c r="N219" s="1" t="s">
        <v>3303</v>
      </c>
      <c r="P219" s="1" t="s">
        <v>2948</v>
      </c>
      <c r="R219" s="1" t="s">
        <v>2903</v>
      </c>
      <c r="S219" s="1">
        <v>2006</v>
      </c>
      <c r="Y219" s="1" t="s">
        <v>2994</v>
      </c>
      <c r="Z219" s="1" t="s">
        <v>3260</v>
      </c>
      <c r="AB219" s="1" t="s">
        <v>36</v>
      </c>
      <c r="AM219" s="33">
        <f t="shared" si="76"/>
        <v>0</v>
      </c>
      <c r="AN219" s="1">
        <f t="shared" si="98"/>
        <v>0</v>
      </c>
      <c r="AO219" s="1" t="e">
        <f t="shared" si="77"/>
        <v>#DIV/0!</v>
      </c>
      <c r="AP219" s="1" t="e">
        <f t="shared" si="99"/>
        <v>#DIV/0!</v>
      </c>
      <c r="AQ219" s="1">
        <f t="shared" si="100"/>
        <v>1.3333333333333333</v>
      </c>
      <c r="AR219" s="1" t="e">
        <f t="shared" si="78"/>
        <v>#DIV/0!</v>
      </c>
      <c r="AS219" s="1" t="e">
        <f t="shared" si="88"/>
        <v>#DIV/0!</v>
      </c>
      <c r="AV219" s="1" t="s">
        <v>3539</v>
      </c>
    </row>
    <row r="220" spans="1:48" ht="14.25" customHeight="1">
      <c r="A220" s="4">
        <v>227</v>
      </c>
      <c r="C220" s="4" t="s">
        <v>1266</v>
      </c>
      <c r="D220" s="1" t="s">
        <v>2889</v>
      </c>
      <c r="E220" s="1">
        <v>2015</v>
      </c>
      <c r="F220" s="1">
        <v>2011</v>
      </c>
      <c r="G220" s="1" t="s">
        <v>3051</v>
      </c>
      <c r="H220" s="1" t="s">
        <v>2939</v>
      </c>
      <c r="I220" s="1">
        <v>67.766666999999998</v>
      </c>
      <c r="J220" s="1">
        <v>29.583333</v>
      </c>
      <c r="K220" s="1" t="s">
        <v>2971</v>
      </c>
      <c r="L220" s="1" t="s">
        <v>3100</v>
      </c>
      <c r="M220" s="1" t="s">
        <v>3106</v>
      </c>
      <c r="N220" s="1" t="s">
        <v>3303</v>
      </c>
      <c r="O220" s="1" t="s">
        <v>3305</v>
      </c>
      <c r="P220" s="1" t="s">
        <v>2890</v>
      </c>
      <c r="Q220" s="1" t="s">
        <v>36</v>
      </c>
      <c r="R220" s="1" t="s">
        <v>2903</v>
      </c>
      <c r="S220" s="1">
        <v>2009</v>
      </c>
      <c r="T220" s="1">
        <v>2</v>
      </c>
      <c r="V220" s="1" t="s">
        <v>36</v>
      </c>
      <c r="W220" s="1">
        <v>10</v>
      </c>
      <c r="X220" s="1">
        <v>10</v>
      </c>
      <c r="Y220" s="1" t="s">
        <v>2911</v>
      </c>
      <c r="Z220" s="1" t="s">
        <v>36</v>
      </c>
      <c r="AA220" s="1" t="s">
        <v>22</v>
      </c>
      <c r="AB220" s="1" t="s">
        <v>2912</v>
      </c>
      <c r="AC220" s="1" t="s">
        <v>3134</v>
      </c>
      <c r="AD220" s="1" t="s">
        <v>3221</v>
      </c>
      <c r="AE220" s="1" t="s">
        <v>2917</v>
      </c>
      <c r="AF220" s="1" t="s">
        <v>3213</v>
      </c>
      <c r="AG220" s="1">
        <v>182.66</v>
      </c>
      <c r="AH220" s="1">
        <f>207.31-AG220</f>
        <v>24.650000000000006</v>
      </c>
      <c r="AJ220" s="1">
        <v>122.8</v>
      </c>
      <c r="AK220" s="1">
        <f>150.09-AJ220</f>
        <v>27.290000000000006</v>
      </c>
      <c r="AM220" s="33">
        <f t="shared" si="76"/>
        <v>59.86</v>
      </c>
      <c r="AN220" s="1">
        <f t="shared" si="98"/>
        <v>26.003524761078069</v>
      </c>
      <c r="AO220" s="1">
        <f t="shared" ref="AO220:AO228" si="101">AM220/AN220</f>
        <v>2.301995615978881</v>
      </c>
      <c r="AP220" s="1">
        <f t="shared" si="99"/>
        <v>0.33247959539964972</v>
      </c>
      <c r="AQ220" s="1">
        <f t="shared" si="100"/>
        <v>0.95774647887323949</v>
      </c>
      <c r="AR220" s="1">
        <f t="shared" ref="AR220:AR228" si="102">AO220*AQ220</f>
        <v>2.2047281955854072</v>
      </c>
      <c r="AS220" s="1">
        <f t="shared" ref="AS220:AS228" si="103">SQRT(AP220*AQ220^2)</f>
        <v>0.5522466151721076</v>
      </c>
      <c r="AV220" s="1" t="s">
        <v>3539</v>
      </c>
    </row>
    <row r="221" spans="1:48" ht="14.25" customHeight="1">
      <c r="A221" s="4">
        <v>227</v>
      </c>
      <c r="C221" s="4" t="s">
        <v>1266</v>
      </c>
      <c r="D221" s="1" t="s">
        <v>2889</v>
      </c>
      <c r="E221" s="1">
        <v>2015</v>
      </c>
      <c r="F221" s="1">
        <v>2011</v>
      </c>
      <c r="G221" s="1" t="s">
        <v>3051</v>
      </c>
      <c r="H221" s="1" t="s">
        <v>2939</v>
      </c>
      <c r="I221" s="1">
        <v>67.766666999999998</v>
      </c>
      <c r="J221" s="1">
        <v>29.583333</v>
      </c>
      <c r="K221" s="1" t="s">
        <v>2971</v>
      </c>
      <c r="L221" s="1" t="s">
        <v>3100</v>
      </c>
      <c r="M221" s="1" t="s">
        <v>3106</v>
      </c>
      <c r="N221" s="1" t="s">
        <v>3303</v>
      </c>
      <c r="O221" s="1" t="s">
        <v>3305</v>
      </c>
      <c r="P221" s="1" t="s">
        <v>2890</v>
      </c>
      <c r="Q221" s="1" t="s">
        <v>36</v>
      </c>
      <c r="R221" s="1" t="s">
        <v>2903</v>
      </c>
      <c r="S221" s="1">
        <v>2009</v>
      </c>
      <c r="T221" s="1">
        <v>2</v>
      </c>
      <c r="V221" s="1" t="s">
        <v>36</v>
      </c>
      <c r="W221" s="1">
        <v>10</v>
      </c>
      <c r="X221" s="1">
        <v>10</v>
      </c>
      <c r="Y221" s="1" t="s">
        <v>2911</v>
      </c>
      <c r="Z221" s="1" t="s">
        <v>36</v>
      </c>
      <c r="AA221" s="1" t="s">
        <v>22</v>
      </c>
      <c r="AB221" s="1" t="s">
        <v>2912</v>
      </c>
      <c r="AC221" s="1" t="s">
        <v>3134</v>
      </c>
      <c r="AD221" s="1" t="s">
        <v>3221</v>
      </c>
      <c r="AE221" s="1" t="s">
        <v>2917</v>
      </c>
      <c r="AF221" s="1" t="s">
        <v>3555</v>
      </c>
      <c r="AG221" s="1">
        <v>17.47</v>
      </c>
      <c r="AH221" s="1">
        <f>26.06-AG221</f>
        <v>8.59</v>
      </c>
      <c r="AJ221" s="1">
        <v>8.6</v>
      </c>
      <c r="AK221" s="1">
        <f>13.81-AJ221</f>
        <v>5.2100000000000009</v>
      </c>
      <c r="AM221" s="33">
        <f t="shared" si="76"/>
        <v>8.8699999999999992</v>
      </c>
      <c r="AN221" s="1">
        <f t="shared" si="98"/>
        <v>7.103949605677113</v>
      </c>
      <c r="AO221" s="1">
        <f t="shared" si="101"/>
        <v>1.2486011996638531</v>
      </c>
      <c r="AP221" s="1">
        <f t="shared" si="99"/>
        <v>0.23897512389505032</v>
      </c>
      <c r="AQ221" s="1">
        <f t="shared" si="100"/>
        <v>0.95774647887323949</v>
      </c>
      <c r="AR221" s="1">
        <f t="shared" si="102"/>
        <v>1.195843402494958</v>
      </c>
      <c r="AS221" s="1">
        <f t="shared" si="103"/>
        <v>0.46819515123619732</v>
      </c>
      <c r="AV221" s="1" t="s">
        <v>3539</v>
      </c>
    </row>
    <row r="222" spans="1:48" ht="14.25" customHeight="1">
      <c r="A222" s="4">
        <v>227</v>
      </c>
      <c r="C222" s="4" t="s">
        <v>1266</v>
      </c>
      <c r="D222" s="1" t="s">
        <v>2889</v>
      </c>
      <c r="E222" s="1">
        <v>2015</v>
      </c>
      <c r="F222" s="1">
        <v>2011</v>
      </c>
      <c r="G222" s="1" t="s">
        <v>3051</v>
      </c>
      <c r="H222" s="1" t="s">
        <v>2939</v>
      </c>
      <c r="I222" s="1">
        <v>67.766666999999998</v>
      </c>
      <c r="J222" s="1">
        <v>29.583333</v>
      </c>
      <c r="K222" s="1" t="s">
        <v>2971</v>
      </c>
      <c r="L222" s="1" t="s">
        <v>3100</v>
      </c>
      <c r="M222" s="1" t="s">
        <v>3106</v>
      </c>
      <c r="N222" s="1" t="s">
        <v>3303</v>
      </c>
      <c r="O222" s="1" t="s">
        <v>3305</v>
      </c>
      <c r="P222" s="1" t="s">
        <v>2890</v>
      </c>
      <c r="Q222" s="1" t="s">
        <v>36</v>
      </c>
      <c r="R222" s="1" t="s">
        <v>2903</v>
      </c>
      <c r="S222" s="1">
        <v>2009</v>
      </c>
      <c r="T222" s="1">
        <v>2</v>
      </c>
      <c r="V222" s="1" t="s">
        <v>36</v>
      </c>
      <c r="W222" s="1">
        <v>10</v>
      </c>
      <c r="X222" s="1">
        <v>10</v>
      </c>
      <c r="Y222" s="1" t="s">
        <v>2911</v>
      </c>
      <c r="Z222" s="1" t="s">
        <v>36</v>
      </c>
      <c r="AA222" s="1" t="s">
        <v>22</v>
      </c>
      <c r="AB222" s="1" t="s">
        <v>2912</v>
      </c>
      <c r="AC222" s="1" t="s">
        <v>3134</v>
      </c>
      <c r="AD222" s="1" t="s">
        <v>3221</v>
      </c>
      <c r="AE222" s="1" t="s">
        <v>2917</v>
      </c>
      <c r="AF222" s="1" t="s">
        <v>3029</v>
      </c>
      <c r="AG222" s="1">
        <v>0.09</v>
      </c>
      <c r="AH222" s="1">
        <f>0.13-AG222</f>
        <v>4.0000000000000008E-2</v>
      </c>
      <c r="AJ222" s="1">
        <v>7.0000000000000007E-2</v>
      </c>
      <c r="AK222" s="1">
        <f>0.1-AJ222</f>
        <v>0.03</v>
      </c>
      <c r="AM222" s="33">
        <f t="shared" si="76"/>
        <v>1.999999999999999E-2</v>
      </c>
      <c r="AN222" s="1">
        <f t="shared" si="98"/>
        <v>3.5355339059327383E-2</v>
      </c>
      <c r="AO222" s="1">
        <f t="shared" si="101"/>
        <v>0.56568542494923768</v>
      </c>
      <c r="AP222" s="1">
        <f t="shared" si="99"/>
        <v>0.20799999999999999</v>
      </c>
      <c r="AQ222" s="1">
        <f t="shared" si="100"/>
        <v>0.95774647887323949</v>
      </c>
      <c r="AR222" s="1">
        <f t="shared" si="102"/>
        <v>0.54178322389504452</v>
      </c>
      <c r="AS222" s="1">
        <f t="shared" si="103"/>
        <v>0.43679959947459934</v>
      </c>
      <c r="AV222" s="1" t="s">
        <v>3539</v>
      </c>
    </row>
    <row r="223" spans="1:48" ht="14.25" customHeight="1">
      <c r="A223" s="4">
        <v>245</v>
      </c>
      <c r="C223" s="4" t="s">
        <v>1354</v>
      </c>
      <c r="D223" s="1" t="s">
        <v>2889</v>
      </c>
      <c r="E223" s="1">
        <v>1997</v>
      </c>
      <c r="G223" s="1" t="s">
        <v>2946</v>
      </c>
      <c r="H223" s="1" t="s">
        <v>2928</v>
      </c>
      <c r="I223" s="1">
        <v>40.101356000000003</v>
      </c>
      <c r="J223" s="1">
        <v>4.5711000000000002E-2</v>
      </c>
      <c r="K223" s="1" t="s">
        <v>2968</v>
      </c>
      <c r="L223" s="1" t="s">
        <v>3100</v>
      </c>
      <c r="M223" s="1" t="s">
        <v>3156</v>
      </c>
      <c r="N223" s="1" t="s">
        <v>3303</v>
      </c>
      <c r="P223" s="1" t="s">
        <v>2890</v>
      </c>
      <c r="R223" s="1" t="s">
        <v>2903</v>
      </c>
      <c r="S223" s="1">
        <v>1992</v>
      </c>
      <c r="Y223" s="1" t="s">
        <v>2933</v>
      </c>
      <c r="Z223" s="1" t="s">
        <v>3261</v>
      </c>
      <c r="AB223" s="1" t="s">
        <v>2932</v>
      </c>
      <c r="AC223" s="1" t="s">
        <v>36</v>
      </c>
      <c r="AD223" s="1" t="s">
        <v>36</v>
      </c>
      <c r="AE223" s="1" t="s">
        <v>36</v>
      </c>
      <c r="AM223" s="33">
        <f t="shared" si="76"/>
        <v>0</v>
      </c>
      <c r="AN223" s="1">
        <f t="shared" si="98"/>
        <v>0</v>
      </c>
      <c r="AO223" s="1" t="e">
        <f t="shared" si="101"/>
        <v>#DIV/0!</v>
      </c>
      <c r="AP223" s="1" t="e">
        <f t="shared" si="99"/>
        <v>#DIV/0!</v>
      </c>
      <c r="AQ223" s="1">
        <f t="shared" si="100"/>
        <v>1.3333333333333333</v>
      </c>
      <c r="AR223" s="1" t="e">
        <f t="shared" si="102"/>
        <v>#DIV/0!</v>
      </c>
      <c r="AS223" s="1" t="e">
        <f t="shared" si="103"/>
        <v>#DIV/0!</v>
      </c>
      <c r="AV223" s="1" t="s">
        <v>3539</v>
      </c>
    </row>
    <row r="224" spans="1:48" ht="14.25" customHeight="1">
      <c r="A224" s="4">
        <v>245</v>
      </c>
      <c r="C224" s="4" t="s">
        <v>1354</v>
      </c>
      <c r="D224" s="1" t="s">
        <v>2889</v>
      </c>
      <c r="E224" s="1">
        <v>1997</v>
      </c>
      <c r="G224" s="1" t="s">
        <v>2946</v>
      </c>
      <c r="H224" s="1" t="s">
        <v>2928</v>
      </c>
      <c r="I224" s="1">
        <v>40.101356000000003</v>
      </c>
      <c r="J224" s="1">
        <v>4.5711000000000002E-2</v>
      </c>
      <c r="K224" s="1" t="s">
        <v>3001</v>
      </c>
      <c r="L224" s="1" t="s">
        <v>3100</v>
      </c>
      <c r="M224" s="1" t="s">
        <v>3156</v>
      </c>
      <c r="N224" s="1" t="s">
        <v>3303</v>
      </c>
      <c r="P224" s="1" t="s">
        <v>2890</v>
      </c>
      <c r="R224" s="1" t="s">
        <v>2903</v>
      </c>
      <c r="S224" s="1">
        <v>1992</v>
      </c>
      <c r="Y224" s="1" t="s">
        <v>2911</v>
      </c>
      <c r="Z224" s="1" t="s">
        <v>3261</v>
      </c>
      <c r="AB224" s="1" t="s">
        <v>3157</v>
      </c>
      <c r="AC224" s="1" t="s">
        <v>36</v>
      </c>
      <c r="AD224" s="1" t="s">
        <v>36</v>
      </c>
      <c r="AE224" s="1" t="s">
        <v>36</v>
      </c>
      <c r="AM224" s="33">
        <f t="shared" si="76"/>
        <v>0</v>
      </c>
      <c r="AN224" s="1">
        <f t="shared" si="98"/>
        <v>0</v>
      </c>
      <c r="AO224" s="1" t="e">
        <f t="shared" si="101"/>
        <v>#DIV/0!</v>
      </c>
      <c r="AP224" s="1" t="e">
        <f t="shared" si="99"/>
        <v>#DIV/0!</v>
      </c>
      <c r="AQ224" s="1">
        <f t="shared" si="100"/>
        <v>1.3333333333333333</v>
      </c>
      <c r="AR224" s="1" t="e">
        <f t="shared" si="102"/>
        <v>#DIV/0!</v>
      </c>
      <c r="AS224" s="1" t="e">
        <f t="shared" si="103"/>
        <v>#DIV/0!</v>
      </c>
      <c r="AV224" s="1" t="s">
        <v>3539</v>
      </c>
    </row>
    <row r="225" spans="1:48" ht="14.25" customHeight="1">
      <c r="A225" s="4">
        <v>245</v>
      </c>
      <c r="C225" s="4" t="s">
        <v>1354</v>
      </c>
      <c r="D225" s="1" t="s">
        <v>2901</v>
      </c>
      <c r="E225" s="1">
        <v>1997</v>
      </c>
      <c r="G225" s="1" t="s">
        <v>2946</v>
      </c>
      <c r="H225" s="1" t="s">
        <v>2928</v>
      </c>
      <c r="I225" s="1">
        <v>40.101356000000003</v>
      </c>
      <c r="J225" s="1">
        <v>4.5711000000000002E-2</v>
      </c>
      <c r="K225" s="1" t="s">
        <v>3001</v>
      </c>
      <c r="L225" s="1" t="s">
        <v>3100</v>
      </c>
      <c r="M225" s="1" t="s">
        <v>3156</v>
      </c>
      <c r="N225" s="1" t="s">
        <v>3303</v>
      </c>
      <c r="P225" s="1" t="s">
        <v>2890</v>
      </c>
      <c r="R225" s="1" t="s">
        <v>2903</v>
      </c>
      <c r="S225" s="1">
        <v>1992</v>
      </c>
      <c r="Y225" s="1" t="s">
        <v>2994</v>
      </c>
      <c r="Z225" s="1" t="s">
        <v>3261</v>
      </c>
      <c r="AB225" s="1" t="s">
        <v>3035</v>
      </c>
      <c r="AC225" s="1" t="s">
        <v>36</v>
      </c>
      <c r="AD225" s="1" t="s">
        <v>36</v>
      </c>
      <c r="AE225" s="1" t="s">
        <v>36</v>
      </c>
      <c r="AM225" s="33">
        <f t="shared" si="76"/>
        <v>0</v>
      </c>
      <c r="AN225" s="1">
        <f t="shared" si="98"/>
        <v>0</v>
      </c>
      <c r="AO225" s="1" t="e">
        <f t="shared" si="101"/>
        <v>#DIV/0!</v>
      </c>
      <c r="AP225" s="1" t="e">
        <f t="shared" si="99"/>
        <v>#DIV/0!</v>
      </c>
      <c r="AQ225" s="1">
        <f t="shared" si="100"/>
        <v>1.3333333333333333</v>
      </c>
      <c r="AR225" s="1" t="e">
        <f t="shared" si="102"/>
        <v>#DIV/0!</v>
      </c>
      <c r="AS225" s="1" t="e">
        <f t="shared" si="103"/>
        <v>#DIV/0!</v>
      </c>
      <c r="AV225" s="1" t="s">
        <v>3539</v>
      </c>
    </row>
    <row r="226" spans="1:48" ht="14.25" customHeight="1">
      <c r="A226" s="4">
        <v>432</v>
      </c>
      <c r="C226" s="4" t="s">
        <v>2216</v>
      </c>
      <c r="D226" s="1" t="s">
        <v>2889</v>
      </c>
      <c r="E226" s="1">
        <v>2006</v>
      </c>
      <c r="F226" s="1" t="s">
        <v>2987</v>
      </c>
      <c r="G226" s="1" t="s">
        <v>2910</v>
      </c>
      <c r="I226" s="1">
        <v>-35.266531000000001</v>
      </c>
      <c r="J226" s="1">
        <v>149.08857499999999</v>
      </c>
      <c r="K226" s="1" t="s">
        <v>2962</v>
      </c>
      <c r="L226" s="1" t="s">
        <v>2931</v>
      </c>
      <c r="N226" s="1" t="s">
        <v>3304</v>
      </c>
      <c r="P226" s="1" t="s">
        <v>2948</v>
      </c>
      <c r="R226" s="1" t="s">
        <v>2903</v>
      </c>
      <c r="S226" s="1">
        <v>1999</v>
      </c>
      <c r="Y226" s="1" t="s">
        <v>2933</v>
      </c>
      <c r="Z226" s="1" t="s">
        <v>3262</v>
      </c>
      <c r="AB226" s="1" t="s">
        <v>2932</v>
      </c>
      <c r="AM226" s="33">
        <f t="shared" si="76"/>
        <v>0</v>
      </c>
      <c r="AN226" s="1">
        <f t="shared" si="98"/>
        <v>0</v>
      </c>
      <c r="AO226" s="1" t="e">
        <f t="shared" si="101"/>
        <v>#DIV/0!</v>
      </c>
      <c r="AP226" s="1" t="e">
        <f t="shared" si="99"/>
        <v>#DIV/0!</v>
      </c>
      <c r="AQ226" s="1">
        <f t="shared" si="100"/>
        <v>1.3333333333333333</v>
      </c>
      <c r="AR226" s="1" t="e">
        <f t="shared" si="102"/>
        <v>#DIV/0!</v>
      </c>
      <c r="AS226" s="1" t="e">
        <f t="shared" si="103"/>
        <v>#DIV/0!</v>
      </c>
      <c r="AV226" s="1" t="s">
        <v>3539</v>
      </c>
    </row>
    <row r="227" spans="1:48" ht="14.25" customHeight="1">
      <c r="A227" s="4">
        <v>396</v>
      </c>
      <c r="C227" s="4" t="s">
        <v>2061</v>
      </c>
      <c r="D227" s="1" t="s">
        <v>2889</v>
      </c>
      <c r="E227" s="1">
        <v>2004</v>
      </c>
      <c r="F227" s="1" t="s">
        <v>2923</v>
      </c>
      <c r="G227" s="1" t="s">
        <v>3025</v>
      </c>
      <c r="H227" s="1" t="s">
        <v>2939</v>
      </c>
      <c r="I227" s="1">
        <v>64.043772000000004</v>
      </c>
      <c r="J227" s="1">
        <v>-145.88439500000001</v>
      </c>
      <c r="K227" s="1" t="s">
        <v>3001</v>
      </c>
      <c r="L227" s="1" t="s">
        <v>2919</v>
      </c>
      <c r="M227" s="1" t="s">
        <v>3113</v>
      </c>
      <c r="N227" s="1" t="s">
        <v>3303</v>
      </c>
      <c r="P227" s="1" t="s">
        <v>2890</v>
      </c>
      <c r="R227" s="1" t="s">
        <v>2903</v>
      </c>
      <c r="S227" s="1">
        <v>1999</v>
      </c>
      <c r="Y227" s="1" t="s">
        <v>2911</v>
      </c>
      <c r="Z227" s="1" t="s">
        <v>2924</v>
      </c>
      <c r="AA227" s="1" t="s">
        <v>22</v>
      </c>
      <c r="AB227" s="1" t="s">
        <v>2925</v>
      </c>
      <c r="AD227" s="1" t="s">
        <v>36</v>
      </c>
      <c r="AE227" s="1" t="s">
        <v>36</v>
      </c>
      <c r="AM227" s="33">
        <f t="shared" si="76"/>
        <v>0</v>
      </c>
      <c r="AN227" s="1">
        <f t="shared" si="98"/>
        <v>0</v>
      </c>
      <c r="AO227" s="1" t="e">
        <f t="shared" si="101"/>
        <v>#DIV/0!</v>
      </c>
      <c r="AP227" s="1" t="e">
        <f t="shared" si="99"/>
        <v>#DIV/0!</v>
      </c>
      <c r="AQ227" s="1">
        <f t="shared" si="100"/>
        <v>1.3333333333333333</v>
      </c>
      <c r="AR227" s="1" t="e">
        <f t="shared" si="102"/>
        <v>#DIV/0!</v>
      </c>
      <c r="AS227" s="1" t="e">
        <f t="shared" si="103"/>
        <v>#DIV/0!</v>
      </c>
      <c r="AV227" s="1" t="s">
        <v>3539</v>
      </c>
    </row>
    <row r="228" spans="1:48" ht="14.25" customHeight="1">
      <c r="A228" s="4">
        <v>373</v>
      </c>
      <c r="C228" s="4" t="s">
        <v>1960</v>
      </c>
      <c r="D228" s="1" t="s">
        <v>2889</v>
      </c>
      <c r="E228" s="1">
        <v>2011</v>
      </c>
      <c r="G228" s="1" t="s">
        <v>3025</v>
      </c>
      <c r="I228" s="1">
        <v>45.365568000000003</v>
      </c>
      <c r="J228" s="1">
        <v>-110.897442</v>
      </c>
      <c r="K228" s="1" t="s">
        <v>3001</v>
      </c>
      <c r="L228" s="1" t="s">
        <v>3100</v>
      </c>
      <c r="M228" s="1" t="s">
        <v>3180</v>
      </c>
      <c r="N228" s="1" t="s">
        <v>3303</v>
      </c>
      <c r="P228" s="1" t="s">
        <v>2890</v>
      </c>
      <c r="Q228" s="1" t="s">
        <v>2983</v>
      </c>
      <c r="R228" s="1" t="s">
        <v>2903</v>
      </c>
      <c r="S228" s="1">
        <v>2001</v>
      </c>
      <c r="Y228" s="1" t="s">
        <v>2994</v>
      </c>
      <c r="Z228" s="1" t="s">
        <v>3263</v>
      </c>
      <c r="AB228" s="1" t="s">
        <v>2912</v>
      </c>
      <c r="AM228" s="33">
        <f t="shared" si="76"/>
        <v>0</v>
      </c>
      <c r="AN228" s="1">
        <f t="shared" si="98"/>
        <v>0</v>
      </c>
      <c r="AO228" s="1" t="e">
        <f t="shared" si="101"/>
        <v>#DIV/0!</v>
      </c>
      <c r="AP228" s="1" t="e">
        <f t="shared" si="99"/>
        <v>#DIV/0!</v>
      </c>
      <c r="AQ228" s="1">
        <f t="shared" si="100"/>
        <v>1.3333333333333333</v>
      </c>
      <c r="AR228" s="1" t="e">
        <f t="shared" si="102"/>
        <v>#DIV/0!</v>
      </c>
      <c r="AS228" s="1" t="e">
        <f t="shared" si="103"/>
        <v>#DIV/0!</v>
      </c>
      <c r="AV228" s="1" t="s">
        <v>3539</v>
      </c>
    </row>
    <row r="229" spans="1:48" ht="14.25" customHeight="1">
      <c r="A229" s="4">
        <v>133</v>
      </c>
      <c r="C229" s="4" t="s">
        <v>780</v>
      </c>
      <c r="D229" s="1" t="s">
        <v>2889</v>
      </c>
      <c r="E229" s="1">
        <v>2004</v>
      </c>
      <c r="F229" s="1">
        <v>1996</v>
      </c>
      <c r="G229" s="1" t="s">
        <v>3025</v>
      </c>
      <c r="H229" s="1" t="s">
        <v>3019</v>
      </c>
      <c r="I229" s="1">
        <v>39.907029999999999</v>
      </c>
      <c r="J229" s="1">
        <v>-74.474993999999995</v>
      </c>
      <c r="K229" s="1" t="s">
        <v>3001</v>
      </c>
      <c r="L229" s="1" t="s">
        <v>3100</v>
      </c>
      <c r="M229" s="1" t="s">
        <v>3126</v>
      </c>
      <c r="N229" s="1" t="s">
        <v>3303</v>
      </c>
      <c r="O229" s="1" t="s">
        <v>3305</v>
      </c>
      <c r="P229" s="1" t="s">
        <v>2948</v>
      </c>
      <c r="Q229" s="1" t="s">
        <v>3161</v>
      </c>
      <c r="R229" s="1" t="s">
        <v>2903</v>
      </c>
      <c r="S229" s="1">
        <v>1996</v>
      </c>
      <c r="T229" s="1" t="s">
        <v>3056</v>
      </c>
      <c r="V229" s="1" t="s">
        <v>36</v>
      </c>
      <c r="W229" s="1">
        <v>3</v>
      </c>
      <c r="X229" s="1">
        <v>3</v>
      </c>
      <c r="Y229" s="1" t="s">
        <v>2994</v>
      </c>
      <c r="Z229" s="1" t="s">
        <v>2985</v>
      </c>
      <c r="AA229" s="1" t="s">
        <v>20</v>
      </c>
      <c r="AB229" s="1" t="s">
        <v>3035</v>
      </c>
      <c r="AC229" s="1" t="s">
        <v>36</v>
      </c>
      <c r="AD229" s="1" t="s">
        <v>36</v>
      </c>
      <c r="AE229" s="1" t="s">
        <v>36</v>
      </c>
      <c r="AF229" s="1" t="s">
        <v>3554</v>
      </c>
      <c r="AG229" s="1">
        <v>63.75</v>
      </c>
      <c r="AH229" s="1">
        <f>AI229*(SQRT(X229))</f>
        <v>42.22739868852922</v>
      </c>
      <c r="AI229" s="1">
        <f>88.13-AG229</f>
        <v>24.379999999999995</v>
      </c>
      <c r="AJ229" s="1">
        <v>181.88</v>
      </c>
      <c r="AK229" s="1">
        <f t="shared" ref="AK229:AK246" si="104">AL229*(SQRT(W229))</f>
        <v>55.200459237220123</v>
      </c>
      <c r="AL229" s="1">
        <f>213.75-AJ229</f>
        <v>31.870000000000005</v>
      </c>
      <c r="AM229" s="33">
        <f t="shared" si="76"/>
        <v>-118.13</v>
      </c>
      <c r="AN229" s="1">
        <f t="shared" si="98"/>
        <v>49.143890261150467</v>
      </c>
      <c r="AO229" s="1">
        <f t="shared" ref="AO229:AO268" si="105">AM229/AN229</f>
        <v>-2.4037576059253261</v>
      </c>
      <c r="AP229" s="1">
        <f t="shared" si="99"/>
        <v>1.1481708856703212</v>
      </c>
      <c r="AQ229" s="1">
        <f t="shared" si="100"/>
        <v>0.8</v>
      </c>
      <c r="AR229" s="1">
        <f t="shared" ref="AR229:AR268" si="106">AO229*AQ229</f>
        <v>-1.923006084740261</v>
      </c>
      <c r="AS229" s="1">
        <f t="shared" ref="AS229:AS268" si="107">SQRT(AP229*AQ229^2)</f>
        <v>0.8572218889115033</v>
      </c>
      <c r="AV229" s="1" t="s">
        <v>3539</v>
      </c>
    </row>
    <row r="230" spans="1:48" ht="14.25" customHeight="1">
      <c r="A230" s="4">
        <v>133</v>
      </c>
      <c r="C230" s="4" t="s">
        <v>780</v>
      </c>
      <c r="D230" s="1" t="s">
        <v>2889</v>
      </c>
      <c r="E230" s="1">
        <v>2004</v>
      </c>
      <c r="F230" s="1">
        <v>1996</v>
      </c>
      <c r="G230" s="1" t="s">
        <v>3025</v>
      </c>
      <c r="H230" s="1" t="s">
        <v>3019</v>
      </c>
      <c r="I230" s="1">
        <v>39.907029999999999</v>
      </c>
      <c r="J230" s="1">
        <v>-74.474993999999995</v>
      </c>
      <c r="K230" s="1" t="s">
        <v>3001</v>
      </c>
      <c r="L230" s="1" t="s">
        <v>3100</v>
      </c>
      <c r="M230" s="1" t="s">
        <v>3126</v>
      </c>
      <c r="N230" s="1" t="s">
        <v>3303</v>
      </c>
      <c r="O230" s="1" t="s">
        <v>3305</v>
      </c>
      <c r="P230" s="1" t="s">
        <v>2948</v>
      </c>
      <c r="Q230" s="1" t="s">
        <v>3161</v>
      </c>
      <c r="R230" s="1" t="s">
        <v>2903</v>
      </c>
      <c r="S230" s="1">
        <v>1996</v>
      </c>
      <c r="T230" s="1" t="s">
        <v>3056</v>
      </c>
      <c r="V230" s="1" t="s">
        <v>36</v>
      </c>
      <c r="W230" s="1">
        <v>3</v>
      </c>
      <c r="X230" s="1">
        <v>3</v>
      </c>
      <c r="Y230" s="1" t="s">
        <v>2994</v>
      </c>
      <c r="Z230" s="1" t="s">
        <v>2985</v>
      </c>
      <c r="AA230" s="1" t="s">
        <v>20</v>
      </c>
      <c r="AB230" s="1" t="s">
        <v>3035</v>
      </c>
      <c r="AC230" s="1" t="s">
        <v>36</v>
      </c>
      <c r="AD230" s="1" t="s">
        <v>36</v>
      </c>
      <c r="AE230" s="1" t="s">
        <v>36</v>
      </c>
      <c r="AF230" s="1" t="s">
        <v>3213</v>
      </c>
      <c r="AG230" s="1">
        <v>2.1800000000000002</v>
      </c>
      <c r="AH230" s="1">
        <f>AI230*(SQRT(X230))</f>
        <v>0.57157676649772882</v>
      </c>
      <c r="AI230" s="1">
        <f>2.51-AG230</f>
        <v>0.32999999999999963</v>
      </c>
      <c r="AJ230" s="1">
        <v>4.78</v>
      </c>
      <c r="AK230" s="1">
        <f t="shared" si="104"/>
        <v>0.8660254037844386</v>
      </c>
      <c r="AL230" s="1">
        <f>5.28-AJ230</f>
        <v>0.5</v>
      </c>
      <c r="AM230" s="33">
        <f t="shared" si="76"/>
        <v>-2.6</v>
      </c>
      <c r="AN230" s="1">
        <f t="shared" si="98"/>
        <v>0.73372338111852453</v>
      </c>
      <c r="AO230" s="1">
        <f t="shared" ref="AO230:AO231" si="108">AM230/AN230</f>
        <v>-3.5435697797123904</v>
      </c>
      <c r="AP230" s="1">
        <f t="shared" si="99"/>
        <v>1.7130738986409098</v>
      </c>
      <c r="AQ230" s="1">
        <f t="shared" si="100"/>
        <v>0.8</v>
      </c>
      <c r="AR230" s="1">
        <f t="shared" ref="AR230:AR231" si="109">AO230*AQ230</f>
        <v>-2.8348558237699124</v>
      </c>
      <c r="AS230" s="1">
        <f t="shared" ref="AS230:AS231" si="110">SQRT(AP230*AQ230^2)</f>
        <v>1.0470755918892305</v>
      </c>
      <c r="AV230" s="1" t="s">
        <v>3539</v>
      </c>
    </row>
    <row r="231" spans="1:48" ht="14.25" customHeight="1">
      <c r="A231" s="4">
        <v>133</v>
      </c>
      <c r="C231" s="4" t="s">
        <v>780</v>
      </c>
      <c r="D231" s="1" t="s">
        <v>2889</v>
      </c>
      <c r="E231" s="1">
        <v>2004</v>
      </c>
      <c r="F231" s="1">
        <v>1996</v>
      </c>
      <c r="G231" s="1" t="s">
        <v>3025</v>
      </c>
      <c r="H231" s="1" t="s">
        <v>3019</v>
      </c>
      <c r="I231" s="1">
        <v>39.907029999999999</v>
      </c>
      <c r="J231" s="1">
        <v>-74.474993999999995</v>
      </c>
      <c r="K231" s="1" t="s">
        <v>3001</v>
      </c>
      <c r="L231" s="1" t="s">
        <v>3100</v>
      </c>
      <c r="M231" s="1" t="s">
        <v>3126</v>
      </c>
      <c r="N231" s="1" t="s">
        <v>3303</v>
      </c>
      <c r="O231" s="1" t="s">
        <v>3305</v>
      </c>
      <c r="P231" s="1" t="s">
        <v>2948</v>
      </c>
      <c r="Q231" s="1" t="s">
        <v>3161</v>
      </c>
      <c r="R231" s="1" t="s">
        <v>2903</v>
      </c>
      <c r="S231" s="1">
        <v>1996</v>
      </c>
      <c r="T231" s="1" t="s">
        <v>3056</v>
      </c>
      <c r="V231" s="1" t="s">
        <v>36</v>
      </c>
      <c r="W231" s="1">
        <v>3</v>
      </c>
      <c r="X231" s="1">
        <v>3</v>
      </c>
      <c r="Y231" s="1" t="s">
        <v>2994</v>
      </c>
      <c r="Z231" s="1" t="s">
        <v>2985</v>
      </c>
      <c r="AA231" s="1" t="s">
        <v>20</v>
      </c>
      <c r="AB231" s="1" t="s">
        <v>3035</v>
      </c>
      <c r="AC231" s="1" t="s">
        <v>36</v>
      </c>
      <c r="AD231" s="1" t="s">
        <v>36</v>
      </c>
      <c r="AE231" s="1" t="s">
        <v>36</v>
      </c>
      <c r="AF231" s="1" t="s">
        <v>3515</v>
      </c>
      <c r="AG231" s="1">
        <v>1.58</v>
      </c>
      <c r="AH231" s="1">
        <f>AI231*(SQRT(X231))</f>
        <v>0.38105117766515295</v>
      </c>
      <c r="AI231" s="1">
        <f>1.8-AG231</f>
        <v>0.21999999999999997</v>
      </c>
      <c r="AJ231" s="1">
        <v>2.83</v>
      </c>
      <c r="AK231" s="1">
        <f t="shared" si="104"/>
        <v>0.57157676649772959</v>
      </c>
      <c r="AL231" s="1">
        <f>3.16-AJ231</f>
        <v>0.33000000000000007</v>
      </c>
      <c r="AM231" s="33">
        <f t="shared" si="76"/>
        <v>-1.25</v>
      </c>
      <c r="AN231" s="1">
        <f t="shared" si="98"/>
        <v>0.48574684764803161</v>
      </c>
      <c r="AO231" s="1">
        <f t="shared" si="108"/>
        <v>-2.5733568957831721</v>
      </c>
      <c r="AP231" s="1">
        <f t="shared" si="99"/>
        <v>1.2185138094229002</v>
      </c>
      <c r="AQ231" s="1">
        <f t="shared" si="100"/>
        <v>0.8</v>
      </c>
      <c r="AR231" s="1">
        <f t="shared" si="109"/>
        <v>-2.0586855166265376</v>
      </c>
      <c r="AS231" s="1">
        <f t="shared" si="110"/>
        <v>0.88309050387299282</v>
      </c>
      <c r="AV231" s="1" t="s">
        <v>3539</v>
      </c>
    </row>
    <row r="232" spans="1:48" ht="14.25" customHeight="1">
      <c r="A232" s="4">
        <v>133</v>
      </c>
      <c r="C232" s="4" t="s">
        <v>780</v>
      </c>
      <c r="D232" s="1" t="s">
        <v>2889</v>
      </c>
      <c r="E232" s="1">
        <v>2004</v>
      </c>
      <c r="F232" s="1">
        <v>1996</v>
      </c>
      <c r="G232" s="1" t="s">
        <v>3025</v>
      </c>
      <c r="H232" s="1" t="s">
        <v>3019</v>
      </c>
      <c r="I232" s="1">
        <v>39.907029999999999</v>
      </c>
      <c r="J232" s="1">
        <v>-74.474993999999995</v>
      </c>
      <c r="K232" s="1" t="s">
        <v>3001</v>
      </c>
      <c r="L232" s="1" t="s">
        <v>3100</v>
      </c>
      <c r="M232" s="1" t="s">
        <v>3126</v>
      </c>
      <c r="N232" s="1" t="s">
        <v>3303</v>
      </c>
      <c r="O232" s="1" t="s">
        <v>3305</v>
      </c>
      <c r="P232" s="1" t="s">
        <v>2948</v>
      </c>
      <c r="Q232" s="1" t="s">
        <v>3033</v>
      </c>
      <c r="R232" s="1" t="s">
        <v>2903</v>
      </c>
      <c r="S232" s="1">
        <v>1996</v>
      </c>
      <c r="T232" s="1" t="s">
        <v>3056</v>
      </c>
      <c r="V232" s="1" t="s">
        <v>36</v>
      </c>
      <c r="W232" s="1">
        <v>3</v>
      </c>
      <c r="X232" s="1">
        <v>3</v>
      </c>
      <c r="Y232" s="1" t="s">
        <v>2994</v>
      </c>
      <c r="Z232" s="1" t="s">
        <v>2985</v>
      </c>
      <c r="AA232" s="1" t="s">
        <v>20</v>
      </c>
      <c r="AB232" s="1" t="s">
        <v>3035</v>
      </c>
      <c r="AC232" s="1" t="s">
        <v>36</v>
      </c>
      <c r="AD232" s="1" t="s">
        <v>36</v>
      </c>
      <c r="AE232" s="1" t="s">
        <v>36</v>
      </c>
      <c r="AF232" s="1" t="s">
        <v>3554</v>
      </c>
      <c r="AG232" s="1">
        <v>241.88</v>
      </c>
      <c r="AH232" s="1">
        <f t="shared" ref="AH232:AH246" si="111">AI232*(SQRT(X232))</f>
        <v>90.932667397366046</v>
      </c>
      <c r="AI232" s="1">
        <f>294.38-AG232</f>
        <v>52.5</v>
      </c>
      <c r="AJ232" s="1">
        <v>337.5</v>
      </c>
      <c r="AK232" s="1">
        <f t="shared" si="104"/>
        <v>123.4086200392825</v>
      </c>
      <c r="AL232" s="1">
        <f>408.75-AJ232</f>
        <v>71.25</v>
      </c>
      <c r="AM232" s="33">
        <f t="shared" si="76"/>
        <v>-95.62</v>
      </c>
      <c r="AN232" s="1">
        <f t="shared" si="98"/>
        <v>108.39381324595975</v>
      </c>
      <c r="AO232" s="1">
        <f t="shared" ref="AO232:AO234" si="112">AM232/AN232</f>
        <v>-0.88215366852188981</v>
      </c>
      <c r="AP232" s="1">
        <f t="shared" si="99"/>
        <v>0.73151625790721897</v>
      </c>
      <c r="AQ232" s="1">
        <f t="shared" si="100"/>
        <v>0.8</v>
      </c>
      <c r="AR232" s="1">
        <f t="shared" ref="AR232:AR234" si="113">AO232*AQ232</f>
        <v>-0.70572293481751192</v>
      </c>
      <c r="AS232" s="1">
        <f t="shared" ref="AS232:AS234" si="114">SQRT(AP232*AQ232^2)</f>
        <v>0.68422978966179204</v>
      </c>
      <c r="AV232" s="1" t="s">
        <v>3539</v>
      </c>
    </row>
    <row r="233" spans="1:48" ht="14.25" customHeight="1">
      <c r="A233" s="4">
        <v>133</v>
      </c>
      <c r="C233" s="4" t="s">
        <v>780</v>
      </c>
      <c r="D233" s="1" t="s">
        <v>2889</v>
      </c>
      <c r="E233" s="1">
        <v>2004</v>
      </c>
      <c r="F233" s="1">
        <v>1996</v>
      </c>
      <c r="G233" s="1" t="s">
        <v>3025</v>
      </c>
      <c r="H233" s="1" t="s">
        <v>3019</v>
      </c>
      <c r="I233" s="1">
        <v>39.907029999999999</v>
      </c>
      <c r="J233" s="1">
        <v>-74.474993999999995</v>
      </c>
      <c r="K233" s="1" t="s">
        <v>3001</v>
      </c>
      <c r="L233" s="1" t="s">
        <v>3100</v>
      </c>
      <c r="M233" s="1" t="s">
        <v>3126</v>
      </c>
      <c r="N233" s="1" t="s">
        <v>3303</v>
      </c>
      <c r="O233" s="1" t="s">
        <v>3305</v>
      </c>
      <c r="P233" s="1" t="s">
        <v>2948</v>
      </c>
      <c r="Q233" s="1" t="s">
        <v>3033</v>
      </c>
      <c r="R233" s="1" t="s">
        <v>2903</v>
      </c>
      <c r="S233" s="1">
        <v>1996</v>
      </c>
      <c r="T233" s="1" t="s">
        <v>3056</v>
      </c>
      <c r="V233" s="1" t="s">
        <v>36</v>
      </c>
      <c r="W233" s="1">
        <v>3</v>
      </c>
      <c r="X233" s="1">
        <v>3</v>
      </c>
      <c r="Y233" s="1" t="s">
        <v>2994</v>
      </c>
      <c r="Z233" s="1" t="s">
        <v>2985</v>
      </c>
      <c r="AA233" s="1" t="s">
        <v>20</v>
      </c>
      <c r="AB233" s="1" t="s">
        <v>3035</v>
      </c>
      <c r="AC233" s="1" t="s">
        <v>36</v>
      </c>
      <c r="AD233" s="1" t="s">
        <v>36</v>
      </c>
      <c r="AE233" s="1" t="s">
        <v>36</v>
      </c>
      <c r="AF233" s="1" t="s">
        <v>3213</v>
      </c>
      <c r="AG233" s="1">
        <v>3.26</v>
      </c>
      <c r="AH233" s="1">
        <f t="shared" si="111"/>
        <v>0.81406387955737258</v>
      </c>
      <c r="AI233" s="1">
        <f>3.73-AG233</f>
        <v>0.4700000000000002</v>
      </c>
      <c r="AJ233" s="1">
        <v>3.65</v>
      </c>
      <c r="AK233" s="1">
        <f t="shared" si="104"/>
        <v>0.77942286340599432</v>
      </c>
      <c r="AL233" s="1">
        <f>4.1-AJ233</f>
        <v>0.44999999999999973</v>
      </c>
      <c r="AM233" s="33">
        <f t="shared" si="76"/>
        <v>-0.39000000000000012</v>
      </c>
      <c r="AN233" s="1">
        <f t="shared" si="98"/>
        <v>0.79693161563587112</v>
      </c>
      <c r="AO233" s="1">
        <f t="shared" si="112"/>
        <v>-0.48937699590299155</v>
      </c>
      <c r="AP233" s="1">
        <f t="shared" si="99"/>
        <v>0.68662415367658636</v>
      </c>
      <c r="AQ233" s="1">
        <f t="shared" si="100"/>
        <v>0.8</v>
      </c>
      <c r="AR233" s="1">
        <f t="shared" si="113"/>
        <v>-0.39150159672239326</v>
      </c>
      <c r="AS233" s="1">
        <f t="shared" si="114"/>
        <v>0.66290229925156796</v>
      </c>
      <c r="AV233" s="1" t="s">
        <v>3539</v>
      </c>
    </row>
    <row r="234" spans="1:48" ht="14.25" customHeight="1">
      <c r="A234" s="4">
        <v>133</v>
      </c>
      <c r="C234" s="4" t="s">
        <v>780</v>
      </c>
      <c r="D234" s="1" t="s">
        <v>2889</v>
      </c>
      <c r="E234" s="1">
        <v>2004</v>
      </c>
      <c r="F234" s="1">
        <v>1996</v>
      </c>
      <c r="G234" s="1" t="s">
        <v>3025</v>
      </c>
      <c r="H234" s="1" t="s">
        <v>3019</v>
      </c>
      <c r="I234" s="1">
        <v>39.907029999999999</v>
      </c>
      <c r="J234" s="1">
        <v>-74.474993999999995</v>
      </c>
      <c r="K234" s="1" t="s">
        <v>3001</v>
      </c>
      <c r="L234" s="1" t="s">
        <v>3100</v>
      </c>
      <c r="M234" s="1" t="s">
        <v>3126</v>
      </c>
      <c r="N234" s="1" t="s">
        <v>3303</v>
      </c>
      <c r="O234" s="1" t="s">
        <v>3305</v>
      </c>
      <c r="P234" s="1" t="s">
        <v>2948</v>
      </c>
      <c r="Q234" s="1" t="s">
        <v>3033</v>
      </c>
      <c r="R234" s="1" t="s">
        <v>2903</v>
      </c>
      <c r="S234" s="1">
        <v>1996</v>
      </c>
      <c r="T234" s="1" t="s">
        <v>3056</v>
      </c>
      <c r="V234" s="1" t="s">
        <v>36</v>
      </c>
      <c r="W234" s="1">
        <v>3</v>
      </c>
      <c r="X234" s="1">
        <v>3</v>
      </c>
      <c r="Y234" s="1" t="s">
        <v>2994</v>
      </c>
      <c r="Z234" s="1" t="s">
        <v>2985</v>
      </c>
      <c r="AA234" s="1" t="s">
        <v>20</v>
      </c>
      <c r="AB234" s="1" t="s">
        <v>3035</v>
      </c>
      <c r="AC234" s="1" t="s">
        <v>36</v>
      </c>
      <c r="AD234" s="1" t="s">
        <v>36</v>
      </c>
      <c r="AE234" s="1" t="s">
        <v>36</v>
      </c>
      <c r="AF234" s="1" t="s">
        <v>3515</v>
      </c>
      <c r="AG234" s="1">
        <v>2.04</v>
      </c>
      <c r="AH234" s="1">
        <f t="shared" si="111"/>
        <v>0.5022947341949745</v>
      </c>
      <c r="AI234" s="1">
        <f>2.33-AG234</f>
        <v>0.29000000000000004</v>
      </c>
      <c r="AJ234" s="1">
        <v>1.85</v>
      </c>
      <c r="AK234" s="1">
        <f t="shared" si="104"/>
        <v>0.3983716857408417</v>
      </c>
      <c r="AL234" s="1">
        <f>2.08-AJ234</f>
        <v>0.22999999999999998</v>
      </c>
      <c r="AM234" s="33">
        <f t="shared" si="76"/>
        <v>0.18999999999999995</v>
      </c>
      <c r="AN234" s="1">
        <f t="shared" si="98"/>
        <v>0.45332107826572549</v>
      </c>
      <c r="AO234" s="1">
        <f t="shared" si="112"/>
        <v>0.41912897747196015</v>
      </c>
      <c r="AP234" s="1">
        <f t="shared" si="99"/>
        <v>0.68130575831305751</v>
      </c>
      <c r="AQ234" s="1">
        <f t="shared" si="100"/>
        <v>0.8</v>
      </c>
      <c r="AR234" s="1">
        <f t="shared" si="113"/>
        <v>0.33530318197756814</v>
      </c>
      <c r="AS234" s="1">
        <f t="shared" si="114"/>
        <v>0.66032998214556105</v>
      </c>
      <c r="AV234" s="1" t="s">
        <v>3539</v>
      </c>
    </row>
    <row r="235" spans="1:48" ht="14.25" customHeight="1">
      <c r="A235" s="4">
        <v>133</v>
      </c>
      <c r="C235" s="4" t="s">
        <v>780</v>
      </c>
      <c r="D235" s="1" t="s">
        <v>2889</v>
      </c>
      <c r="E235" s="1">
        <v>2004</v>
      </c>
      <c r="F235" s="1">
        <v>1996</v>
      </c>
      <c r="G235" s="1" t="s">
        <v>3025</v>
      </c>
      <c r="H235" s="1" t="s">
        <v>3019</v>
      </c>
      <c r="I235" s="1">
        <v>39.907029999999999</v>
      </c>
      <c r="J235" s="1">
        <v>-74.474993999999995</v>
      </c>
      <c r="K235" s="1" t="s">
        <v>3001</v>
      </c>
      <c r="L235" s="1" t="s">
        <v>3100</v>
      </c>
      <c r="M235" s="1" t="s">
        <v>3126</v>
      </c>
      <c r="N235" s="1" t="s">
        <v>3303</v>
      </c>
      <c r="O235" s="1" t="s">
        <v>3305</v>
      </c>
      <c r="P235" s="1" t="s">
        <v>2948</v>
      </c>
      <c r="Q235" s="1" t="s">
        <v>3161</v>
      </c>
      <c r="R235" s="1" t="s">
        <v>2903</v>
      </c>
      <c r="S235" s="1">
        <v>1996</v>
      </c>
      <c r="T235" s="1" t="s">
        <v>3056</v>
      </c>
      <c r="V235" s="1" t="s">
        <v>36</v>
      </c>
      <c r="W235" s="1">
        <v>3</v>
      </c>
      <c r="X235" s="1">
        <v>3</v>
      </c>
      <c r="Y235" s="1" t="s">
        <v>2994</v>
      </c>
      <c r="Z235" s="1" t="s">
        <v>3282</v>
      </c>
      <c r="AA235" s="1" t="s">
        <v>20</v>
      </c>
      <c r="AB235" s="1" t="s">
        <v>3035</v>
      </c>
      <c r="AC235" s="1" t="s">
        <v>36</v>
      </c>
      <c r="AD235" s="1" t="s">
        <v>36</v>
      </c>
      <c r="AE235" s="1" t="s">
        <v>36</v>
      </c>
      <c r="AF235" s="1" t="s">
        <v>3554</v>
      </c>
      <c r="AG235" s="1">
        <v>376.96</v>
      </c>
      <c r="AH235" s="1">
        <f t="shared" si="111"/>
        <v>98.622972982971859</v>
      </c>
      <c r="AI235" s="1">
        <f>433.9-AG235</f>
        <v>56.94</v>
      </c>
      <c r="AJ235" s="1">
        <v>347.51</v>
      </c>
      <c r="AK235" s="1">
        <f t="shared" si="104"/>
        <v>125.83349116987898</v>
      </c>
      <c r="AL235" s="1">
        <f>420.16-AJ235</f>
        <v>72.650000000000034</v>
      </c>
      <c r="AM235" s="33">
        <f t="shared" si="76"/>
        <v>29.449999999999989</v>
      </c>
      <c r="AN235" s="1">
        <f t="shared" si="98"/>
        <v>113.04989672706475</v>
      </c>
      <c r="AO235" s="1">
        <f t="shared" si="105"/>
        <v>0.26050443965553399</v>
      </c>
      <c r="AP235" s="1">
        <f t="shared" si="99"/>
        <v>0.67232188025668693</v>
      </c>
      <c r="AQ235" s="1">
        <f t="shared" si="100"/>
        <v>0.8</v>
      </c>
      <c r="AR235" s="1">
        <f t="shared" si="106"/>
        <v>0.20840355172442721</v>
      </c>
      <c r="AS235" s="1">
        <f t="shared" si="107"/>
        <v>0.65596189170124797</v>
      </c>
      <c r="AV235" s="1" t="s">
        <v>3539</v>
      </c>
    </row>
    <row r="236" spans="1:48" ht="14.25" customHeight="1">
      <c r="A236" s="4">
        <v>133</v>
      </c>
      <c r="C236" s="4" t="s">
        <v>780</v>
      </c>
      <c r="D236" s="1" t="s">
        <v>2889</v>
      </c>
      <c r="E236" s="1">
        <v>2004</v>
      </c>
      <c r="F236" s="1">
        <v>1996</v>
      </c>
      <c r="G236" s="1" t="s">
        <v>3025</v>
      </c>
      <c r="H236" s="1" t="s">
        <v>3019</v>
      </c>
      <c r="I236" s="1">
        <v>39.907029999999999</v>
      </c>
      <c r="J236" s="1">
        <v>-74.474993999999995</v>
      </c>
      <c r="K236" s="1" t="s">
        <v>3001</v>
      </c>
      <c r="L236" s="1" t="s">
        <v>3100</v>
      </c>
      <c r="M236" s="1" t="s">
        <v>3126</v>
      </c>
      <c r="N236" s="1" t="s">
        <v>3303</v>
      </c>
      <c r="O236" s="1" t="s">
        <v>3305</v>
      </c>
      <c r="P236" s="1" t="s">
        <v>2948</v>
      </c>
      <c r="Q236" s="1" t="s">
        <v>3161</v>
      </c>
      <c r="R236" s="1" t="s">
        <v>2903</v>
      </c>
      <c r="S236" s="1">
        <v>1996</v>
      </c>
      <c r="T236" s="1" t="s">
        <v>3056</v>
      </c>
      <c r="V236" s="1" t="s">
        <v>36</v>
      </c>
      <c r="W236" s="1">
        <v>3</v>
      </c>
      <c r="X236" s="1">
        <v>3</v>
      </c>
      <c r="Y236" s="1" t="s">
        <v>2994</v>
      </c>
      <c r="Z236" s="1" t="s">
        <v>3282</v>
      </c>
      <c r="AA236" s="1" t="s">
        <v>20</v>
      </c>
      <c r="AB236" s="1" t="s">
        <v>3035</v>
      </c>
      <c r="AC236" s="1" t="s">
        <v>36</v>
      </c>
      <c r="AD236" s="1" t="s">
        <v>36</v>
      </c>
      <c r="AE236" s="1" t="s">
        <v>36</v>
      </c>
      <c r="AF236" s="1" t="s">
        <v>3213</v>
      </c>
      <c r="AG236" s="1">
        <v>6.06</v>
      </c>
      <c r="AH236" s="1">
        <f t="shared" si="111"/>
        <v>0.79674337148168339</v>
      </c>
      <c r="AI236" s="1">
        <f>6.52-AG236</f>
        <v>0.45999999999999996</v>
      </c>
      <c r="AJ236" s="1">
        <v>5.22</v>
      </c>
      <c r="AK236" s="1">
        <f t="shared" si="104"/>
        <v>0.7274613391789283</v>
      </c>
      <c r="AL236" s="1">
        <f>5.64-AJ236</f>
        <v>0.41999999999999993</v>
      </c>
      <c r="AM236" s="33">
        <f t="shared" si="76"/>
        <v>0.83999999999999986</v>
      </c>
      <c r="AN236" s="1">
        <f t="shared" si="98"/>
        <v>0.76288924491042587</v>
      </c>
      <c r="AO236" s="1">
        <f t="shared" ref="AO236:AO237" si="115">AM236/AN236</f>
        <v>1.1010772606954604</v>
      </c>
      <c r="AP236" s="1">
        <f t="shared" si="99"/>
        <v>0.76769759450171815</v>
      </c>
      <c r="AQ236" s="1">
        <f t="shared" si="100"/>
        <v>0.8</v>
      </c>
      <c r="AR236" s="1">
        <f t="shared" ref="AR236:AR237" si="116">AO236*AQ236</f>
        <v>0.88086180855636842</v>
      </c>
      <c r="AS236" s="1">
        <f t="shared" ref="AS236:AS237" si="117">SQRT(AP236*AQ236^2)</f>
        <v>0.70094683142239811</v>
      </c>
      <c r="AV236" s="1" t="s">
        <v>3539</v>
      </c>
    </row>
    <row r="237" spans="1:48" ht="14.25" customHeight="1">
      <c r="A237" s="4">
        <v>133</v>
      </c>
      <c r="C237" s="4" t="s">
        <v>780</v>
      </c>
      <c r="D237" s="1" t="s">
        <v>2889</v>
      </c>
      <c r="E237" s="1">
        <v>2004</v>
      </c>
      <c r="F237" s="1">
        <v>1996</v>
      </c>
      <c r="G237" s="1" t="s">
        <v>3025</v>
      </c>
      <c r="H237" s="1" t="s">
        <v>3019</v>
      </c>
      <c r="I237" s="1">
        <v>39.907029999999999</v>
      </c>
      <c r="J237" s="1">
        <v>-74.474993999999995</v>
      </c>
      <c r="K237" s="1" t="s">
        <v>3001</v>
      </c>
      <c r="L237" s="1" t="s">
        <v>3100</v>
      </c>
      <c r="M237" s="1" t="s">
        <v>3126</v>
      </c>
      <c r="N237" s="1" t="s">
        <v>3303</v>
      </c>
      <c r="O237" s="1" t="s">
        <v>3305</v>
      </c>
      <c r="P237" s="1" t="s">
        <v>2948</v>
      </c>
      <c r="Q237" s="1" t="s">
        <v>3161</v>
      </c>
      <c r="R237" s="1" t="s">
        <v>2903</v>
      </c>
      <c r="S237" s="1">
        <v>1996</v>
      </c>
      <c r="T237" s="1" t="s">
        <v>3056</v>
      </c>
      <c r="V237" s="1" t="s">
        <v>36</v>
      </c>
      <c r="W237" s="1">
        <v>3</v>
      </c>
      <c r="X237" s="1">
        <v>3</v>
      </c>
      <c r="Y237" s="1" t="s">
        <v>2994</v>
      </c>
      <c r="Z237" s="1" t="s">
        <v>3282</v>
      </c>
      <c r="AA237" s="1" t="s">
        <v>20</v>
      </c>
      <c r="AB237" s="1" t="s">
        <v>3035</v>
      </c>
      <c r="AC237" s="1" t="s">
        <v>36</v>
      </c>
      <c r="AD237" s="1" t="s">
        <v>36</v>
      </c>
      <c r="AE237" s="1" t="s">
        <v>36</v>
      </c>
      <c r="AF237" s="1" t="s">
        <v>3515</v>
      </c>
      <c r="AG237" s="1">
        <v>3</v>
      </c>
      <c r="AH237" s="1">
        <f t="shared" si="111"/>
        <v>0.38105117766515334</v>
      </c>
      <c r="AI237" s="1">
        <f>3.22-AG237</f>
        <v>0.2200000000000002</v>
      </c>
      <c r="AJ237" s="1">
        <v>2.95</v>
      </c>
      <c r="AK237" s="1">
        <f t="shared" si="104"/>
        <v>0.4330127018922193</v>
      </c>
      <c r="AL237" s="1">
        <f>3.2-AJ237</f>
        <v>0.25</v>
      </c>
      <c r="AM237" s="33">
        <f t="shared" si="76"/>
        <v>4.9999999999999822E-2</v>
      </c>
      <c r="AN237" s="1">
        <f t="shared" si="98"/>
        <v>0.40786027019066234</v>
      </c>
      <c r="AO237" s="1">
        <f t="shared" si="115"/>
        <v>0.12259100396473119</v>
      </c>
      <c r="AP237" s="1">
        <f t="shared" si="99"/>
        <v>0.66791904618775666</v>
      </c>
      <c r="AQ237" s="1">
        <f t="shared" si="100"/>
        <v>0.8</v>
      </c>
      <c r="AR237" s="1">
        <f t="shared" si="116"/>
        <v>9.8072803171784961E-2</v>
      </c>
      <c r="AS237" s="1">
        <f t="shared" si="117"/>
        <v>0.65381051502722431</v>
      </c>
      <c r="AV237" s="1" t="s">
        <v>3539</v>
      </c>
    </row>
    <row r="238" spans="1:48" ht="14.25" customHeight="1">
      <c r="A238" s="4">
        <v>133</v>
      </c>
      <c r="C238" s="4" t="s">
        <v>780</v>
      </c>
      <c r="D238" s="1" t="s">
        <v>2889</v>
      </c>
      <c r="E238" s="1">
        <v>2004</v>
      </c>
      <c r="F238" s="1">
        <v>1996</v>
      </c>
      <c r="G238" s="1" t="s">
        <v>3025</v>
      </c>
      <c r="H238" s="1" t="s">
        <v>3019</v>
      </c>
      <c r="I238" s="1">
        <v>39.833232000000002</v>
      </c>
      <c r="J238" s="1">
        <v>-74.387434999999996</v>
      </c>
      <c r="K238" s="1" t="s">
        <v>3001</v>
      </c>
      <c r="L238" s="1" t="s">
        <v>3100</v>
      </c>
      <c r="M238" s="1" t="s">
        <v>3126</v>
      </c>
      <c r="N238" s="1" t="s">
        <v>3303</v>
      </c>
      <c r="O238" s="1" t="s">
        <v>3305</v>
      </c>
      <c r="P238" s="1" t="s">
        <v>2948</v>
      </c>
      <c r="Q238" s="1" t="s">
        <v>3033</v>
      </c>
      <c r="R238" s="1" t="s">
        <v>2903</v>
      </c>
      <c r="S238" s="1">
        <v>1996</v>
      </c>
      <c r="T238" s="1" t="s">
        <v>3056</v>
      </c>
      <c r="V238" s="1" t="s">
        <v>36</v>
      </c>
      <c r="W238" s="1">
        <v>3</v>
      </c>
      <c r="X238" s="1">
        <v>3</v>
      </c>
      <c r="Y238" s="1" t="s">
        <v>2994</v>
      </c>
      <c r="Z238" s="1" t="s">
        <v>3282</v>
      </c>
      <c r="AA238" s="1" t="s">
        <v>20</v>
      </c>
      <c r="AB238" s="1" t="s">
        <v>3035</v>
      </c>
      <c r="AC238" s="1" t="s">
        <v>36</v>
      </c>
      <c r="AD238" s="1" t="s">
        <v>36</v>
      </c>
      <c r="AE238" s="1" t="s">
        <v>36</v>
      </c>
      <c r="AF238" s="1" t="s">
        <v>3554</v>
      </c>
      <c r="AG238" s="1">
        <v>496.73</v>
      </c>
      <c r="AH238" s="1">
        <f t="shared" si="111"/>
        <v>112.21957182238749</v>
      </c>
      <c r="AI238" s="1">
        <f>561.52-AG238</f>
        <v>64.789999999999964</v>
      </c>
      <c r="AJ238" s="1">
        <v>585.08000000000004</v>
      </c>
      <c r="AK238" s="1">
        <f t="shared" si="104"/>
        <v>122.42135107896816</v>
      </c>
      <c r="AL238" s="1">
        <f>655.76-AJ238</f>
        <v>70.67999999999995</v>
      </c>
      <c r="AM238" s="33">
        <f t="shared" si="76"/>
        <v>-88.350000000000023</v>
      </c>
      <c r="AN238" s="1">
        <f t="shared" si="98"/>
        <v>117.43129800014978</v>
      </c>
      <c r="AO238" s="1">
        <f t="shared" si="105"/>
        <v>-0.75235479386327941</v>
      </c>
      <c r="AP238" s="1">
        <f t="shared" si="99"/>
        <v>0.71383647798742145</v>
      </c>
      <c r="AQ238" s="1">
        <f t="shared" si="100"/>
        <v>0.8</v>
      </c>
      <c r="AR238" s="1">
        <f t="shared" si="106"/>
        <v>-0.6018838350906236</v>
      </c>
      <c r="AS238" s="1">
        <f t="shared" si="107"/>
        <v>0.67591075291931091</v>
      </c>
      <c r="AV238" s="1" t="s">
        <v>3539</v>
      </c>
    </row>
    <row r="239" spans="1:48" ht="14.25" customHeight="1">
      <c r="A239" s="4">
        <v>133</v>
      </c>
      <c r="C239" s="4" t="s">
        <v>780</v>
      </c>
      <c r="D239" s="1" t="s">
        <v>2889</v>
      </c>
      <c r="E239" s="1">
        <v>2004</v>
      </c>
      <c r="F239" s="1">
        <v>1996</v>
      </c>
      <c r="G239" s="1" t="s">
        <v>3025</v>
      </c>
      <c r="H239" s="1" t="s">
        <v>3019</v>
      </c>
      <c r="I239" s="1">
        <v>39.833232000000002</v>
      </c>
      <c r="J239" s="1">
        <v>-74.387434999999996</v>
      </c>
      <c r="K239" s="1" t="s">
        <v>3001</v>
      </c>
      <c r="L239" s="1" t="s">
        <v>3100</v>
      </c>
      <c r="M239" s="1" t="s">
        <v>3126</v>
      </c>
      <c r="N239" s="1" t="s">
        <v>3303</v>
      </c>
      <c r="O239" s="1" t="s">
        <v>3305</v>
      </c>
      <c r="P239" s="1" t="s">
        <v>2948</v>
      </c>
      <c r="Q239" s="1" t="s">
        <v>3033</v>
      </c>
      <c r="R239" s="1" t="s">
        <v>2903</v>
      </c>
      <c r="S239" s="1">
        <v>1996</v>
      </c>
      <c r="T239" s="1" t="s">
        <v>3056</v>
      </c>
      <c r="V239" s="1" t="s">
        <v>36</v>
      </c>
      <c r="W239" s="1">
        <v>3</v>
      </c>
      <c r="X239" s="1">
        <v>3</v>
      </c>
      <c r="Y239" s="1" t="s">
        <v>2994</v>
      </c>
      <c r="Z239" s="1" t="s">
        <v>3282</v>
      </c>
      <c r="AA239" s="1" t="s">
        <v>20</v>
      </c>
      <c r="AB239" s="1" t="s">
        <v>3035</v>
      </c>
      <c r="AC239" s="1" t="s">
        <v>36</v>
      </c>
      <c r="AD239" s="1" t="s">
        <v>36</v>
      </c>
      <c r="AE239" s="1" t="s">
        <v>36</v>
      </c>
      <c r="AF239" s="1" t="s">
        <v>3213</v>
      </c>
      <c r="AG239" s="1">
        <v>6.21</v>
      </c>
      <c r="AH239" s="1">
        <f t="shared" si="111"/>
        <v>0.67549981495186151</v>
      </c>
      <c r="AI239" s="1">
        <f>6.6-AG239</f>
        <v>0.38999999999999968</v>
      </c>
      <c r="AJ239" s="1">
        <v>6.46</v>
      </c>
      <c r="AK239" s="1">
        <f t="shared" si="104"/>
        <v>0.9353074360871938</v>
      </c>
      <c r="AL239" s="1">
        <f>7-AJ239</f>
        <v>0.54</v>
      </c>
      <c r="AM239" s="33">
        <f t="shared" si="76"/>
        <v>-0.25</v>
      </c>
      <c r="AN239" s="1">
        <f t="shared" si="98"/>
        <v>0.81581247845322868</v>
      </c>
      <c r="AO239" s="1">
        <f t="shared" ref="AO239:AO240" si="118">AM239/AN239</f>
        <v>-0.30644297139705096</v>
      </c>
      <c r="AP239" s="1">
        <f t="shared" si="99"/>
        <v>0.67449227455988781</v>
      </c>
      <c r="AQ239" s="1">
        <f t="shared" si="100"/>
        <v>0.8</v>
      </c>
      <c r="AR239" s="1">
        <f t="shared" ref="AR239:AR240" si="119">AO239*AQ239</f>
        <v>-0.24515437711764076</v>
      </c>
      <c r="AS239" s="1">
        <f t="shared" ref="AS239:AS240" si="120">SQRT(AP239*AQ239^2)</f>
        <v>0.65701982901456502</v>
      </c>
      <c r="AV239" s="1" t="s">
        <v>3539</v>
      </c>
    </row>
    <row r="240" spans="1:48" ht="14.25" customHeight="1">
      <c r="A240" s="4">
        <v>133</v>
      </c>
      <c r="C240" s="4" t="s">
        <v>780</v>
      </c>
      <c r="D240" s="1" t="s">
        <v>2889</v>
      </c>
      <c r="E240" s="1">
        <v>2004</v>
      </c>
      <c r="F240" s="1">
        <v>1996</v>
      </c>
      <c r="G240" s="1" t="s">
        <v>3025</v>
      </c>
      <c r="H240" s="1" t="s">
        <v>3019</v>
      </c>
      <c r="I240" s="1">
        <v>39.833232000000002</v>
      </c>
      <c r="J240" s="1">
        <v>-74.387434999999996</v>
      </c>
      <c r="K240" s="1" t="s">
        <v>3001</v>
      </c>
      <c r="L240" s="1" t="s">
        <v>3100</v>
      </c>
      <c r="M240" s="1" t="s">
        <v>3126</v>
      </c>
      <c r="N240" s="1" t="s">
        <v>3303</v>
      </c>
      <c r="O240" s="1" t="s">
        <v>3305</v>
      </c>
      <c r="P240" s="1" t="s">
        <v>2948</v>
      </c>
      <c r="Q240" s="1" t="s">
        <v>3033</v>
      </c>
      <c r="R240" s="1" t="s">
        <v>2903</v>
      </c>
      <c r="S240" s="1">
        <v>1996</v>
      </c>
      <c r="T240" s="1" t="s">
        <v>3056</v>
      </c>
      <c r="V240" s="1" t="s">
        <v>36</v>
      </c>
      <c r="W240" s="1">
        <v>3</v>
      </c>
      <c r="X240" s="1">
        <v>3</v>
      </c>
      <c r="Y240" s="1" t="s">
        <v>2994</v>
      </c>
      <c r="Z240" s="1" t="s">
        <v>3282</v>
      </c>
      <c r="AA240" s="1" t="s">
        <v>20</v>
      </c>
      <c r="AB240" s="1" t="s">
        <v>3035</v>
      </c>
      <c r="AC240" s="1" t="s">
        <v>36</v>
      </c>
      <c r="AD240" s="1" t="s">
        <v>36</v>
      </c>
      <c r="AE240" s="1" t="s">
        <v>36</v>
      </c>
      <c r="AF240" s="1" t="s">
        <v>3515</v>
      </c>
      <c r="AG240" s="1">
        <v>3.44</v>
      </c>
      <c r="AH240" s="1">
        <f t="shared" si="111"/>
        <v>0.4676537180435969</v>
      </c>
      <c r="AI240" s="1">
        <f>3.71-AG240</f>
        <v>0.27</v>
      </c>
      <c r="AJ240" s="1">
        <v>3.06</v>
      </c>
      <c r="AK240" s="1">
        <f t="shared" si="104"/>
        <v>0.45033320996790771</v>
      </c>
      <c r="AL240" s="1">
        <f>3.32-AJ240</f>
        <v>0.25999999999999979</v>
      </c>
      <c r="AM240" s="33">
        <f t="shared" si="76"/>
        <v>0.37999999999999989</v>
      </c>
      <c r="AN240" s="1">
        <f t="shared" si="98"/>
        <v>0.459075157245521</v>
      </c>
      <c r="AO240" s="1">
        <f t="shared" si="118"/>
        <v>0.82775117320663383</v>
      </c>
      <c r="AP240" s="1">
        <f t="shared" si="99"/>
        <v>0.72376433372874649</v>
      </c>
      <c r="AQ240" s="1">
        <f t="shared" si="100"/>
        <v>0.8</v>
      </c>
      <c r="AR240" s="1">
        <f t="shared" si="119"/>
        <v>0.66220093856530715</v>
      </c>
      <c r="AS240" s="1">
        <f t="shared" si="120"/>
        <v>0.68059472051022984</v>
      </c>
      <c r="AV240" s="1" t="s">
        <v>3539</v>
      </c>
    </row>
    <row r="241" spans="1:48" ht="14.25" customHeight="1">
      <c r="A241" s="4">
        <v>133</v>
      </c>
      <c r="C241" s="4" t="s">
        <v>780</v>
      </c>
      <c r="D241" s="1" t="s">
        <v>2889</v>
      </c>
      <c r="E241" s="1">
        <v>2004</v>
      </c>
      <c r="F241" s="1">
        <v>1996</v>
      </c>
      <c r="G241" s="1" t="s">
        <v>3025</v>
      </c>
      <c r="H241" s="1" t="s">
        <v>3019</v>
      </c>
      <c r="I241" s="1">
        <v>39.833232000000002</v>
      </c>
      <c r="J241" s="1">
        <v>-74.387434999999996</v>
      </c>
      <c r="K241" s="1" t="s">
        <v>3001</v>
      </c>
      <c r="L241" s="1" t="s">
        <v>3100</v>
      </c>
      <c r="M241" s="1" t="s">
        <v>3126</v>
      </c>
      <c r="N241" s="1" t="s">
        <v>3303</v>
      </c>
      <c r="O241" s="1" t="s">
        <v>3305</v>
      </c>
      <c r="P241" s="1" t="s">
        <v>2948</v>
      </c>
      <c r="Q241" s="1" t="s">
        <v>3161</v>
      </c>
      <c r="R241" s="1" t="s">
        <v>2903</v>
      </c>
      <c r="S241" s="1">
        <v>1996</v>
      </c>
      <c r="T241" s="1" t="s">
        <v>3056</v>
      </c>
      <c r="V241" s="1" t="s">
        <v>36</v>
      </c>
      <c r="W241" s="1">
        <v>3</v>
      </c>
      <c r="X241" s="1">
        <v>3</v>
      </c>
      <c r="Y241" s="1" t="s">
        <v>2994</v>
      </c>
      <c r="Z241" s="1" t="s">
        <v>3210</v>
      </c>
      <c r="AA241" s="1" t="s">
        <v>20</v>
      </c>
      <c r="AB241" s="1" t="s">
        <v>3035</v>
      </c>
      <c r="AC241" s="1" t="s">
        <v>36</v>
      </c>
      <c r="AD241" s="1" t="s">
        <v>36</v>
      </c>
      <c r="AE241" s="1" t="s">
        <v>36</v>
      </c>
      <c r="AF241" s="1" t="s">
        <v>3554</v>
      </c>
      <c r="AG241" s="1">
        <v>188.46</v>
      </c>
      <c r="AH241" s="1">
        <f t="shared" si="111"/>
        <v>73.283069668239193</v>
      </c>
      <c r="AI241" s="1">
        <f>230.77-AG241</f>
        <v>42.31</v>
      </c>
      <c r="AJ241" s="1">
        <v>119.23</v>
      </c>
      <c r="AK241" s="1">
        <f t="shared" si="104"/>
        <v>53.295203348894347</v>
      </c>
      <c r="AL241" s="1">
        <f>150-AJ241</f>
        <v>30.769999999999996</v>
      </c>
      <c r="AM241" s="33">
        <f t="shared" si="76"/>
        <v>69.23</v>
      </c>
      <c r="AN241" s="1">
        <f t="shared" si="98"/>
        <v>64.073344691845136</v>
      </c>
      <c r="AO241" s="1">
        <f t="shared" si="105"/>
        <v>1.0804805076581427</v>
      </c>
      <c r="AP241" s="1">
        <f t="shared" si="99"/>
        <v>0.76395317728576639</v>
      </c>
      <c r="AQ241" s="1">
        <f t="shared" si="100"/>
        <v>0.8</v>
      </c>
      <c r="AR241" s="1">
        <f t="shared" si="106"/>
        <v>0.86438440612651424</v>
      </c>
      <c r="AS241" s="1">
        <f t="shared" si="107"/>
        <v>0.69923532052013115</v>
      </c>
      <c r="AV241" s="1" t="s">
        <v>3539</v>
      </c>
    </row>
    <row r="242" spans="1:48" ht="14.25" customHeight="1">
      <c r="A242" s="4">
        <v>133</v>
      </c>
      <c r="C242" s="4" t="s">
        <v>780</v>
      </c>
      <c r="D242" s="1" t="s">
        <v>2889</v>
      </c>
      <c r="E242" s="1">
        <v>2004</v>
      </c>
      <c r="F242" s="1">
        <v>1996</v>
      </c>
      <c r="G242" s="1" t="s">
        <v>3025</v>
      </c>
      <c r="H242" s="1" t="s">
        <v>3019</v>
      </c>
      <c r="I242" s="1">
        <v>39.833232000000002</v>
      </c>
      <c r="J242" s="1">
        <v>-74.387434999999996</v>
      </c>
      <c r="K242" s="1" t="s">
        <v>3001</v>
      </c>
      <c r="L242" s="1" t="s">
        <v>3100</v>
      </c>
      <c r="M242" s="1" t="s">
        <v>3126</v>
      </c>
      <c r="N242" s="1" t="s">
        <v>3303</v>
      </c>
      <c r="O242" s="1" t="s">
        <v>3305</v>
      </c>
      <c r="P242" s="1" t="s">
        <v>2948</v>
      </c>
      <c r="Q242" s="1" t="s">
        <v>3161</v>
      </c>
      <c r="R242" s="1" t="s">
        <v>2903</v>
      </c>
      <c r="S242" s="1">
        <v>1996</v>
      </c>
      <c r="T242" s="1" t="s">
        <v>3056</v>
      </c>
      <c r="V242" s="1" t="s">
        <v>36</v>
      </c>
      <c r="W242" s="1">
        <v>3</v>
      </c>
      <c r="X242" s="1">
        <v>3</v>
      </c>
      <c r="Y242" s="1" t="s">
        <v>2994</v>
      </c>
      <c r="Z242" s="1" t="s">
        <v>3210</v>
      </c>
      <c r="AA242" s="1" t="s">
        <v>20</v>
      </c>
      <c r="AB242" s="1" t="s">
        <v>3035</v>
      </c>
      <c r="AC242" s="1" t="s">
        <v>36</v>
      </c>
      <c r="AD242" s="1" t="s">
        <v>36</v>
      </c>
      <c r="AE242" s="1" t="s">
        <v>36</v>
      </c>
      <c r="AF242" s="1" t="s">
        <v>3213</v>
      </c>
      <c r="AG242" s="1">
        <v>3.93</v>
      </c>
      <c r="AH242" s="1">
        <f t="shared" si="111"/>
        <v>0.71014083110323911</v>
      </c>
      <c r="AI242" s="1">
        <f>4.34-AG242</f>
        <v>0.4099999999999997</v>
      </c>
      <c r="AJ242" s="1">
        <v>3.08</v>
      </c>
      <c r="AK242" s="1">
        <f t="shared" si="104"/>
        <v>0.71014083110323989</v>
      </c>
      <c r="AL242" s="1">
        <f>3.49-AJ242</f>
        <v>0.41000000000000014</v>
      </c>
      <c r="AM242" s="33">
        <f t="shared" si="76"/>
        <v>0.85000000000000009</v>
      </c>
      <c r="AN242" s="1">
        <f t="shared" si="98"/>
        <v>0.71014083110323956</v>
      </c>
      <c r="AO242" s="1">
        <f t="shared" ref="AO242:AO243" si="121">AM242/AN242</f>
        <v>1.1969456800272733</v>
      </c>
      <c r="AP242" s="1">
        <f t="shared" si="99"/>
        <v>0.78605658007799595</v>
      </c>
      <c r="AQ242" s="1">
        <f t="shared" si="100"/>
        <v>0.8</v>
      </c>
      <c r="AR242" s="1">
        <f t="shared" ref="AR242:AR243" si="122">AO242*AQ242</f>
        <v>0.95755654402181867</v>
      </c>
      <c r="AS242" s="1">
        <f t="shared" ref="AS242:AS243" si="123">SQRT(AP242*AQ242^2)</f>
        <v>0.70927865557192504</v>
      </c>
      <c r="AV242" s="1" t="s">
        <v>3539</v>
      </c>
    </row>
    <row r="243" spans="1:48" ht="14.25" customHeight="1">
      <c r="A243" s="4">
        <v>133</v>
      </c>
      <c r="C243" s="4" t="s">
        <v>780</v>
      </c>
      <c r="D243" s="1" t="s">
        <v>2889</v>
      </c>
      <c r="E243" s="1">
        <v>2004</v>
      </c>
      <c r="F243" s="1">
        <v>1996</v>
      </c>
      <c r="G243" s="1" t="s">
        <v>3025</v>
      </c>
      <c r="H243" s="1" t="s">
        <v>3019</v>
      </c>
      <c r="I243" s="1">
        <v>39.833232000000002</v>
      </c>
      <c r="J243" s="1">
        <v>-74.387434999999996</v>
      </c>
      <c r="K243" s="1" t="s">
        <v>3001</v>
      </c>
      <c r="L243" s="1" t="s">
        <v>3100</v>
      </c>
      <c r="M243" s="1" t="s">
        <v>3126</v>
      </c>
      <c r="N243" s="1" t="s">
        <v>3303</v>
      </c>
      <c r="O243" s="1" t="s">
        <v>3305</v>
      </c>
      <c r="P243" s="1" t="s">
        <v>2948</v>
      </c>
      <c r="Q243" s="1" t="s">
        <v>3161</v>
      </c>
      <c r="R243" s="1" t="s">
        <v>2903</v>
      </c>
      <c r="S243" s="1">
        <v>1996</v>
      </c>
      <c r="T243" s="1" t="s">
        <v>3056</v>
      </c>
      <c r="V243" s="1" t="s">
        <v>36</v>
      </c>
      <c r="W243" s="1">
        <v>3</v>
      </c>
      <c r="X243" s="1">
        <v>3</v>
      </c>
      <c r="Y243" s="1" t="s">
        <v>2994</v>
      </c>
      <c r="Z243" s="1" t="s">
        <v>3210</v>
      </c>
      <c r="AA243" s="1" t="s">
        <v>20</v>
      </c>
      <c r="AB243" s="1" t="s">
        <v>3035</v>
      </c>
      <c r="AC243" s="1" t="s">
        <v>36</v>
      </c>
      <c r="AD243" s="1" t="s">
        <v>36</v>
      </c>
      <c r="AE243" s="1" t="s">
        <v>36</v>
      </c>
      <c r="AF243" s="1" t="s">
        <v>3515</v>
      </c>
      <c r="AG243" s="1">
        <v>2.68</v>
      </c>
      <c r="AH243" s="1">
        <f t="shared" si="111"/>
        <v>0.3983716857408417</v>
      </c>
      <c r="AI243" s="1">
        <f>2.91-AG243</f>
        <v>0.22999999999999998</v>
      </c>
      <c r="AJ243" s="1">
        <v>1.67</v>
      </c>
      <c r="AK243" s="1">
        <f t="shared" si="104"/>
        <v>0.38105117766515295</v>
      </c>
      <c r="AL243" s="1">
        <f>1.89-AJ243</f>
        <v>0.21999999999999997</v>
      </c>
      <c r="AM243" s="33">
        <f t="shared" si="76"/>
        <v>1.0100000000000002</v>
      </c>
      <c r="AN243" s="1">
        <f t="shared" si="98"/>
        <v>0.38980764487115943</v>
      </c>
      <c r="AO243" s="1">
        <f t="shared" si="121"/>
        <v>2.5910215289231409</v>
      </c>
      <c r="AP243" s="1">
        <f t="shared" si="99"/>
        <v>1.2261160469452674</v>
      </c>
      <c r="AQ243" s="1">
        <f t="shared" si="100"/>
        <v>0.8</v>
      </c>
      <c r="AR243" s="1">
        <f t="shared" si="122"/>
        <v>2.0728172231385127</v>
      </c>
      <c r="AS243" s="1">
        <f t="shared" si="123"/>
        <v>0.8858409959157294</v>
      </c>
      <c r="AV243" s="1" t="s">
        <v>3539</v>
      </c>
    </row>
    <row r="244" spans="1:48" ht="14.25" customHeight="1">
      <c r="A244" s="4">
        <v>133</v>
      </c>
      <c r="C244" s="4" t="s">
        <v>780</v>
      </c>
      <c r="D244" s="1" t="s">
        <v>2889</v>
      </c>
      <c r="E244" s="1">
        <v>2004</v>
      </c>
      <c r="F244" s="1">
        <v>1996</v>
      </c>
      <c r="G244" s="1" t="s">
        <v>3025</v>
      </c>
      <c r="H244" s="1" t="s">
        <v>3019</v>
      </c>
      <c r="I244" s="1">
        <v>39.833232000000002</v>
      </c>
      <c r="J244" s="1">
        <v>-74.387434999999996</v>
      </c>
      <c r="K244" s="1" t="s">
        <v>3001</v>
      </c>
      <c r="L244" s="1" t="s">
        <v>3100</v>
      </c>
      <c r="M244" s="1" t="s">
        <v>3126</v>
      </c>
      <c r="N244" s="1" t="s">
        <v>3303</v>
      </c>
      <c r="O244" s="1" t="s">
        <v>3305</v>
      </c>
      <c r="P244" s="1" t="s">
        <v>2948</v>
      </c>
      <c r="Q244" s="1" t="s">
        <v>3033</v>
      </c>
      <c r="R244" s="1" t="s">
        <v>2903</v>
      </c>
      <c r="S244" s="1">
        <v>1996</v>
      </c>
      <c r="T244" s="1" t="s">
        <v>3056</v>
      </c>
      <c r="V244" s="1" t="s">
        <v>36</v>
      </c>
      <c r="W244" s="1">
        <v>3</v>
      </c>
      <c r="X244" s="1">
        <v>3</v>
      </c>
      <c r="Y244" s="1" t="s">
        <v>2994</v>
      </c>
      <c r="Z244" s="1" t="s">
        <v>3210</v>
      </c>
      <c r="AA244" s="1" t="s">
        <v>20</v>
      </c>
      <c r="AB244" s="1" t="s">
        <v>3035</v>
      </c>
      <c r="AC244" s="1" t="s">
        <v>36</v>
      </c>
      <c r="AD244" s="1" t="s">
        <v>36</v>
      </c>
      <c r="AE244" s="1" t="s">
        <v>36</v>
      </c>
      <c r="AF244" s="1" t="s">
        <v>3554</v>
      </c>
      <c r="AG244" s="1">
        <v>153.85</v>
      </c>
      <c r="AH244" s="1">
        <f t="shared" si="111"/>
        <v>63.271816000491086</v>
      </c>
      <c r="AI244" s="1">
        <f>190.38-AG244</f>
        <v>36.53</v>
      </c>
      <c r="AJ244" s="1">
        <v>228.85</v>
      </c>
      <c r="AK244" s="1">
        <f t="shared" si="104"/>
        <v>56.620740899426643</v>
      </c>
      <c r="AL244" s="1">
        <f>261.54-AJ244</f>
        <v>32.690000000000026</v>
      </c>
      <c r="AM244" s="33">
        <f t="shared" si="76"/>
        <v>-75</v>
      </c>
      <c r="AN244" s="1">
        <f t="shared" si="98"/>
        <v>60.038450179863922</v>
      </c>
      <c r="AO244" s="1">
        <f t="shared" si="105"/>
        <v>-1.2491994675964166</v>
      </c>
      <c r="AP244" s="1">
        <f t="shared" si="99"/>
        <v>0.79670827582026416</v>
      </c>
      <c r="AQ244" s="1">
        <f t="shared" si="100"/>
        <v>0.8</v>
      </c>
      <c r="AR244" s="1">
        <f t="shared" si="106"/>
        <v>-0.99935957407713338</v>
      </c>
      <c r="AS244" s="1">
        <f t="shared" si="107"/>
        <v>0.71406813157076909</v>
      </c>
      <c r="AV244" s="1" t="s">
        <v>3539</v>
      </c>
    </row>
    <row r="245" spans="1:48" ht="14.25" customHeight="1">
      <c r="A245" s="4">
        <v>133</v>
      </c>
      <c r="C245" s="4" t="s">
        <v>780</v>
      </c>
      <c r="D245" s="1" t="s">
        <v>2889</v>
      </c>
      <c r="E245" s="1">
        <v>2004</v>
      </c>
      <c r="F245" s="1">
        <v>1996</v>
      </c>
      <c r="G245" s="1" t="s">
        <v>3025</v>
      </c>
      <c r="H245" s="1" t="s">
        <v>3019</v>
      </c>
      <c r="I245" s="1">
        <v>39.833232000000002</v>
      </c>
      <c r="J245" s="1">
        <v>-74.387434999999996</v>
      </c>
      <c r="K245" s="1" t="s">
        <v>3001</v>
      </c>
      <c r="L245" s="1" t="s">
        <v>3100</v>
      </c>
      <c r="M245" s="1" t="s">
        <v>3126</v>
      </c>
      <c r="N245" s="1" t="s">
        <v>3303</v>
      </c>
      <c r="O245" s="1" t="s">
        <v>3305</v>
      </c>
      <c r="P245" s="1" t="s">
        <v>2948</v>
      </c>
      <c r="Q245" s="1" t="s">
        <v>3033</v>
      </c>
      <c r="R245" s="1" t="s">
        <v>2903</v>
      </c>
      <c r="S245" s="1">
        <v>1996</v>
      </c>
      <c r="T245" s="1" t="s">
        <v>3056</v>
      </c>
      <c r="V245" s="1" t="s">
        <v>36</v>
      </c>
      <c r="W245" s="1">
        <v>3</v>
      </c>
      <c r="X245" s="1">
        <v>3</v>
      </c>
      <c r="Y245" s="1" t="s">
        <v>2994</v>
      </c>
      <c r="Z245" s="1" t="s">
        <v>3210</v>
      </c>
      <c r="AA245" s="1" t="s">
        <v>20</v>
      </c>
      <c r="AB245" s="1" t="s">
        <v>3035</v>
      </c>
      <c r="AC245" s="1" t="s">
        <v>36</v>
      </c>
      <c r="AD245" s="1" t="s">
        <v>36</v>
      </c>
      <c r="AE245" s="1" t="s">
        <v>36</v>
      </c>
      <c r="AF245" s="1" t="s">
        <v>3213</v>
      </c>
      <c r="AG245" s="1">
        <v>2.66</v>
      </c>
      <c r="AH245" s="1">
        <f t="shared" si="111"/>
        <v>0.71014083110323911</v>
      </c>
      <c r="AI245" s="1">
        <f>3.07-AG245</f>
        <v>0.4099999999999997</v>
      </c>
      <c r="AJ245" s="1">
        <v>3.99</v>
      </c>
      <c r="AK245" s="1">
        <f t="shared" si="104"/>
        <v>0.9353074360871938</v>
      </c>
      <c r="AL245" s="1">
        <f>4.53-AJ245</f>
        <v>0.54</v>
      </c>
      <c r="AM245" s="33">
        <f t="shared" si="76"/>
        <v>-1.33</v>
      </c>
      <c r="AN245" s="1">
        <f t="shared" si="98"/>
        <v>0.83039147394466883</v>
      </c>
      <c r="AO245" s="1">
        <f t="shared" ref="AO245:AO246" si="124">AM245/AN245</f>
        <v>-1.6016542097692847</v>
      </c>
      <c r="AP245" s="1">
        <f t="shared" si="99"/>
        <v>0.88044135063930595</v>
      </c>
      <c r="AQ245" s="1">
        <f t="shared" si="100"/>
        <v>0.8</v>
      </c>
      <c r="AR245" s="1">
        <f t="shared" ref="AR245:AR246" si="125">AO245*AQ245</f>
        <v>-1.2813233678154279</v>
      </c>
      <c r="AS245" s="1">
        <f t="shared" ref="AS245:AS246" si="126">SQRT(AP245*AQ245^2)</f>
        <v>0.75065469052631384</v>
      </c>
      <c r="AV245" s="1" t="s">
        <v>3539</v>
      </c>
    </row>
    <row r="246" spans="1:48" ht="14.25" customHeight="1">
      <c r="A246" s="4">
        <v>133</v>
      </c>
      <c r="C246" s="4" t="s">
        <v>780</v>
      </c>
      <c r="D246" s="1" t="s">
        <v>2889</v>
      </c>
      <c r="E246" s="1">
        <v>2004</v>
      </c>
      <c r="F246" s="1">
        <v>1996</v>
      </c>
      <c r="G246" s="1" t="s">
        <v>3025</v>
      </c>
      <c r="H246" s="1" t="s">
        <v>3019</v>
      </c>
      <c r="I246" s="1">
        <v>39.833232000000002</v>
      </c>
      <c r="J246" s="1">
        <v>-74.387434999999996</v>
      </c>
      <c r="K246" s="1" t="s">
        <v>3001</v>
      </c>
      <c r="L246" s="1" t="s">
        <v>3100</v>
      </c>
      <c r="M246" s="1" t="s">
        <v>3126</v>
      </c>
      <c r="N246" s="1" t="s">
        <v>3303</v>
      </c>
      <c r="O246" s="1" t="s">
        <v>3305</v>
      </c>
      <c r="P246" s="1" t="s">
        <v>2948</v>
      </c>
      <c r="Q246" s="1" t="s">
        <v>3033</v>
      </c>
      <c r="R246" s="1" t="s">
        <v>2903</v>
      </c>
      <c r="S246" s="1">
        <v>1996</v>
      </c>
      <c r="T246" s="1" t="s">
        <v>3056</v>
      </c>
      <c r="V246" s="1" t="s">
        <v>36</v>
      </c>
      <c r="W246" s="1">
        <v>3</v>
      </c>
      <c r="X246" s="1">
        <v>3</v>
      </c>
      <c r="Y246" s="1" t="s">
        <v>2994</v>
      </c>
      <c r="Z246" s="1" t="s">
        <v>3210</v>
      </c>
      <c r="AA246" s="1" t="s">
        <v>20</v>
      </c>
      <c r="AB246" s="1" t="s">
        <v>3035</v>
      </c>
      <c r="AC246" s="1" t="s">
        <v>36</v>
      </c>
      <c r="AD246" s="1" t="s">
        <v>36</v>
      </c>
      <c r="AE246" s="1" t="s">
        <v>36</v>
      </c>
      <c r="AF246" s="1" t="s">
        <v>3515</v>
      </c>
      <c r="AG246" s="1">
        <v>1.89</v>
      </c>
      <c r="AH246" s="1">
        <f t="shared" si="111"/>
        <v>0.39837168574084209</v>
      </c>
      <c r="AI246" s="1">
        <f>2.12-AG246</f>
        <v>0.2300000000000002</v>
      </c>
      <c r="AJ246" s="1">
        <v>2.04</v>
      </c>
      <c r="AK246" s="1">
        <f t="shared" si="104"/>
        <v>0.3983716857408417</v>
      </c>
      <c r="AL246" s="1">
        <f>2.27-AJ246</f>
        <v>0.22999999999999998</v>
      </c>
      <c r="AM246" s="33">
        <f t="shared" si="76"/>
        <v>-0.15000000000000013</v>
      </c>
      <c r="AN246" s="1">
        <f t="shared" si="98"/>
        <v>0.39837168574084192</v>
      </c>
      <c r="AO246" s="1">
        <f t="shared" si="124"/>
        <v>-0.37653278425410397</v>
      </c>
      <c r="AP246" s="1">
        <f t="shared" si="99"/>
        <v>0.67848141146817897</v>
      </c>
      <c r="AQ246" s="1">
        <f t="shared" si="100"/>
        <v>0.8</v>
      </c>
      <c r="AR246" s="1">
        <f t="shared" si="125"/>
        <v>-0.3012262274032832</v>
      </c>
      <c r="AS246" s="1">
        <f t="shared" si="126"/>
        <v>0.65895986474111956</v>
      </c>
      <c r="AV246" s="1" t="s">
        <v>3539</v>
      </c>
    </row>
    <row r="247" spans="1:48" ht="14.25" customHeight="1">
      <c r="A247" s="14">
        <v>8</v>
      </c>
      <c r="B247" s="14"/>
      <c r="C247" s="14" t="s">
        <v>62</v>
      </c>
      <c r="D247" s="14" t="s">
        <v>2889</v>
      </c>
      <c r="E247" s="14">
        <v>2007</v>
      </c>
      <c r="F247" s="14">
        <v>2004</v>
      </c>
      <c r="G247" s="14" t="s">
        <v>3048</v>
      </c>
      <c r="H247" s="14"/>
      <c r="I247" s="14">
        <v>53.939925000000002</v>
      </c>
      <c r="J247" s="14">
        <v>-124.687579</v>
      </c>
      <c r="K247" s="14" t="s">
        <v>3001</v>
      </c>
      <c r="L247" s="14" t="s">
        <v>3098</v>
      </c>
      <c r="M247" s="14" t="s">
        <v>3099</v>
      </c>
      <c r="N247" s="14" t="s">
        <v>3303</v>
      </c>
      <c r="O247" s="14" t="s">
        <v>3305</v>
      </c>
      <c r="P247" s="14" t="s">
        <v>2890</v>
      </c>
      <c r="Q247" s="14"/>
      <c r="R247" s="14" t="s">
        <v>2903</v>
      </c>
      <c r="S247" s="14"/>
      <c r="T247" s="14"/>
      <c r="U247" s="14"/>
      <c r="V247" s="14"/>
      <c r="W247" s="14"/>
      <c r="X247" s="14"/>
      <c r="Y247" s="14" t="s">
        <v>2994</v>
      </c>
      <c r="Z247" s="14" t="s">
        <v>3034</v>
      </c>
      <c r="AA247" s="14"/>
      <c r="AB247" s="14"/>
      <c r="AC247" s="14"/>
      <c r="AD247" s="14"/>
      <c r="AE247" s="14"/>
      <c r="AF247" s="14"/>
      <c r="AM247" s="33">
        <f t="shared" si="76"/>
        <v>0</v>
      </c>
      <c r="AN247" s="1">
        <f t="shared" si="98"/>
        <v>0</v>
      </c>
      <c r="AO247" s="1" t="e">
        <f t="shared" si="105"/>
        <v>#DIV/0!</v>
      </c>
      <c r="AP247" s="1" t="e">
        <f t="shared" si="99"/>
        <v>#DIV/0!</v>
      </c>
      <c r="AQ247" s="1">
        <f t="shared" si="100"/>
        <v>1.3333333333333333</v>
      </c>
      <c r="AR247" s="1" t="e">
        <f t="shared" si="106"/>
        <v>#DIV/0!</v>
      </c>
      <c r="AS247" s="1" t="e">
        <f t="shared" si="107"/>
        <v>#DIV/0!</v>
      </c>
      <c r="AV247" s="1" t="s">
        <v>3539</v>
      </c>
    </row>
    <row r="248" spans="1:48" ht="14.25" customHeight="1">
      <c r="A248" s="14">
        <v>1</v>
      </c>
      <c r="B248" s="14"/>
      <c r="C248" s="14" t="s">
        <v>13</v>
      </c>
      <c r="D248" s="14" t="s">
        <v>2889</v>
      </c>
      <c r="E248" s="14">
        <v>2009</v>
      </c>
      <c r="F248" s="14"/>
      <c r="G248" s="14" t="s">
        <v>3048</v>
      </c>
      <c r="H248" s="14"/>
      <c r="I248" s="14">
        <v>53.939925000000002</v>
      </c>
      <c r="J248" s="14">
        <v>-124.687579</v>
      </c>
      <c r="K248" s="14" t="s">
        <v>3001</v>
      </c>
      <c r="L248" s="14" t="s">
        <v>3098</v>
      </c>
      <c r="M248" s="14" t="s">
        <v>3099</v>
      </c>
      <c r="N248" s="14" t="s">
        <v>3303</v>
      </c>
      <c r="O248" s="14"/>
      <c r="P248" s="14" t="s">
        <v>2890</v>
      </c>
      <c r="Q248" s="14"/>
      <c r="R248" s="14"/>
      <c r="S248" s="14"/>
      <c r="T248" s="14"/>
      <c r="U248" s="14"/>
      <c r="V248" s="14"/>
      <c r="W248" s="14"/>
      <c r="X248" s="14"/>
      <c r="Y248" s="14" t="s">
        <v>2994</v>
      </c>
      <c r="Z248" s="14" t="s">
        <v>3264</v>
      </c>
      <c r="AA248" s="14"/>
      <c r="AB248" s="14" t="s">
        <v>36</v>
      </c>
      <c r="AC248" s="14"/>
      <c r="AD248" s="14"/>
      <c r="AE248" s="14"/>
      <c r="AF248" s="14"/>
      <c r="AJ248" s="1">
        <v>6583</v>
      </c>
      <c r="AM248" s="33">
        <f t="shared" si="76"/>
        <v>-6583</v>
      </c>
      <c r="AN248" s="1">
        <f t="shared" si="98"/>
        <v>0</v>
      </c>
      <c r="AO248" s="1" t="e">
        <f t="shared" si="105"/>
        <v>#DIV/0!</v>
      </c>
      <c r="AP248" s="1" t="e">
        <f t="shared" si="99"/>
        <v>#DIV/0!</v>
      </c>
      <c r="AQ248" s="1">
        <f t="shared" si="100"/>
        <v>1.3333333333333333</v>
      </c>
      <c r="AR248" s="1" t="e">
        <f t="shared" si="106"/>
        <v>#DIV/0!</v>
      </c>
      <c r="AS248" s="1" t="e">
        <f t="shared" si="107"/>
        <v>#DIV/0!</v>
      </c>
      <c r="AV248" s="1" t="s">
        <v>3539</v>
      </c>
    </row>
    <row r="249" spans="1:48" ht="14.25" customHeight="1">
      <c r="A249" s="14">
        <v>1</v>
      </c>
      <c r="B249" s="14"/>
      <c r="C249" s="14" t="s">
        <v>13</v>
      </c>
      <c r="D249" s="14" t="s">
        <v>2889</v>
      </c>
      <c r="E249" s="14">
        <v>2009</v>
      </c>
      <c r="F249" s="14"/>
      <c r="G249" s="14" t="s">
        <v>3048</v>
      </c>
      <c r="H249" s="14"/>
      <c r="I249" s="14">
        <v>53.939925000000002</v>
      </c>
      <c r="J249" s="14">
        <v>-124.687579</v>
      </c>
      <c r="K249" s="14" t="s">
        <v>3001</v>
      </c>
      <c r="L249" s="14" t="s">
        <v>3098</v>
      </c>
      <c r="M249" s="14" t="s">
        <v>3099</v>
      </c>
      <c r="N249" s="14" t="s">
        <v>3303</v>
      </c>
      <c r="O249" s="14"/>
      <c r="P249" s="14" t="s">
        <v>2890</v>
      </c>
      <c r="Q249" s="14"/>
      <c r="R249" s="14"/>
      <c r="S249" s="14"/>
      <c r="T249" s="14"/>
      <c r="U249" s="14"/>
      <c r="V249" s="14"/>
      <c r="W249" s="14"/>
      <c r="X249" s="14"/>
      <c r="Y249" s="14" t="s">
        <v>2994</v>
      </c>
      <c r="Z249" s="14" t="s">
        <v>3264</v>
      </c>
      <c r="AA249" s="14"/>
      <c r="AB249" s="14" t="s">
        <v>36</v>
      </c>
      <c r="AC249" s="14"/>
      <c r="AD249" s="14"/>
      <c r="AE249" s="14"/>
      <c r="AF249" s="14"/>
      <c r="AJ249" s="1">
        <v>68</v>
      </c>
      <c r="AM249" s="33">
        <f t="shared" si="76"/>
        <v>-68</v>
      </c>
      <c r="AN249" s="1">
        <f t="shared" si="98"/>
        <v>0</v>
      </c>
      <c r="AO249" s="1" t="e">
        <f t="shared" si="105"/>
        <v>#DIV/0!</v>
      </c>
      <c r="AP249" s="1" t="e">
        <f t="shared" si="99"/>
        <v>#DIV/0!</v>
      </c>
      <c r="AQ249" s="1">
        <f t="shared" si="100"/>
        <v>1.3333333333333333</v>
      </c>
      <c r="AR249" s="1" t="e">
        <f t="shared" si="106"/>
        <v>#DIV/0!</v>
      </c>
      <c r="AS249" s="1" t="e">
        <f t="shared" si="107"/>
        <v>#DIV/0!</v>
      </c>
      <c r="AV249" s="1" t="s">
        <v>3539</v>
      </c>
    </row>
    <row r="250" spans="1:48" ht="14.25" customHeight="1">
      <c r="A250" s="4">
        <v>192</v>
      </c>
      <c r="C250" s="4" t="s">
        <v>1095</v>
      </c>
      <c r="D250" s="1" t="s">
        <v>2901</v>
      </c>
      <c r="E250" s="1">
        <v>2016</v>
      </c>
      <c r="F250" s="1">
        <v>2009</v>
      </c>
      <c r="G250" s="1" t="s">
        <v>2946</v>
      </c>
      <c r="H250" s="1" t="s">
        <v>2928</v>
      </c>
      <c r="I250" s="1">
        <v>41.511228000000003</v>
      </c>
      <c r="J250" s="1" t="s">
        <v>3143</v>
      </c>
      <c r="K250" s="1" t="s">
        <v>3001</v>
      </c>
      <c r="L250" s="1" t="s">
        <v>3100</v>
      </c>
      <c r="M250" s="1" t="s">
        <v>3101</v>
      </c>
      <c r="N250" s="1" t="s">
        <v>3303</v>
      </c>
      <c r="P250" s="1" t="s">
        <v>2890</v>
      </c>
      <c r="Q250" s="1" t="s">
        <v>3033</v>
      </c>
      <c r="R250" s="1" t="s">
        <v>2903</v>
      </c>
      <c r="S250" s="1">
        <v>2008</v>
      </c>
      <c r="V250" s="1">
        <v>1200</v>
      </c>
      <c r="Y250" s="1" t="s">
        <v>2994</v>
      </c>
      <c r="Z250" s="1" t="s">
        <v>3265</v>
      </c>
      <c r="AA250" s="1" t="s">
        <v>22</v>
      </c>
      <c r="AB250" s="1" t="s">
        <v>36</v>
      </c>
      <c r="AM250" s="33">
        <f t="shared" si="76"/>
        <v>0</v>
      </c>
      <c r="AN250" s="1">
        <f t="shared" si="98"/>
        <v>0</v>
      </c>
      <c r="AO250" s="1" t="e">
        <f t="shared" si="105"/>
        <v>#DIV/0!</v>
      </c>
      <c r="AP250" s="1" t="e">
        <f t="shared" si="99"/>
        <v>#DIV/0!</v>
      </c>
      <c r="AQ250" s="1">
        <f t="shared" si="100"/>
        <v>1.3333333333333333</v>
      </c>
      <c r="AR250" s="1" t="e">
        <f t="shared" si="106"/>
        <v>#DIV/0!</v>
      </c>
      <c r="AS250" s="1" t="e">
        <f t="shared" si="107"/>
        <v>#DIV/0!</v>
      </c>
      <c r="AV250" s="1" t="s">
        <v>3539</v>
      </c>
    </row>
    <row r="251" spans="1:48" ht="14.25" customHeight="1">
      <c r="A251" s="4">
        <v>192</v>
      </c>
      <c r="C251" s="4" t="s">
        <v>1095</v>
      </c>
      <c r="D251" s="1" t="s">
        <v>2901</v>
      </c>
      <c r="E251" s="1">
        <v>2016</v>
      </c>
      <c r="F251" s="1">
        <v>2009</v>
      </c>
      <c r="G251" s="1" t="s">
        <v>2946</v>
      </c>
      <c r="H251" s="1" t="s">
        <v>2928</v>
      </c>
      <c r="I251" s="1">
        <v>41.511228000000003</v>
      </c>
      <c r="J251" s="1" t="s">
        <v>3143</v>
      </c>
      <c r="K251" s="1" t="s">
        <v>3001</v>
      </c>
      <c r="L251" s="1" t="s">
        <v>3100</v>
      </c>
      <c r="M251" s="1" t="s">
        <v>3101</v>
      </c>
      <c r="N251" s="1" t="s">
        <v>3303</v>
      </c>
      <c r="P251" s="1" t="s">
        <v>2890</v>
      </c>
      <c r="Q251" s="1" t="s">
        <v>2983</v>
      </c>
      <c r="R251" s="1" t="s">
        <v>2903</v>
      </c>
      <c r="S251" s="1">
        <v>2008</v>
      </c>
      <c r="V251" s="1">
        <v>1200</v>
      </c>
      <c r="Y251" s="1" t="s">
        <v>2994</v>
      </c>
      <c r="Z251" s="1" t="s">
        <v>3265</v>
      </c>
      <c r="AA251" s="1" t="s">
        <v>22</v>
      </c>
      <c r="AB251" s="1" t="s">
        <v>36</v>
      </c>
      <c r="AM251" s="33">
        <f t="shared" ref="AM251:AM277" si="127">AG251-AJ251</f>
        <v>0</v>
      </c>
      <c r="AN251" s="1">
        <f t="shared" si="98"/>
        <v>0</v>
      </c>
      <c r="AO251" s="1" t="e">
        <f t="shared" si="105"/>
        <v>#DIV/0!</v>
      </c>
      <c r="AP251" s="1" t="e">
        <f t="shared" si="99"/>
        <v>#DIV/0!</v>
      </c>
      <c r="AQ251" s="1">
        <f t="shared" si="100"/>
        <v>1.3333333333333333</v>
      </c>
      <c r="AR251" s="1" t="e">
        <f t="shared" si="106"/>
        <v>#DIV/0!</v>
      </c>
      <c r="AS251" s="1" t="e">
        <f t="shared" si="107"/>
        <v>#DIV/0!</v>
      </c>
      <c r="AV251" s="1" t="s">
        <v>3539</v>
      </c>
    </row>
    <row r="252" spans="1:48" ht="14.25" customHeight="1">
      <c r="A252" s="4">
        <v>327</v>
      </c>
      <c r="C252" s="4" t="s">
        <v>1735</v>
      </c>
      <c r="D252" s="1" t="s">
        <v>2889</v>
      </c>
      <c r="E252" s="1">
        <v>2022</v>
      </c>
      <c r="F252" s="1">
        <v>2020</v>
      </c>
      <c r="G252" s="1" t="s">
        <v>2946</v>
      </c>
      <c r="H252" s="1" t="s">
        <v>2928</v>
      </c>
      <c r="I252" s="1">
        <v>40.578930999999997</v>
      </c>
      <c r="J252" s="1">
        <v>-2.0713569999999999</v>
      </c>
      <c r="K252" s="1" t="s">
        <v>2971</v>
      </c>
      <c r="L252" s="1" t="s">
        <v>3100</v>
      </c>
      <c r="M252" s="1" t="s">
        <v>3117</v>
      </c>
      <c r="N252" s="1" t="s">
        <v>3303</v>
      </c>
      <c r="O252" s="1" t="s">
        <v>3305</v>
      </c>
      <c r="P252" s="1" t="s">
        <v>2948</v>
      </c>
      <c r="Q252" s="1" t="s">
        <v>36</v>
      </c>
      <c r="R252" s="1" t="s">
        <v>2903</v>
      </c>
      <c r="S252" s="1">
        <v>2016</v>
      </c>
      <c r="T252" s="1">
        <v>4</v>
      </c>
      <c r="Y252" s="1" t="s">
        <v>2911</v>
      </c>
      <c r="Z252" s="1" t="s">
        <v>2955</v>
      </c>
      <c r="AA252" s="1" t="s">
        <v>22</v>
      </c>
      <c r="AB252" s="1" t="s">
        <v>2912</v>
      </c>
      <c r="AC252" s="1" t="s">
        <v>3134</v>
      </c>
      <c r="AD252" s="1" t="s">
        <v>2929</v>
      </c>
      <c r="AE252" s="1" t="s">
        <v>2917</v>
      </c>
      <c r="AM252" s="33">
        <f t="shared" si="127"/>
        <v>0</v>
      </c>
      <c r="AN252" s="1">
        <f t="shared" si="98"/>
        <v>0</v>
      </c>
      <c r="AO252" s="1" t="e">
        <f t="shared" si="105"/>
        <v>#DIV/0!</v>
      </c>
      <c r="AP252" s="1" t="e">
        <f t="shared" si="99"/>
        <v>#DIV/0!</v>
      </c>
      <c r="AQ252" s="1">
        <f t="shared" si="100"/>
        <v>1.3333333333333333</v>
      </c>
      <c r="AR252" s="1" t="e">
        <f t="shared" si="106"/>
        <v>#DIV/0!</v>
      </c>
      <c r="AS252" s="1" t="e">
        <f t="shared" si="107"/>
        <v>#DIV/0!</v>
      </c>
      <c r="AV252" s="1" t="s">
        <v>3539</v>
      </c>
    </row>
    <row r="253" spans="1:48" ht="14.25" customHeight="1">
      <c r="A253" s="4">
        <v>491</v>
      </c>
      <c r="C253" s="4" t="s">
        <v>2494</v>
      </c>
      <c r="D253" s="1" t="s">
        <v>2889</v>
      </c>
      <c r="E253" s="1">
        <v>2004</v>
      </c>
      <c r="F253" s="1" t="s">
        <v>2945</v>
      </c>
      <c r="G253" s="1" t="s">
        <v>2910</v>
      </c>
      <c r="H253" s="1" t="s">
        <v>2961</v>
      </c>
      <c r="I253" s="1">
        <v>-17.016667000000002</v>
      </c>
      <c r="J253" s="1">
        <v>145.58333300000001</v>
      </c>
      <c r="K253" s="1" t="s">
        <v>2962</v>
      </c>
      <c r="L253" s="1" t="s">
        <v>2931</v>
      </c>
      <c r="N253" s="1" t="s">
        <v>3303</v>
      </c>
      <c r="P253" s="1" t="s">
        <v>2948</v>
      </c>
      <c r="Q253" s="1" t="s">
        <v>2963</v>
      </c>
      <c r="R253" s="1" t="s">
        <v>2903</v>
      </c>
      <c r="S253" s="1" t="s">
        <v>2945</v>
      </c>
      <c r="T253" s="1" t="s">
        <v>2952</v>
      </c>
      <c r="V253" s="1" t="s">
        <v>2964</v>
      </c>
      <c r="Y253" s="1" t="s">
        <v>2933</v>
      </c>
      <c r="Z253" s="1" t="s">
        <v>36</v>
      </c>
      <c r="AA253" s="1" t="s">
        <v>20</v>
      </c>
      <c r="AB253" s="1" t="s">
        <v>2932</v>
      </c>
      <c r="AM253" s="33">
        <f t="shared" si="127"/>
        <v>0</v>
      </c>
      <c r="AN253" s="1">
        <f t="shared" si="98"/>
        <v>0</v>
      </c>
      <c r="AO253" s="1" t="e">
        <f t="shared" si="105"/>
        <v>#DIV/0!</v>
      </c>
      <c r="AP253" s="1" t="e">
        <f t="shared" si="99"/>
        <v>#DIV/0!</v>
      </c>
      <c r="AQ253" s="1">
        <f t="shared" si="100"/>
        <v>1.3333333333333333</v>
      </c>
      <c r="AR253" s="1" t="e">
        <f t="shared" si="106"/>
        <v>#DIV/0!</v>
      </c>
      <c r="AS253" s="1" t="e">
        <f t="shared" si="107"/>
        <v>#DIV/0!</v>
      </c>
      <c r="AV253" s="1" t="s">
        <v>3539</v>
      </c>
    </row>
    <row r="254" spans="1:48" ht="14.25" customHeight="1">
      <c r="A254" s="4">
        <v>256</v>
      </c>
      <c r="C254" s="4" t="s">
        <v>1413</v>
      </c>
      <c r="D254" s="1" t="s">
        <v>2889</v>
      </c>
      <c r="E254" s="1">
        <v>1995</v>
      </c>
      <c r="G254" s="1" t="s">
        <v>3048</v>
      </c>
      <c r="H254" s="1" t="s">
        <v>3059</v>
      </c>
      <c r="I254" s="1">
        <v>60.016666999999998</v>
      </c>
      <c r="J254" s="1">
        <v>-111.95</v>
      </c>
      <c r="K254" s="1" t="s">
        <v>2968</v>
      </c>
      <c r="L254" s="1" t="s">
        <v>3100</v>
      </c>
      <c r="M254" s="1" t="s">
        <v>3116</v>
      </c>
      <c r="N254" s="1" t="s">
        <v>3303</v>
      </c>
      <c r="P254" s="1" t="s">
        <v>2890</v>
      </c>
      <c r="Q254" s="1" t="s">
        <v>2983</v>
      </c>
      <c r="R254" s="1" t="s">
        <v>2903</v>
      </c>
      <c r="S254" s="1">
        <v>1981</v>
      </c>
      <c r="T254" s="1">
        <v>6</v>
      </c>
      <c r="Y254" s="1" t="s">
        <v>2933</v>
      </c>
      <c r="Z254" s="1" t="s">
        <v>3266</v>
      </c>
      <c r="AB254" s="1" t="s">
        <v>2932</v>
      </c>
      <c r="AC254" s="1" t="s">
        <v>36</v>
      </c>
      <c r="AD254" s="1" t="s">
        <v>36</v>
      </c>
      <c r="AE254" s="1" t="s">
        <v>36</v>
      </c>
      <c r="AM254" s="33">
        <f t="shared" si="127"/>
        <v>0</v>
      </c>
      <c r="AN254" s="1">
        <f t="shared" si="98"/>
        <v>0</v>
      </c>
      <c r="AO254" s="1" t="e">
        <f t="shared" si="105"/>
        <v>#DIV/0!</v>
      </c>
      <c r="AP254" s="1" t="e">
        <f t="shared" si="99"/>
        <v>#DIV/0!</v>
      </c>
      <c r="AQ254" s="1">
        <f t="shared" si="100"/>
        <v>1.3333333333333333</v>
      </c>
      <c r="AR254" s="1" t="e">
        <f t="shared" si="106"/>
        <v>#DIV/0!</v>
      </c>
      <c r="AS254" s="1" t="e">
        <f t="shared" si="107"/>
        <v>#DIV/0!</v>
      </c>
      <c r="AV254" s="1" t="s">
        <v>3539</v>
      </c>
    </row>
    <row r="255" spans="1:48" ht="14.25" customHeight="1">
      <c r="A255" s="4">
        <v>254</v>
      </c>
      <c r="C255" s="4" t="s">
        <v>1405</v>
      </c>
      <c r="D255" s="1" t="s">
        <v>2889</v>
      </c>
      <c r="E255" s="1">
        <v>1994</v>
      </c>
      <c r="G255" s="1" t="s">
        <v>3025</v>
      </c>
      <c r="H255" s="1" t="s">
        <v>2928</v>
      </c>
      <c r="I255" s="1">
        <v>40.4</v>
      </c>
      <c r="J255" s="1">
        <v>-121.083333</v>
      </c>
      <c r="K255" s="1" t="s">
        <v>2962</v>
      </c>
      <c r="L255" s="1" t="s">
        <v>3163</v>
      </c>
      <c r="M255" s="1" t="s">
        <v>3164</v>
      </c>
      <c r="N255" s="1" t="s">
        <v>3303</v>
      </c>
      <c r="P255" s="1" t="s">
        <v>2948</v>
      </c>
      <c r="R255" s="1" t="s">
        <v>2903</v>
      </c>
      <c r="S255" s="1">
        <v>1983</v>
      </c>
      <c r="Y255" s="1" t="s">
        <v>2933</v>
      </c>
      <c r="Z255" s="1" t="s">
        <v>3267</v>
      </c>
      <c r="AA255" s="1" t="s">
        <v>22</v>
      </c>
      <c r="AB255" s="1" t="s">
        <v>2932</v>
      </c>
      <c r="AC255" s="1" t="s">
        <v>36</v>
      </c>
      <c r="AD255" s="1" t="s">
        <v>36</v>
      </c>
      <c r="AE255" s="1" t="s">
        <v>36</v>
      </c>
      <c r="AM255" s="33">
        <f t="shared" si="127"/>
        <v>0</v>
      </c>
      <c r="AN255" s="1">
        <f t="shared" si="98"/>
        <v>0</v>
      </c>
      <c r="AO255" s="1" t="e">
        <f t="shared" si="105"/>
        <v>#DIV/0!</v>
      </c>
      <c r="AP255" s="1" t="e">
        <f t="shared" si="99"/>
        <v>#DIV/0!</v>
      </c>
      <c r="AQ255" s="1">
        <f t="shared" si="100"/>
        <v>1.3333333333333333</v>
      </c>
      <c r="AR255" s="1" t="e">
        <f t="shared" si="106"/>
        <v>#DIV/0!</v>
      </c>
      <c r="AS255" s="1" t="e">
        <f t="shared" si="107"/>
        <v>#DIV/0!</v>
      </c>
      <c r="AV255" s="1" t="s">
        <v>3539</v>
      </c>
    </row>
    <row r="256" spans="1:48" ht="14.25" customHeight="1">
      <c r="A256" s="14">
        <v>448</v>
      </c>
      <c r="B256" s="14"/>
      <c r="C256" s="14" t="s">
        <v>2290</v>
      </c>
      <c r="D256" s="14" t="s">
        <v>2889</v>
      </c>
      <c r="E256" s="14">
        <v>2019</v>
      </c>
      <c r="F256" s="14">
        <v>2015</v>
      </c>
      <c r="G256" s="14" t="s">
        <v>3048</v>
      </c>
      <c r="H256" s="14" t="s">
        <v>2939</v>
      </c>
      <c r="I256" s="14">
        <v>61.96461</v>
      </c>
      <c r="J256" s="14">
        <v>-116.850157</v>
      </c>
      <c r="K256" s="14" t="s">
        <v>2971</v>
      </c>
      <c r="L256" s="14" t="s">
        <v>2919</v>
      </c>
      <c r="M256" s="14" t="s">
        <v>3113</v>
      </c>
      <c r="N256" s="1" t="s">
        <v>3303</v>
      </c>
      <c r="O256" s="14" t="s">
        <v>3305</v>
      </c>
      <c r="P256" s="14" t="s">
        <v>2890</v>
      </c>
      <c r="Q256" s="14"/>
      <c r="R256" s="14" t="s">
        <v>2903</v>
      </c>
      <c r="S256" s="14">
        <v>2014</v>
      </c>
      <c r="T256" s="14">
        <v>1</v>
      </c>
      <c r="U256" s="14"/>
      <c r="V256" s="14" t="s">
        <v>3550</v>
      </c>
      <c r="W256" s="14"/>
      <c r="X256" s="14"/>
      <c r="Y256" s="1" t="s">
        <v>2911</v>
      </c>
      <c r="Z256" s="14">
        <v>13.5</v>
      </c>
      <c r="AA256" s="14" t="s">
        <v>22</v>
      </c>
      <c r="AB256" s="14" t="s">
        <v>2912</v>
      </c>
      <c r="AC256" s="14" t="s">
        <v>3134</v>
      </c>
      <c r="AD256" s="14" t="s">
        <v>2913</v>
      </c>
      <c r="AE256" s="14" t="s">
        <v>2917</v>
      </c>
      <c r="AF256" s="14"/>
      <c r="AJ256" s="14"/>
      <c r="AK256" s="14"/>
      <c r="AL256" s="14"/>
      <c r="AM256" s="33">
        <f t="shared" si="127"/>
        <v>0</v>
      </c>
      <c r="AN256" s="1">
        <f t="shared" si="98"/>
        <v>0</v>
      </c>
      <c r="AO256" s="1" t="e">
        <f t="shared" si="105"/>
        <v>#DIV/0!</v>
      </c>
      <c r="AP256" s="1" t="e">
        <f t="shared" si="99"/>
        <v>#DIV/0!</v>
      </c>
      <c r="AQ256" s="1">
        <f t="shared" si="100"/>
        <v>1.3333333333333333</v>
      </c>
      <c r="AR256" s="1" t="e">
        <f t="shared" si="106"/>
        <v>#DIV/0!</v>
      </c>
      <c r="AS256" s="1" t="e">
        <f t="shared" si="107"/>
        <v>#DIV/0!</v>
      </c>
      <c r="AV256" s="1" t="s">
        <v>3539</v>
      </c>
    </row>
    <row r="257" spans="1:48" ht="14.25" customHeight="1">
      <c r="A257" s="4">
        <v>403</v>
      </c>
      <c r="C257" s="4" t="s">
        <v>2084</v>
      </c>
      <c r="D257" s="1" t="s">
        <v>2889</v>
      </c>
      <c r="E257" s="1">
        <v>2020</v>
      </c>
      <c r="F257" s="1">
        <v>2017</v>
      </c>
      <c r="G257" s="1" t="s">
        <v>3183</v>
      </c>
      <c r="H257" s="1" t="s">
        <v>3068</v>
      </c>
      <c r="I257" s="1">
        <v>50.903193999999999</v>
      </c>
      <c r="J257" s="1">
        <v>121.194889</v>
      </c>
      <c r="K257" s="1" t="s">
        <v>2971</v>
      </c>
      <c r="L257" s="1" t="s">
        <v>3096</v>
      </c>
      <c r="M257" s="1" t="s">
        <v>3097</v>
      </c>
      <c r="N257" s="1" t="s">
        <v>3303</v>
      </c>
      <c r="O257" s="1" t="s">
        <v>3305</v>
      </c>
      <c r="P257" s="1" t="s">
        <v>2890</v>
      </c>
      <c r="Q257" s="1" t="s">
        <v>36</v>
      </c>
      <c r="R257" s="1" t="s">
        <v>2903</v>
      </c>
      <c r="S257" s="1">
        <v>2016</v>
      </c>
      <c r="T257" s="1">
        <v>1</v>
      </c>
      <c r="V257" s="1" t="s">
        <v>36</v>
      </c>
      <c r="W257" s="1">
        <v>4</v>
      </c>
      <c r="X257" s="1">
        <v>4</v>
      </c>
      <c r="Y257" s="1" t="s">
        <v>2911</v>
      </c>
      <c r="Z257" s="1" t="s">
        <v>2985</v>
      </c>
      <c r="AA257" s="1" t="s">
        <v>22</v>
      </c>
      <c r="AB257" s="1" t="s">
        <v>2912</v>
      </c>
      <c r="AC257" s="1" t="s">
        <v>3134</v>
      </c>
      <c r="AD257" s="1" t="s">
        <v>2913</v>
      </c>
      <c r="AE257" s="1" t="s">
        <v>2917</v>
      </c>
      <c r="AF257" s="1" t="s">
        <v>3549</v>
      </c>
      <c r="AM257" s="33">
        <f t="shared" si="127"/>
        <v>0</v>
      </c>
      <c r="AN257" s="1">
        <f t="shared" si="98"/>
        <v>0</v>
      </c>
      <c r="AO257" s="1" t="e">
        <f t="shared" si="105"/>
        <v>#DIV/0!</v>
      </c>
      <c r="AP257" s="1" t="e">
        <f t="shared" si="99"/>
        <v>#DIV/0!</v>
      </c>
      <c r="AQ257" s="1">
        <f t="shared" si="100"/>
        <v>0.86956521739130432</v>
      </c>
      <c r="AR257" s="1" t="e">
        <f t="shared" si="106"/>
        <v>#DIV/0!</v>
      </c>
      <c r="AS257" s="1" t="e">
        <f t="shared" si="107"/>
        <v>#DIV/0!</v>
      </c>
      <c r="AV257" s="1" t="s">
        <v>3539</v>
      </c>
    </row>
    <row r="258" spans="1:48" ht="14.25" customHeight="1">
      <c r="A258" s="4">
        <v>403</v>
      </c>
      <c r="C258" s="4" t="s">
        <v>2084</v>
      </c>
      <c r="D258" s="1" t="s">
        <v>2889</v>
      </c>
      <c r="E258" s="1">
        <v>2020</v>
      </c>
      <c r="F258" s="1">
        <v>2017</v>
      </c>
      <c r="G258" s="1" t="s">
        <v>3183</v>
      </c>
      <c r="H258" s="1" t="s">
        <v>3068</v>
      </c>
      <c r="I258" s="1">
        <v>50.903193999999999</v>
      </c>
      <c r="J258" s="1">
        <v>121.194889</v>
      </c>
      <c r="K258" s="1" t="s">
        <v>2971</v>
      </c>
      <c r="L258" s="1" t="s">
        <v>3096</v>
      </c>
      <c r="M258" s="1" t="s">
        <v>3097</v>
      </c>
      <c r="N258" s="1" t="s">
        <v>3303</v>
      </c>
      <c r="O258" s="1" t="s">
        <v>3305</v>
      </c>
      <c r="P258" s="1" t="s">
        <v>2890</v>
      </c>
      <c r="Q258" s="1" t="s">
        <v>36</v>
      </c>
      <c r="R258" s="1" t="s">
        <v>2903</v>
      </c>
      <c r="S258" s="1">
        <v>2016</v>
      </c>
      <c r="T258" s="1">
        <v>1</v>
      </c>
      <c r="V258" s="1" t="s">
        <v>36</v>
      </c>
      <c r="W258" s="1">
        <v>4</v>
      </c>
      <c r="X258" s="1">
        <v>4</v>
      </c>
      <c r="Y258" s="1" t="s">
        <v>2911</v>
      </c>
      <c r="Z258" s="1" t="s">
        <v>3282</v>
      </c>
      <c r="AA258" s="1" t="s">
        <v>22</v>
      </c>
      <c r="AB258" s="1" t="s">
        <v>2912</v>
      </c>
      <c r="AC258" s="1" t="s">
        <v>3134</v>
      </c>
      <c r="AD258" s="1" t="s">
        <v>2913</v>
      </c>
      <c r="AE258" s="1" t="s">
        <v>2917</v>
      </c>
      <c r="AF258" s="1" t="s">
        <v>3549</v>
      </c>
      <c r="AM258" s="33">
        <f t="shared" si="127"/>
        <v>0</v>
      </c>
      <c r="AN258" s="1">
        <f t="shared" si="98"/>
        <v>0</v>
      </c>
      <c r="AO258" s="1" t="e">
        <f t="shared" si="105"/>
        <v>#DIV/0!</v>
      </c>
      <c r="AP258" s="1" t="e">
        <f t="shared" si="99"/>
        <v>#DIV/0!</v>
      </c>
      <c r="AQ258" s="1">
        <f t="shared" si="100"/>
        <v>0.86956521739130432</v>
      </c>
      <c r="AR258" s="1" t="e">
        <f t="shared" si="106"/>
        <v>#DIV/0!</v>
      </c>
      <c r="AS258" s="1" t="e">
        <f t="shared" si="107"/>
        <v>#DIV/0!</v>
      </c>
      <c r="AV258" s="1" t="s">
        <v>3539</v>
      </c>
    </row>
    <row r="259" spans="1:48" ht="14.25" customHeight="1">
      <c r="A259" s="4">
        <v>403</v>
      </c>
      <c r="C259" s="4" t="s">
        <v>2084</v>
      </c>
      <c r="D259" s="1" t="s">
        <v>2889</v>
      </c>
      <c r="E259" s="1">
        <v>2020</v>
      </c>
      <c r="F259" s="1">
        <v>2017</v>
      </c>
      <c r="G259" s="1" t="s">
        <v>3183</v>
      </c>
      <c r="H259" s="1" t="s">
        <v>3068</v>
      </c>
      <c r="I259" s="1">
        <v>50.903193999999999</v>
      </c>
      <c r="J259" s="1">
        <v>121.194889</v>
      </c>
      <c r="K259" s="1" t="s">
        <v>2971</v>
      </c>
      <c r="L259" s="1" t="s">
        <v>3096</v>
      </c>
      <c r="M259" s="1" t="s">
        <v>3097</v>
      </c>
      <c r="N259" s="1" t="s">
        <v>3303</v>
      </c>
      <c r="O259" s="1" t="s">
        <v>3305</v>
      </c>
      <c r="P259" s="1" t="s">
        <v>2890</v>
      </c>
      <c r="Q259" s="1" t="s">
        <v>36</v>
      </c>
      <c r="R259" s="1" t="s">
        <v>2903</v>
      </c>
      <c r="S259" s="1">
        <v>2016</v>
      </c>
      <c r="T259" s="1">
        <v>1</v>
      </c>
      <c r="V259" s="1" t="s">
        <v>36</v>
      </c>
      <c r="W259" s="1">
        <v>4</v>
      </c>
      <c r="X259" s="1">
        <v>4</v>
      </c>
      <c r="Y259" s="1" t="s">
        <v>2911</v>
      </c>
      <c r="Z259" s="1" t="s">
        <v>3210</v>
      </c>
      <c r="AA259" s="1" t="s">
        <v>22</v>
      </c>
      <c r="AB259" s="1" t="s">
        <v>2912</v>
      </c>
      <c r="AC259" s="1" t="s">
        <v>3134</v>
      </c>
      <c r="AD259" s="1" t="s">
        <v>2913</v>
      </c>
      <c r="AE259" s="1" t="s">
        <v>2917</v>
      </c>
      <c r="AF259" s="1" t="s">
        <v>3549</v>
      </c>
      <c r="AM259" s="33">
        <f t="shared" si="127"/>
        <v>0</v>
      </c>
      <c r="AN259" s="1">
        <f t="shared" si="98"/>
        <v>0</v>
      </c>
      <c r="AO259" s="1" t="e">
        <f t="shared" si="105"/>
        <v>#DIV/0!</v>
      </c>
      <c r="AP259" s="1" t="e">
        <f t="shared" si="99"/>
        <v>#DIV/0!</v>
      </c>
      <c r="AQ259" s="1">
        <f t="shared" si="100"/>
        <v>0.86956521739130432</v>
      </c>
      <c r="AR259" s="1" t="e">
        <f t="shared" si="106"/>
        <v>#DIV/0!</v>
      </c>
      <c r="AS259" s="1" t="e">
        <f t="shared" si="107"/>
        <v>#DIV/0!</v>
      </c>
      <c r="AV259" s="1" t="s">
        <v>3539</v>
      </c>
    </row>
    <row r="260" spans="1:48" ht="14.25" customHeight="1">
      <c r="A260" s="4">
        <v>403</v>
      </c>
      <c r="C260" s="4" t="s">
        <v>2084</v>
      </c>
      <c r="D260" s="1" t="s">
        <v>2889</v>
      </c>
      <c r="E260" s="1">
        <v>2020</v>
      </c>
      <c r="F260" s="1">
        <v>2017</v>
      </c>
      <c r="G260" s="1" t="s">
        <v>3183</v>
      </c>
      <c r="H260" s="1" t="s">
        <v>3068</v>
      </c>
      <c r="I260" s="1">
        <v>50.903193999999999</v>
      </c>
      <c r="J260" s="1">
        <v>121.194889</v>
      </c>
      <c r="K260" s="1" t="s">
        <v>2971</v>
      </c>
      <c r="L260" s="1" t="s">
        <v>3096</v>
      </c>
      <c r="M260" s="1" t="s">
        <v>3097</v>
      </c>
      <c r="N260" s="1" t="s">
        <v>3303</v>
      </c>
      <c r="O260" s="1" t="s">
        <v>3305</v>
      </c>
      <c r="P260" s="1" t="s">
        <v>2890</v>
      </c>
      <c r="Q260" s="1" t="s">
        <v>36</v>
      </c>
      <c r="R260" s="1" t="s">
        <v>2903</v>
      </c>
      <c r="S260" s="1">
        <v>2015</v>
      </c>
      <c r="T260" s="1">
        <v>2</v>
      </c>
      <c r="V260" s="1" t="s">
        <v>36</v>
      </c>
      <c r="W260" s="1">
        <v>4</v>
      </c>
      <c r="X260" s="1">
        <v>4</v>
      </c>
      <c r="Y260" s="1" t="s">
        <v>2911</v>
      </c>
      <c r="Z260" s="1" t="s">
        <v>2985</v>
      </c>
      <c r="AA260" s="1" t="s">
        <v>22</v>
      </c>
      <c r="AB260" s="1" t="s">
        <v>2912</v>
      </c>
      <c r="AC260" s="1" t="s">
        <v>3134</v>
      </c>
      <c r="AD260" s="1" t="s">
        <v>2913</v>
      </c>
      <c r="AE260" s="1" t="s">
        <v>2917</v>
      </c>
      <c r="AF260" s="1" t="s">
        <v>3549</v>
      </c>
      <c r="AM260" s="33">
        <f t="shared" si="127"/>
        <v>0</v>
      </c>
      <c r="AN260" s="1">
        <f t="shared" si="98"/>
        <v>0</v>
      </c>
      <c r="AO260" s="1" t="e">
        <f t="shared" si="105"/>
        <v>#DIV/0!</v>
      </c>
      <c r="AP260" s="1" t="e">
        <f t="shared" si="99"/>
        <v>#DIV/0!</v>
      </c>
      <c r="AQ260" s="1">
        <f t="shared" si="100"/>
        <v>0.86956521739130432</v>
      </c>
      <c r="AR260" s="1" t="e">
        <f t="shared" si="106"/>
        <v>#DIV/0!</v>
      </c>
      <c r="AS260" s="1" t="e">
        <f t="shared" si="107"/>
        <v>#DIV/0!</v>
      </c>
      <c r="AV260" s="1" t="s">
        <v>3539</v>
      </c>
    </row>
    <row r="261" spans="1:48" ht="14.25" customHeight="1">
      <c r="A261" s="4">
        <v>403</v>
      </c>
      <c r="C261" s="4" t="s">
        <v>2084</v>
      </c>
      <c r="D261" s="1" t="s">
        <v>2889</v>
      </c>
      <c r="E261" s="1">
        <v>2020</v>
      </c>
      <c r="F261" s="1">
        <v>2017</v>
      </c>
      <c r="G261" s="1" t="s">
        <v>3183</v>
      </c>
      <c r="H261" s="1" t="s">
        <v>3068</v>
      </c>
      <c r="I261" s="1">
        <v>50.903193999999999</v>
      </c>
      <c r="J261" s="1">
        <v>121.194889</v>
      </c>
      <c r="K261" s="1" t="s">
        <v>2971</v>
      </c>
      <c r="L261" s="1" t="s">
        <v>3096</v>
      </c>
      <c r="M261" s="1" t="s">
        <v>3097</v>
      </c>
      <c r="N261" s="1" t="s">
        <v>3303</v>
      </c>
      <c r="O261" s="1" t="s">
        <v>3305</v>
      </c>
      <c r="P261" s="1" t="s">
        <v>2890</v>
      </c>
      <c r="Q261" s="1" t="s">
        <v>36</v>
      </c>
      <c r="R261" s="1" t="s">
        <v>2903</v>
      </c>
      <c r="S261" s="1">
        <v>2015</v>
      </c>
      <c r="T261" s="1">
        <v>2</v>
      </c>
      <c r="V261" s="1" t="s">
        <v>36</v>
      </c>
      <c r="W261" s="1">
        <v>4</v>
      </c>
      <c r="X261" s="1">
        <v>4</v>
      </c>
      <c r="Y261" s="1" t="s">
        <v>2911</v>
      </c>
      <c r="Z261" s="1" t="s">
        <v>3282</v>
      </c>
      <c r="AA261" s="1" t="s">
        <v>22</v>
      </c>
      <c r="AB261" s="1" t="s">
        <v>2912</v>
      </c>
      <c r="AC261" s="1" t="s">
        <v>3134</v>
      </c>
      <c r="AD261" s="1" t="s">
        <v>2913</v>
      </c>
      <c r="AE261" s="1" t="s">
        <v>2917</v>
      </c>
      <c r="AF261" s="1" t="s">
        <v>3549</v>
      </c>
      <c r="AM261" s="33">
        <f t="shared" si="127"/>
        <v>0</v>
      </c>
      <c r="AN261" s="1">
        <f t="shared" si="98"/>
        <v>0</v>
      </c>
      <c r="AO261" s="1" t="e">
        <f t="shared" si="105"/>
        <v>#DIV/0!</v>
      </c>
      <c r="AP261" s="1" t="e">
        <f t="shared" si="99"/>
        <v>#DIV/0!</v>
      </c>
      <c r="AQ261" s="1">
        <f t="shared" si="100"/>
        <v>0.86956521739130432</v>
      </c>
      <c r="AR261" s="1" t="e">
        <f t="shared" si="106"/>
        <v>#DIV/0!</v>
      </c>
      <c r="AS261" s="1" t="e">
        <f t="shared" si="107"/>
        <v>#DIV/0!</v>
      </c>
      <c r="AV261" s="1" t="s">
        <v>3539</v>
      </c>
    </row>
    <row r="262" spans="1:48" ht="14.25" customHeight="1">
      <c r="A262" s="4">
        <v>403</v>
      </c>
      <c r="C262" s="4" t="s">
        <v>2084</v>
      </c>
      <c r="D262" s="1" t="s">
        <v>2889</v>
      </c>
      <c r="E262" s="1">
        <v>2020</v>
      </c>
      <c r="F262" s="1">
        <v>2017</v>
      </c>
      <c r="G262" s="1" t="s">
        <v>3183</v>
      </c>
      <c r="H262" s="1" t="s">
        <v>3068</v>
      </c>
      <c r="I262" s="1">
        <v>50.903193999999999</v>
      </c>
      <c r="J262" s="1">
        <v>121.194889</v>
      </c>
      <c r="K262" s="1" t="s">
        <v>2971</v>
      </c>
      <c r="L262" s="1" t="s">
        <v>3096</v>
      </c>
      <c r="M262" s="1" t="s">
        <v>3097</v>
      </c>
      <c r="N262" s="1" t="s">
        <v>3303</v>
      </c>
      <c r="O262" s="1" t="s">
        <v>3305</v>
      </c>
      <c r="P262" s="1" t="s">
        <v>2890</v>
      </c>
      <c r="Q262" s="1" t="s">
        <v>36</v>
      </c>
      <c r="R262" s="1" t="s">
        <v>2903</v>
      </c>
      <c r="S262" s="1">
        <v>2015</v>
      </c>
      <c r="T262" s="1">
        <v>2</v>
      </c>
      <c r="V262" s="1" t="s">
        <v>36</v>
      </c>
      <c r="W262" s="1">
        <v>4</v>
      </c>
      <c r="X262" s="1">
        <v>4</v>
      </c>
      <c r="Y262" s="1" t="s">
        <v>2911</v>
      </c>
      <c r="Z262" s="1" t="s">
        <v>3210</v>
      </c>
      <c r="AA262" s="1" t="s">
        <v>22</v>
      </c>
      <c r="AB262" s="1" t="s">
        <v>2912</v>
      </c>
      <c r="AC262" s="1" t="s">
        <v>3134</v>
      </c>
      <c r="AD262" s="1" t="s">
        <v>2913</v>
      </c>
      <c r="AE262" s="1" t="s">
        <v>2917</v>
      </c>
      <c r="AF262" s="1" t="s">
        <v>3549</v>
      </c>
      <c r="AM262" s="33">
        <f t="shared" si="127"/>
        <v>0</v>
      </c>
      <c r="AN262" s="1">
        <f t="shared" si="98"/>
        <v>0</v>
      </c>
      <c r="AO262" s="1" t="e">
        <f t="shared" si="105"/>
        <v>#DIV/0!</v>
      </c>
      <c r="AP262" s="1" t="e">
        <f t="shared" si="99"/>
        <v>#DIV/0!</v>
      </c>
      <c r="AQ262" s="1">
        <f t="shared" si="100"/>
        <v>0.86956521739130432</v>
      </c>
      <c r="AR262" s="1" t="e">
        <f t="shared" si="106"/>
        <v>#DIV/0!</v>
      </c>
      <c r="AS262" s="1" t="e">
        <f t="shared" si="107"/>
        <v>#DIV/0!</v>
      </c>
      <c r="AV262" s="1" t="s">
        <v>3539</v>
      </c>
    </row>
    <row r="263" spans="1:48" ht="14.25" customHeight="1">
      <c r="A263" s="4">
        <v>403</v>
      </c>
      <c r="C263" s="4" t="s">
        <v>2084</v>
      </c>
      <c r="D263" s="1" t="s">
        <v>2889</v>
      </c>
      <c r="E263" s="1">
        <v>2020</v>
      </c>
      <c r="F263" s="1">
        <v>2017</v>
      </c>
      <c r="G263" s="1" t="s">
        <v>3183</v>
      </c>
      <c r="H263" s="1" t="s">
        <v>3068</v>
      </c>
      <c r="I263" s="1">
        <v>50.903193999999999</v>
      </c>
      <c r="J263" s="1">
        <v>121.194889</v>
      </c>
      <c r="K263" s="1" t="s">
        <v>2971</v>
      </c>
      <c r="L263" s="1" t="s">
        <v>3096</v>
      </c>
      <c r="M263" s="1" t="s">
        <v>3097</v>
      </c>
      <c r="N263" s="1" t="s">
        <v>3303</v>
      </c>
      <c r="O263" s="1" t="s">
        <v>3305</v>
      </c>
      <c r="P263" s="1" t="s">
        <v>2890</v>
      </c>
      <c r="Q263" s="1" t="s">
        <v>36</v>
      </c>
      <c r="R263" s="1" t="s">
        <v>2903</v>
      </c>
      <c r="S263" s="1">
        <v>2009</v>
      </c>
      <c r="T263" s="1">
        <v>8</v>
      </c>
      <c r="V263" s="1" t="s">
        <v>36</v>
      </c>
      <c r="W263" s="1">
        <v>4</v>
      </c>
      <c r="X263" s="1">
        <v>4</v>
      </c>
      <c r="Y263" s="1" t="s">
        <v>2911</v>
      </c>
      <c r="Z263" s="1" t="s">
        <v>2985</v>
      </c>
      <c r="AA263" s="1" t="s">
        <v>22</v>
      </c>
      <c r="AB263" s="1" t="s">
        <v>2912</v>
      </c>
      <c r="AC263" s="1" t="s">
        <v>3134</v>
      </c>
      <c r="AD263" s="1" t="s">
        <v>2913</v>
      </c>
      <c r="AE263" s="1" t="s">
        <v>2917</v>
      </c>
      <c r="AF263" s="1" t="s">
        <v>3549</v>
      </c>
      <c r="AM263" s="33">
        <f t="shared" si="127"/>
        <v>0</v>
      </c>
      <c r="AN263" s="1">
        <f t="shared" si="98"/>
        <v>0</v>
      </c>
      <c r="AO263" s="1" t="e">
        <f t="shared" si="105"/>
        <v>#DIV/0!</v>
      </c>
      <c r="AP263" s="1" t="e">
        <f t="shared" si="99"/>
        <v>#DIV/0!</v>
      </c>
      <c r="AQ263" s="1">
        <f t="shared" si="100"/>
        <v>0.86956521739130432</v>
      </c>
      <c r="AR263" s="1" t="e">
        <f t="shared" si="106"/>
        <v>#DIV/0!</v>
      </c>
      <c r="AS263" s="1" t="e">
        <f t="shared" si="107"/>
        <v>#DIV/0!</v>
      </c>
      <c r="AV263" s="1" t="s">
        <v>3539</v>
      </c>
    </row>
    <row r="264" spans="1:48" ht="14.25" customHeight="1">
      <c r="A264" s="4">
        <v>403</v>
      </c>
      <c r="C264" s="4" t="s">
        <v>2084</v>
      </c>
      <c r="D264" s="1" t="s">
        <v>2889</v>
      </c>
      <c r="E264" s="1">
        <v>2020</v>
      </c>
      <c r="F264" s="1">
        <v>2017</v>
      </c>
      <c r="G264" s="1" t="s">
        <v>3183</v>
      </c>
      <c r="H264" s="1" t="s">
        <v>3068</v>
      </c>
      <c r="I264" s="1">
        <v>50.903193999999999</v>
      </c>
      <c r="J264" s="1">
        <v>121.194889</v>
      </c>
      <c r="K264" s="1" t="s">
        <v>2971</v>
      </c>
      <c r="L264" s="1" t="s">
        <v>3096</v>
      </c>
      <c r="M264" s="1" t="s">
        <v>3097</v>
      </c>
      <c r="N264" s="1" t="s">
        <v>3303</v>
      </c>
      <c r="O264" s="1" t="s">
        <v>3305</v>
      </c>
      <c r="P264" s="1" t="s">
        <v>2890</v>
      </c>
      <c r="Q264" s="1" t="s">
        <v>36</v>
      </c>
      <c r="R264" s="1" t="s">
        <v>2903</v>
      </c>
      <c r="S264" s="1">
        <v>2009</v>
      </c>
      <c r="T264" s="1">
        <v>8</v>
      </c>
      <c r="V264" s="1" t="s">
        <v>36</v>
      </c>
      <c r="W264" s="1">
        <v>4</v>
      </c>
      <c r="X264" s="1">
        <v>4</v>
      </c>
      <c r="Y264" s="1" t="s">
        <v>2911</v>
      </c>
      <c r="Z264" s="1" t="s">
        <v>3282</v>
      </c>
      <c r="AA264" s="1" t="s">
        <v>22</v>
      </c>
      <c r="AB264" s="1" t="s">
        <v>2912</v>
      </c>
      <c r="AC264" s="1" t="s">
        <v>3134</v>
      </c>
      <c r="AD264" s="1" t="s">
        <v>2913</v>
      </c>
      <c r="AE264" s="1" t="s">
        <v>2917</v>
      </c>
      <c r="AF264" s="1" t="s">
        <v>3549</v>
      </c>
      <c r="AM264" s="33">
        <f t="shared" si="127"/>
        <v>0</v>
      </c>
      <c r="AN264" s="1">
        <f t="shared" si="98"/>
        <v>0</v>
      </c>
      <c r="AO264" s="1" t="e">
        <f t="shared" si="105"/>
        <v>#DIV/0!</v>
      </c>
      <c r="AP264" s="1" t="e">
        <f t="shared" si="99"/>
        <v>#DIV/0!</v>
      </c>
      <c r="AQ264" s="1">
        <f t="shared" si="100"/>
        <v>0.86956521739130432</v>
      </c>
      <c r="AR264" s="1" t="e">
        <f t="shared" si="106"/>
        <v>#DIV/0!</v>
      </c>
      <c r="AS264" s="1" t="e">
        <f t="shared" si="107"/>
        <v>#DIV/0!</v>
      </c>
      <c r="AV264" s="1" t="s">
        <v>3539</v>
      </c>
    </row>
    <row r="265" spans="1:48" ht="14.25" customHeight="1">
      <c r="A265" s="4">
        <v>403</v>
      </c>
      <c r="C265" s="4" t="s">
        <v>2084</v>
      </c>
      <c r="D265" s="1" t="s">
        <v>2889</v>
      </c>
      <c r="E265" s="1">
        <v>2020</v>
      </c>
      <c r="F265" s="1">
        <v>2017</v>
      </c>
      <c r="G265" s="1" t="s">
        <v>3183</v>
      </c>
      <c r="H265" s="1" t="s">
        <v>3068</v>
      </c>
      <c r="I265" s="1">
        <v>50.903193999999999</v>
      </c>
      <c r="J265" s="1">
        <v>121.194889</v>
      </c>
      <c r="K265" s="1" t="s">
        <v>2971</v>
      </c>
      <c r="L265" s="1" t="s">
        <v>3096</v>
      </c>
      <c r="M265" s="1" t="s">
        <v>3097</v>
      </c>
      <c r="N265" s="1" t="s">
        <v>3303</v>
      </c>
      <c r="O265" s="1" t="s">
        <v>3305</v>
      </c>
      <c r="P265" s="1" t="s">
        <v>2890</v>
      </c>
      <c r="Q265" s="1" t="s">
        <v>36</v>
      </c>
      <c r="R265" s="1" t="s">
        <v>2903</v>
      </c>
      <c r="S265" s="1">
        <v>2009</v>
      </c>
      <c r="T265" s="1">
        <v>8</v>
      </c>
      <c r="V265" s="1" t="s">
        <v>36</v>
      </c>
      <c r="W265" s="1">
        <v>4</v>
      </c>
      <c r="X265" s="1">
        <v>4</v>
      </c>
      <c r="Y265" s="1" t="s">
        <v>2911</v>
      </c>
      <c r="Z265" s="1" t="s">
        <v>3210</v>
      </c>
      <c r="AA265" s="1" t="s">
        <v>22</v>
      </c>
      <c r="AB265" s="1" t="s">
        <v>2912</v>
      </c>
      <c r="AC265" s="1" t="s">
        <v>3134</v>
      </c>
      <c r="AD265" s="1" t="s">
        <v>2913</v>
      </c>
      <c r="AE265" s="1" t="s">
        <v>2917</v>
      </c>
      <c r="AF265" s="1" t="s">
        <v>3549</v>
      </c>
      <c r="AM265" s="33">
        <f t="shared" si="127"/>
        <v>0</v>
      </c>
      <c r="AN265" s="1">
        <f t="shared" si="98"/>
        <v>0</v>
      </c>
      <c r="AO265" s="1" t="e">
        <f t="shared" si="105"/>
        <v>#DIV/0!</v>
      </c>
      <c r="AP265" s="1" t="e">
        <f t="shared" si="99"/>
        <v>#DIV/0!</v>
      </c>
      <c r="AQ265" s="1">
        <f t="shared" si="100"/>
        <v>0.86956521739130432</v>
      </c>
      <c r="AR265" s="1" t="e">
        <f t="shared" si="106"/>
        <v>#DIV/0!</v>
      </c>
      <c r="AS265" s="1" t="e">
        <f t="shared" si="107"/>
        <v>#DIV/0!</v>
      </c>
      <c r="AV265" s="1" t="s">
        <v>3539</v>
      </c>
    </row>
    <row r="266" spans="1:48" ht="14.25" customHeight="1">
      <c r="A266" s="4">
        <v>403</v>
      </c>
      <c r="C266" s="4" t="s">
        <v>2084</v>
      </c>
      <c r="D266" s="1" t="s">
        <v>2889</v>
      </c>
      <c r="E266" s="1">
        <v>2020</v>
      </c>
      <c r="F266" s="1">
        <v>2017</v>
      </c>
      <c r="G266" s="1" t="s">
        <v>3183</v>
      </c>
      <c r="H266" s="1" t="s">
        <v>3068</v>
      </c>
      <c r="I266" s="1">
        <v>50.903193999999999</v>
      </c>
      <c r="J266" s="1">
        <v>121.194889</v>
      </c>
      <c r="K266" s="1" t="s">
        <v>2971</v>
      </c>
      <c r="L266" s="1" t="s">
        <v>3096</v>
      </c>
      <c r="M266" s="1" t="s">
        <v>3097</v>
      </c>
      <c r="N266" s="1" t="s">
        <v>3303</v>
      </c>
      <c r="O266" s="1" t="s">
        <v>3305</v>
      </c>
      <c r="P266" s="1" t="s">
        <v>2890</v>
      </c>
      <c r="Q266" s="1" t="s">
        <v>36</v>
      </c>
      <c r="R266" s="1" t="s">
        <v>2903</v>
      </c>
      <c r="S266" s="1">
        <v>2003</v>
      </c>
      <c r="T266" s="1">
        <v>14</v>
      </c>
      <c r="V266" s="1" t="s">
        <v>36</v>
      </c>
      <c r="W266" s="1">
        <v>4</v>
      </c>
      <c r="X266" s="1">
        <v>4</v>
      </c>
      <c r="Y266" s="1" t="s">
        <v>2911</v>
      </c>
      <c r="Z266" s="1" t="s">
        <v>2985</v>
      </c>
      <c r="AA266" s="1" t="s">
        <v>22</v>
      </c>
      <c r="AB266" s="1" t="s">
        <v>2912</v>
      </c>
      <c r="AC266" s="1" t="s">
        <v>3134</v>
      </c>
      <c r="AD266" s="1" t="s">
        <v>2913</v>
      </c>
      <c r="AE266" s="1" t="s">
        <v>2917</v>
      </c>
      <c r="AF266" s="1" t="s">
        <v>3549</v>
      </c>
      <c r="AM266" s="33">
        <f t="shared" si="127"/>
        <v>0</v>
      </c>
      <c r="AN266" s="1">
        <f t="shared" si="98"/>
        <v>0</v>
      </c>
      <c r="AO266" s="1" t="e">
        <f t="shared" si="105"/>
        <v>#DIV/0!</v>
      </c>
      <c r="AP266" s="1" t="e">
        <f t="shared" si="99"/>
        <v>#DIV/0!</v>
      </c>
      <c r="AQ266" s="1">
        <f t="shared" si="100"/>
        <v>0.86956521739130432</v>
      </c>
      <c r="AR266" s="1" t="e">
        <f t="shared" si="106"/>
        <v>#DIV/0!</v>
      </c>
      <c r="AS266" s="1" t="e">
        <f t="shared" si="107"/>
        <v>#DIV/0!</v>
      </c>
      <c r="AV266" s="1" t="s">
        <v>3539</v>
      </c>
    </row>
    <row r="267" spans="1:48" ht="14.25" customHeight="1">
      <c r="A267" s="4">
        <v>403</v>
      </c>
      <c r="C267" s="4" t="s">
        <v>2084</v>
      </c>
      <c r="D267" s="1" t="s">
        <v>2889</v>
      </c>
      <c r="E267" s="1">
        <v>2020</v>
      </c>
      <c r="F267" s="1">
        <v>2017</v>
      </c>
      <c r="G267" s="1" t="s">
        <v>3183</v>
      </c>
      <c r="H267" s="1" t="s">
        <v>3068</v>
      </c>
      <c r="I267" s="1">
        <v>50.903193999999999</v>
      </c>
      <c r="J267" s="1">
        <v>121.194889</v>
      </c>
      <c r="K267" s="1" t="s">
        <v>2971</v>
      </c>
      <c r="L267" s="1" t="s">
        <v>3096</v>
      </c>
      <c r="M267" s="1" t="s">
        <v>3097</v>
      </c>
      <c r="N267" s="1" t="s">
        <v>3303</v>
      </c>
      <c r="O267" s="1" t="s">
        <v>3305</v>
      </c>
      <c r="P267" s="1" t="s">
        <v>2890</v>
      </c>
      <c r="Q267" s="1" t="s">
        <v>36</v>
      </c>
      <c r="R267" s="1" t="s">
        <v>2903</v>
      </c>
      <c r="S267" s="1">
        <v>2003</v>
      </c>
      <c r="T267" s="1">
        <v>14</v>
      </c>
      <c r="V267" s="1" t="s">
        <v>36</v>
      </c>
      <c r="W267" s="1">
        <v>4</v>
      </c>
      <c r="X267" s="1">
        <v>4</v>
      </c>
      <c r="Y267" s="1" t="s">
        <v>2911</v>
      </c>
      <c r="Z267" s="1" t="s">
        <v>3282</v>
      </c>
      <c r="AA267" s="1" t="s">
        <v>22</v>
      </c>
      <c r="AB267" s="1" t="s">
        <v>2912</v>
      </c>
      <c r="AC267" s="1" t="s">
        <v>3134</v>
      </c>
      <c r="AD267" s="1" t="s">
        <v>2913</v>
      </c>
      <c r="AE267" s="1" t="s">
        <v>2917</v>
      </c>
      <c r="AF267" s="1" t="s">
        <v>3549</v>
      </c>
      <c r="AM267" s="33">
        <f t="shared" si="127"/>
        <v>0</v>
      </c>
      <c r="AN267" s="1">
        <f t="shared" si="98"/>
        <v>0</v>
      </c>
      <c r="AO267" s="1" t="e">
        <f t="shared" si="105"/>
        <v>#DIV/0!</v>
      </c>
      <c r="AP267" s="1" t="e">
        <f t="shared" si="99"/>
        <v>#DIV/0!</v>
      </c>
      <c r="AQ267" s="1">
        <f t="shared" si="100"/>
        <v>0.86956521739130432</v>
      </c>
      <c r="AR267" s="1" t="e">
        <f t="shared" si="106"/>
        <v>#DIV/0!</v>
      </c>
      <c r="AS267" s="1" t="e">
        <f t="shared" si="107"/>
        <v>#DIV/0!</v>
      </c>
      <c r="AV267" s="1" t="s">
        <v>3539</v>
      </c>
    </row>
    <row r="268" spans="1:48" ht="14.25" customHeight="1">
      <c r="A268" s="4">
        <v>403</v>
      </c>
      <c r="C268" s="4" t="s">
        <v>2084</v>
      </c>
      <c r="D268" s="1" t="s">
        <v>2889</v>
      </c>
      <c r="E268" s="1">
        <v>2020</v>
      </c>
      <c r="F268" s="1">
        <v>2017</v>
      </c>
      <c r="G268" s="1" t="s">
        <v>3183</v>
      </c>
      <c r="H268" s="1" t="s">
        <v>3068</v>
      </c>
      <c r="I268" s="1">
        <v>50.903193999999999</v>
      </c>
      <c r="J268" s="1">
        <v>121.194889</v>
      </c>
      <c r="K268" s="1" t="s">
        <v>2971</v>
      </c>
      <c r="L268" s="1" t="s">
        <v>3096</v>
      </c>
      <c r="M268" s="1" t="s">
        <v>3097</v>
      </c>
      <c r="N268" s="1" t="s">
        <v>3303</v>
      </c>
      <c r="O268" s="1" t="s">
        <v>3305</v>
      </c>
      <c r="P268" s="1" t="s">
        <v>2890</v>
      </c>
      <c r="Q268" s="1" t="s">
        <v>36</v>
      </c>
      <c r="R268" s="1" t="s">
        <v>2903</v>
      </c>
      <c r="S268" s="1">
        <v>2003</v>
      </c>
      <c r="T268" s="1">
        <v>14</v>
      </c>
      <c r="V268" s="1" t="s">
        <v>36</v>
      </c>
      <c r="W268" s="1">
        <v>4</v>
      </c>
      <c r="X268" s="1">
        <v>4</v>
      </c>
      <c r="Y268" s="1" t="s">
        <v>2911</v>
      </c>
      <c r="Z268" s="1" t="s">
        <v>3210</v>
      </c>
      <c r="AA268" s="1" t="s">
        <v>22</v>
      </c>
      <c r="AB268" s="1" t="s">
        <v>2912</v>
      </c>
      <c r="AC268" s="1" t="s">
        <v>3134</v>
      </c>
      <c r="AD268" s="1" t="s">
        <v>2913</v>
      </c>
      <c r="AE268" s="1" t="s">
        <v>2917</v>
      </c>
      <c r="AF268" s="1" t="s">
        <v>3549</v>
      </c>
      <c r="AM268" s="33">
        <f t="shared" si="127"/>
        <v>0</v>
      </c>
      <c r="AN268" s="1">
        <f t="shared" si="98"/>
        <v>0</v>
      </c>
      <c r="AO268" s="1" t="e">
        <f t="shared" si="105"/>
        <v>#DIV/0!</v>
      </c>
      <c r="AP268" s="1" t="e">
        <f t="shared" si="99"/>
        <v>#DIV/0!</v>
      </c>
      <c r="AQ268" s="1">
        <f t="shared" si="100"/>
        <v>0.86956521739130432</v>
      </c>
      <c r="AR268" s="1" t="e">
        <f t="shared" si="106"/>
        <v>#DIV/0!</v>
      </c>
      <c r="AS268" s="1" t="e">
        <f t="shared" si="107"/>
        <v>#DIV/0!</v>
      </c>
      <c r="AV268" s="1" t="s">
        <v>3539</v>
      </c>
    </row>
    <row r="269" spans="1:48" ht="14.25" customHeight="1">
      <c r="A269" s="4">
        <v>452</v>
      </c>
      <c r="C269" s="4" t="s">
        <v>2312</v>
      </c>
      <c r="D269" s="1" t="s">
        <v>2889</v>
      </c>
      <c r="E269" s="1">
        <v>2023</v>
      </c>
      <c r="F269" s="1">
        <v>2015</v>
      </c>
      <c r="G269" s="1" t="s">
        <v>3048</v>
      </c>
      <c r="H269" s="1" t="s">
        <v>2939</v>
      </c>
      <c r="I269" s="1">
        <v>66.900244999999998</v>
      </c>
      <c r="J269" s="1">
        <v>-136.24644499999999</v>
      </c>
      <c r="K269" s="1" t="s">
        <v>2971</v>
      </c>
      <c r="L269" s="1" t="s">
        <v>2919</v>
      </c>
      <c r="M269" s="1" t="s">
        <v>3525</v>
      </c>
      <c r="N269" s="1" t="s">
        <v>3303</v>
      </c>
      <c r="O269" s="1" t="s">
        <v>3305</v>
      </c>
      <c r="P269" s="1" t="s">
        <v>2890</v>
      </c>
      <c r="Q269" s="1" t="s">
        <v>36</v>
      </c>
      <c r="R269" s="1" t="s">
        <v>2903</v>
      </c>
      <c r="S269" s="1">
        <v>2012</v>
      </c>
      <c r="T269" s="1">
        <v>3</v>
      </c>
      <c r="V269" s="1" t="s">
        <v>36</v>
      </c>
      <c r="W269" s="1">
        <v>9</v>
      </c>
      <c r="X269" s="1">
        <v>9</v>
      </c>
      <c r="Y269" s="1" t="s">
        <v>2911</v>
      </c>
      <c r="Z269" s="1" t="s">
        <v>2985</v>
      </c>
      <c r="AA269" s="1" t="s">
        <v>22</v>
      </c>
      <c r="AB269" s="1" t="s">
        <v>2912</v>
      </c>
      <c r="AC269" s="1" t="s">
        <v>3134</v>
      </c>
      <c r="AD269" s="1" t="s">
        <v>2913</v>
      </c>
      <c r="AE269" s="1" t="s">
        <v>2917</v>
      </c>
      <c r="AF269" s="1" t="s">
        <v>3526</v>
      </c>
      <c r="AG269" s="1">
        <v>294.87</v>
      </c>
      <c r="AH269" s="1">
        <v>13.03</v>
      </c>
      <c r="AJ269" s="1">
        <v>432.9</v>
      </c>
      <c r="AK269" s="1">
        <v>46.63</v>
      </c>
      <c r="AM269" s="33">
        <f t="shared" si="127"/>
        <v>-138.02999999999997</v>
      </c>
      <c r="AN269" s="1">
        <f t="shared" si="98"/>
        <v>34.235491817702872</v>
      </c>
      <c r="AO269" s="1">
        <f>AM269/AN269</f>
        <v>-4.0317808412095273</v>
      </c>
      <c r="AP269" s="1">
        <f t="shared" si="99"/>
        <v>0.673757131987339</v>
      </c>
      <c r="AQ269" s="1">
        <f t="shared" si="100"/>
        <v>0.95238095238095233</v>
      </c>
      <c r="AR269" s="1">
        <f>AO269*AQ269</f>
        <v>-3.8397912773424068</v>
      </c>
      <c r="AS269" s="1">
        <f>SQRT(AP269*AQ269^2)</f>
        <v>0.78174009749651929</v>
      </c>
      <c r="AV269" s="1" t="s">
        <v>3539</v>
      </c>
    </row>
    <row r="270" spans="1:48" ht="14.25" customHeight="1">
      <c r="A270" s="4">
        <v>452</v>
      </c>
      <c r="C270" s="4" t="s">
        <v>2312</v>
      </c>
      <c r="D270" s="1" t="s">
        <v>2889</v>
      </c>
      <c r="E270" s="1">
        <v>2023</v>
      </c>
      <c r="F270" s="1">
        <v>2015</v>
      </c>
      <c r="G270" s="1" t="s">
        <v>3048</v>
      </c>
      <c r="H270" s="1" t="s">
        <v>2939</v>
      </c>
      <c r="I270" s="1">
        <v>66.900244999999998</v>
      </c>
      <c r="J270" s="1">
        <v>-136.24644499999999</v>
      </c>
      <c r="K270" s="1" t="s">
        <v>2971</v>
      </c>
      <c r="L270" s="1" t="s">
        <v>2919</v>
      </c>
      <c r="M270" s="1" t="s">
        <v>3525</v>
      </c>
      <c r="N270" s="1" t="s">
        <v>3303</v>
      </c>
      <c r="O270" s="1" t="s">
        <v>3305</v>
      </c>
      <c r="P270" s="1" t="s">
        <v>2890</v>
      </c>
      <c r="Q270" s="1" t="s">
        <v>36</v>
      </c>
      <c r="R270" s="1" t="s">
        <v>2903</v>
      </c>
      <c r="S270" s="1">
        <v>2012</v>
      </c>
      <c r="T270" s="1">
        <v>3</v>
      </c>
      <c r="V270" s="1" t="s">
        <v>36</v>
      </c>
      <c r="W270" s="1">
        <v>9</v>
      </c>
      <c r="X270" s="1">
        <v>9</v>
      </c>
      <c r="Y270" s="1" t="s">
        <v>2911</v>
      </c>
      <c r="Z270" s="1" t="s">
        <v>2985</v>
      </c>
      <c r="AA270" s="1" t="s">
        <v>22</v>
      </c>
      <c r="AB270" s="1" t="s">
        <v>2912</v>
      </c>
      <c r="AC270" s="1" t="s">
        <v>3134</v>
      </c>
      <c r="AD270" s="1" t="s">
        <v>2913</v>
      </c>
      <c r="AE270" s="1" t="s">
        <v>2917</v>
      </c>
      <c r="AF270" s="1" t="s">
        <v>3036</v>
      </c>
      <c r="AG270" s="1">
        <v>3.28</v>
      </c>
      <c r="AH270" s="1">
        <v>0.16</v>
      </c>
      <c r="AJ270" s="1">
        <v>3.21</v>
      </c>
      <c r="AK270" s="1">
        <v>0.22</v>
      </c>
      <c r="AM270" s="33">
        <f t="shared" si="127"/>
        <v>6.999999999999984E-2</v>
      </c>
      <c r="AN270" s="1">
        <f t="shared" si="98"/>
        <v>0.19235384061671346</v>
      </c>
      <c r="AO270" s="1">
        <f t="shared" ref="AO270:AO277" si="128">AM270/AN270</f>
        <v>0.3639126714370246</v>
      </c>
      <c r="AP270" s="1">
        <f t="shared" si="99"/>
        <v>0.22590090090090087</v>
      </c>
      <c r="AQ270" s="1">
        <f t="shared" si="100"/>
        <v>0.95238095238095233</v>
      </c>
      <c r="AR270" s="1">
        <f t="shared" ref="AR270:AR277" si="129">AO270*AQ270</f>
        <v>0.34658349660669008</v>
      </c>
      <c r="AS270" s="1">
        <f t="shared" ref="AS270:AS277" si="130">SQRT(AP270*AQ270^2)</f>
        <v>0.45265746025813791</v>
      </c>
      <c r="AV270" s="1" t="s">
        <v>3539</v>
      </c>
    </row>
    <row r="271" spans="1:48" ht="14.25" customHeight="1">
      <c r="A271" s="4">
        <v>452</v>
      </c>
      <c r="C271" s="4" t="s">
        <v>2312</v>
      </c>
      <c r="D271" s="1" t="s">
        <v>2889</v>
      </c>
      <c r="E271" s="1">
        <v>2023</v>
      </c>
      <c r="F271" s="1">
        <v>2015</v>
      </c>
      <c r="G271" s="1" t="s">
        <v>3048</v>
      </c>
      <c r="H271" s="1" t="s">
        <v>2939</v>
      </c>
      <c r="I271" s="1">
        <v>66.900244999999998</v>
      </c>
      <c r="J271" s="1">
        <v>-136.24644499999999</v>
      </c>
      <c r="K271" s="1" t="s">
        <v>2971</v>
      </c>
      <c r="L271" s="1" t="s">
        <v>2919</v>
      </c>
      <c r="M271" s="1" t="s">
        <v>3525</v>
      </c>
      <c r="N271" s="1" t="s">
        <v>3303</v>
      </c>
      <c r="O271" s="1" t="s">
        <v>3305</v>
      </c>
      <c r="P271" s="1" t="s">
        <v>2890</v>
      </c>
      <c r="Q271" s="1" t="s">
        <v>36</v>
      </c>
      <c r="R271" s="1" t="s">
        <v>2903</v>
      </c>
      <c r="S271" s="1">
        <v>2012</v>
      </c>
      <c r="T271" s="1">
        <v>3</v>
      </c>
      <c r="V271" s="1" t="s">
        <v>36</v>
      </c>
      <c r="W271" s="1">
        <v>9</v>
      </c>
      <c r="X271" s="1">
        <v>9</v>
      </c>
      <c r="Y271" s="1" t="s">
        <v>2911</v>
      </c>
      <c r="Z271" s="1" t="s">
        <v>2985</v>
      </c>
      <c r="AA271" s="1" t="s">
        <v>22</v>
      </c>
      <c r="AB271" s="1" t="s">
        <v>2912</v>
      </c>
      <c r="AC271" s="1" t="s">
        <v>3134</v>
      </c>
      <c r="AD271" s="1" t="s">
        <v>2913</v>
      </c>
      <c r="AE271" s="1" t="s">
        <v>2917</v>
      </c>
      <c r="AF271" s="1" t="s">
        <v>3029</v>
      </c>
      <c r="AG271" s="1">
        <v>0.61</v>
      </c>
      <c r="AH271" s="1">
        <v>0.03</v>
      </c>
      <c r="AJ271" s="1">
        <v>0.56999999999999995</v>
      </c>
      <c r="AK271" s="1">
        <v>0.03</v>
      </c>
      <c r="AM271" s="33">
        <f t="shared" si="127"/>
        <v>4.0000000000000036E-2</v>
      </c>
      <c r="AN271" s="1">
        <f t="shared" si="98"/>
        <v>0.03</v>
      </c>
      <c r="AO271" s="1">
        <f t="shared" si="128"/>
        <v>1.3333333333333346</v>
      </c>
      <c r="AP271" s="1">
        <f t="shared" si="99"/>
        <v>0.27160493827160503</v>
      </c>
      <c r="AQ271" s="1">
        <f t="shared" si="100"/>
        <v>0.95238095238095233</v>
      </c>
      <c r="AR271" s="1">
        <f t="shared" si="129"/>
        <v>1.2698412698412709</v>
      </c>
      <c r="AS271" s="1">
        <f t="shared" si="130"/>
        <v>0.4963402920448074</v>
      </c>
      <c r="AV271" s="1" t="s">
        <v>3539</v>
      </c>
    </row>
    <row r="272" spans="1:48" ht="14.25" customHeight="1">
      <c r="A272" s="4">
        <v>452</v>
      </c>
      <c r="C272" s="4" t="s">
        <v>2312</v>
      </c>
      <c r="D272" s="1" t="s">
        <v>2889</v>
      </c>
      <c r="E272" s="1">
        <v>2023</v>
      </c>
      <c r="F272" s="1">
        <v>2015</v>
      </c>
      <c r="G272" s="1" t="s">
        <v>3048</v>
      </c>
      <c r="H272" s="1" t="s">
        <v>2939</v>
      </c>
      <c r="I272" s="1">
        <v>66.900244999999998</v>
      </c>
      <c r="J272" s="1">
        <v>-136.24644499999999</v>
      </c>
      <c r="K272" s="1" t="s">
        <v>2971</v>
      </c>
      <c r="L272" s="1" t="s">
        <v>2919</v>
      </c>
      <c r="M272" s="1" t="s">
        <v>3525</v>
      </c>
      <c r="N272" s="1" t="s">
        <v>3303</v>
      </c>
      <c r="O272" s="1" t="s">
        <v>3305</v>
      </c>
      <c r="P272" s="1" t="s">
        <v>2890</v>
      </c>
      <c r="Q272" s="1" t="s">
        <v>36</v>
      </c>
      <c r="R272" s="1" t="s">
        <v>2903</v>
      </c>
      <c r="S272" s="1">
        <v>2012</v>
      </c>
      <c r="T272" s="1">
        <v>3</v>
      </c>
      <c r="V272" s="1" t="s">
        <v>36</v>
      </c>
      <c r="W272" s="1">
        <v>9</v>
      </c>
      <c r="X272" s="1">
        <v>9</v>
      </c>
      <c r="Y272" s="1" t="s">
        <v>2911</v>
      </c>
      <c r="Z272" s="1" t="s">
        <v>3282</v>
      </c>
      <c r="AA272" s="1" t="s">
        <v>22</v>
      </c>
      <c r="AB272" s="1" t="s">
        <v>2912</v>
      </c>
      <c r="AC272" s="1" t="s">
        <v>3134</v>
      </c>
      <c r="AD272" s="1" t="s">
        <v>2913</v>
      </c>
      <c r="AE272" s="1" t="s">
        <v>2917</v>
      </c>
      <c r="AF272" s="1" t="s">
        <v>3526</v>
      </c>
      <c r="AG272" s="1">
        <v>259.70999999999998</v>
      </c>
      <c r="AH272" s="1">
        <v>18.98</v>
      </c>
      <c r="AJ272" s="1">
        <v>404.49</v>
      </c>
      <c r="AK272" s="1">
        <v>27.62</v>
      </c>
      <c r="AM272" s="33">
        <f t="shared" si="127"/>
        <v>-144.78000000000003</v>
      </c>
      <c r="AN272" s="1">
        <f t="shared" si="98"/>
        <v>23.697096868603968</v>
      </c>
      <c r="AO272" s="1">
        <f t="shared" si="128"/>
        <v>-6.10960915604044</v>
      </c>
      <c r="AP272" s="1">
        <f t="shared" si="99"/>
        <v>1.2590923344325882</v>
      </c>
      <c r="AQ272" s="1">
        <f t="shared" si="100"/>
        <v>0.95238095238095233</v>
      </c>
      <c r="AR272" s="1">
        <f t="shared" si="129"/>
        <v>-5.8186753867051806</v>
      </c>
      <c r="AS272" s="1">
        <f t="shared" si="130"/>
        <v>1.0686598445861615</v>
      </c>
      <c r="AV272" s="1" t="s">
        <v>3539</v>
      </c>
    </row>
    <row r="273" spans="1:48" ht="14.25" customHeight="1">
      <c r="A273" s="4">
        <v>452</v>
      </c>
      <c r="C273" s="4" t="s">
        <v>2312</v>
      </c>
      <c r="D273" s="1" t="s">
        <v>2889</v>
      </c>
      <c r="E273" s="1">
        <v>2023</v>
      </c>
      <c r="F273" s="1">
        <v>2015</v>
      </c>
      <c r="G273" s="1" t="s">
        <v>3048</v>
      </c>
      <c r="H273" s="1" t="s">
        <v>2939</v>
      </c>
      <c r="I273" s="1">
        <v>66.900244999999998</v>
      </c>
      <c r="J273" s="1">
        <v>-136.24644499999999</v>
      </c>
      <c r="K273" s="1" t="s">
        <v>2971</v>
      </c>
      <c r="L273" s="1" t="s">
        <v>2919</v>
      </c>
      <c r="M273" s="1" t="s">
        <v>3525</v>
      </c>
      <c r="N273" s="1" t="s">
        <v>3303</v>
      </c>
      <c r="O273" s="1" t="s">
        <v>3305</v>
      </c>
      <c r="P273" s="1" t="s">
        <v>2890</v>
      </c>
      <c r="Q273" s="1" t="s">
        <v>36</v>
      </c>
      <c r="R273" s="1" t="s">
        <v>2903</v>
      </c>
      <c r="S273" s="1">
        <v>2012</v>
      </c>
      <c r="T273" s="1">
        <v>3</v>
      </c>
      <c r="V273" s="1" t="s">
        <v>36</v>
      </c>
      <c r="W273" s="1">
        <v>9</v>
      </c>
      <c r="X273" s="1">
        <v>9</v>
      </c>
      <c r="Y273" s="1" t="s">
        <v>2911</v>
      </c>
      <c r="Z273" s="1" t="s">
        <v>3282</v>
      </c>
      <c r="AA273" s="1" t="s">
        <v>22</v>
      </c>
      <c r="AB273" s="1" t="s">
        <v>2912</v>
      </c>
      <c r="AC273" s="1" t="s">
        <v>3134</v>
      </c>
      <c r="AD273" s="1" t="s">
        <v>2913</v>
      </c>
      <c r="AE273" s="1" t="s">
        <v>2917</v>
      </c>
      <c r="AF273" s="1" t="s">
        <v>3036</v>
      </c>
      <c r="AG273" s="1">
        <v>3.13</v>
      </c>
      <c r="AH273" s="1">
        <v>0.16</v>
      </c>
      <c r="AJ273" s="1">
        <v>3.19</v>
      </c>
      <c r="AK273" s="1">
        <v>0.25</v>
      </c>
      <c r="AM273" s="33">
        <f t="shared" si="127"/>
        <v>-6.0000000000000053E-2</v>
      </c>
      <c r="AN273" s="1">
        <f t="shared" si="98"/>
        <v>0.20988091861815356</v>
      </c>
      <c r="AO273" s="1">
        <f t="shared" si="128"/>
        <v>-0.28587639312347846</v>
      </c>
      <c r="AP273" s="1">
        <f t="shared" si="99"/>
        <v>0.22449236978181358</v>
      </c>
      <c r="AQ273" s="1">
        <f t="shared" si="100"/>
        <v>0.95238095238095233</v>
      </c>
      <c r="AR273" s="1">
        <f t="shared" si="129"/>
        <v>-0.27226323154616994</v>
      </c>
      <c r="AS273" s="1">
        <f t="shared" si="130"/>
        <v>0.45124405489824465</v>
      </c>
      <c r="AV273" s="1" t="s">
        <v>3539</v>
      </c>
    </row>
    <row r="274" spans="1:48" ht="14.25" customHeight="1">
      <c r="A274" s="4">
        <v>452</v>
      </c>
      <c r="C274" s="4" t="s">
        <v>2312</v>
      </c>
      <c r="D274" s="1" t="s">
        <v>2889</v>
      </c>
      <c r="E274" s="1">
        <v>2023</v>
      </c>
      <c r="F274" s="1">
        <v>2015</v>
      </c>
      <c r="G274" s="1" t="s">
        <v>3048</v>
      </c>
      <c r="H274" s="1" t="s">
        <v>2939</v>
      </c>
      <c r="I274" s="1">
        <v>66.900244999999998</v>
      </c>
      <c r="J274" s="1">
        <v>-136.24644499999999</v>
      </c>
      <c r="K274" s="1" t="s">
        <v>2971</v>
      </c>
      <c r="L274" s="1" t="s">
        <v>2919</v>
      </c>
      <c r="M274" s="1" t="s">
        <v>3525</v>
      </c>
      <c r="N274" s="1" t="s">
        <v>3303</v>
      </c>
      <c r="O274" s="1" t="s">
        <v>3305</v>
      </c>
      <c r="P274" s="1" t="s">
        <v>2890</v>
      </c>
      <c r="Q274" s="1" t="s">
        <v>36</v>
      </c>
      <c r="R274" s="1" t="s">
        <v>2903</v>
      </c>
      <c r="S274" s="1">
        <v>2012</v>
      </c>
      <c r="T274" s="1">
        <v>3</v>
      </c>
      <c r="V274" s="1" t="s">
        <v>36</v>
      </c>
      <c r="W274" s="1">
        <v>9</v>
      </c>
      <c r="X274" s="1">
        <v>9</v>
      </c>
      <c r="Y274" s="1" t="s">
        <v>2911</v>
      </c>
      <c r="Z274" s="1" t="s">
        <v>3282</v>
      </c>
      <c r="AA274" s="1" t="s">
        <v>22</v>
      </c>
      <c r="AB274" s="1" t="s">
        <v>2912</v>
      </c>
      <c r="AC274" s="1" t="s">
        <v>3134</v>
      </c>
      <c r="AD274" s="1" t="s">
        <v>2913</v>
      </c>
      <c r="AE274" s="1" t="s">
        <v>2917</v>
      </c>
      <c r="AF274" s="1" t="s">
        <v>3029</v>
      </c>
      <c r="AG274" s="1">
        <v>0.59</v>
      </c>
      <c r="AH274" s="1">
        <v>0.03</v>
      </c>
      <c r="AJ274" s="1">
        <v>0.56999999999999995</v>
      </c>
      <c r="AK274" s="1">
        <v>0.04</v>
      </c>
      <c r="AM274" s="33">
        <f t="shared" si="127"/>
        <v>2.0000000000000018E-2</v>
      </c>
      <c r="AN274" s="1">
        <f t="shared" si="98"/>
        <v>3.5355339059327376E-2</v>
      </c>
      <c r="AO274" s="1">
        <f t="shared" si="128"/>
        <v>0.56568542494923857</v>
      </c>
      <c r="AP274" s="1">
        <f t="shared" si="99"/>
        <v>0.23111111111111113</v>
      </c>
      <c r="AQ274" s="1">
        <f t="shared" si="100"/>
        <v>0.95238095238095233</v>
      </c>
      <c r="AR274" s="1">
        <f t="shared" si="129"/>
        <v>0.53874802376117958</v>
      </c>
      <c r="AS274" s="1">
        <f t="shared" si="130"/>
        <v>0.45784778101130025</v>
      </c>
      <c r="AV274" s="1" t="s">
        <v>3539</v>
      </c>
    </row>
    <row r="275" spans="1:48" ht="14.25" customHeight="1">
      <c r="A275" s="4">
        <v>452</v>
      </c>
      <c r="C275" s="4" t="s">
        <v>2312</v>
      </c>
      <c r="D275" s="1" t="s">
        <v>2889</v>
      </c>
      <c r="E275" s="1">
        <v>2023</v>
      </c>
      <c r="F275" s="1">
        <v>2015</v>
      </c>
      <c r="G275" s="1" t="s">
        <v>3048</v>
      </c>
      <c r="H275" s="1" t="s">
        <v>2939</v>
      </c>
      <c r="I275" s="1">
        <v>66.900244999999998</v>
      </c>
      <c r="J275" s="1">
        <v>-136.24644499999999</v>
      </c>
      <c r="K275" s="1" t="s">
        <v>2971</v>
      </c>
      <c r="L275" s="1" t="s">
        <v>2919</v>
      </c>
      <c r="M275" s="1" t="s">
        <v>3525</v>
      </c>
      <c r="N275" s="1" t="s">
        <v>3303</v>
      </c>
      <c r="O275" s="1" t="s">
        <v>3305</v>
      </c>
      <c r="P275" s="1" t="s">
        <v>2890</v>
      </c>
      <c r="Q275" s="1" t="s">
        <v>36</v>
      </c>
      <c r="R275" s="1" t="s">
        <v>2903</v>
      </c>
      <c r="S275" s="1">
        <v>2012</v>
      </c>
      <c r="T275" s="1">
        <v>3</v>
      </c>
      <c r="V275" s="1" t="s">
        <v>36</v>
      </c>
      <c r="W275" s="1">
        <v>9</v>
      </c>
      <c r="X275" s="1">
        <v>9</v>
      </c>
      <c r="Y275" s="1" t="s">
        <v>2911</v>
      </c>
      <c r="Z275" s="1" t="s">
        <v>3283</v>
      </c>
      <c r="AA275" s="1" t="s">
        <v>22</v>
      </c>
      <c r="AB275" s="1" t="s">
        <v>2912</v>
      </c>
      <c r="AC275" s="1" t="s">
        <v>3134</v>
      </c>
      <c r="AD275" s="1" t="s">
        <v>2913</v>
      </c>
      <c r="AE275" s="1" t="s">
        <v>2917</v>
      </c>
      <c r="AF275" s="1" t="s">
        <v>3526</v>
      </c>
      <c r="AG275" s="1">
        <v>285.14999999999998</v>
      </c>
      <c r="AH275" s="1">
        <v>26.75</v>
      </c>
      <c r="AJ275" s="1">
        <v>362.54</v>
      </c>
      <c r="AK275" s="1">
        <v>51.77</v>
      </c>
      <c r="AM275" s="33">
        <f t="shared" si="127"/>
        <v>-77.390000000000043</v>
      </c>
      <c r="AN275" s="1">
        <f t="shared" si="98"/>
        <v>41.20494751847162</v>
      </c>
      <c r="AO275" s="1">
        <f t="shared" si="128"/>
        <v>-1.8781725171548187</v>
      </c>
      <c r="AP275" s="1">
        <f t="shared" si="99"/>
        <v>0.32020922233876853</v>
      </c>
      <c r="AQ275" s="1">
        <f t="shared" si="100"/>
        <v>0.95238095238095233</v>
      </c>
      <c r="AR275" s="1">
        <f t="shared" si="129"/>
        <v>-1.7887357306236367</v>
      </c>
      <c r="AS275" s="1">
        <f t="shared" si="130"/>
        <v>0.53892411704746612</v>
      </c>
      <c r="AV275" s="1" t="s">
        <v>3539</v>
      </c>
    </row>
    <row r="276" spans="1:48" ht="14.25" customHeight="1">
      <c r="A276" s="4">
        <v>452</v>
      </c>
      <c r="C276" s="4" t="s">
        <v>2312</v>
      </c>
      <c r="D276" s="1" t="s">
        <v>2889</v>
      </c>
      <c r="E276" s="1">
        <v>2023</v>
      </c>
      <c r="F276" s="1">
        <v>2015</v>
      </c>
      <c r="G276" s="1" t="s">
        <v>3048</v>
      </c>
      <c r="H276" s="1" t="s">
        <v>2939</v>
      </c>
      <c r="I276" s="1">
        <v>66.900244999999998</v>
      </c>
      <c r="J276" s="1">
        <v>-136.24644499999999</v>
      </c>
      <c r="K276" s="1" t="s">
        <v>2971</v>
      </c>
      <c r="L276" s="1" t="s">
        <v>2919</v>
      </c>
      <c r="M276" s="1" t="s">
        <v>3525</v>
      </c>
      <c r="N276" s="1" t="s">
        <v>3303</v>
      </c>
      <c r="O276" s="1" t="s">
        <v>3305</v>
      </c>
      <c r="P276" s="1" t="s">
        <v>2890</v>
      </c>
      <c r="Q276" s="1" t="s">
        <v>36</v>
      </c>
      <c r="R276" s="1" t="s">
        <v>2903</v>
      </c>
      <c r="S276" s="1">
        <v>2012</v>
      </c>
      <c r="T276" s="1">
        <v>3</v>
      </c>
      <c r="V276" s="1" t="s">
        <v>36</v>
      </c>
      <c r="W276" s="1">
        <v>9</v>
      </c>
      <c r="X276" s="1">
        <v>9</v>
      </c>
      <c r="Y276" s="1" t="s">
        <v>2911</v>
      </c>
      <c r="Z276" s="1" t="s">
        <v>3283</v>
      </c>
      <c r="AA276" s="1" t="s">
        <v>22</v>
      </c>
      <c r="AB276" s="1" t="s">
        <v>2912</v>
      </c>
      <c r="AC276" s="1" t="s">
        <v>3134</v>
      </c>
      <c r="AD276" s="1" t="s">
        <v>2913</v>
      </c>
      <c r="AE276" s="1" t="s">
        <v>2917</v>
      </c>
      <c r="AF276" s="1" t="s">
        <v>3036</v>
      </c>
      <c r="AG276" s="1">
        <v>3.21</v>
      </c>
      <c r="AH276" s="1">
        <v>0.19</v>
      </c>
      <c r="AJ276" s="1">
        <v>3.42</v>
      </c>
      <c r="AK276" s="1">
        <v>0.2</v>
      </c>
      <c r="AM276" s="33">
        <f t="shared" si="127"/>
        <v>-0.20999999999999996</v>
      </c>
      <c r="AN276" s="1">
        <f t="shared" si="98"/>
        <v>0.19506409203131159</v>
      </c>
      <c r="AO276" s="1">
        <f t="shared" si="128"/>
        <v>-1.0765692332871335</v>
      </c>
      <c r="AP276" s="1">
        <f t="shared" si="99"/>
        <v>0.25441670316834575</v>
      </c>
      <c r="AQ276" s="1">
        <f t="shared" si="100"/>
        <v>0.95238095238095233</v>
      </c>
      <c r="AR276" s="1">
        <f t="shared" si="129"/>
        <v>-1.0253040317020319</v>
      </c>
      <c r="AS276" s="1">
        <f t="shared" si="130"/>
        <v>0.4803784441310841</v>
      </c>
      <c r="AV276" s="1" t="s">
        <v>3539</v>
      </c>
    </row>
    <row r="277" spans="1:48" ht="14.25" customHeight="1">
      <c r="A277" s="4">
        <v>452</v>
      </c>
      <c r="C277" s="4" t="s">
        <v>2312</v>
      </c>
      <c r="D277" s="1" t="s">
        <v>2889</v>
      </c>
      <c r="E277" s="1">
        <v>2023</v>
      </c>
      <c r="F277" s="1">
        <v>2015</v>
      </c>
      <c r="G277" s="1" t="s">
        <v>3048</v>
      </c>
      <c r="H277" s="1" t="s">
        <v>2939</v>
      </c>
      <c r="I277" s="1">
        <v>66.900244999999998</v>
      </c>
      <c r="J277" s="1">
        <v>-136.24644499999999</v>
      </c>
      <c r="K277" s="1" t="s">
        <v>2971</v>
      </c>
      <c r="L277" s="1" t="s">
        <v>2919</v>
      </c>
      <c r="M277" s="1" t="s">
        <v>3525</v>
      </c>
      <c r="N277" s="1" t="s">
        <v>3303</v>
      </c>
      <c r="O277" s="1" t="s">
        <v>3305</v>
      </c>
      <c r="P277" s="1" t="s">
        <v>2890</v>
      </c>
      <c r="Q277" s="1" t="s">
        <v>36</v>
      </c>
      <c r="R277" s="1" t="s">
        <v>2903</v>
      </c>
      <c r="S277" s="1">
        <v>2012</v>
      </c>
      <c r="T277" s="1">
        <v>3</v>
      </c>
      <c r="V277" s="1" t="s">
        <v>36</v>
      </c>
      <c r="W277" s="1">
        <v>9</v>
      </c>
      <c r="X277" s="1">
        <v>9</v>
      </c>
      <c r="Y277" s="1" t="s">
        <v>2911</v>
      </c>
      <c r="Z277" s="1" t="s">
        <v>3283</v>
      </c>
      <c r="AA277" s="1" t="s">
        <v>22</v>
      </c>
      <c r="AB277" s="1" t="s">
        <v>2912</v>
      </c>
      <c r="AC277" s="1" t="s">
        <v>3134</v>
      </c>
      <c r="AD277" s="1" t="s">
        <v>2913</v>
      </c>
      <c r="AE277" s="1" t="s">
        <v>2917</v>
      </c>
      <c r="AF277" s="1" t="s">
        <v>3029</v>
      </c>
      <c r="AG277" s="1">
        <v>0.6</v>
      </c>
      <c r="AH277" s="1">
        <v>0.02</v>
      </c>
      <c r="AJ277" s="1">
        <v>0.61</v>
      </c>
      <c r="AK277" s="1">
        <v>0.03</v>
      </c>
      <c r="AM277" s="33">
        <f t="shared" si="127"/>
        <v>-1.0000000000000009E-2</v>
      </c>
      <c r="AN277" s="1">
        <f t="shared" si="98"/>
        <v>2.5495097567963924E-2</v>
      </c>
      <c r="AO277" s="1">
        <f t="shared" si="128"/>
        <v>-0.39223227027636842</v>
      </c>
      <c r="AP277" s="1">
        <f t="shared" si="99"/>
        <v>0.2264957264957265</v>
      </c>
      <c r="AQ277" s="1">
        <f t="shared" si="100"/>
        <v>0.95238095238095233</v>
      </c>
      <c r="AR277" s="1">
        <f t="shared" si="129"/>
        <v>-0.37355454312035086</v>
      </c>
      <c r="AS277" s="1">
        <f t="shared" si="130"/>
        <v>0.45325302059268829</v>
      </c>
      <c r="AV277" s="1" t="s">
        <v>3539</v>
      </c>
    </row>
    <row r="278" spans="1:48" ht="14.25" customHeight="1"/>
    <row r="279" spans="1:48" ht="14.25" customHeight="1"/>
    <row r="280" spans="1:48" ht="14.25" customHeight="1"/>
    <row r="281" spans="1:48" ht="14.25" customHeight="1"/>
    <row r="282" spans="1:48" ht="14.25" customHeight="1"/>
    <row r="283" spans="1:48" ht="14.25" customHeight="1"/>
    <row r="284" spans="1:48" ht="14.25" customHeight="1"/>
    <row r="285" spans="1:48" ht="14.25" customHeight="1"/>
    <row r="286" spans="1:48" ht="14.25" customHeight="1"/>
    <row r="287" spans="1:48" ht="14.25" customHeight="1"/>
    <row r="288" spans="1:48" ht="14.25" customHeight="1">
      <c r="A288" s="1"/>
      <c r="B288" s="1"/>
      <c r="C288" s="1"/>
    </row>
    <row r="289" spans="1:3" ht="14.25" customHeight="1">
      <c r="A289" s="1"/>
      <c r="B289" s="1"/>
      <c r="C289" s="1"/>
    </row>
    <row r="290" spans="1:3" ht="14.25" customHeight="1">
      <c r="A290" s="1"/>
      <c r="B290" s="1"/>
      <c r="C290" s="1"/>
    </row>
    <row r="291" spans="1:3" ht="14.25" customHeight="1">
      <c r="A291" s="1"/>
      <c r="B291" s="1"/>
      <c r="C291" s="1"/>
    </row>
    <row r="292" spans="1:3" ht="14.25" customHeight="1">
      <c r="A292" s="1"/>
      <c r="B292" s="1"/>
      <c r="C292" s="1"/>
    </row>
    <row r="293" spans="1:3" ht="14.25" customHeight="1">
      <c r="A293" s="1"/>
      <c r="B293" s="1"/>
      <c r="C293" s="1"/>
    </row>
    <row r="294" spans="1:3" ht="14.25" customHeight="1">
      <c r="A294" s="1"/>
      <c r="B294" s="1"/>
      <c r="C294" s="1"/>
    </row>
    <row r="295" spans="1:3" ht="14.25" customHeight="1">
      <c r="A295" s="1"/>
      <c r="B295" s="1"/>
      <c r="C295" s="1"/>
    </row>
    <row r="296" spans="1:3" ht="14.25" customHeight="1">
      <c r="A296" s="1"/>
      <c r="B296" s="1"/>
      <c r="C296" s="1"/>
    </row>
    <row r="297" spans="1:3" ht="14.25" customHeight="1">
      <c r="A297" s="1"/>
      <c r="B297" s="1"/>
      <c r="C297" s="1"/>
    </row>
    <row r="298" spans="1:3" ht="14.25" customHeight="1">
      <c r="A298" s="1"/>
      <c r="B298" s="1"/>
      <c r="C298" s="1"/>
    </row>
    <row r="299" spans="1:3" ht="14.25" customHeight="1">
      <c r="A299" s="1"/>
      <c r="B299" s="1"/>
      <c r="C299" s="1"/>
    </row>
    <row r="300" spans="1:3" ht="14.25" customHeight="1">
      <c r="A300" s="1"/>
      <c r="B300" s="1"/>
      <c r="C300" s="1"/>
    </row>
    <row r="301" spans="1:3" ht="14.25" customHeight="1">
      <c r="A301" s="1"/>
      <c r="B301" s="1"/>
      <c r="C301" s="1"/>
    </row>
    <row r="302" spans="1:3" ht="14.25" customHeight="1">
      <c r="A302" s="1"/>
      <c r="B302" s="1"/>
      <c r="C302" s="1"/>
    </row>
    <row r="303" spans="1:3" ht="14.25" customHeight="1">
      <c r="A303" s="1"/>
      <c r="B303" s="1"/>
      <c r="C303" s="1"/>
    </row>
    <row r="304" spans="1:3" ht="14.25" customHeight="1">
      <c r="A304" s="1"/>
      <c r="B304" s="1"/>
      <c r="C304" s="1"/>
    </row>
    <row r="305" spans="1:3" ht="14.25" customHeight="1">
      <c r="A305" s="1"/>
      <c r="B305" s="1"/>
      <c r="C305" s="1"/>
    </row>
    <row r="306" spans="1:3" ht="14.25" customHeight="1">
      <c r="A306" s="1"/>
      <c r="B306" s="1"/>
      <c r="C306" s="1"/>
    </row>
    <row r="307" spans="1:3" ht="14.25" customHeight="1">
      <c r="A307" s="1"/>
      <c r="B307" s="1"/>
      <c r="C307" s="1"/>
    </row>
    <row r="308" spans="1:3" ht="14.25" customHeight="1">
      <c r="A308" s="1"/>
      <c r="B308" s="1"/>
      <c r="C308" s="1"/>
    </row>
    <row r="309" spans="1:3" ht="14.25" customHeight="1">
      <c r="A309" s="1"/>
      <c r="B309" s="1"/>
      <c r="C309" s="1"/>
    </row>
    <row r="310" spans="1:3" ht="14.25" customHeight="1">
      <c r="A310" s="1"/>
      <c r="B310" s="1"/>
      <c r="C310" s="1"/>
    </row>
    <row r="311" spans="1:3" ht="14.25" customHeight="1">
      <c r="A311" s="1"/>
      <c r="B311" s="1"/>
      <c r="C311" s="1"/>
    </row>
    <row r="312" spans="1:3" ht="14.25" customHeight="1">
      <c r="A312" s="1"/>
      <c r="B312" s="1"/>
      <c r="C312" s="1"/>
    </row>
    <row r="313" spans="1:3" ht="14.25" customHeight="1">
      <c r="A313" s="1"/>
      <c r="B313" s="1"/>
      <c r="C313" s="1"/>
    </row>
    <row r="314" spans="1:3" ht="14.25" customHeight="1">
      <c r="A314" s="1"/>
      <c r="B314" s="1"/>
      <c r="C314" s="1"/>
    </row>
    <row r="315" spans="1:3" ht="14.25" customHeight="1">
      <c r="A315" s="1"/>
      <c r="B315" s="1"/>
      <c r="C315" s="1"/>
    </row>
    <row r="316" spans="1:3" ht="14.25" customHeight="1">
      <c r="A316" s="1"/>
      <c r="B316" s="1"/>
      <c r="C316" s="1"/>
    </row>
    <row r="317" spans="1:3" ht="14.25" customHeight="1">
      <c r="A317" s="1"/>
      <c r="B317" s="1"/>
      <c r="C317" s="1"/>
    </row>
    <row r="318" spans="1:3" ht="14.25" customHeight="1">
      <c r="A318" s="1"/>
      <c r="B318" s="1"/>
      <c r="C318" s="1"/>
    </row>
    <row r="319" spans="1:3" ht="14.25" customHeight="1">
      <c r="A319" s="1"/>
      <c r="B319" s="1"/>
      <c r="C319" s="1"/>
    </row>
    <row r="320" spans="1:3" ht="14.25" customHeight="1">
      <c r="A320" s="1"/>
      <c r="B320" s="1"/>
      <c r="C320" s="1"/>
    </row>
    <row r="321" spans="1:3" ht="14.25" customHeight="1">
      <c r="A321" s="1"/>
      <c r="B321" s="1"/>
      <c r="C321" s="1"/>
    </row>
    <row r="322" spans="1:3" ht="14.25" customHeight="1">
      <c r="A322" s="1"/>
      <c r="B322" s="1"/>
      <c r="C322" s="1"/>
    </row>
    <row r="323" spans="1:3" ht="14.25" customHeight="1">
      <c r="A323" s="1"/>
      <c r="B323" s="1"/>
      <c r="C323" s="1"/>
    </row>
    <row r="324" spans="1:3" ht="14.25" customHeight="1">
      <c r="A324" s="1"/>
      <c r="B324" s="1"/>
      <c r="C324" s="1"/>
    </row>
    <row r="325" spans="1:3" ht="14.25" customHeight="1">
      <c r="A325" s="1"/>
      <c r="B325" s="1"/>
      <c r="C325" s="1"/>
    </row>
    <row r="326" spans="1:3" ht="14.25" customHeight="1">
      <c r="A326" s="1"/>
      <c r="B326" s="1"/>
      <c r="C326" s="1"/>
    </row>
    <row r="327" spans="1:3" ht="14.25" customHeight="1">
      <c r="A327" s="1"/>
      <c r="B327" s="1"/>
      <c r="C327" s="1"/>
    </row>
    <row r="328" spans="1:3" ht="14.25" customHeight="1">
      <c r="A328" s="1"/>
      <c r="B328" s="1"/>
      <c r="C328" s="1"/>
    </row>
    <row r="329" spans="1:3" ht="14.25" customHeight="1">
      <c r="A329" s="1"/>
      <c r="B329" s="1"/>
      <c r="C329" s="1"/>
    </row>
    <row r="330" spans="1:3" ht="14.25" customHeight="1">
      <c r="A330" s="1"/>
      <c r="B330" s="1"/>
      <c r="C330" s="1"/>
    </row>
    <row r="331" spans="1:3" ht="14.25" customHeight="1">
      <c r="A331" s="1"/>
      <c r="B331" s="1"/>
      <c r="C331" s="1"/>
    </row>
    <row r="332" spans="1:3" ht="14.25" customHeight="1">
      <c r="A332" s="1"/>
      <c r="B332" s="1"/>
      <c r="C332" s="1"/>
    </row>
    <row r="333" spans="1:3" ht="14.25" customHeight="1">
      <c r="A333" s="1"/>
      <c r="B333" s="1"/>
      <c r="C333" s="1"/>
    </row>
    <row r="334" spans="1:3" ht="14.25" customHeight="1">
      <c r="A334" s="1"/>
      <c r="B334" s="1"/>
      <c r="C334" s="1"/>
    </row>
    <row r="335" spans="1:3" ht="14.25" customHeight="1">
      <c r="A335" s="1"/>
      <c r="B335" s="1"/>
      <c r="C335" s="1"/>
    </row>
    <row r="336" spans="1:3" ht="14.25" customHeight="1">
      <c r="A336" s="1"/>
      <c r="B336" s="1"/>
      <c r="C336" s="1"/>
    </row>
    <row r="337" spans="1:3" ht="14.25" customHeight="1">
      <c r="A337" s="1"/>
      <c r="B337" s="1"/>
      <c r="C337" s="1"/>
    </row>
    <row r="338" spans="1:3" ht="14.25" customHeight="1">
      <c r="A338" s="1"/>
      <c r="B338" s="1"/>
      <c r="C338" s="1"/>
    </row>
    <row r="339" spans="1:3" ht="14.25" customHeight="1">
      <c r="A339" s="1"/>
      <c r="B339" s="1"/>
      <c r="C339" s="1"/>
    </row>
    <row r="340" spans="1:3" ht="14.25" customHeight="1">
      <c r="A340" s="1"/>
      <c r="B340" s="1"/>
      <c r="C340" s="1"/>
    </row>
    <row r="341" spans="1:3" ht="14.25" customHeight="1">
      <c r="A341" s="1"/>
      <c r="B341" s="1"/>
      <c r="C341" s="1"/>
    </row>
    <row r="342" spans="1:3" ht="14.25" customHeight="1">
      <c r="A342" s="1"/>
      <c r="B342" s="1"/>
      <c r="C342" s="1"/>
    </row>
    <row r="343" spans="1:3" ht="14.25" customHeight="1">
      <c r="A343" s="1"/>
      <c r="B343" s="1"/>
      <c r="C343" s="1"/>
    </row>
    <row r="344" spans="1:3" ht="14.25" customHeight="1">
      <c r="A344" s="1"/>
      <c r="B344" s="1"/>
      <c r="C344" s="1"/>
    </row>
    <row r="345" spans="1:3" ht="14.25" customHeight="1">
      <c r="A345" s="1"/>
      <c r="B345" s="1"/>
      <c r="C345" s="1"/>
    </row>
    <row r="346" spans="1:3" ht="14.25" customHeight="1">
      <c r="A346" s="1"/>
      <c r="B346" s="1"/>
      <c r="C346" s="1"/>
    </row>
    <row r="347" spans="1:3" ht="14.25" customHeight="1">
      <c r="A347" s="1"/>
      <c r="B347" s="1"/>
      <c r="C347" s="1"/>
    </row>
    <row r="348" spans="1:3" ht="14.25" customHeight="1">
      <c r="A348" s="1"/>
      <c r="B348" s="1"/>
      <c r="C348" s="1"/>
    </row>
    <row r="349" spans="1:3" ht="14.25" customHeight="1">
      <c r="A349" s="1"/>
      <c r="B349" s="1"/>
      <c r="C349" s="1"/>
    </row>
    <row r="350" spans="1:3" ht="14.25" customHeight="1">
      <c r="A350" s="1"/>
      <c r="B350" s="1"/>
      <c r="C350" s="1"/>
    </row>
    <row r="351" spans="1:3" ht="14.25" customHeight="1">
      <c r="A351" s="1"/>
      <c r="B351" s="1"/>
      <c r="C351" s="1"/>
    </row>
    <row r="352" spans="1:3" ht="14.25" customHeight="1">
      <c r="A352" s="1"/>
      <c r="B352" s="1"/>
      <c r="C352" s="1"/>
    </row>
    <row r="353" spans="1:3" ht="14.25" customHeight="1">
      <c r="A353" s="1"/>
      <c r="B353" s="1"/>
      <c r="C353" s="1"/>
    </row>
    <row r="354" spans="1:3" ht="14.25" customHeight="1">
      <c r="A354" s="1"/>
      <c r="B354" s="1"/>
      <c r="C354" s="1"/>
    </row>
    <row r="355" spans="1:3" ht="14.25" customHeight="1">
      <c r="A355" s="1"/>
      <c r="B355" s="1"/>
      <c r="C355" s="1"/>
    </row>
    <row r="356" spans="1:3" ht="14.25" customHeight="1">
      <c r="A356" s="1"/>
      <c r="B356" s="1"/>
      <c r="C356" s="1"/>
    </row>
    <row r="357" spans="1:3" ht="14.25" customHeight="1">
      <c r="A357" s="1"/>
      <c r="B357" s="1"/>
      <c r="C357" s="1"/>
    </row>
    <row r="358" spans="1:3" ht="14.25" customHeight="1">
      <c r="A358" s="1"/>
      <c r="B358" s="1"/>
      <c r="C358" s="1"/>
    </row>
    <row r="359" spans="1:3" ht="14.25" customHeight="1">
      <c r="A359" s="1"/>
      <c r="B359" s="1"/>
      <c r="C359" s="1"/>
    </row>
    <row r="360" spans="1:3" ht="14.25" customHeight="1">
      <c r="A360" s="1"/>
      <c r="B360" s="1"/>
      <c r="C360" s="1"/>
    </row>
    <row r="361" spans="1:3" ht="14.25" customHeight="1">
      <c r="A361" s="1"/>
      <c r="B361" s="1"/>
      <c r="C361" s="1"/>
    </row>
    <row r="362" spans="1:3" ht="14.25" customHeight="1">
      <c r="A362" s="1"/>
      <c r="B362" s="1"/>
      <c r="C362" s="1"/>
    </row>
    <row r="363" spans="1:3" ht="14.25" customHeight="1">
      <c r="A363" s="1"/>
      <c r="B363" s="1"/>
      <c r="C363" s="1"/>
    </row>
    <row r="364" spans="1:3" ht="14.25" customHeight="1">
      <c r="A364" s="1"/>
      <c r="B364" s="1"/>
      <c r="C364" s="1"/>
    </row>
    <row r="365" spans="1:3" ht="14.25" customHeight="1">
      <c r="A365" s="1"/>
      <c r="B365" s="1"/>
      <c r="C365" s="1"/>
    </row>
    <row r="366" spans="1:3" ht="14.25" customHeight="1">
      <c r="A366" s="1"/>
      <c r="B366" s="1"/>
      <c r="C366" s="1"/>
    </row>
    <row r="367" spans="1:3" ht="14.25" customHeight="1">
      <c r="A367" s="1"/>
      <c r="B367" s="1"/>
      <c r="C367" s="1"/>
    </row>
    <row r="368" spans="1:3" ht="14.25" customHeight="1">
      <c r="A368" s="1"/>
      <c r="B368" s="1"/>
      <c r="C368" s="1"/>
    </row>
    <row r="369" spans="1:3" ht="14.25" customHeight="1">
      <c r="A369" s="1"/>
      <c r="B369" s="1"/>
      <c r="C369" s="1"/>
    </row>
    <row r="370" spans="1:3" ht="14.25" customHeight="1">
      <c r="A370" s="1"/>
      <c r="B370" s="1"/>
      <c r="C370" s="1"/>
    </row>
    <row r="371" spans="1:3" ht="14.25" customHeight="1">
      <c r="A371" s="1"/>
      <c r="B371" s="1"/>
      <c r="C371" s="1"/>
    </row>
    <row r="372" spans="1:3" ht="14.25" customHeight="1">
      <c r="A372" s="1"/>
      <c r="B372" s="1"/>
      <c r="C372" s="1"/>
    </row>
    <row r="373" spans="1:3" ht="14.25" customHeight="1">
      <c r="A373" s="1"/>
      <c r="B373" s="1"/>
      <c r="C373" s="1"/>
    </row>
    <row r="374" spans="1:3" ht="14.25" customHeight="1">
      <c r="A374" s="1"/>
      <c r="B374" s="1"/>
      <c r="C374" s="1"/>
    </row>
    <row r="375" spans="1:3" ht="14.25" customHeight="1">
      <c r="A375" s="1"/>
      <c r="B375" s="1"/>
      <c r="C375" s="1"/>
    </row>
    <row r="376" spans="1:3" ht="14.25" customHeight="1">
      <c r="A376" s="1"/>
      <c r="B376" s="1"/>
      <c r="C376" s="1"/>
    </row>
    <row r="377" spans="1:3" ht="14.25" customHeight="1">
      <c r="A377" s="1"/>
      <c r="B377" s="1"/>
      <c r="C377" s="1"/>
    </row>
    <row r="378" spans="1:3" ht="14.25" customHeight="1">
      <c r="A378" s="1"/>
      <c r="B378" s="1"/>
      <c r="C378" s="1"/>
    </row>
    <row r="379" spans="1:3" ht="14.25" customHeight="1">
      <c r="A379" s="1"/>
      <c r="B379" s="1"/>
      <c r="C379" s="1"/>
    </row>
    <row r="380" spans="1:3" ht="14.25" customHeight="1">
      <c r="A380" s="1"/>
      <c r="B380" s="1"/>
      <c r="C380" s="1"/>
    </row>
    <row r="381" spans="1:3" ht="14.25" customHeight="1">
      <c r="A381" s="1"/>
      <c r="B381" s="1"/>
      <c r="C381" s="1"/>
    </row>
    <row r="382" spans="1:3" ht="14.25" customHeight="1">
      <c r="A382" s="1"/>
      <c r="B382" s="1"/>
      <c r="C382" s="1"/>
    </row>
    <row r="383" spans="1:3" ht="14.25" customHeight="1">
      <c r="A383" s="1"/>
      <c r="B383" s="1"/>
      <c r="C383" s="1"/>
    </row>
    <row r="384" spans="1:3" ht="14.25" customHeight="1">
      <c r="A384" s="1"/>
      <c r="B384" s="1"/>
      <c r="C384" s="1"/>
    </row>
    <row r="385" spans="1:3" ht="14.25" customHeight="1">
      <c r="A385" s="1"/>
      <c r="B385" s="1"/>
      <c r="C385" s="1"/>
    </row>
    <row r="386" spans="1:3" ht="14.25" customHeight="1">
      <c r="A386" s="1"/>
      <c r="B386" s="1"/>
      <c r="C386" s="1"/>
    </row>
    <row r="387" spans="1:3" ht="14.25" customHeight="1">
      <c r="A387" s="1"/>
      <c r="B387" s="1"/>
      <c r="C387" s="1"/>
    </row>
    <row r="388" spans="1:3" ht="14.25" customHeight="1">
      <c r="A388" s="1"/>
      <c r="B388" s="1"/>
      <c r="C388" s="1"/>
    </row>
    <row r="389" spans="1:3" ht="14.25" customHeight="1">
      <c r="A389" s="1"/>
      <c r="B389" s="1"/>
      <c r="C389" s="1"/>
    </row>
    <row r="390" spans="1:3" ht="14.25" customHeight="1">
      <c r="A390" s="1"/>
      <c r="B390" s="1"/>
      <c r="C390" s="1"/>
    </row>
    <row r="391" spans="1:3" ht="14.25" customHeight="1">
      <c r="A391" s="1"/>
      <c r="B391" s="1"/>
      <c r="C391" s="1"/>
    </row>
    <row r="392" spans="1:3" ht="14.25" customHeight="1">
      <c r="A392" s="1"/>
      <c r="B392" s="1"/>
      <c r="C392" s="1"/>
    </row>
    <row r="393" spans="1:3" ht="14.25" customHeight="1">
      <c r="A393" s="1"/>
      <c r="B393" s="1"/>
      <c r="C393" s="1"/>
    </row>
    <row r="394" spans="1:3" ht="14.25" customHeight="1">
      <c r="A394" s="1"/>
      <c r="B394" s="1"/>
      <c r="C394" s="1"/>
    </row>
    <row r="395" spans="1:3" ht="14.25" customHeight="1">
      <c r="A395" s="1"/>
      <c r="B395" s="1"/>
      <c r="C395" s="1"/>
    </row>
    <row r="396" spans="1:3" ht="14.25" customHeight="1">
      <c r="A396" s="1"/>
      <c r="B396" s="1"/>
      <c r="C396" s="1"/>
    </row>
    <row r="397" spans="1:3" ht="14.25" customHeight="1">
      <c r="A397" s="1"/>
      <c r="B397" s="1"/>
      <c r="C397" s="1"/>
    </row>
    <row r="398" spans="1:3" ht="14.25" customHeight="1">
      <c r="A398" s="1"/>
      <c r="B398" s="1"/>
      <c r="C398" s="1"/>
    </row>
    <row r="399" spans="1:3" ht="14.25" customHeight="1">
      <c r="A399" s="1"/>
      <c r="B399" s="1"/>
      <c r="C399" s="1"/>
    </row>
    <row r="400" spans="1:3" ht="14.25" customHeight="1">
      <c r="A400" s="1"/>
      <c r="B400" s="1"/>
      <c r="C400" s="1"/>
    </row>
    <row r="401" spans="1:3" ht="14.25" customHeight="1">
      <c r="A401" s="1"/>
      <c r="B401" s="1"/>
      <c r="C401" s="1"/>
    </row>
    <row r="402" spans="1:3" ht="14.25" customHeight="1">
      <c r="A402" s="1"/>
      <c r="B402" s="1"/>
      <c r="C402" s="1"/>
    </row>
    <row r="403" spans="1:3" ht="14.25" customHeight="1">
      <c r="A403" s="1"/>
      <c r="B403" s="1"/>
      <c r="C403" s="1"/>
    </row>
    <row r="404" spans="1:3" ht="14.25" customHeight="1">
      <c r="A404" s="1"/>
      <c r="B404" s="1"/>
      <c r="C404" s="1"/>
    </row>
    <row r="405" spans="1:3" ht="14.25" customHeight="1">
      <c r="A405" s="1"/>
      <c r="B405" s="1"/>
      <c r="C405" s="1"/>
    </row>
    <row r="406" spans="1:3" ht="14.25" customHeight="1">
      <c r="A406" s="1"/>
      <c r="B406" s="1"/>
      <c r="C406" s="1"/>
    </row>
    <row r="407" spans="1:3" ht="14.25" customHeight="1">
      <c r="A407" s="1"/>
      <c r="B407" s="1"/>
      <c r="C407" s="1"/>
    </row>
    <row r="408" spans="1:3" ht="14.25" customHeight="1">
      <c r="A408" s="1"/>
      <c r="B408" s="1"/>
      <c r="C408" s="1"/>
    </row>
    <row r="409" spans="1:3" ht="14.25" customHeight="1">
      <c r="A409" s="1"/>
      <c r="B409" s="1"/>
      <c r="C409" s="1"/>
    </row>
    <row r="410" spans="1:3" ht="14.25" customHeight="1">
      <c r="A410" s="1"/>
      <c r="B410" s="1"/>
      <c r="C410" s="1"/>
    </row>
    <row r="411" spans="1:3" ht="14.25" customHeight="1">
      <c r="A411" s="1"/>
      <c r="B411" s="1"/>
      <c r="C411" s="1"/>
    </row>
    <row r="412" spans="1:3" ht="14.25" customHeight="1">
      <c r="A412" s="1"/>
      <c r="B412" s="1"/>
      <c r="C412" s="1"/>
    </row>
    <row r="413" spans="1:3" ht="14.25" customHeight="1">
      <c r="A413" s="1"/>
      <c r="B413" s="1"/>
      <c r="C413" s="1"/>
    </row>
    <row r="414" spans="1:3" ht="14.25" customHeight="1">
      <c r="A414" s="1"/>
      <c r="B414" s="1"/>
      <c r="C414" s="1"/>
    </row>
    <row r="415" spans="1:3" ht="14.25" customHeight="1">
      <c r="A415" s="1"/>
      <c r="B415" s="1"/>
      <c r="C415" s="1"/>
    </row>
    <row r="416" spans="1:3" ht="14.25" customHeight="1">
      <c r="A416" s="1"/>
      <c r="B416" s="1"/>
      <c r="C416" s="1"/>
    </row>
    <row r="417" spans="1:3" ht="14.25" customHeight="1">
      <c r="A417" s="1"/>
      <c r="B417" s="1"/>
      <c r="C417" s="1"/>
    </row>
    <row r="418" spans="1:3" ht="14.25" customHeight="1">
      <c r="A418" s="1"/>
      <c r="B418" s="1"/>
      <c r="C418" s="1"/>
    </row>
    <row r="419" spans="1:3" ht="14.25" customHeight="1">
      <c r="A419" s="1"/>
      <c r="B419" s="1"/>
      <c r="C419" s="1"/>
    </row>
    <row r="420" spans="1:3" ht="14.25" customHeight="1">
      <c r="A420" s="1"/>
      <c r="B420" s="1"/>
      <c r="C420" s="1"/>
    </row>
    <row r="421" spans="1:3" ht="14.25" customHeight="1">
      <c r="A421" s="1"/>
      <c r="B421" s="1"/>
      <c r="C421" s="1"/>
    </row>
    <row r="422" spans="1:3" ht="14.25" customHeight="1">
      <c r="A422" s="1"/>
      <c r="B422" s="1"/>
      <c r="C422" s="1"/>
    </row>
    <row r="423" spans="1:3" ht="14.25" customHeight="1">
      <c r="A423" s="1"/>
      <c r="B423" s="1"/>
      <c r="C423" s="1"/>
    </row>
    <row r="424" spans="1:3" ht="14.25" customHeight="1">
      <c r="A424" s="1"/>
      <c r="B424" s="1"/>
      <c r="C424" s="1"/>
    </row>
    <row r="425" spans="1:3" ht="14.25" customHeight="1">
      <c r="A425" s="1"/>
      <c r="B425" s="1"/>
      <c r="C425" s="1"/>
    </row>
    <row r="426" spans="1:3" ht="14.25" customHeight="1">
      <c r="A426" s="1"/>
      <c r="B426" s="1"/>
      <c r="C426" s="1"/>
    </row>
    <row r="427" spans="1:3" ht="14.25" customHeight="1">
      <c r="A427" s="1"/>
      <c r="B427" s="1"/>
      <c r="C427" s="1"/>
    </row>
    <row r="428" spans="1:3" ht="14.25" customHeight="1">
      <c r="A428" s="1"/>
      <c r="B428" s="1"/>
      <c r="C428" s="1"/>
    </row>
    <row r="429" spans="1:3" ht="14.25" customHeight="1">
      <c r="A429" s="1"/>
      <c r="B429" s="1"/>
      <c r="C429" s="1"/>
    </row>
    <row r="430" spans="1:3" ht="14.25" customHeight="1">
      <c r="A430" s="1"/>
      <c r="B430" s="1"/>
      <c r="C430" s="1"/>
    </row>
    <row r="431" spans="1:3" ht="14.25" customHeight="1">
      <c r="A431" s="1"/>
      <c r="B431" s="1"/>
      <c r="C431" s="1"/>
    </row>
    <row r="432" spans="1:3" ht="14.25" customHeight="1">
      <c r="A432" s="1"/>
      <c r="B432" s="1"/>
      <c r="C432" s="1"/>
    </row>
    <row r="433" spans="1:3" ht="14.25" customHeight="1">
      <c r="A433" s="1"/>
      <c r="B433" s="1"/>
      <c r="C433" s="1"/>
    </row>
    <row r="434" spans="1:3" ht="14.25" customHeight="1">
      <c r="A434" s="1"/>
      <c r="B434" s="1"/>
      <c r="C434" s="1"/>
    </row>
    <row r="435" spans="1:3" ht="14.25" customHeight="1">
      <c r="A435" s="1"/>
      <c r="B435" s="1"/>
      <c r="C435" s="1"/>
    </row>
    <row r="436" spans="1:3" ht="14.25" customHeight="1">
      <c r="A436" s="1"/>
      <c r="B436" s="1"/>
      <c r="C436" s="1"/>
    </row>
    <row r="437" spans="1:3" ht="14.25" customHeight="1">
      <c r="A437" s="1"/>
      <c r="B437" s="1"/>
      <c r="C437" s="1"/>
    </row>
    <row r="438" spans="1:3" ht="14.25" customHeight="1">
      <c r="A438" s="1"/>
      <c r="B438" s="1"/>
      <c r="C438" s="1"/>
    </row>
    <row r="439" spans="1:3" ht="14.25" customHeight="1">
      <c r="A439" s="1"/>
      <c r="B439" s="1"/>
      <c r="C439" s="1"/>
    </row>
    <row r="440" spans="1:3" ht="14.25" customHeight="1">
      <c r="A440" s="1"/>
      <c r="B440" s="1"/>
      <c r="C440" s="1"/>
    </row>
    <row r="441" spans="1:3" ht="14.25" customHeight="1">
      <c r="A441" s="1"/>
      <c r="B441" s="1"/>
      <c r="C441" s="1"/>
    </row>
    <row r="442" spans="1:3" ht="14.25" customHeight="1">
      <c r="A442" s="1"/>
      <c r="B442" s="1"/>
      <c r="C442" s="1"/>
    </row>
    <row r="443" spans="1:3" ht="14.25" customHeight="1">
      <c r="A443" s="1"/>
      <c r="B443" s="1"/>
      <c r="C443" s="1"/>
    </row>
    <row r="444" spans="1:3" ht="14.25" customHeight="1">
      <c r="A444" s="1"/>
      <c r="B444" s="1"/>
      <c r="C444" s="1"/>
    </row>
    <row r="445" spans="1:3" ht="14.25" customHeight="1">
      <c r="A445" s="1"/>
      <c r="B445" s="1"/>
      <c r="C445" s="1"/>
    </row>
    <row r="446" spans="1:3" ht="14.25" customHeight="1">
      <c r="A446" s="1"/>
      <c r="B446" s="1"/>
      <c r="C446" s="1"/>
    </row>
    <row r="447" spans="1:3" ht="14.25" customHeight="1">
      <c r="A447" s="1"/>
      <c r="B447" s="1"/>
      <c r="C447" s="1"/>
    </row>
    <row r="448" spans="1:3" ht="14.25" customHeight="1">
      <c r="A448" s="1"/>
      <c r="B448" s="1"/>
      <c r="C448" s="1"/>
    </row>
    <row r="449" spans="1:3" ht="14.25" customHeight="1">
      <c r="A449" s="1"/>
      <c r="B449" s="1"/>
      <c r="C449" s="1"/>
    </row>
    <row r="450" spans="1:3" ht="14.25" customHeight="1">
      <c r="A450" s="1"/>
      <c r="B450" s="1"/>
      <c r="C450" s="1"/>
    </row>
    <row r="451" spans="1:3" ht="14.25" customHeight="1">
      <c r="A451" s="1"/>
      <c r="B451" s="1"/>
      <c r="C451" s="1"/>
    </row>
    <row r="452" spans="1:3" ht="14.25" customHeight="1">
      <c r="A452" s="1"/>
      <c r="B452" s="1"/>
      <c r="C452" s="1"/>
    </row>
    <row r="453" spans="1:3" ht="14.25" customHeight="1">
      <c r="A453" s="1"/>
      <c r="B453" s="1"/>
      <c r="C453" s="1"/>
    </row>
    <row r="454" spans="1:3" ht="14.25" customHeight="1">
      <c r="A454" s="1"/>
      <c r="B454" s="1"/>
      <c r="C454" s="1"/>
    </row>
    <row r="455" spans="1:3" ht="14.25" customHeight="1">
      <c r="A455" s="1"/>
      <c r="B455" s="1"/>
      <c r="C455" s="1"/>
    </row>
    <row r="456" spans="1:3" ht="14.25" customHeight="1">
      <c r="A456" s="1"/>
      <c r="B456" s="1"/>
      <c r="C456" s="1"/>
    </row>
    <row r="457" spans="1:3" ht="14.25" customHeight="1">
      <c r="A457" s="1"/>
      <c r="B457" s="1"/>
      <c r="C457" s="1"/>
    </row>
    <row r="458" spans="1:3" ht="14.25" customHeight="1">
      <c r="A458" s="1"/>
      <c r="B458" s="1"/>
      <c r="C458" s="1"/>
    </row>
    <row r="459" spans="1:3" ht="14.25" customHeight="1">
      <c r="A459" s="1"/>
      <c r="B459" s="1"/>
      <c r="C459" s="1"/>
    </row>
    <row r="460" spans="1:3" ht="14.25" customHeight="1">
      <c r="A460" s="1"/>
      <c r="B460" s="1"/>
      <c r="C460" s="1"/>
    </row>
    <row r="461" spans="1:3" ht="14.25" customHeight="1">
      <c r="A461" s="1"/>
      <c r="B461" s="1"/>
      <c r="C461" s="1"/>
    </row>
    <row r="462" spans="1:3" ht="14.25" customHeight="1">
      <c r="A462" s="1"/>
      <c r="B462" s="1"/>
      <c r="C462" s="1"/>
    </row>
    <row r="463" spans="1:3" ht="14.25" customHeight="1">
      <c r="A463" s="1"/>
      <c r="B463" s="1"/>
      <c r="C463" s="1"/>
    </row>
    <row r="464" spans="1:3" ht="14.25" customHeight="1">
      <c r="A464" s="1"/>
      <c r="B464" s="1"/>
      <c r="C464" s="1"/>
    </row>
    <row r="465" spans="1:3" ht="14.25" customHeight="1">
      <c r="A465" s="1"/>
      <c r="B465" s="1"/>
      <c r="C465" s="1"/>
    </row>
    <row r="466" spans="1:3" ht="14.25" customHeight="1">
      <c r="A466" s="1"/>
      <c r="B466" s="1"/>
      <c r="C466" s="1"/>
    </row>
    <row r="467" spans="1:3" ht="14.25" customHeight="1">
      <c r="A467" s="1"/>
      <c r="B467" s="1"/>
      <c r="C467" s="1"/>
    </row>
    <row r="468" spans="1:3" ht="14.25" customHeight="1">
      <c r="A468" s="1"/>
      <c r="B468" s="1"/>
      <c r="C468" s="1"/>
    </row>
    <row r="469" spans="1:3" ht="14.25" customHeight="1">
      <c r="A469" s="1"/>
      <c r="B469" s="1"/>
      <c r="C469" s="1"/>
    </row>
    <row r="470" spans="1:3" ht="14.25" customHeight="1">
      <c r="A470" s="1"/>
      <c r="B470" s="1"/>
      <c r="C470" s="1"/>
    </row>
    <row r="471" spans="1:3" ht="14.25" customHeight="1">
      <c r="A471" s="1"/>
      <c r="B471" s="1"/>
      <c r="C471" s="1"/>
    </row>
    <row r="472" spans="1:3" ht="14.25" customHeight="1">
      <c r="A472" s="1"/>
      <c r="B472" s="1"/>
      <c r="C472" s="1"/>
    </row>
    <row r="473" spans="1:3" ht="14.25" customHeight="1">
      <c r="A473" s="1"/>
      <c r="B473" s="1"/>
      <c r="C473" s="1"/>
    </row>
    <row r="474" spans="1:3" ht="14.25" customHeight="1">
      <c r="A474" s="1"/>
      <c r="B474" s="1"/>
      <c r="C474" s="1"/>
    </row>
    <row r="475" spans="1:3" ht="14.25" customHeight="1">
      <c r="A475" s="1"/>
      <c r="B475" s="1"/>
      <c r="C475" s="1"/>
    </row>
    <row r="476" spans="1:3" ht="14.25" customHeight="1">
      <c r="A476" s="1"/>
      <c r="B476" s="1"/>
      <c r="C476" s="1"/>
    </row>
    <row r="477" spans="1:3" ht="14.25" customHeight="1">
      <c r="A477" s="1"/>
      <c r="B477" s="1"/>
      <c r="C477" s="1"/>
    </row>
    <row r="478" spans="1:3" ht="14.25" customHeight="1">
      <c r="A478" s="1"/>
      <c r="B478" s="1"/>
      <c r="C478" s="1"/>
    </row>
    <row r="479" spans="1:3" ht="14.25" customHeight="1">
      <c r="A479" s="1"/>
      <c r="B479" s="1"/>
      <c r="C479" s="1"/>
    </row>
    <row r="480" spans="1:3" ht="14.25" customHeight="1">
      <c r="A480" s="1"/>
      <c r="B480" s="1"/>
      <c r="C480" s="1"/>
    </row>
    <row r="481" spans="1:3" ht="14.25" customHeight="1">
      <c r="A481" s="1"/>
      <c r="B481" s="1"/>
      <c r="C481" s="1"/>
    </row>
    <row r="482" spans="1:3" ht="14.25" customHeight="1">
      <c r="A482" s="1"/>
      <c r="B482" s="1"/>
      <c r="C482" s="1"/>
    </row>
    <row r="483" spans="1:3" ht="14.25" customHeight="1">
      <c r="A483" s="1"/>
      <c r="B483" s="1"/>
      <c r="C483" s="1"/>
    </row>
    <row r="484" spans="1:3" ht="14.25" customHeight="1">
      <c r="A484" s="1"/>
      <c r="B484" s="1"/>
      <c r="C484" s="1"/>
    </row>
    <row r="485" spans="1:3" ht="14.25" customHeight="1">
      <c r="A485" s="1"/>
      <c r="B485" s="1"/>
      <c r="C485" s="1"/>
    </row>
    <row r="486" spans="1:3" ht="14.25" customHeight="1">
      <c r="A486" s="1"/>
      <c r="B486" s="1"/>
      <c r="C486" s="1"/>
    </row>
    <row r="487" spans="1:3" ht="14.25" customHeight="1">
      <c r="A487" s="1"/>
      <c r="B487" s="1"/>
      <c r="C487" s="1"/>
    </row>
    <row r="488" spans="1:3" ht="14.25" customHeight="1">
      <c r="A488" s="1"/>
      <c r="B488" s="1"/>
      <c r="C488" s="1"/>
    </row>
    <row r="489" spans="1:3" ht="14.25" customHeight="1">
      <c r="A489" s="1"/>
      <c r="B489" s="1"/>
      <c r="C489" s="1"/>
    </row>
    <row r="490" spans="1:3" ht="14.25" customHeight="1">
      <c r="A490" s="1"/>
      <c r="B490" s="1"/>
      <c r="C490" s="1"/>
    </row>
    <row r="491" spans="1:3" ht="14.25" customHeight="1">
      <c r="A491" s="1"/>
      <c r="B491" s="1"/>
      <c r="C491" s="1"/>
    </row>
    <row r="492" spans="1:3" ht="14.25" customHeight="1">
      <c r="A492" s="1"/>
      <c r="B492" s="1"/>
      <c r="C492" s="1"/>
    </row>
    <row r="493" spans="1:3" ht="14.25" customHeight="1">
      <c r="A493" s="1"/>
      <c r="B493" s="1"/>
      <c r="C493" s="1"/>
    </row>
    <row r="494" spans="1:3" ht="14.25" customHeight="1">
      <c r="A494" s="1"/>
      <c r="B494" s="1"/>
      <c r="C494" s="1"/>
    </row>
    <row r="495" spans="1:3" ht="14.25" customHeight="1">
      <c r="A495" s="1"/>
      <c r="B495" s="1"/>
      <c r="C495" s="1"/>
    </row>
    <row r="496" spans="1:3" ht="14.25" customHeight="1">
      <c r="A496" s="1"/>
      <c r="B496" s="1"/>
      <c r="C496" s="1"/>
    </row>
    <row r="497" spans="1:3" ht="14.25" customHeight="1">
      <c r="A497" s="1"/>
      <c r="B497" s="1"/>
      <c r="C497" s="1"/>
    </row>
    <row r="498" spans="1:3" ht="14.25" customHeight="1">
      <c r="A498" s="1"/>
      <c r="B498" s="1"/>
      <c r="C498" s="1"/>
    </row>
    <row r="499" spans="1:3" ht="14.25" customHeight="1">
      <c r="A499" s="1"/>
      <c r="B499" s="1"/>
      <c r="C499" s="1"/>
    </row>
    <row r="500" spans="1:3" ht="14.25" customHeight="1">
      <c r="A500" s="1"/>
      <c r="B500" s="1"/>
      <c r="C500" s="1"/>
    </row>
    <row r="501" spans="1:3" ht="14.25" customHeight="1">
      <c r="A501" s="1"/>
      <c r="B501" s="1"/>
      <c r="C501" s="1"/>
    </row>
    <row r="502" spans="1:3" ht="14.25" customHeight="1">
      <c r="A502" s="1"/>
      <c r="B502" s="1"/>
      <c r="C502" s="1"/>
    </row>
    <row r="503" spans="1:3" ht="14.25" customHeight="1">
      <c r="A503" s="1"/>
      <c r="B503" s="1"/>
      <c r="C503" s="1"/>
    </row>
    <row r="504" spans="1:3" ht="14.25" customHeight="1">
      <c r="A504" s="1"/>
      <c r="B504" s="1"/>
      <c r="C504" s="1"/>
    </row>
    <row r="505" spans="1:3" ht="14.25" customHeight="1">
      <c r="A505" s="1"/>
      <c r="B505" s="1"/>
      <c r="C505" s="1"/>
    </row>
    <row r="506" spans="1:3" ht="14.25" customHeight="1">
      <c r="A506" s="1"/>
      <c r="B506" s="1"/>
      <c r="C506" s="1"/>
    </row>
    <row r="507" spans="1:3" ht="14.25" customHeight="1">
      <c r="A507" s="1"/>
      <c r="B507" s="1"/>
      <c r="C507" s="1"/>
    </row>
    <row r="508" spans="1:3" ht="14.25" customHeight="1">
      <c r="A508" s="1"/>
      <c r="B508" s="1"/>
      <c r="C508" s="1"/>
    </row>
    <row r="509" spans="1:3" ht="14.25" customHeight="1">
      <c r="A509" s="1"/>
      <c r="B509" s="1"/>
      <c r="C509" s="1"/>
    </row>
    <row r="510" spans="1:3" ht="14.25" customHeight="1">
      <c r="A510" s="1"/>
      <c r="B510" s="1"/>
      <c r="C510" s="1"/>
    </row>
    <row r="511" spans="1:3" ht="14.25" customHeight="1">
      <c r="A511" s="1"/>
      <c r="B511" s="1"/>
      <c r="C511" s="1"/>
    </row>
    <row r="512" spans="1:3" ht="14.25" customHeight="1">
      <c r="A512" s="1"/>
      <c r="B512" s="1"/>
      <c r="C512" s="1"/>
    </row>
    <row r="513" spans="1:3" ht="14.25" customHeight="1">
      <c r="A513" s="1"/>
      <c r="B513" s="1"/>
      <c r="C513" s="1"/>
    </row>
    <row r="514" spans="1:3" ht="14.25" customHeight="1">
      <c r="A514" s="1"/>
      <c r="B514" s="1"/>
      <c r="C514" s="1"/>
    </row>
    <row r="515" spans="1:3" ht="14.25" customHeight="1">
      <c r="A515" s="1"/>
      <c r="B515" s="1"/>
      <c r="C515" s="1"/>
    </row>
    <row r="516" spans="1:3" ht="14.25" customHeight="1">
      <c r="A516" s="1"/>
      <c r="B516" s="1"/>
      <c r="C516" s="1"/>
    </row>
    <row r="517" spans="1:3" ht="14.25" customHeight="1">
      <c r="A517" s="1"/>
      <c r="B517" s="1"/>
      <c r="C517" s="1"/>
    </row>
    <row r="518" spans="1:3" ht="14.25" customHeight="1">
      <c r="A518" s="1"/>
      <c r="B518" s="1"/>
      <c r="C518" s="1"/>
    </row>
    <row r="519" spans="1:3" ht="14.25" customHeight="1">
      <c r="A519" s="1"/>
      <c r="B519" s="1"/>
      <c r="C519" s="1"/>
    </row>
    <row r="520" spans="1:3" ht="14.25" customHeight="1">
      <c r="A520" s="1"/>
      <c r="B520" s="1"/>
      <c r="C520" s="1"/>
    </row>
    <row r="521" spans="1:3" ht="14.25" customHeight="1">
      <c r="A521" s="1"/>
      <c r="B521" s="1"/>
      <c r="C521" s="1"/>
    </row>
    <row r="522" spans="1:3" ht="14.25" customHeight="1">
      <c r="A522" s="1"/>
      <c r="B522" s="1"/>
      <c r="C522" s="1"/>
    </row>
    <row r="523" spans="1:3" ht="14.25" customHeight="1">
      <c r="A523" s="1"/>
      <c r="B523" s="1"/>
      <c r="C523" s="1"/>
    </row>
    <row r="524" spans="1:3" ht="14.25" customHeight="1">
      <c r="A524" s="1"/>
      <c r="B524" s="1"/>
      <c r="C524" s="1"/>
    </row>
    <row r="525" spans="1:3" ht="14.25" customHeight="1">
      <c r="A525" s="1"/>
      <c r="B525" s="1"/>
      <c r="C525" s="1"/>
    </row>
    <row r="526" spans="1:3" ht="14.25" customHeight="1">
      <c r="A526" s="1"/>
      <c r="B526" s="1"/>
      <c r="C526" s="1"/>
    </row>
    <row r="527" spans="1:3" ht="14.25" customHeight="1">
      <c r="A527" s="1"/>
      <c r="B527" s="1"/>
      <c r="C527" s="1"/>
    </row>
    <row r="528" spans="1:3" ht="14.25" customHeight="1">
      <c r="A528" s="1"/>
      <c r="B528" s="1"/>
      <c r="C528" s="1"/>
    </row>
    <row r="529" spans="1:3" ht="14.25" customHeight="1">
      <c r="A529" s="1"/>
      <c r="B529" s="1"/>
      <c r="C529" s="1"/>
    </row>
    <row r="530" spans="1:3" ht="14.25" customHeight="1">
      <c r="A530" s="1"/>
      <c r="B530" s="1"/>
      <c r="C530" s="1"/>
    </row>
    <row r="531" spans="1:3" ht="14.25" customHeight="1">
      <c r="A531" s="1"/>
      <c r="B531" s="1"/>
      <c r="C531" s="1"/>
    </row>
    <row r="532" spans="1:3" ht="14.25" customHeight="1">
      <c r="A532" s="1"/>
      <c r="B532" s="1"/>
      <c r="C532" s="1"/>
    </row>
    <row r="533" spans="1:3" ht="14.25" customHeight="1">
      <c r="A533" s="1"/>
      <c r="B533" s="1"/>
      <c r="C533" s="1"/>
    </row>
    <row r="534" spans="1:3" ht="14.25" customHeight="1">
      <c r="A534" s="1"/>
      <c r="B534" s="1"/>
      <c r="C534" s="1"/>
    </row>
    <row r="535" spans="1:3" ht="14.25" customHeight="1">
      <c r="A535" s="1"/>
      <c r="B535" s="1"/>
      <c r="C535" s="1"/>
    </row>
    <row r="536" spans="1:3" ht="14.25" customHeight="1">
      <c r="A536" s="1"/>
      <c r="B536" s="1"/>
      <c r="C536" s="1"/>
    </row>
    <row r="537" spans="1:3" ht="14.25" customHeight="1">
      <c r="A537" s="1"/>
      <c r="B537" s="1"/>
      <c r="C537" s="1"/>
    </row>
    <row r="538" spans="1:3" ht="14.25" customHeight="1">
      <c r="A538" s="1"/>
      <c r="B538" s="1"/>
      <c r="C538" s="1"/>
    </row>
    <row r="539" spans="1:3" ht="14.25" customHeight="1">
      <c r="A539" s="1"/>
      <c r="B539" s="1"/>
      <c r="C539" s="1"/>
    </row>
    <row r="540" spans="1:3" ht="14.25" customHeight="1">
      <c r="A540" s="1"/>
      <c r="B540" s="1"/>
      <c r="C540" s="1"/>
    </row>
    <row r="541" spans="1:3" ht="14.25" customHeight="1">
      <c r="A541" s="1"/>
      <c r="B541" s="1"/>
      <c r="C541" s="1"/>
    </row>
    <row r="542" spans="1:3" ht="14.25" customHeight="1">
      <c r="A542" s="1"/>
      <c r="B542" s="1"/>
      <c r="C542" s="1"/>
    </row>
    <row r="543" spans="1:3" ht="14.25" customHeight="1">
      <c r="A543" s="1"/>
      <c r="B543" s="1"/>
      <c r="C543" s="1"/>
    </row>
    <row r="544" spans="1:3" ht="14.25" customHeight="1">
      <c r="A544" s="1"/>
      <c r="B544" s="1"/>
      <c r="C544" s="1"/>
    </row>
    <row r="545" spans="1:3" ht="14.25" customHeight="1">
      <c r="A545" s="1"/>
      <c r="B545" s="1"/>
      <c r="C545" s="1"/>
    </row>
    <row r="546" spans="1:3" ht="14.25" customHeight="1">
      <c r="A546" s="1"/>
      <c r="B546" s="1"/>
      <c r="C546" s="1"/>
    </row>
    <row r="547" spans="1:3" ht="14.25" customHeight="1">
      <c r="A547" s="1"/>
      <c r="B547" s="1"/>
      <c r="C547" s="1"/>
    </row>
    <row r="548" spans="1:3" ht="14.25" customHeight="1">
      <c r="A548" s="1"/>
      <c r="B548" s="1"/>
      <c r="C548" s="1"/>
    </row>
    <row r="549" spans="1:3" ht="14.25" customHeight="1">
      <c r="A549" s="1"/>
      <c r="B549" s="1"/>
      <c r="C549" s="1"/>
    </row>
    <row r="550" spans="1:3" ht="14.25" customHeight="1">
      <c r="A550" s="1"/>
      <c r="B550" s="1"/>
      <c r="C550" s="1"/>
    </row>
    <row r="551" spans="1:3" ht="14.25" customHeight="1">
      <c r="A551" s="1"/>
      <c r="B551" s="1"/>
      <c r="C551" s="1"/>
    </row>
    <row r="552" spans="1:3" ht="14.25" customHeight="1">
      <c r="A552" s="1"/>
      <c r="B552" s="1"/>
      <c r="C552" s="1"/>
    </row>
    <row r="553" spans="1:3" ht="14.25" customHeight="1">
      <c r="A553" s="1"/>
      <c r="B553" s="1"/>
      <c r="C553" s="1"/>
    </row>
    <row r="554" spans="1:3" ht="14.25" customHeight="1">
      <c r="A554" s="1"/>
      <c r="B554" s="1"/>
      <c r="C554" s="1"/>
    </row>
    <row r="555" spans="1:3" ht="14.25" customHeight="1">
      <c r="A555" s="1"/>
      <c r="B555" s="1"/>
      <c r="C555" s="1"/>
    </row>
    <row r="556" spans="1:3" ht="14.25" customHeight="1">
      <c r="A556" s="1"/>
      <c r="B556" s="1"/>
      <c r="C556" s="1"/>
    </row>
    <row r="557" spans="1:3" ht="14.25" customHeight="1">
      <c r="A557" s="1"/>
      <c r="B557" s="1"/>
      <c r="C557" s="1"/>
    </row>
    <row r="558" spans="1:3" ht="14.25" customHeight="1">
      <c r="A558" s="1"/>
      <c r="B558" s="1"/>
      <c r="C558" s="1"/>
    </row>
    <row r="559" spans="1:3" ht="14.25" customHeight="1">
      <c r="A559" s="1"/>
      <c r="B559" s="1"/>
      <c r="C559" s="1"/>
    </row>
    <row r="560" spans="1:3" ht="14.25" customHeight="1">
      <c r="A560" s="1"/>
      <c r="B560" s="1"/>
      <c r="C560" s="1"/>
    </row>
    <row r="561" spans="1:3" ht="14.25" customHeight="1">
      <c r="A561" s="1"/>
      <c r="B561" s="1"/>
      <c r="C561" s="1"/>
    </row>
    <row r="562" spans="1:3" ht="14.25" customHeight="1">
      <c r="A562" s="1"/>
      <c r="B562" s="1"/>
      <c r="C562" s="1"/>
    </row>
    <row r="563" spans="1:3" ht="14.25" customHeight="1">
      <c r="A563" s="1"/>
      <c r="B563" s="1"/>
      <c r="C563" s="1"/>
    </row>
    <row r="564" spans="1:3" ht="14.25" customHeight="1">
      <c r="A564" s="1"/>
      <c r="B564" s="1"/>
      <c r="C564" s="1"/>
    </row>
    <row r="565" spans="1:3" ht="14.25" customHeight="1">
      <c r="A565" s="1"/>
      <c r="B565" s="1"/>
      <c r="C565" s="1"/>
    </row>
    <row r="566" spans="1:3" ht="14.25" customHeight="1">
      <c r="A566" s="1"/>
      <c r="B566" s="1"/>
      <c r="C566" s="1"/>
    </row>
    <row r="567" spans="1:3" ht="14.25" customHeight="1">
      <c r="A567" s="1"/>
      <c r="B567" s="1"/>
      <c r="C567" s="1"/>
    </row>
    <row r="568" spans="1:3" ht="14.25" customHeight="1">
      <c r="A568" s="1"/>
      <c r="B568" s="1"/>
      <c r="C568" s="1"/>
    </row>
    <row r="569" spans="1:3" ht="14.25" customHeight="1">
      <c r="A569" s="1"/>
      <c r="B569" s="1"/>
      <c r="C569" s="1"/>
    </row>
    <row r="570" spans="1:3" ht="14.25" customHeight="1">
      <c r="A570" s="1"/>
      <c r="B570" s="1"/>
      <c r="C570" s="1"/>
    </row>
    <row r="571" spans="1:3" ht="14.25" customHeight="1">
      <c r="A571" s="1"/>
      <c r="B571" s="1"/>
      <c r="C571" s="1"/>
    </row>
    <row r="572" spans="1:3" ht="14.25" customHeight="1">
      <c r="A572" s="1"/>
      <c r="B572" s="1"/>
      <c r="C572" s="1"/>
    </row>
    <row r="573" spans="1:3" ht="14.25" customHeight="1">
      <c r="A573" s="1"/>
      <c r="B573" s="1"/>
      <c r="C573" s="1"/>
    </row>
    <row r="574" spans="1:3" ht="14.25" customHeight="1">
      <c r="A574" s="1"/>
      <c r="B574" s="1"/>
      <c r="C574" s="1"/>
    </row>
    <row r="575" spans="1:3" ht="14.25" customHeight="1">
      <c r="A575" s="1"/>
      <c r="B575" s="1"/>
      <c r="C575" s="1"/>
    </row>
    <row r="576" spans="1:3" ht="14.25" customHeight="1">
      <c r="A576" s="1"/>
      <c r="B576" s="1"/>
      <c r="C576" s="1"/>
    </row>
    <row r="577" spans="1:3" ht="14.25" customHeight="1">
      <c r="A577" s="1"/>
      <c r="B577" s="1"/>
      <c r="C577" s="1"/>
    </row>
    <row r="578" spans="1:3" ht="14.25" customHeight="1">
      <c r="A578" s="1"/>
      <c r="B578" s="1"/>
      <c r="C578" s="1"/>
    </row>
    <row r="579" spans="1:3" ht="14.25" customHeight="1">
      <c r="A579" s="1"/>
      <c r="B579" s="1"/>
      <c r="C579" s="1"/>
    </row>
    <row r="580" spans="1:3" ht="14.25" customHeight="1">
      <c r="A580" s="1"/>
      <c r="B580" s="1"/>
      <c r="C580" s="1"/>
    </row>
    <row r="581" spans="1:3" ht="14.25" customHeight="1">
      <c r="A581" s="1"/>
      <c r="B581" s="1"/>
      <c r="C581" s="1"/>
    </row>
    <row r="582" spans="1:3" ht="14.25" customHeight="1">
      <c r="A582" s="1"/>
      <c r="B582" s="1"/>
      <c r="C582" s="1"/>
    </row>
    <row r="583" spans="1:3" ht="14.25" customHeight="1">
      <c r="A583" s="1"/>
      <c r="B583" s="1"/>
      <c r="C583" s="1"/>
    </row>
    <row r="584" spans="1:3" ht="14.25" customHeight="1">
      <c r="A584" s="1"/>
      <c r="B584" s="1"/>
      <c r="C584" s="1"/>
    </row>
    <row r="585" spans="1:3" ht="14.25" customHeight="1">
      <c r="A585" s="1"/>
      <c r="B585" s="1"/>
      <c r="C585" s="1"/>
    </row>
    <row r="586" spans="1:3" ht="14.25" customHeight="1">
      <c r="A586" s="1"/>
      <c r="B586" s="1"/>
      <c r="C586" s="1"/>
    </row>
    <row r="587" spans="1:3" ht="14.25" customHeight="1">
      <c r="A587" s="1"/>
      <c r="B587" s="1"/>
      <c r="C587" s="1"/>
    </row>
    <row r="588" spans="1:3" ht="14.25" customHeight="1">
      <c r="A588" s="1"/>
      <c r="B588" s="1"/>
      <c r="C588" s="1"/>
    </row>
    <row r="589" spans="1:3" ht="14.25" customHeight="1">
      <c r="A589" s="1"/>
      <c r="B589" s="1"/>
      <c r="C589" s="1"/>
    </row>
    <row r="590" spans="1:3" ht="14.25" customHeight="1">
      <c r="A590" s="1"/>
      <c r="B590" s="1"/>
      <c r="C590" s="1"/>
    </row>
    <row r="591" spans="1:3" ht="14.25" customHeight="1">
      <c r="A591" s="1"/>
      <c r="B591" s="1"/>
      <c r="C591" s="1"/>
    </row>
    <row r="592" spans="1:3" ht="14.25" customHeight="1">
      <c r="A592" s="1"/>
      <c r="B592" s="1"/>
      <c r="C592" s="1"/>
    </row>
    <row r="593" spans="1:3" ht="14.25" customHeight="1">
      <c r="A593" s="1"/>
      <c r="B593" s="1"/>
      <c r="C593" s="1"/>
    </row>
    <row r="594" spans="1:3" ht="14.25" customHeight="1">
      <c r="A594" s="1"/>
      <c r="B594" s="1"/>
      <c r="C594" s="1"/>
    </row>
    <row r="595" spans="1:3" ht="14.25" customHeight="1">
      <c r="A595" s="1"/>
      <c r="B595" s="1"/>
      <c r="C595" s="1"/>
    </row>
    <row r="596" spans="1:3" ht="14.25" customHeight="1">
      <c r="A596" s="1"/>
      <c r="B596" s="1"/>
      <c r="C596" s="1"/>
    </row>
    <row r="597" spans="1:3" ht="14.25" customHeight="1">
      <c r="A597" s="1"/>
      <c r="B597" s="1"/>
      <c r="C597" s="1"/>
    </row>
    <row r="598" spans="1:3" ht="14.25" customHeight="1">
      <c r="A598" s="1"/>
      <c r="B598" s="1"/>
      <c r="C598" s="1"/>
    </row>
    <row r="599" spans="1:3" ht="14.25" customHeight="1">
      <c r="A599" s="1"/>
      <c r="B599" s="1"/>
      <c r="C599" s="1"/>
    </row>
    <row r="600" spans="1:3" ht="14.25" customHeight="1">
      <c r="A600" s="1"/>
      <c r="B600" s="1"/>
      <c r="C600" s="1"/>
    </row>
    <row r="601" spans="1:3" ht="14.25" customHeight="1">
      <c r="A601" s="1"/>
      <c r="B601" s="1"/>
      <c r="C601" s="1"/>
    </row>
    <row r="602" spans="1:3" ht="14.25" customHeight="1">
      <c r="A602" s="1"/>
      <c r="B602" s="1"/>
      <c r="C602" s="1"/>
    </row>
    <row r="603" spans="1:3" ht="14.25" customHeight="1">
      <c r="A603" s="1"/>
      <c r="B603" s="1"/>
      <c r="C603" s="1"/>
    </row>
    <row r="604" spans="1:3" ht="14.25" customHeight="1">
      <c r="A604" s="1"/>
      <c r="B604" s="1"/>
      <c r="C604" s="1"/>
    </row>
    <row r="605" spans="1:3" ht="14.25" customHeight="1">
      <c r="A605" s="1"/>
      <c r="B605" s="1"/>
      <c r="C605" s="1"/>
    </row>
    <row r="606" spans="1:3" ht="14.25" customHeight="1">
      <c r="A606" s="1"/>
      <c r="B606" s="1"/>
      <c r="C606" s="1"/>
    </row>
    <row r="607" spans="1:3" ht="14.25" customHeight="1">
      <c r="A607" s="1"/>
      <c r="B607" s="1"/>
      <c r="C607" s="1"/>
    </row>
    <row r="608" spans="1:3" ht="14.25" customHeight="1">
      <c r="A608" s="1"/>
      <c r="B608" s="1"/>
      <c r="C608" s="1"/>
    </row>
    <row r="609" spans="1:3" ht="14.25" customHeight="1">
      <c r="A609" s="1"/>
      <c r="B609" s="1"/>
      <c r="C609" s="1"/>
    </row>
    <row r="610" spans="1:3" ht="14.25" customHeight="1">
      <c r="A610" s="1"/>
      <c r="B610" s="1"/>
      <c r="C610" s="1"/>
    </row>
    <row r="611" spans="1:3" ht="14.25" customHeight="1">
      <c r="A611" s="1"/>
      <c r="B611" s="1"/>
      <c r="C611" s="1"/>
    </row>
    <row r="612" spans="1:3" ht="14.25" customHeight="1">
      <c r="A612" s="1"/>
      <c r="B612" s="1"/>
      <c r="C612" s="1"/>
    </row>
    <row r="613" spans="1:3" ht="14.25" customHeight="1">
      <c r="A613" s="1"/>
      <c r="B613" s="1"/>
      <c r="C613" s="1"/>
    </row>
    <row r="614" spans="1:3" ht="14.25" customHeight="1">
      <c r="A614" s="1"/>
      <c r="B614" s="1"/>
      <c r="C614" s="1"/>
    </row>
    <row r="615" spans="1:3" ht="14.25" customHeight="1">
      <c r="A615" s="1"/>
      <c r="B615" s="1"/>
      <c r="C615" s="1"/>
    </row>
    <row r="616" spans="1:3" ht="14.25" customHeight="1">
      <c r="A616" s="1"/>
      <c r="B616" s="1"/>
      <c r="C616" s="1"/>
    </row>
    <row r="617" spans="1:3" ht="14.25" customHeight="1">
      <c r="A617" s="1"/>
      <c r="B617" s="1"/>
      <c r="C617" s="1"/>
    </row>
    <row r="618" spans="1:3" ht="14.25" customHeight="1">
      <c r="A618" s="1"/>
      <c r="B618" s="1"/>
      <c r="C618" s="1"/>
    </row>
    <row r="619" spans="1:3" ht="14.25" customHeight="1">
      <c r="A619" s="1"/>
      <c r="B619" s="1"/>
      <c r="C619" s="1"/>
    </row>
    <row r="620" spans="1:3" ht="14.25" customHeight="1">
      <c r="A620" s="1"/>
      <c r="B620" s="1"/>
      <c r="C620" s="1"/>
    </row>
    <row r="621" spans="1:3" ht="14.25" customHeight="1">
      <c r="A621" s="1"/>
      <c r="B621" s="1"/>
      <c r="C621" s="1"/>
    </row>
    <row r="622" spans="1:3" ht="14.25" customHeight="1">
      <c r="A622" s="1"/>
      <c r="B622" s="1"/>
      <c r="C622" s="1"/>
    </row>
    <row r="623" spans="1:3" ht="14.25" customHeight="1">
      <c r="A623" s="1"/>
      <c r="B623" s="1"/>
      <c r="C623" s="1"/>
    </row>
    <row r="624" spans="1:3" ht="14.25" customHeight="1">
      <c r="A624" s="1"/>
      <c r="B624" s="1"/>
      <c r="C624" s="1"/>
    </row>
    <row r="625" spans="1:3" ht="14.25" customHeight="1">
      <c r="A625" s="1"/>
      <c r="B625" s="1"/>
      <c r="C625" s="1"/>
    </row>
    <row r="626" spans="1:3" ht="14.25" customHeight="1">
      <c r="A626" s="1"/>
      <c r="B626" s="1"/>
      <c r="C626" s="1"/>
    </row>
    <row r="627" spans="1:3" ht="14.25" customHeight="1">
      <c r="A627" s="1"/>
      <c r="B627" s="1"/>
      <c r="C627" s="1"/>
    </row>
    <row r="628" spans="1:3" ht="14.25" customHeight="1">
      <c r="A628" s="1"/>
      <c r="B628" s="1"/>
      <c r="C628" s="1"/>
    </row>
    <row r="629" spans="1:3" ht="14.25" customHeight="1">
      <c r="A629" s="1"/>
      <c r="B629" s="1"/>
      <c r="C629" s="1"/>
    </row>
    <row r="630" spans="1:3" ht="14.25" customHeight="1">
      <c r="A630" s="1"/>
      <c r="B630" s="1"/>
      <c r="C630" s="1"/>
    </row>
    <row r="631" spans="1:3" ht="14.25" customHeight="1">
      <c r="A631" s="1"/>
      <c r="B631" s="1"/>
      <c r="C631" s="1"/>
    </row>
    <row r="632" spans="1:3" ht="14.25" customHeight="1">
      <c r="A632" s="1"/>
      <c r="B632" s="1"/>
      <c r="C632" s="1"/>
    </row>
    <row r="633" spans="1:3" ht="14.25" customHeight="1">
      <c r="A633" s="1"/>
      <c r="B633" s="1"/>
      <c r="C633" s="1"/>
    </row>
    <row r="634" spans="1:3" ht="14.25" customHeight="1">
      <c r="A634" s="1"/>
      <c r="B634" s="1"/>
      <c r="C634" s="1"/>
    </row>
    <row r="635" spans="1:3" ht="14.25" customHeight="1">
      <c r="A635" s="1"/>
      <c r="B635" s="1"/>
      <c r="C635" s="1"/>
    </row>
    <row r="636" spans="1:3" ht="14.25" customHeight="1">
      <c r="A636" s="1"/>
      <c r="B636" s="1"/>
      <c r="C636" s="1"/>
    </row>
    <row r="637" spans="1:3" ht="14.25" customHeight="1">
      <c r="A637" s="1"/>
      <c r="B637" s="1"/>
      <c r="C637" s="1"/>
    </row>
    <row r="638" spans="1:3" ht="14.25" customHeight="1">
      <c r="A638" s="1"/>
      <c r="B638" s="1"/>
      <c r="C638" s="1"/>
    </row>
    <row r="639" spans="1:3" ht="14.25" customHeight="1">
      <c r="A639" s="1"/>
      <c r="B639" s="1"/>
      <c r="C639" s="1"/>
    </row>
    <row r="640" spans="1:3" ht="14.25" customHeight="1">
      <c r="A640" s="1"/>
      <c r="B640" s="1"/>
      <c r="C640" s="1"/>
    </row>
    <row r="641" spans="1:3" ht="14.25" customHeight="1">
      <c r="A641" s="1"/>
      <c r="B641" s="1"/>
      <c r="C641" s="1"/>
    </row>
    <row r="642" spans="1:3" ht="14.25" customHeight="1">
      <c r="A642" s="1"/>
      <c r="B642" s="1"/>
      <c r="C642" s="1"/>
    </row>
    <row r="643" spans="1:3" ht="14.25" customHeight="1">
      <c r="A643" s="1"/>
      <c r="B643" s="1"/>
      <c r="C643" s="1"/>
    </row>
    <row r="644" spans="1:3" ht="14.25" customHeight="1">
      <c r="A644" s="1"/>
      <c r="B644" s="1"/>
      <c r="C644" s="1"/>
    </row>
    <row r="645" spans="1:3" ht="14.25" customHeight="1">
      <c r="A645" s="1"/>
      <c r="B645" s="1"/>
      <c r="C645" s="1"/>
    </row>
    <row r="646" spans="1:3" ht="14.25" customHeight="1">
      <c r="A646" s="1"/>
      <c r="B646" s="1"/>
      <c r="C646" s="1"/>
    </row>
    <row r="647" spans="1:3" ht="14.25" customHeight="1">
      <c r="A647" s="1"/>
      <c r="B647" s="1"/>
      <c r="C647" s="1"/>
    </row>
    <row r="648" spans="1:3" ht="14.25" customHeight="1">
      <c r="A648" s="1"/>
      <c r="B648" s="1"/>
      <c r="C648" s="1"/>
    </row>
    <row r="649" spans="1:3" ht="14.25" customHeight="1">
      <c r="A649" s="1"/>
      <c r="B649" s="1"/>
      <c r="C649" s="1"/>
    </row>
    <row r="650" spans="1:3" ht="14.25" customHeight="1">
      <c r="A650" s="1"/>
      <c r="B650" s="1"/>
      <c r="C650" s="1"/>
    </row>
    <row r="651" spans="1:3" ht="14.25" customHeight="1">
      <c r="A651" s="1"/>
      <c r="B651" s="1"/>
      <c r="C651" s="1"/>
    </row>
    <row r="652" spans="1:3" ht="14.25" customHeight="1">
      <c r="A652" s="1"/>
      <c r="B652" s="1"/>
      <c r="C652" s="1"/>
    </row>
    <row r="653" spans="1:3" ht="14.25" customHeight="1">
      <c r="A653" s="1"/>
      <c r="B653" s="1"/>
      <c r="C653" s="1"/>
    </row>
    <row r="654" spans="1:3" ht="14.25" customHeight="1">
      <c r="A654" s="1"/>
      <c r="B654" s="1"/>
      <c r="C654" s="1"/>
    </row>
    <row r="655" spans="1:3" ht="14.25" customHeight="1">
      <c r="A655" s="1"/>
      <c r="B655" s="1"/>
      <c r="C655" s="1"/>
    </row>
    <row r="656" spans="1:3" ht="14.25" customHeight="1">
      <c r="A656" s="1"/>
      <c r="B656" s="1"/>
      <c r="C656" s="1"/>
    </row>
    <row r="657" spans="1:3" ht="14.25" customHeight="1">
      <c r="A657" s="1"/>
      <c r="B657" s="1"/>
      <c r="C657" s="1"/>
    </row>
    <row r="658" spans="1:3" ht="14.25" customHeight="1">
      <c r="A658" s="1"/>
      <c r="B658" s="1"/>
      <c r="C658" s="1"/>
    </row>
    <row r="659" spans="1:3" ht="14.25" customHeight="1">
      <c r="A659" s="1"/>
      <c r="B659" s="1"/>
      <c r="C659" s="1"/>
    </row>
    <row r="660" spans="1:3" ht="14.25" customHeight="1">
      <c r="A660" s="1"/>
      <c r="B660" s="1"/>
      <c r="C660" s="1"/>
    </row>
    <row r="661" spans="1:3" ht="14.25" customHeight="1">
      <c r="A661" s="1"/>
      <c r="B661" s="1"/>
      <c r="C661" s="1"/>
    </row>
    <row r="662" spans="1:3" ht="14.25" customHeight="1">
      <c r="A662" s="1"/>
      <c r="B662" s="1"/>
      <c r="C662" s="1"/>
    </row>
    <row r="663" spans="1:3" ht="14.25" customHeight="1">
      <c r="A663" s="1"/>
      <c r="B663" s="1"/>
      <c r="C663" s="1"/>
    </row>
    <row r="664" spans="1:3" ht="14.25" customHeight="1">
      <c r="A664" s="1"/>
      <c r="B664" s="1"/>
      <c r="C664" s="1"/>
    </row>
    <row r="665" spans="1:3" ht="14.25" customHeight="1">
      <c r="A665" s="1"/>
      <c r="B665" s="1"/>
      <c r="C665" s="1"/>
    </row>
    <row r="666" spans="1:3" ht="14.25" customHeight="1">
      <c r="A666" s="1"/>
      <c r="B666" s="1"/>
      <c r="C666" s="1"/>
    </row>
    <row r="667" spans="1:3" ht="14.25" customHeight="1">
      <c r="A667" s="1"/>
      <c r="B667" s="1"/>
      <c r="C667" s="1"/>
    </row>
    <row r="668" spans="1:3" ht="14.25" customHeight="1">
      <c r="A668" s="1"/>
      <c r="B668" s="1"/>
      <c r="C668" s="1"/>
    </row>
    <row r="669" spans="1:3" ht="14.25" customHeight="1">
      <c r="A669" s="1"/>
      <c r="B669" s="1"/>
      <c r="C669" s="1"/>
    </row>
    <row r="670" spans="1:3" ht="14.25" customHeight="1">
      <c r="A670" s="1"/>
      <c r="B670" s="1"/>
      <c r="C670" s="1"/>
    </row>
    <row r="671" spans="1:3" ht="14.25" customHeight="1">
      <c r="A671" s="1"/>
      <c r="B671" s="1"/>
      <c r="C671" s="1"/>
    </row>
    <row r="672" spans="1:3" ht="14.25" customHeight="1">
      <c r="A672" s="1"/>
      <c r="B672" s="1"/>
      <c r="C672" s="1"/>
    </row>
    <row r="673" spans="1:3" ht="14.25" customHeight="1">
      <c r="A673" s="1"/>
      <c r="B673" s="1"/>
      <c r="C673" s="1"/>
    </row>
    <row r="674" spans="1:3" ht="14.25" customHeight="1">
      <c r="A674" s="1"/>
      <c r="B674" s="1"/>
      <c r="C674" s="1"/>
    </row>
    <row r="675" spans="1:3" ht="14.25" customHeight="1">
      <c r="A675" s="1"/>
      <c r="B675" s="1"/>
      <c r="C675" s="1"/>
    </row>
    <row r="676" spans="1:3" ht="14.25" customHeight="1">
      <c r="A676" s="1"/>
      <c r="B676" s="1"/>
      <c r="C676" s="1"/>
    </row>
    <row r="677" spans="1:3" ht="14.25" customHeight="1">
      <c r="A677" s="1"/>
      <c r="B677" s="1"/>
      <c r="C677" s="1"/>
    </row>
    <row r="678" spans="1:3" ht="14.25" customHeight="1">
      <c r="A678" s="1"/>
      <c r="B678" s="1"/>
      <c r="C678" s="1"/>
    </row>
    <row r="679" spans="1:3" ht="14.25" customHeight="1">
      <c r="A679" s="1"/>
      <c r="B679" s="1"/>
      <c r="C679" s="1"/>
    </row>
    <row r="680" spans="1:3" ht="14.25" customHeight="1">
      <c r="A680" s="1"/>
      <c r="B680" s="1"/>
      <c r="C680" s="1"/>
    </row>
    <row r="681" spans="1:3" ht="14.25" customHeight="1">
      <c r="A681" s="1"/>
      <c r="B681" s="1"/>
      <c r="C681" s="1"/>
    </row>
    <row r="682" spans="1:3" ht="14.25" customHeight="1">
      <c r="A682" s="1"/>
      <c r="B682" s="1"/>
      <c r="C682" s="1"/>
    </row>
    <row r="683" spans="1:3" ht="14.25" customHeight="1">
      <c r="A683" s="1"/>
      <c r="B683" s="1"/>
      <c r="C683" s="1"/>
    </row>
    <row r="684" spans="1:3" ht="14.25" customHeight="1">
      <c r="A684" s="1"/>
      <c r="B684" s="1"/>
      <c r="C684" s="1"/>
    </row>
    <row r="685" spans="1:3" ht="14.25" customHeight="1">
      <c r="A685" s="1"/>
      <c r="B685" s="1"/>
      <c r="C685" s="1"/>
    </row>
    <row r="686" spans="1:3" ht="14.25" customHeight="1">
      <c r="A686" s="1"/>
      <c r="B686" s="1"/>
      <c r="C686" s="1"/>
    </row>
    <row r="687" spans="1:3" ht="14.25" customHeight="1">
      <c r="A687" s="1"/>
      <c r="B687" s="1"/>
      <c r="C687" s="1"/>
    </row>
    <row r="688" spans="1:3" ht="14.25" customHeight="1">
      <c r="A688" s="1"/>
      <c r="B688" s="1"/>
      <c r="C688" s="1"/>
    </row>
    <row r="689" spans="1:3" ht="14.25" customHeight="1">
      <c r="A689" s="1"/>
      <c r="B689" s="1"/>
      <c r="C689" s="1"/>
    </row>
    <row r="690" spans="1:3" ht="14.25" customHeight="1">
      <c r="A690" s="1"/>
      <c r="B690" s="1"/>
      <c r="C690" s="1"/>
    </row>
    <row r="691" spans="1:3" ht="14.25" customHeight="1">
      <c r="A691" s="1"/>
      <c r="B691" s="1"/>
      <c r="C691" s="1"/>
    </row>
    <row r="692" spans="1:3" ht="14.25" customHeight="1">
      <c r="A692" s="1"/>
      <c r="B692" s="1"/>
      <c r="C692" s="1"/>
    </row>
    <row r="693" spans="1:3" ht="14.25" customHeight="1">
      <c r="A693" s="1"/>
      <c r="B693" s="1"/>
      <c r="C693" s="1"/>
    </row>
    <row r="694" spans="1:3" ht="14.25" customHeight="1">
      <c r="A694" s="1"/>
      <c r="B694" s="1"/>
      <c r="C694" s="1"/>
    </row>
    <row r="695" spans="1:3" ht="14.25" customHeight="1">
      <c r="A695" s="1"/>
      <c r="B695" s="1"/>
      <c r="C695" s="1"/>
    </row>
    <row r="696" spans="1:3" ht="14.25" customHeight="1">
      <c r="A696" s="1"/>
      <c r="B696" s="1"/>
      <c r="C696" s="1"/>
    </row>
    <row r="697" spans="1:3" ht="14.25" customHeight="1">
      <c r="A697" s="1"/>
      <c r="B697" s="1"/>
      <c r="C697" s="1"/>
    </row>
    <row r="698" spans="1:3" ht="14.25" customHeight="1">
      <c r="A698" s="1"/>
      <c r="B698" s="1"/>
      <c r="C698" s="1"/>
    </row>
    <row r="699" spans="1:3" ht="14.25" customHeight="1">
      <c r="A699" s="1"/>
      <c r="B699" s="1"/>
      <c r="C699" s="1"/>
    </row>
    <row r="700" spans="1:3" ht="14.25" customHeight="1">
      <c r="A700" s="1"/>
      <c r="B700" s="1"/>
      <c r="C700" s="1"/>
    </row>
    <row r="701" spans="1:3" ht="14.25" customHeight="1">
      <c r="A701" s="1"/>
      <c r="B701" s="1"/>
      <c r="C701" s="1"/>
    </row>
    <row r="702" spans="1:3" ht="14.25" customHeight="1">
      <c r="A702" s="1"/>
      <c r="B702" s="1"/>
      <c r="C702" s="1"/>
    </row>
    <row r="703" spans="1:3" ht="14.25" customHeight="1">
      <c r="A703" s="1"/>
      <c r="B703" s="1"/>
      <c r="C703" s="1"/>
    </row>
    <row r="704" spans="1:3" ht="14.25" customHeight="1">
      <c r="A704" s="1"/>
      <c r="B704" s="1"/>
      <c r="C704" s="1"/>
    </row>
    <row r="705" spans="1:3" ht="14.25" customHeight="1">
      <c r="A705" s="1"/>
      <c r="B705" s="1"/>
      <c r="C705" s="1"/>
    </row>
    <row r="706" spans="1:3" ht="14.25" customHeight="1">
      <c r="A706" s="1"/>
      <c r="B706" s="1"/>
      <c r="C706" s="1"/>
    </row>
    <row r="707" spans="1:3" ht="14.25" customHeight="1">
      <c r="A707" s="1"/>
      <c r="B707" s="1"/>
      <c r="C707" s="1"/>
    </row>
    <row r="708" spans="1:3" ht="14.25" customHeight="1">
      <c r="A708" s="1"/>
      <c r="B708" s="1"/>
      <c r="C708" s="1"/>
    </row>
    <row r="709" spans="1:3" ht="14.25" customHeight="1">
      <c r="A709" s="1"/>
      <c r="B709" s="1"/>
      <c r="C709" s="1"/>
    </row>
    <row r="710" spans="1:3" ht="14.25" customHeight="1">
      <c r="A710" s="1"/>
      <c r="B710" s="1"/>
      <c r="C710" s="1"/>
    </row>
    <row r="711" spans="1:3" ht="14.25" customHeight="1">
      <c r="A711" s="1"/>
      <c r="B711" s="1"/>
      <c r="C711" s="1"/>
    </row>
    <row r="712" spans="1:3" ht="14.25" customHeight="1">
      <c r="A712" s="1"/>
      <c r="B712" s="1"/>
      <c r="C712" s="1"/>
    </row>
    <row r="713" spans="1:3" ht="14.25" customHeight="1">
      <c r="A713" s="1"/>
      <c r="B713" s="1"/>
      <c r="C713" s="1"/>
    </row>
    <row r="714" spans="1:3" ht="14.25" customHeight="1">
      <c r="A714" s="1"/>
      <c r="B714" s="1"/>
      <c r="C714" s="1"/>
    </row>
    <row r="715" spans="1:3" ht="14.25" customHeight="1">
      <c r="A715" s="1"/>
      <c r="B715" s="1"/>
      <c r="C715" s="1"/>
    </row>
    <row r="716" spans="1:3" ht="14.25" customHeight="1">
      <c r="A716" s="1"/>
      <c r="B716" s="1"/>
      <c r="C716" s="1"/>
    </row>
    <row r="717" spans="1:3" ht="14.25" customHeight="1">
      <c r="A717" s="1"/>
      <c r="B717" s="1"/>
      <c r="C717" s="1"/>
    </row>
    <row r="718" spans="1:3" ht="14.25" customHeight="1">
      <c r="A718" s="1"/>
      <c r="B718" s="1"/>
      <c r="C718" s="1"/>
    </row>
    <row r="719" spans="1:3" ht="14.25" customHeight="1">
      <c r="A719" s="1"/>
      <c r="B719" s="1"/>
      <c r="C719" s="1"/>
    </row>
    <row r="720" spans="1:3" ht="14.25" customHeight="1">
      <c r="A720" s="1"/>
      <c r="B720" s="1"/>
      <c r="C720" s="1"/>
    </row>
    <row r="721" spans="1:3" ht="14.25" customHeight="1">
      <c r="A721" s="1"/>
      <c r="B721" s="1"/>
      <c r="C721" s="1"/>
    </row>
    <row r="722" spans="1:3" ht="14.25" customHeight="1">
      <c r="A722" s="1"/>
      <c r="B722" s="1"/>
      <c r="C722" s="1"/>
    </row>
    <row r="723" spans="1:3" ht="14.25" customHeight="1">
      <c r="A723" s="1"/>
      <c r="B723" s="1"/>
      <c r="C723" s="1"/>
    </row>
    <row r="724" spans="1:3" ht="14.25" customHeight="1">
      <c r="A724" s="1"/>
      <c r="B724" s="1"/>
      <c r="C724" s="1"/>
    </row>
    <row r="725" spans="1:3" ht="14.25" customHeight="1">
      <c r="A725" s="1"/>
      <c r="B725" s="1"/>
      <c r="C725" s="1"/>
    </row>
    <row r="726" spans="1:3" ht="14.25" customHeight="1">
      <c r="A726" s="1"/>
      <c r="B726" s="1"/>
      <c r="C726" s="1"/>
    </row>
    <row r="727" spans="1:3" ht="14.25" customHeight="1">
      <c r="A727" s="1"/>
      <c r="B727" s="1"/>
      <c r="C727" s="1"/>
    </row>
    <row r="728" spans="1:3" ht="14.25" customHeight="1">
      <c r="A728" s="1"/>
      <c r="B728" s="1"/>
      <c r="C728" s="1"/>
    </row>
    <row r="729" spans="1:3" ht="14.25" customHeight="1">
      <c r="A729" s="1"/>
      <c r="B729" s="1"/>
      <c r="C729" s="1"/>
    </row>
    <row r="730" spans="1:3" ht="14.25" customHeight="1">
      <c r="A730" s="1"/>
      <c r="B730" s="1"/>
      <c r="C730" s="1"/>
    </row>
    <row r="731" spans="1:3" ht="14.25" customHeight="1">
      <c r="A731" s="1"/>
      <c r="B731" s="1"/>
      <c r="C731" s="1"/>
    </row>
    <row r="732" spans="1:3" ht="14.25" customHeight="1">
      <c r="A732" s="1"/>
      <c r="B732" s="1"/>
      <c r="C732" s="1"/>
    </row>
    <row r="733" spans="1:3" ht="14.25" customHeight="1">
      <c r="A733" s="1"/>
      <c r="B733" s="1"/>
      <c r="C733" s="1"/>
    </row>
    <row r="734" spans="1:3" ht="14.25" customHeight="1">
      <c r="A734" s="1"/>
      <c r="B734" s="1"/>
      <c r="C734" s="1"/>
    </row>
    <row r="735" spans="1:3" ht="14.25" customHeight="1">
      <c r="A735" s="1"/>
      <c r="B735" s="1"/>
      <c r="C735" s="1"/>
    </row>
    <row r="736" spans="1:3" ht="14.25" customHeight="1">
      <c r="A736" s="1"/>
      <c r="B736" s="1"/>
      <c r="C736" s="1"/>
    </row>
    <row r="737" spans="1:3" ht="14.25" customHeight="1">
      <c r="A737" s="1"/>
      <c r="B737" s="1"/>
      <c r="C737" s="1"/>
    </row>
    <row r="738" spans="1:3" ht="14.25" customHeight="1">
      <c r="A738" s="1"/>
      <c r="B738" s="1"/>
      <c r="C738" s="1"/>
    </row>
    <row r="739" spans="1:3" ht="14.25" customHeight="1">
      <c r="A739" s="1"/>
      <c r="B739" s="1"/>
      <c r="C739" s="1"/>
    </row>
    <row r="740" spans="1:3" ht="14.25" customHeight="1">
      <c r="A740" s="1"/>
      <c r="B740" s="1"/>
      <c r="C740" s="1"/>
    </row>
    <row r="741" spans="1:3" ht="14.25" customHeight="1">
      <c r="A741" s="1"/>
      <c r="B741" s="1"/>
      <c r="C741" s="1"/>
    </row>
    <row r="742" spans="1:3" ht="14.25" customHeight="1">
      <c r="A742" s="1"/>
      <c r="B742" s="1"/>
      <c r="C742" s="1"/>
    </row>
    <row r="743" spans="1:3" ht="14.25" customHeight="1">
      <c r="A743" s="1"/>
      <c r="B743" s="1"/>
      <c r="C743" s="1"/>
    </row>
    <row r="744" spans="1:3" ht="14.25" customHeight="1">
      <c r="A744" s="1"/>
      <c r="B744" s="1"/>
      <c r="C744" s="1"/>
    </row>
    <row r="745" spans="1:3" ht="14.25" customHeight="1">
      <c r="A745" s="1"/>
      <c r="B745" s="1"/>
      <c r="C745" s="1"/>
    </row>
    <row r="746" spans="1:3" ht="14.25" customHeight="1">
      <c r="A746" s="1"/>
      <c r="B746" s="1"/>
      <c r="C746" s="1"/>
    </row>
    <row r="747" spans="1:3" ht="14.25" customHeight="1">
      <c r="A747" s="1"/>
      <c r="B747" s="1"/>
      <c r="C747" s="1"/>
    </row>
    <row r="748" spans="1:3" ht="14.25" customHeight="1">
      <c r="A748" s="1"/>
      <c r="B748" s="1"/>
      <c r="C748" s="1"/>
    </row>
    <row r="749" spans="1:3" ht="14.25" customHeight="1">
      <c r="A749" s="1"/>
      <c r="B749" s="1"/>
      <c r="C749" s="1"/>
    </row>
    <row r="750" spans="1:3" ht="14.25" customHeight="1">
      <c r="A750" s="1"/>
      <c r="B750" s="1"/>
      <c r="C750" s="1"/>
    </row>
    <row r="751" spans="1:3" ht="14.25" customHeight="1">
      <c r="A751" s="1"/>
      <c r="B751" s="1"/>
      <c r="C751" s="1"/>
    </row>
    <row r="752" spans="1:3" ht="14.25" customHeight="1">
      <c r="A752" s="1"/>
      <c r="B752" s="1"/>
      <c r="C752" s="1"/>
    </row>
    <row r="753" spans="1:3" ht="14.25" customHeight="1">
      <c r="A753" s="1"/>
      <c r="B753" s="1"/>
      <c r="C753" s="1"/>
    </row>
    <row r="754" spans="1:3" ht="14.25" customHeight="1">
      <c r="A754" s="1"/>
      <c r="B754" s="1"/>
      <c r="C754" s="1"/>
    </row>
    <row r="755" spans="1:3" ht="14.25" customHeight="1">
      <c r="A755" s="1"/>
      <c r="B755" s="1"/>
      <c r="C755" s="1"/>
    </row>
    <row r="756" spans="1:3" ht="14.25" customHeight="1">
      <c r="A756" s="1"/>
      <c r="B756" s="1"/>
      <c r="C756" s="1"/>
    </row>
    <row r="757" spans="1:3" ht="14.25" customHeight="1">
      <c r="A757" s="1"/>
      <c r="B757" s="1"/>
      <c r="C757" s="1"/>
    </row>
    <row r="758" spans="1:3" ht="14.25" customHeight="1">
      <c r="A758" s="1"/>
      <c r="B758" s="1"/>
      <c r="C758" s="1"/>
    </row>
    <row r="759" spans="1:3" ht="14.25" customHeight="1">
      <c r="A759" s="1"/>
      <c r="B759" s="1"/>
      <c r="C759" s="1"/>
    </row>
    <row r="760" spans="1:3" ht="14.25" customHeight="1">
      <c r="A760" s="1"/>
      <c r="B760" s="1"/>
      <c r="C760" s="1"/>
    </row>
    <row r="761" spans="1:3" ht="14.25" customHeight="1">
      <c r="A761" s="1"/>
      <c r="B761" s="1"/>
      <c r="C761" s="1"/>
    </row>
    <row r="762" spans="1:3" ht="14.25" customHeight="1">
      <c r="A762" s="1"/>
      <c r="B762" s="1"/>
      <c r="C762" s="1"/>
    </row>
    <row r="763" spans="1:3" ht="14.25" customHeight="1">
      <c r="A763" s="1"/>
      <c r="B763" s="1"/>
      <c r="C763" s="1"/>
    </row>
    <row r="764" spans="1:3" ht="14.25" customHeight="1">
      <c r="A764" s="1"/>
      <c r="B764" s="1"/>
      <c r="C764" s="1"/>
    </row>
    <row r="765" spans="1:3" ht="14.25" customHeight="1">
      <c r="A765" s="1"/>
      <c r="B765" s="1"/>
      <c r="C765" s="1"/>
    </row>
    <row r="766" spans="1:3" ht="14.25" customHeight="1">
      <c r="A766" s="1"/>
      <c r="B766" s="1"/>
      <c r="C766" s="1"/>
    </row>
    <row r="767" spans="1:3" ht="14.25" customHeight="1">
      <c r="A767" s="1"/>
      <c r="B767" s="1"/>
      <c r="C767" s="1"/>
    </row>
    <row r="768" spans="1:3" ht="14.25" customHeight="1">
      <c r="A768" s="1"/>
      <c r="B768" s="1"/>
      <c r="C768" s="1"/>
    </row>
    <row r="769" spans="1:3" ht="14.25" customHeight="1">
      <c r="A769" s="1"/>
      <c r="B769" s="1"/>
      <c r="C769" s="1"/>
    </row>
    <row r="770" spans="1:3" ht="14.25" customHeight="1">
      <c r="A770" s="1"/>
      <c r="B770" s="1"/>
      <c r="C770" s="1"/>
    </row>
    <row r="771" spans="1:3" ht="14.25" customHeight="1">
      <c r="A771" s="1"/>
      <c r="B771" s="1"/>
      <c r="C771" s="1"/>
    </row>
    <row r="772" spans="1:3" ht="14.25" customHeight="1">
      <c r="A772" s="1"/>
      <c r="B772" s="1"/>
      <c r="C772" s="1"/>
    </row>
    <row r="773" spans="1:3" ht="14.25" customHeight="1">
      <c r="A773" s="1"/>
      <c r="B773" s="1"/>
      <c r="C773" s="1"/>
    </row>
    <row r="774" spans="1:3" ht="14.25" customHeight="1">
      <c r="A774" s="1"/>
      <c r="B774" s="1"/>
      <c r="C774" s="1"/>
    </row>
    <row r="775" spans="1:3" ht="14.25" customHeight="1">
      <c r="A775" s="1"/>
      <c r="B775" s="1"/>
      <c r="C775" s="1"/>
    </row>
    <row r="776" spans="1:3" ht="14.25" customHeight="1">
      <c r="A776" s="1"/>
      <c r="B776" s="1"/>
      <c r="C776" s="1"/>
    </row>
    <row r="777" spans="1:3" ht="14.25" customHeight="1">
      <c r="A777" s="1"/>
      <c r="B777" s="1"/>
      <c r="C777" s="1"/>
    </row>
    <row r="778" spans="1:3" ht="14.25" customHeight="1">
      <c r="A778" s="1"/>
      <c r="B778" s="1"/>
      <c r="C778" s="1"/>
    </row>
    <row r="779" spans="1:3" ht="14.25" customHeight="1">
      <c r="A779" s="1"/>
      <c r="B779" s="1"/>
      <c r="C779" s="1"/>
    </row>
    <row r="780" spans="1:3" ht="14.25" customHeight="1">
      <c r="A780" s="1"/>
      <c r="B780" s="1"/>
      <c r="C780" s="1"/>
    </row>
    <row r="781" spans="1:3" ht="14.25" customHeight="1">
      <c r="A781" s="1"/>
      <c r="B781" s="1"/>
      <c r="C781" s="1"/>
    </row>
    <row r="782" spans="1:3" ht="14.25" customHeight="1">
      <c r="A782" s="1"/>
      <c r="B782" s="1"/>
      <c r="C782" s="1"/>
    </row>
    <row r="783" spans="1:3" ht="14.25" customHeight="1">
      <c r="A783" s="1"/>
      <c r="B783" s="1"/>
      <c r="C783" s="1"/>
    </row>
    <row r="784" spans="1:3" ht="14.25" customHeight="1">
      <c r="A784" s="1"/>
      <c r="B784" s="1"/>
      <c r="C784" s="1"/>
    </row>
    <row r="785" spans="1:3" ht="14.25" customHeight="1">
      <c r="A785" s="1"/>
      <c r="B785" s="1"/>
      <c r="C785" s="1"/>
    </row>
    <row r="786" spans="1:3" ht="14.25" customHeight="1">
      <c r="A786" s="1"/>
      <c r="B786" s="1"/>
      <c r="C786" s="1"/>
    </row>
    <row r="787" spans="1:3" ht="14.25" customHeight="1">
      <c r="A787" s="1"/>
      <c r="B787" s="1"/>
      <c r="C787" s="1"/>
    </row>
    <row r="788" spans="1:3" ht="14.25" customHeight="1">
      <c r="A788" s="1"/>
      <c r="B788" s="1"/>
      <c r="C788" s="1"/>
    </row>
    <row r="789" spans="1:3" ht="14.25" customHeight="1">
      <c r="A789" s="1"/>
      <c r="B789" s="1"/>
      <c r="C789" s="1"/>
    </row>
    <row r="790" spans="1:3" ht="14.25" customHeight="1">
      <c r="A790" s="1"/>
      <c r="B790" s="1"/>
      <c r="C790" s="1"/>
    </row>
    <row r="791" spans="1:3" ht="14.25" customHeight="1">
      <c r="A791" s="1"/>
      <c r="B791" s="1"/>
      <c r="C791" s="1"/>
    </row>
    <row r="792" spans="1:3" ht="14.25" customHeight="1">
      <c r="A792" s="1"/>
      <c r="B792" s="1"/>
      <c r="C792" s="1"/>
    </row>
    <row r="793" spans="1:3" ht="14.25" customHeight="1">
      <c r="A793" s="1"/>
      <c r="B793" s="1"/>
      <c r="C793" s="1"/>
    </row>
    <row r="794" spans="1:3" ht="14.25" customHeight="1">
      <c r="A794" s="1"/>
      <c r="B794" s="1"/>
      <c r="C794" s="1"/>
    </row>
    <row r="795" spans="1:3" ht="14.25" customHeight="1">
      <c r="A795" s="1"/>
      <c r="B795" s="1"/>
      <c r="C795" s="1"/>
    </row>
    <row r="796" spans="1:3" ht="14.25" customHeight="1">
      <c r="A796" s="1"/>
      <c r="B796" s="1"/>
      <c r="C796" s="1"/>
    </row>
    <row r="797" spans="1:3" ht="14.25" customHeight="1">
      <c r="A797" s="1"/>
      <c r="B797" s="1"/>
      <c r="C797" s="1"/>
    </row>
    <row r="798" spans="1:3" ht="14.25" customHeight="1">
      <c r="A798" s="1"/>
      <c r="B798" s="1"/>
      <c r="C798" s="1"/>
    </row>
    <row r="799" spans="1:3" ht="14.25" customHeight="1">
      <c r="A799" s="1"/>
      <c r="B799" s="1"/>
      <c r="C799" s="1"/>
    </row>
    <row r="800" spans="1:3" ht="14.25" customHeight="1">
      <c r="A800" s="1"/>
      <c r="B800" s="1"/>
      <c r="C800" s="1"/>
    </row>
    <row r="801" spans="1:3" ht="14.25" customHeight="1">
      <c r="A801" s="1"/>
      <c r="B801" s="1"/>
      <c r="C801" s="1"/>
    </row>
    <row r="802" spans="1:3" ht="14.25" customHeight="1">
      <c r="A802" s="1"/>
      <c r="B802" s="1"/>
      <c r="C802" s="1"/>
    </row>
    <row r="803" spans="1:3" ht="14.25" customHeight="1">
      <c r="A803" s="1"/>
      <c r="B803" s="1"/>
      <c r="C803" s="1"/>
    </row>
    <row r="804" spans="1:3" ht="14.25" customHeight="1">
      <c r="A804" s="1"/>
      <c r="B804" s="1"/>
      <c r="C804" s="1"/>
    </row>
    <row r="805" spans="1:3" ht="14.25" customHeight="1">
      <c r="A805" s="1"/>
      <c r="B805" s="1"/>
      <c r="C805" s="1"/>
    </row>
    <row r="806" spans="1:3" ht="14.25" customHeight="1">
      <c r="A806" s="1"/>
      <c r="B806" s="1"/>
      <c r="C806" s="1"/>
    </row>
    <row r="807" spans="1:3" ht="14.25" customHeight="1">
      <c r="A807" s="1"/>
      <c r="B807" s="1"/>
      <c r="C807" s="1"/>
    </row>
    <row r="808" spans="1:3" ht="14.25" customHeight="1">
      <c r="A808" s="1"/>
      <c r="B808" s="1"/>
      <c r="C808" s="1"/>
    </row>
    <row r="809" spans="1:3" ht="14.25" customHeight="1">
      <c r="A809" s="1"/>
      <c r="B809" s="1"/>
      <c r="C809" s="1"/>
    </row>
    <row r="810" spans="1:3" ht="14.25" customHeight="1">
      <c r="A810" s="1"/>
      <c r="B810" s="1"/>
      <c r="C810" s="1"/>
    </row>
    <row r="811" spans="1:3" ht="14.25" customHeight="1">
      <c r="A811" s="1"/>
      <c r="B811" s="1"/>
      <c r="C811" s="1"/>
    </row>
    <row r="812" spans="1:3" ht="14.25" customHeight="1">
      <c r="A812" s="1"/>
      <c r="B812" s="1"/>
      <c r="C812" s="1"/>
    </row>
    <row r="813" spans="1:3" ht="14.25" customHeight="1">
      <c r="A813" s="1"/>
      <c r="B813" s="1"/>
      <c r="C813" s="1"/>
    </row>
    <row r="814" spans="1:3" ht="14.25" customHeight="1">
      <c r="A814" s="1"/>
      <c r="B814" s="1"/>
      <c r="C814" s="1"/>
    </row>
    <row r="815" spans="1:3" ht="14.25" customHeight="1">
      <c r="A815" s="1"/>
      <c r="B815" s="1"/>
      <c r="C815" s="1"/>
    </row>
    <row r="816" spans="1:3" ht="14.25" customHeight="1">
      <c r="A816" s="1"/>
      <c r="B816" s="1"/>
      <c r="C816" s="1"/>
    </row>
    <row r="817" spans="1:3" ht="14.25" customHeight="1">
      <c r="A817" s="1"/>
      <c r="B817" s="1"/>
      <c r="C817" s="1"/>
    </row>
    <row r="818" spans="1:3" ht="14.25" customHeight="1">
      <c r="A818" s="1"/>
      <c r="B818" s="1"/>
      <c r="C818" s="1"/>
    </row>
    <row r="819" spans="1:3" ht="14.25" customHeight="1">
      <c r="A819" s="1"/>
      <c r="B819" s="1"/>
      <c r="C819" s="1"/>
    </row>
    <row r="820" spans="1:3" ht="14.25" customHeight="1">
      <c r="A820" s="1"/>
      <c r="B820" s="1"/>
      <c r="C820" s="1"/>
    </row>
    <row r="821" spans="1:3" ht="14.25" customHeight="1">
      <c r="A821" s="1"/>
      <c r="B821" s="1"/>
      <c r="C821" s="1"/>
    </row>
    <row r="822" spans="1:3" ht="14.25" customHeight="1">
      <c r="A822" s="1"/>
      <c r="B822" s="1"/>
      <c r="C822" s="1"/>
    </row>
    <row r="823" spans="1:3" ht="14.25" customHeight="1">
      <c r="A823" s="1"/>
      <c r="B823" s="1"/>
      <c r="C823" s="1"/>
    </row>
    <row r="824" spans="1:3" ht="14.25" customHeight="1">
      <c r="A824" s="1"/>
      <c r="B824" s="1"/>
      <c r="C824" s="1"/>
    </row>
    <row r="825" spans="1:3" ht="14.25" customHeight="1">
      <c r="A825" s="1"/>
      <c r="B825" s="1"/>
      <c r="C825" s="1"/>
    </row>
    <row r="826" spans="1:3" ht="14.25" customHeight="1">
      <c r="A826" s="1"/>
      <c r="B826" s="1"/>
      <c r="C826" s="1"/>
    </row>
    <row r="827" spans="1:3" ht="14.25" customHeight="1">
      <c r="A827" s="1"/>
      <c r="B827" s="1"/>
      <c r="C827" s="1"/>
    </row>
    <row r="828" spans="1:3" ht="14.25" customHeight="1">
      <c r="A828" s="1"/>
      <c r="B828" s="1"/>
      <c r="C828" s="1"/>
    </row>
    <row r="829" spans="1:3" ht="14.25" customHeight="1">
      <c r="A829" s="1"/>
      <c r="B829" s="1"/>
      <c r="C829" s="1"/>
    </row>
    <row r="830" spans="1:3" ht="14.25" customHeight="1">
      <c r="A830" s="1"/>
      <c r="B830" s="1"/>
      <c r="C830" s="1"/>
    </row>
    <row r="831" spans="1:3" ht="14.25" customHeight="1">
      <c r="A831" s="1"/>
      <c r="B831" s="1"/>
      <c r="C831" s="1"/>
    </row>
    <row r="832" spans="1:3" ht="14.25" customHeight="1">
      <c r="A832" s="1"/>
      <c r="B832" s="1"/>
      <c r="C832" s="1"/>
    </row>
    <row r="833" spans="1:3" ht="14.25" customHeight="1">
      <c r="A833" s="1"/>
      <c r="B833" s="1"/>
      <c r="C833" s="1"/>
    </row>
    <row r="834" spans="1:3" ht="14.25" customHeight="1">
      <c r="A834" s="1"/>
      <c r="B834" s="1"/>
      <c r="C834" s="1"/>
    </row>
    <row r="835" spans="1:3" ht="14.25" customHeight="1">
      <c r="A835" s="1"/>
      <c r="B835" s="1"/>
      <c r="C835" s="1"/>
    </row>
    <row r="836" spans="1:3" ht="14.25" customHeight="1">
      <c r="A836" s="1"/>
      <c r="B836" s="1"/>
      <c r="C836" s="1"/>
    </row>
    <row r="837" spans="1:3" ht="14.25" customHeight="1">
      <c r="A837" s="1"/>
      <c r="B837" s="1"/>
      <c r="C837" s="1"/>
    </row>
    <row r="838" spans="1:3" ht="14.25" customHeight="1">
      <c r="A838" s="1"/>
      <c r="B838" s="1"/>
      <c r="C838" s="1"/>
    </row>
    <row r="839" spans="1:3" ht="14.25" customHeight="1">
      <c r="A839" s="1"/>
      <c r="B839" s="1"/>
      <c r="C839" s="1"/>
    </row>
    <row r="840" spans="1:3" ht="14.25" customHeight="1">
      <c r="A840" s="1"/>
      <c r="B840" s="1"/>
      <c r="C840" s="1"/>
    </row>
    <row r="841" spans="1:3" ht="14.25" customHeight="1">
      <c r="A841" s="1"/>
      <c r="B841" s="1"/>
      <c r="C841" s="1"/>
    </row>
    <row r="842" spans="1:3" ht="14.25" customHeight="1">
      <c r="A842" s="1"/>
      <c r="B842" s="1"/>
      <c r="C842" s="1"/>
    </row>
    <row r="843" spans="1:3" ht="14.25" customHeight="1">
      <c r="A843" s="1"/>
      <c r="B843" s="1"/>
      <c r="C843" s="1"/>
    </row>
    <row r="844" spans="1:3" ht="14.25" customHeight="1">
      <c r="A844" s="1"/>
      <c r="B844" s="1"/>
      <c r="C844" s="1"/>
    </row>
    <row r="845" spans="1:3" ht="14.25" customHeight="1">
      <c r="A845" s="1"/>
      <c r="B845" s="1"/>
      <c r="C845" s="1"/>
    </row>
    <row r="846" spans="1:3" ht="14.25" customHeight="1">
      <c r="A846" s="1"/>
      <c r="B846" s="1"/>
      <c r="C846" s="1"/>
    </row>
    <row r="847" spans="1:3" ht="14.25" customHeight="1">
      <c r="A847" s="1"/>
      <c r="B847" s="1"/>
      <c r="C847" s="1"/>
    </row>
    <row r="848" spans="1:3" ht="14.25" customHeight="1">
      <c r="A848" s="1"/>
      <c r="B848" s="1"/>
      <c r="C848" s="1"/>
    </row>
    <row r="849" spans="1:3" ht="14.25" customHeight="1">
      <c r="A849" s="1"/>
      <c r="B849" s="1"/>
      <c r="C849" s="1"/>
    </row>
    <row r="850" spans="1:3" ht="14.25" customHeight="1">
      <c r="A850" s="1"/>
      <c r="B850" s="1"/>
      <c r="C850" s="1"/>
    </row>
    <row r="851" spans="1:3" ht="14.25" customHeight="1">
      <c r="A851" s="1"/>
      <c r="B851" s="1"/>
      <c r="C851" s="1"/>
    </row>
    <row r="852" spans="1:3" ht="14.25" customHeight="1">
      <c r="A852" s="1"/>
      <c r="B852" s="1"/>
      <c r="C852" s="1"/>
    </row>
    <row r="853" spans="1:3" ht="14.25" customHeight="1">
      <c r="A853" s="1"/>
      <c r="B853" s="1"/>
      <c r="C853" s="1"/>
    </row>
    <row r="854" spans="1:3" ht="14.25" customHeight="1">
      <c r="A854" s="1"/>
      <c r="B854" s="1"/>
      <c r="C854" s="1"/>
    </row>
    <row r="855" spans="1:3" ht="14.25" customHeight="1">
      <c r="A855" s="1"/>
      <c r="B855" s="1"/>
      <c r="C855" s="1"/>
    </row>
    <row r="856" spans="1:3" ht="14.25" customHeight="1">
      <c r="A856" s="1"/>
      <c r="B856" s="1"/>
      <c r="C856" s="1"/>
    </row>
    <row r="857" spans="1:3" ht="14.25" customHeight="1">
      <c r="A857" s="1"/>
      <c r="B857" s="1"/>
      <c r="C857" s="1"/>
    </row>
    <row r="858" spans="1:3" ht="14.25" customHeight="1">
      <c r="A858" s="1"/>
      <c r="B858" s="1"/>
      <c r="C858" s="1"/>
    </row>
    <row r="859" spans="1:3" ht="14.25" customHeight="1">
      <c r="A859" s="1"/>
      <c r="B859" s="1"/>
      <c r="C859" s="1"/>
    </row>
    <row r="860" spans="1:3" ht="14.25" customHeight="1">
      <c r="A860" s="1"/>
      <c r="B860" s="1"/>
      <c r="C860" s="1"/>
    </row>
    <row r="861" spans="1:3" ht="14.25" customHeight="1">
      <c r="A861" s="1"/>
      <c r="B861" s="1"/>
      <c r="C861" s="1"/>
    </row>
    <row r="862" spans="1:3" ht="14.25" customHeight="1">
      <c r="A862" s="1"/>
      <c r="B862" s="1"/>
      <c r="C862" s="1"/>
    </row>
    <row r="863" spans="1:3" ht="14.25" customHeight="1">
      <c r="A863" s="1"/>
      <c r="B863" s="1"/>
      <c r="C863" s="1"/>
    </row>
    <row r="864" spans="1:3" ht="14.25" customHeight="1">
      <c r="A864" s="1"/>
      <c r="B864" s="1"/>
      <c r="C864" s="1"/>
    </row>
    <row r="865" spans="1:3" ht="14.25" customHeight="1">
      <c r="A865" s="1"/>
      <c r="B865" s="1"/>
      <c r="C865" s="1"/>
    </row>
    <row r="866" spans="1:3" ht="14.25" customHeight="1">
      <c r="A866" s="1"/>
      <c r="B866" s="1"/>
      <c r="C866" s="1"/>
    </row>
    <row r="867" spans="1:3" ht="14.25" customHeight="1">
      <c r="A867" s="1"/>
      <c r="B867" s="1"/>
      <c r="C867" s="1"/>
    </row>
    <row r="868" spans="1:3" ht="14.25" customHeight="1">
      <c r="A868" s="1"/>
      <c r="B868" s="1"/>
      <c r="C868" s="1"/>
    </row>
    <row r="869" spans="1:3" ht="14.25" customHeight="1">
      <c r="A869" s="1"/>
      <c r="B869" s="1"/>
      <c r="C869" s="1"/>
    </row>
    <row r="870" spans="1:3" ht="14.25" customHeight="1">
      <c r="A870" s="1"/>
      <c r="B870" s="1"/>
      <c r="C870" s="1"/>
    </row>
    <row r="871" spans="1:3" ht="14.25" customHeight="1">
      <c r="A871" s="1"/>
      <c r="B871" s="1"/>
      <c r="C871" s="1"/>
    </row>
    <row r="872" spans="1:3" ht="14.25" customHeight="1">
      <c r="A872" s="1"/>
      <c r="B872" s="1"/>
      <c r="C872" s="1"/>
    </row>
    <row r="873" spans="1:3" ht="14.25" customHeight="1">
      <c r="A873" s="1"/>
      <c r="B873" s="1"/>
      <c r="C873" s="1"/>
    </row>
    <row r="874" spans="1:3" ht="14.25" customHeight="1">
      <c r="A874" s="1"/>
      <c r="B874" s="1"/>
      <c r="C874" s="1"/>
    </row>
    <row r="875" spans="1:3" ht="14.25" customHeight="1">
      <c r="A875" s="1"/>
      <c r="B875" s="1"/>
      <c r="C875" s="1"/>
    </row>
    <row r="876" spans="1:3" ht="14.25" customHeight="1">
      <c r="A876" s="1"/>
      <c r="B876" s="1"/>
      <c r="C876" s="1"/>
    </row>
    <row r="877" spans="1:3" ht="14.25" customHeight="1">
      <c r="A877" s="1"/>
      <c r="B877" s="1"/>
      <c r="C877" s="1"/>
    </row>
    <row r="878" spans="1:3" ht="14.25" customHeight="1">
      <c r="A878" s="1"/>
      <c r="B878" s="1"/>
      <c r="C878" s="1"/>
    </row>
    <row r="879" spans="1:3" ht="14.25" customHeight="1">
      <c r="A879" s="1"/>
      <c r="B879" s="1"/>
      <c r="C879" s="1"/>
    </row>
    <row r="880" spans="1:3" ht="14.25" customHeight="1">
      <c r="A880" s="1"/>
      <c r="B880" s="1"/>
      <c r="C880" s="1"/>
    </row>
    <row r="881" spans="1:3" ht="14.25" customHeight="1">
      <c r="A881" s="1"/>
      <c r="B881" s="1"/>
      <c r="C881" s="1"/>
    </row>
    <row r="882" spans="1:3" ht="14.25" customHeight="1">
      <c r="A882" s="1"/>
      <c r="B882" s="1"/>
      <c r="C882" s="1"/>
    </row>
    <row r="883" spans="1:3" ht="14.25" customHeight="1">
      <c r="A883" s="1"/>
      <c r="B883" s="1"/>
      <c r="C883" s="1"/>
    </row>
    <row r="884" spans="1:3" ht="14.25" customHeight="1">
      <c r="A884" s="1"/>
      <c r="B884" s="1"/>
      <c r="C884" s="1"/>
    </row>
    <row r="885" spans="1:3" ht="14.25" customHeight="1">
      <c r="A885" s="1"/>
      <c r="B885" s="1"/>
      <c r="C885" s="1"/>
    </row>
    <row r="886" spans="1:3" ht="14.25" customHeight="1">
      <c r="A886" s="1"/>
      <c r="B886" s="1"/>
      <c r="C886" s="1"/>
    </row>
    <row r="887" spans="1:3" ht="14.25" customHeight="1">
      <c r="A887" s="1"/>
      <c r="B887" s="1"/>
      <c r="C887" s="1"/>
    </row>
    <row r="888" spans="1:3" ht="14.25" customHeight="1">
      <c r="A888" s="1"/>
      <c r="B888" s="1"/>
      <c r="C888" s="1"/>
    </row>
    <row r="889" spans="1:3" ht="14.25" customHeight="1">
      <c r="A889" s="1"/>
      <c r="B889" s="1"/>
      <c r="C889" s="1"/>
    </row>
    <row r="890" spans="1:3" ht="14.25" customHeight="1">
      <c r="A890" s="1"/>
      <c r="B890" s="1"/>
      <c r="C890" s="1"/>
    </row>
    <row r="891" spans="1:3" ht="14.25" customHeight="1">
      <c r="A891" s="1"/>
      <c r="B891" s="1"/>
      <c r="C891" s="1"/>
    </row>
    <row r="892" spans="1:3" ht="14.25" customHeight="1">
      <c r="A892" s="1"/>
      <c r="B892" s="1"/>
      <c r="C892" s="1"/>
    </row>
    <row r="893" spans="1:3" ht="14.25" customHeight="1">
      <c r="A893" s="1"/>
      <c r="B893" s="1"/>
      <c r="C893" s="1"/>
    </row>
    <row r="894" spans="1:3" ht="14.25" customHeight="1">
      <c r="A894" s="1"/>
      <c r="B894" s="1"/>
      <c r="C894" s="1"/>
    </row>
    <row r="895" spans="1:3" ht="14.25" customHeight="1">
      <c r="A895" s="1"/>
      <c r="B895" s="1"/>
      <c r="C895" s="1"/>
    </row>
    <row r="896" spans="1:3" ht="14.25" customHeight="1">
      <c r="A896" s="1"/>
      <c r="B896" s="1"/>
      <c r="C896" s="1"/>
    </row>
    <row r="897" spans="1:3" ht="14.25" customHeight="1">
      <c r="A897" s="1"/>
      <c r="B897" s="1"/>
      <c r="C897" s="1"/>
    </row>
    <row r="898" spans="1:3" ht="14.25" customHeight="1">
      <c r="A898" s="1"/>
      <c r="B898" s="1"/>
      <c r="C898" s="1"/>
    </row>
    <row r="899" spans="1:3" ht="14.25" customHeight="1">
      <c r="A899" s="1"/>
      <c r="B899" s="1"/>
      <c r="C899" s="1"/>
    </row>
    <row r="900" spans="1:3" ht="14.25" customHeight="1">
      <c r="A900" s="1"/>
      <c r="B900" s="1"/>
      <c r="C900" s="1"/>
    </row>
    <row r="901" spans="1:3" ht="14.25" customHeight="1">
      <c r="A901" s="1"/>
      <c r="B901" s="1"/>
      <c r="C901" s="1"/>
    </row>
    <row r="902" spans="1:3" ht="14.25" customHeight="1">
      <c r="A902" s="1"/>
      <c r="B902" s="1"/>
      <c r="C902" s="1"/>
    </row>
    <row r="903" spans="1:3" ht="14.25" customHeight="1">
      <c r="A903" s="1"/>
      <c r="B903" s="1"/>
      <c r="C903" s="1"/>
    </row>
    <row r="904" spans="1:3" ht="14.25" customHeight="1">
      <c r="A904" s="1"/>
      <c r="B904" s="1"/>
      <c r="C904" s="1"/>
    </row>
    <row r="905" spans="1:3" ht="14.25" customHeight="1">
      <c r="A905" s="1"/>
      <c r="B905" s="1"/>
      <c r="C905" s="1"/>
    </row>
    <row r="906" spans="1:3" ht="14.25" customHeight="1">
      <c r="A906" s="1"/>
      <c r="B906" s="1"/>
      <c r="C906" s="1"/>
    </row>
    <row r="907" spans="1:3" ht="14.25" customHeight="1">
      <c r="A907" s="1"/>
      <c r="B907" s="1"/>
      <c r="C907" s="1"/>
    </row>
    <row r="908" spans="1:3" ht="14.25" customHeight="1">
      <c r="A908" s="1"/>
      <c r="B908" s="1"/>
      <c r="C908" s="1"/>
    </row>
    <row r="909" spans="1:3" ht="14.25" customHeight="1">
      <c r="A909" s="1"/>
      <c r="B909" s="1"/>
      <c r="C909" s="1"/>
    </row>
    <row r="910" spans="1:3" ht="14.25" customHeight="1">
      <c r="A910" s="1"/>
      <c r="B910" s="1"/>
      <c r="C910" s="1"/>
    </row>
    <row r="911" spans="1:3" ht="14.25" customHeight="1">
      <c r="A911" s="1"/>
      <c r="B911" s="1"/>
      <c r="C911" s="1"/>
    </row>
    <row r="912" spans="1:3" ht="14.25" customHeight="1">
      <c r="A912" s="1"/>
      <c r="B912" s="1"/>
      <c r="C912" s="1"/>
    </row>
    <row r="913" spans="1:3" ht="14.25" customHeight="1">
      <c r="A913" s="1"/>
      <c r="B913" s="1"/>
      <c r="C913" s="1"/>
    </row>
    <row r="914" spans="1:3" ht="14.25" customHeight="1">
      <c r="A914" s="1"/>
      <c r="B914" s="1"/>
      <c r="C914" s="1"/>
    </row>
    <row r="915" spans="1:3" ht="14.25" customHeight="1">
      <c r="A915" s="1"/>
      <c r="B915" s="1"/>
      <c r="C915" s="1"/>
    </row>
    <row r="916" spans="1:3" ht="14.25" customHeight="1">
      <c r="A916" s="1"/>
      <c r="B916" s="1"/>
      <c r="C916" s="1"/>
    </row>
    <row r="917" spans="1:3" ht="14.25" customHeight="1">
      <c r="A917" s="1"/>
      <c r="B917" s="1"/>
      <c r="C917" s="1"/>
    </row>
    <row r="918" spans="1:3" ht="14.25" customHeight="1">
      <c r="A918" s="1"/>
      <c r="B918" s="1"/>
      <c r="C918" s="1"/>
    </row>
    <row r="919" spans="1:3" ht="14.25" customHeight="1">
      <c r="A919" s="1"/>
      <c r="B919" s="1"/>
      <c r="C919" s="1"/>
    </row>
    <row r="920" spans="1:3" ht="14.25" customHeight="1">
      <c r="A920" s="1"/>
      <c r="B920" s="1"/>
      <c r="C920" s="1"/>
    </row>
    <row r="921" spans="1:3" ht="14.25" customHeight="1">
      <c r="A921" s="1"/>
      <c r="B921" s="1"/>
      <c r="C921" s="1"/>
    </row>
    <row r="922" spans="1:3" ht="14.25" customHeight="1">
      <c r="A922" s="1"/>
      <c r="B922" s="1"/>
      <c r="C922" s="1"/>
    </row>
    <row r="923" spans="1:3" ht="14.25" customHeight="1">
      <c r="A923" s="1"/>
      <c r="B923" s="1"/>
      <c r="C923" s="1"/>
    </row>
    <row r="924" spans="1:3" ht="14.25" customHeight="1">
      <c r="A924" s="1"/>
      <c r="B924" s="1"/>
      <c r="C924" s="1"/>
    </row>
    <row r="925" spans="1:3" ht="14.25" customHeight="1">
      <c r="A925" s="1"/>
      <c r="B925" s="1"/>
      <c r="C925" s="1"/>
    </row>
    <row r="926" spans="1:3" ht="14.25" customHeight="1">
      <c r="A926" s="1"/>
      <c r="B926" s="1"/>
      <c r="C926" s="1"/>
    </row>
    <row r="927" spans="1:3" ht="14.25" customHeight="1">
      <c r="A927" s="1"/>
      <c r="B927" s="1"/>
      <c r="C927" s="1"/>
    </row>
    <row r="928" spans="1:3" ht="14.25" customHeight="1">
      <c r="A928" s="1"/>
      <c r="B928" s="1"/>
      <c r="C928" s="1"/>
    </row>
    <row r="929" spans="1:3" ht="14.25" customHeight="1">
      <c r="A929" s="1"/>
      <c r="B929" s="1"/>
      <c r="C929" s="1"/>
    </row>
    <row r="930" spans="1:3" ht="14.25" customHeight="1">
      <c r="A930" s="1"/>
      <c r="B930" s="1"/>
      <c r="C930" s="1"/>
    </row>
    <row r="931" spans="1:3" ht="14.25" customHeight="1">
      <c r="A931" s="1"/>
      <c r="B931" s="1"/>
      <c r="C931" s="1"/>
    </row>
    <row r="932" spans="1:3" ht="14.25" customHeight="1">
      <c r="A932" s="1"/>
      <c r="B932" s="1"/>
      <c r="C932" s="1"/>
    </row>
    <row r="933" spans="1:3" ht="14.25" customHeight="1">
      <c r="A933" s="1"/>
      <c r="B933" s="1"/>
      <c r="C933" s="1"/>
    </row>
    <row r="934" spans="1:3" ht="14.25" customHeight="1">
      <c r="A934" s="1"/>
      <c r="B934" s="1"/>
      <c r="C934" s="1"/>
    </row>
    <row r="935" spans="1:3" ht="14.25" customHeight="1">
      <c r="A935" s="1"/>
      <c r="B935" s="1"/>
      <c r="C935" s="1"/>
    </row>
    <row r="936" spans="1:3" ht="14.25" customHeight="1">
      <c r="A936" s="1"/>
      <c r="B936" s="1"/>
      <c r="C936" s="1"/>
    </row>
    <row r="937" spans="1:3" ht="14.25" customHeight="1">
      <c r="A937" s="1"/>
      <c r="B937" s="1"/>
      <c r="C937" s="1"/>
    </row>
    <row r="938" spans="1:3" ht="14.25" customHeight="1">
      <c r="A938" s="1"/>
      <c r="B938" s="1"/>
      <c r="C938" s="1"/>
    </row>
    <row r="939" spans="1:3" ht="14.25" customHeight="1">
      <c r="A939" s="1"/>
      <c r="B939" s="1"/>
      <c r="C939" s="1"/>
    </row>
    <row r="940" spans="1:3" ht="14.25" customHeight="1">
      <c r="A940" s="1"/>
      <c r="B940" s="1"/>
      <c r="C940" s="1"/>
    </row>
    <row r="941" spans="1:3" ht="14.25" customHeight="1">
      <c r="A941" s="1"/>
      <c r="B941" s="1"/>
      <c r="C941" s="1"/>
    </row>
    <row r="942" spans="1:3" ht="14.25" customHeight="1">
      <c r="A942" s="1"/>
      <c r="B942" s="1"/>
      <c r="C942" s="1"/>
    </row>
    <row r="943" spans="1:3" ht="14.25" customHeight="1">
      <c r="A943" s="1"/>
      <c r="B943" s="1"/>
      <c r="C943" s="1"/>
    </row>
    <row r="944" spans="1:3" ht="14.25" customHeight="1">
      <c r="A944" s="1"/>
      <c r="B944" s="1"/>
      <c r="C944" s="1"/>
    </row>
    <row r="945" spans="1:3" ht="14.25" customHeight="1">
      <c r="A945" s="1"/>
      <c r="B945" s="1"/>
      <c r="C945" s="1"/>
    </row>
    <row r="946" spans="1:3" ht="14.25" customHeight="1">
      <c r="A946" s="1"/>
      <c r="B946" s="1"/>
      <c r="C946" s="1"/>
    </row>
    <row r="947" spans="1:3" ht="14.25" customHeight="1">
      <c r="A947" s="1"/>
      <c r="B947" s="1"/>
      <c r="C947" s="1"/>
    </row>
    <row r="948" spans="1:3" ht="14.25" customHeight="1">
      <c r="A948" s="1"/>
      <c r="B948" s="1"/>
      <c r="C948" s="1"/>
    </row>
    <row r="949" spans="1:3" ht="14.25" customHeight="1">
      <c r="A949" s="1"/>
      <c r="B949" s="1"/>
      <c r="C949" s="1"/>
    </row>
    <row r="950" spans="1:3" ht="14.25" customHeight="1">
      <c r="A950" s="1"/>
      <c r="B950" s="1"/>
      <c r="C950" s="1"/>
    </row>
    <row r="951" spans="1:3" ht="14.25" customHeight="1">
      <c r="A951" s="1"/>
      <c r="B951" s="1"/>
      <c r="C951" s="1"/>
    </row>
    <row r="952" spans="1:3" ht="14.25" customHeight="1">
      <c r="A952" s="1"/>
      <c r="B952" s="1"/>
      <c r="C952" s="1"/>
    </row>
    <row r="953" spans="1:3" ht="14.25" customHeight="1">
      <c r="A953" s="1"/>
      <c r="B953" s="1"/>
      <c r="C953" s="1"/>
    </row>
    <row r="954" spans="1:3" ht="14.25" customHeight="1">
      <c r="A954" s="1"/>
      <c r="B954" s="1"/>
      <c r="C954" s="1"/>
    </row>
    <row r="955" spans="1:3" ht="14.25" customHeight="1">
      <c r="A955" s="1"/>
      <c r="B955" s="1"/>
      <c r="C955" s="1"/>
    </row>
    <row r="956" spans="1:3" ht="14.25" customHeight="1">
      <c r="A956" s="1"/>
      <c r="B956" s="1"/>
      <c r="C956" s="1"/>
    </row>
    <row r="957" spans="1:3" ht="14.25" customHeight="1">
      <c r="A957" s="1"/>
      <c r="B957" s="1"/>
      <c r="C957" s="1"/>
    </row>
    <row r="958" spans="1:3" ht="14.25" customHeight="1">
      <c r="A958" s="1"/>
      <c r="B958" s="1"/>
      <c r="C958" s="1"/>
    </row>
    <row r="959" spans="1:3" ht="14.25" customHeight="1">
      <c r="A959" s="1"/>
      <c r="B959" s="1"/>
      <c r="C959" s="1"/>
    </row>
    <row r="960" spans="1:3" ht="14.25" customHeight="1">
      <c r="A960" s="1"/>
      <c r="B960" s="1"/>
      <c r="C960" s="1"/>
    </row>
    <row r="961" spans="1:3" ht="14.25" customHeight="1">
      <c r="A961" s="1"/>
      <c r="B961" s="1"/>
      <c r="C961" s="1"/>
    </row>
    <row r="962" spans="1:3" ht="14.25" customHeight="1">
      <c r="A962" s="1"/>
      <c r="B962" s="1"/>
      <c r="C962" s="1"/>
    </row>
    <row r="963" spans="1:3" ht="14.25" customHeight="1">
      <c r="A963" s="1"/>
      <c r="B963" s="1"/>
      <c r="C963" s="1"/>
    </row>
    <row r="964" spans="1:3" ht="14.25" customHeight="1">
      <c r="A964" s="1"/>
      <c r="B964" s="1"/>
      <c r="C964" s="1"/>
    </row>
    <row r="965" spans="1:3" ht="14.25" customHeight="1">
      <c r="A965" s="1"/>
      <c r="B965" s="1"/>
      <c r="C965" s="1"/>
    </row>
    <row r="966" spans="1:3" ht="14.25" customHeight="1">
      <c r="A966" s="1"/>
      <c r="B966" s="1"/>
      <c r="C966" s="1"/>
    </row>
    <row r="967" spans="1:3" ht="14.25" customHeight="1">
      <c r="A967" s="1"/>
      <c r="B967" s="1"/>
      <c r="C967" s="1"/>
    </row>
    <row r="968" spans="1:3" ht="14.25" customHeight="1">
      <c r="A968" s="1"/>
      <c r="B968" s="1"/>
      <c r="C968" s="1"/>
    </row>
    <row r="969" spans="1:3" ht="14.25" customHeight="1">
      <c r="A969" s="1"/>
      <c r="B969" s="1"/>
      <c r="C969" s="1"/>
    </row>
    <row r="970" spans="1:3" ht="14.25" customHeight="1">
      <c r="A970" s="1"/>
      <c r="B970" s="1"/>
      <c r="C970" s="1"/>
    </row>
    <row r="971" spans="1:3" ht="14.25" customHeight="1">
      <c r="A971" s="1"/>
      <c r="B971" s="1"/>
      <c r="C971" s="1"/>
    </row>
    <row r="972" spans="1:3" ht="14.25" customHeight="1">
      <c r="A972" s="1"/>
      <c r="B972" s="1"/>
      <c r="C972" s="1"/>
    </row>
    <row r="973" spans="1:3" ht="14.25" customHeight="1">
      <c r="A973" s="1"/>
      <c r="B973" s="1"/>
      <c r="C973" s="1"/>
    </row>
    <row r="974" spans="1:3" ht="14.25" customHeight="1">
      <c r="A974" s="1"/>
      <c r="B974" s="1"/>
      <c r="C974" s="1"/>
    </row>
    <row r="975" spans="1:3" ht="14.25" customHeight="1">
      <c r="A975" s="1"/>
      <c r="B975" s="1"/>
      <c r="C975" s="1"/>
    </row>
    <row r="976" spans="1:3" ht="14.25" customHeight="1">
      <c r="A976" s="1"/>
      <c r="B976" s="1"/>
      <c r="C976" s="1"/>
    </row>
    <row r="977" spans="1:3" ht="14.25" customHeight="1">
      <c r="A977" s="1"/>
      <c r="B977" s="1"/>
      <c r="C977" s="1"/>
    </row>
    <row r="978" spans="1:3" ht="14.25" customHeight="1">
      <c r="A978" s="1"/>
      <c r="B978" s="1"/>
      <c r="C978" s="1"/>
    </row>
    <row r="979" spans="1:3" ht="14.25" customHeight="1">
      <c r="A979" s="1"/>
      <c r="B979" s="1"/>
      <c r="C979" s="1"/>
    </row>
    <row r="980" spans="1:3" ht="14.25" customHeight="1">
      <c r="A980" s="1"/>
      <c r="B980" s="1"/>
      <c r="C980" s="1"/>
    </row>
    <row r="981" spans="1:3" ht="14.25" customHeight="1">
      <c r="A981" s="1"/>
      <c r="B981" s="1"/>
      <c r="C981" s="1"/>
    </row>
    <row r="982" spans="1:3" ht="14.25" customHeight="1">
      <c r="A982" s="1"/>
      <c r="B982" s="1"/>
      <c r="C982" s="1"/>
    </row>
    <row r="983" spans="1:3" ht="14.25" customHeight="1">
      <c r="A983" s="1"/>
      <c r="B983" s="1"/>
      <c r="C983" s="1"/>
    </row>
    <row r="984" spans="1:3" ht="14.25" customHeight="1">
      <c r="A984" s="1"/>
      <c r="B984" s="1"/>
      <c r="C984" s="1"/>
    </row>
    <row r="985" spans="1:3" ht="14.25" customHeight="1">
      <c r="A985" s="1"/>
      <c r="B985" s="1"/>
      <c r="C985" s="1"/>
    </row>
    <row r="986" spans="1:3" ht="14.25" customHeight="1">
      <c r="A986" s="1"/>
      <c r="B986" s="1"/>
      <c r="C986" s="1"/>
    </row>
    <row r="987" spans="1:3" ht="14.25" customHeight="1">
      <c r="A987" s="1"/>
      <c r="B987" s="1"/>
      <c r="C987" s="1"/>
    </row>
    <row r="988" spans="1:3" ht="14.25" customHeight="1">
      <c r="A988" s="1"/>
      <c r="B988" s="1"/>
      <c r="C988" s="1"/>
    </row>
    <row r="989" spans="1:3" ht="14.25" customHeight="1">
      <c r="A989" s="1"/>
      <c r="B989" s="1"/>
      <c r="C989" s="1"/>
    </row>
    <row r="990" spans="1:3" ht="14.25" customHeight="1">
      <c r="A990" s="1"/>
      <c r="B990" s="1"/>
      <c r="C990" s="1"/>
    </row>
    <row r="991" spans="1:3" ht="14.25" customHeight="1">
      <c r="A991" s="1"/>
      <c r="B991" s="1"/>
      <c r="C991" s="1"/>
    </row>
    <row r="992" spans="1:3" ht="14.25" customHeight="1">
      <c r="A992" s="1"/>
      <c r="B992" s="1"/>
      <c r="C992" s="1"/>
    </row>
    <row r="993" spans="1:3" ht="14.25" customHeight="1">
      <c r="A993" s="1"/>
      <c r="B993" s="1"/>
      <c r="C993" s="1"/>
    </row>
    <row r="994" spans="1:3" ht="14.25" customHeight="1">
      <c r="A994" s="1"/>
      <c r="B994" s="1"/>
      <c r="C994" s="1"/>
    </row>
    <row r="995" spans="1:3" ht="14.25" customHeight="1">
      <c r="A995" s="1"/>
      <c r="B995" s="1"/>
      <c r="C995" s="1"/>
    </row>
    <row r="996" spans="1:3" ht="14.25" customHeight="1">
      <c r="A996" s="1"/>
      <c r="B996" s="1"/>
      <c r="C996" s="1"/>
    </row>
    <row r="997" spans="1:3" ht="14.25" customHeight="1">
      <c r="A997" s="1"/>
      <c r="B997" s="1"/>
      <c r="C997" s="1"/>
    </row>
    <row r="998" spans="1:3" ht="14.25" customHeight="1">
      <c r="A998" s="1"/>
      <c r="B998" s="1"/>
      <c r="C998" s="1"/>
    </row>
    <row r="999" spans="1:3" ht="14.25" customHeight="1">
      <c r="A999" s="1"/>
      <c r="B999" s="1"/>
      <c r="C999" s="1"/>
    </row>
    <row r="1000" spans="1:3" ht="14.25" customHeight="1">
      <c r="A1000" s="1"/>
      <c r="B1000" s="1"/>
      <c r="C1000" s="1"/>
    </row>
    <row r="1001" spans="1:3" ht="14.25" customHeight="1">
      <c r="A1001" s="1"/>
      <c r="B1001" s="1"/>
      <c r="C1001" s="1"/>
    </row>
    <row r="1002" spans="1:3" ht="14.25" customHeight="1">
      <c r="A1002" s="1"/>
      <c r="B1002" s="1"/>
      <c r="C1002" s="1"/>
    </row>
    <row r="1003" spans="1:3" ht="14.25" customHeight="1">
      <c r="A1003" s="1"/>
      <c r="B1003" s="1"/>
      <c r="C1003" s="1"/>
    </row>
    <row r="1004" spans="1:3" ht="14.25" customHeight="1">
      <c r="A1004" s="1"/>
      <c r="B1004" s="1"/>
      <c r="C1004" s="1"/>
    </row>
    <row r="1005" spans="1:3" ht="14.25" customHeight="1">
      <c r="A1005" s="1"/>
      <c r="B1005" s="1"/>
      <c r="C1005" s="1"/>
    </row>
    <row r="1006" spans="1:3" ht="14.25" customHeight="1">
      <c r="A1006" s="1"/>
      <c r="B1006" s="1"/>
      <c r="C1006" s="1"/>
    </row>
    <row r="1007" spans="1:3" ht="14.25" customHeight="1">
      <c r="A1007" s="1"/>
      <c r="B1007" s="1"/>
      <c r="C1007" s="1"/>
    </row>
    <row r="1008" spans="1:3" ht="14.25" customHeight="1">
      <c r="A1008" s="1"/>
      <c r="B1008" s="1"/>
      <c r="C1008" s="1"/>
    </row>
    <row r="1009" spans="1:3" ht="14.25" customHeight="1">
      <c r="A1009" s="1"/>
      <c r="B1009" s="1"/>
      <c r="C1009" s="1"/>
    </row>
    <row r="1010" spans="1:3" ht="14.25" customHeight="1">
      <c r="A1010" s="1"/>
      <c r="B1010" s="1"/>
      <c r="C1010" s="1"/>
    </row>
    <row r="1011" spans="1:3" ht="14.25" customHeight="1">
      <c r="A1011" s="1"/>
      <c r="B1011" s="1"/>
      <c r="C1011" s="1"/>
    </row>
    <row r="1012" spans="1:3" ht="14.25" customHeight="1">
      <c r="A1012" s="1"/>
      <c r="B1012" s="1"/>
      <c r="C1012" s="1"/>
    </row>
    <row r="1013" spans="1:3" ht="14.25" customHeight="1">
      <c r="A1013" s="1"/>
      <c r="B1013" s="1"/>
      <c r="C1013" s="1"/>
    </row>
    <row r="1014" spans="1:3" ht="14.25" customHeight="1">
      <c r="A1014" s="1"/>
      <c r="B1014" s="1"/>
      <c r="C1014" s="1"/>
    </row>
    <row r="1015" spans="1:3" ht="14.25" customHeight="1">
      <c r="A1015" s="1"/>
      <c r="B1015" s="1"/>
      <c r="C1015" s="1"/>
    </row>
    <row r="1016" spans="1:3" ht="14.25" customHeight="1">
      <c r="A1016" s="1"/>
      <c r="B1016" s="1"/>
      <c r="C1016" s="1"/>
    </row>
    <row r="1017" spans="1:3" ht="14.25" customHeight="1">
      <c r="A1017" s="1"/>
      <c r="B1017" s="1"/>
      <c r="C1017" s="1"/>
    </row>
    <row r="1018" spans="1:3" ht="14.25" customHeight="1">
      <c r="A1018" s="1"/>
      <c r="B1018" s="1"/>
      <c r="C1018" s="1"/>
    </row>
    <row r="1019" spans="1:3" ht="14.25" customHeight="1">
      <c r="A1019" s="1"/>
      <c r="B1019" s="1"/>
      <c r="C1019" s="1"/>
    </row>
    <row r="1020" spans="1:3" ht="14.25" customHeight="1">
      <c r="A1020" s="1"/>
      <c r="B1020" s="1"/>
      <c r="C1020" s="1"/>
    </row>
    <row r="1021" spans="1:3" ht="14.25" customHeight="1">
      <c r="A1021" s="1"/>
      <c r="B1021" s="1"/>
      <c r="C1021" s="1"/>
    </row>
    <row r="1022" spans="1:3" ht="14.25" customHeight="1">
      <c r="A1022" s="1"/>
      <c r="B1022" s="1"/>
      <c r="C1022" s="1"/>
    </row>
    <row r="1023" spans="1:3" ht="14.25" customHeight="1">
      <c r="A1023" s="1"/>
      <c r="B1023" s="1"/>
      <c r="C1023" s="1"/>
    </row>
    <row r="1024" spans="1:3" ht="14.25" customHeight="1">
      <c r="A1024" s="1"/>
      <c r="B1024" s="1"/>
      <c r="C1024" s="1"/>
    </row>
    <row r="1025" spans="1:3" ht="14.25" customHeight="1">
      <c r="A1025" s="1"/>
      <c r="B1025" s="1"/>
      <c r="C1025" s="1"/>
    </row>
    <row r="1026" spans="1:3" ht="14.25" customHeight="1">
      <c r="A1026" s="1"/>
      <c r="B1026" s="1"/>
      <c r="C1026" s="1"/>
    </row>
    <row r="1027" spans="1:3" ht="14.25" customHeight="1">
      <c r="A1027" s="1"/>
      <c r="B1027" s="1"/>
      <c r="C1027" s="1"/>
    </row>
    <row r="1028" spans="1:3" ht="14.25" customHeight="1">
      <c r="A1028" s="1"/>
      <c r="B1028" s="1"/>
      <c r="C1028" s="1"/>
    </row>
    <row r="1029" spans="1:3" ht="14.25" customHeight="1">
      <c r="A1029" s="1"/>
      <c r="B1029" s="1"/>
      <c r="C1029" s="1"/>
    </row>
    <row r="1030" spans="1:3" ht="14.25" customHeight="1">
      <c r="A1030" s="1"/>
      <c r="B1030" s="1"/>
      <c r="C1030" s="1"/>
    </row>
    <row r="1031" spans="1:3" ht="14.25" customHeight="1">
      <c r="A1031" s="1"/>
      <c r="B1031" s="1"/>
      <c r="C1031" s="1"/>
    </row>
    <row r="1032" spans="1:3" ht="14.25" customHeight="1">
      <c r="A1032" s="1"/>
      <c r="B1032" s="1"/>
      <c r="C1032" s="1"/>
    </row>
    <row r="1033" spans="1:3" ht="14.25" customHeight="1">
      <c r="A1033" s="1"/>
      <c r="B1033" s="1"/>
      <c r="C1033" s="1"/>
    </row>
    <row r="1034" spans="1:3" ht="14.25" customHeight="1">
      <c r="A1034" s="1"/>
      <c r="B1034" s="1"/>
      <c r="C1034" s="1"/>
    </row>
    <row r="1035" spans="1:3" ht="14.25" customHeight="1">
      <c r="A1035" s="1"/>
      <c r="B1035" s="1"/>
      <c r="C1035" s="1"/>
    </row>
    <row r="1036" spans="1:3" ht="14.25" customHeight="1">
      <c r="A1036" s="1"/>
      <c r="B1036" s="1"/>
      <c r="C1036" s="1"/>
    </row>
    <row r="1037" spans="1:3" ht="14.25" customHeight="1">
      <c r="A1037" s="1"/>
      <c r="B1037" s="1"/>
      <c r="C1037" s="1"/>
    </row>
    <row r="1038" spans="1:3" ht="14.25" customHeight="1">
      <c r="A1038" s="1"/>
      <c r="B1038" s="1"/>
      <c r="C1038" s="1"/>
    </row>
    <row r="1039" spans="1:3" ht="14.25" customHeight="1">
      <c r="A1039" s="1"/>
      <c r="B1039" s="1"/>
      <c r="C1039" s="1"/>
    </row>
    <row r="1040" spans="1:3" ht="14.25" customHeight="1">
      <c r="A1040" s="1"/>
      <c r="B1040" s="1"/>
      <c r="C1040" s="1"/>
    </row>
    <row r="1041" spans="1:3" ht="14.25" customHeight="1">
      <c r="A1041" s="1"/>
      <c r="B1041" s="1"/>
      <c r="C1041" s="1"/>
    </row>
    <row r="1042" spans="1:3" ht="14.25" customHeight="1">
      <c r="A1042" s="1"/>
      <c r="B1042" s="1"/>
      <c r="C1042" s="1"/>
    </row>
    <row r="1043" spans="1:3" ht="14.25" customHeight="1">
      <c r="A1043" s="1"/>
      <c r="B1043" s="1"/>
      <c r="C1043" s="1"/>
    </row>
    <row r="1044" spans="1:3" ht="14.25" customHeight="1">
      <c r="A1044" s="1"/>
      <c r="B1044" s="1"/>
      <c r="C1044" s="1"/>
    </row>
    <row r="1045" spans="1:3" ht="14.25" customHeight="1">
      <c r="A1045" s="1"/>
      <c r="B1045" s="1"/>
      <c r="C1045" s="1"/>
    </row>
    <row r="1046" spans="1:3" ht="14.25" customHeight="1">
      <c r="A1046" s="1"/>
      <c r="B1046" s="1"/>
      <c r="C1046" s="1"/>
    </row>
    <row r="1047" spans="1:3" ht="14.25" customHeight="1">
      <c r="A1047" s="1"/>
      <c r="B1047" s="1"/>
      <c r="C1047" s="1"/>
    </row>
    <row r="1048" spans="1:3" ht="14.25" customHeight="1">
      <c r="A1048" s="1"/>
      <c r="B1048" s="1"/>
      <c r="C1048" s="1"/>
    </row>
    <row r="1049" spans="1:3" ht="14.25" customHeight="1">
      <c r="A1049" s="1"/>
      <c r="B1049" s="1"/>
      <c r="C1049" s="1"/>
    </row>
    <row r="1050" spans="1:3" ht="14.25" customHeight="1">
      <c r="A1050" s="1"/>
      <c r="B1050" s="1"/>
      <c r="C1050" s="1"/>
    </row>
    <row r="1051" spans="1:3" ht="14.25" customHeight="1">
      <c r="A1051" s="1"/>
      <c r="B1051" s="1"/>
      <c r="C1051" s="1"/>
    </row>
    <row r="1052" spans="1:3" ht="14.25" customHeight="1">
      <c r="A1052" s="1"/>
      <c r="B1052" s="1"/>
      <c r="C1052" s="1"/>
    </row>
    <row r="1053" spans="1:3" ht="14.25" customHeight="1">
      <c r="A1053" s="1"/>
      <c r="B1053" s="1"/>
      <c r="C1053" s="1"/>
    </row>
    <row r="1054" spans="1:3" ht="14.25" customHeight="1">
      <c r="A1054" s="1"/>
      <c r="B1054" s="1"/>
      <c r="C1054" s="1"/>
    </row>
    <row r="1055" spans="1:3" ht="14.25" customHeight="1">
      <c r="A1055" s="1"/>
      <c r="B1055" s="1"/>
      <c r="C1055" s="1"/>
    </row>
    <row r="1056" spans="1:3" ht="14.25" customHeight="1">
      <c r="A1056" s="1"/>
      <c r="B1056" s="1"/>
      <c r="C1056" s="1"/>
    </row>
    <row r="1057" spans="1:3" ht="14.25" customHeight="1">
      <c r="A1057" s="1"/>
      <c r="B1057" s="1"/>
      <c r="C1057" s="1"/>
    </row>
    <row r="1058" spans="1:3" ht="14.25" customHeight="1">
      <c r="A1058" s="1"/>
      <c r="B1058" s="1"/>
      <c r="C1058" s="1"/>
    </row>
    <row r="1059" spans="1:3" ht="14.25" customHeight="1">
      <c r="A1059" s="1"/>
      <c r="B1059" s="1"/>
      <c r="C1059" s="1"/>
    </row>
    <row r="1060" spans="1:3" ht="14.25" customHeight="1">
      <c r="A1060" s="1"/>
      <c r="B1060" s="1"/>
      <c r="C1060" s="1"/>
    </row>
    <row r="1061" spans="1:3" ht="14.25" customHeight="1">
      <c r="A1061" s="1"/>
      <c r="B1061" s="1"/>
      <c r="C1061" s="1"/>
    </row>
    <row r="1062" spans="1:3" ht="14.25" customHeight="1">
      <c r="A1062" s="1"/>
      <c r="B1062" s="1"/>
      <c r="C1062" s="1"/>
    </row>
    <row r="1063" spans="1:3" ht="14.25" customHeight="1">
      <c r="A1063" s="1"/>
      <c r="B1063" s="1"/>
      <c r="C1063" s="1"/>
    </row>
    <row r="1064" spans="1:3" ht="14.25" customHeight="1">
      <c r="A1064" s="1"/>
      <c r="B1064" s="1"/>
      <c r="C1064" s="1"/>
    </row>
    <row r="1065" spans="1:3" ht="14.25" customHeight="1">
      <c r="A1065" s="1"/>
      <c r="B1065" s="1"/>
      <c r="C1065" s="1"/>
    </row>
    <row r="1066" spans="1:3" ht="14.25" customHeight="1">
      <c r="A1066" s="1"/>
      <c r="B1066" s="1"/>
      <c r="C1066" s="1"/>
    </row>
    <row r="1067" spans="1:3" ht="14.25" customHeight="1">
      <c r="A1067" s="1"/>
      <c r="B1067" s="1"/>
      <c r="C1067" s="1"/>
    </row>
    <row r="1068" spans="1:3" ht="14.25" customHeight="1">
      <c r="A1068" s="1"/>
      <c r="B1068" s="1"/>
      <c r="C1068" s="1"/>
    </row>
    <row r="1069" spans="1:3" ht="14.25" customHeight="1">
      <c r="A1069" s="1"/>
      <c r="B1069" s="1"/>
      <c r="C1069" s="1"/>
    </row>
    <row r="1070" spans="1:3" ht="14.25" customHeight="1">
      <c r="A1070" s="1"/>
      <c r="B1070" s="1"/>
      <c r="C1070" s="1"/>
    </row>
    <row r="1071" spans="1:3" ht="14.25" customHeight="1">
      <c r="A1071" s="1"/>
      <c r="B1071" s="1"/>
      <c r="C1071" s="1"/>
    </row>
    <row r="1072" spans="1:3" ht="14.25" customHeight="1">
      <c r="A1072" s="1"/>
      <c r="B1072" s="1"/>
      <c r="C1072" s="1"/>
    </row>
    <row r="1073" spans="1:3" ht="14.25" customHeight="1">
      <c r="A1073" s="1"/>
      <c r="B1073" s="1"/>
      <c r="C1073" s="1"/>
    </row>
    <row r="1074" spans="1:3" ht="14.25" customHeight="1">
      <c r="A1074" s="1"/>
      <c r="B1074" s="1"/>
      <c r="C1074" s="1"/>
    </row>
    <row r="1075" spans="1:3" ht="14.25" customHeight="1">
      <c r="A1075" s="1"/>
      <c r="B1075" s="1"/>
      <c r="C1075" s="1"/>
    </row>
    <row r="1076" spans="1:3" ht="14.25" customHeight="1">
      <c r="A1076" s="1"/>
      <c r="B1076" s="1"/>
      <c r="C1076" s="1"/>
    </row>
    <row r="1077" spans="1:3" ht="14.25" customHeight="1">
      <c r="A1077" s="1"/>
      <c r="B1077" s="1"/>
      <c r="C1077" s="1"/>
    </row>
  </sheetData>
  <autoFilter ref="A1:AV275"/>
  <phoneticPr fontId="5" type="noConversion"/>
  <pageMargins left="0.7" right="0.7" top="0.75" bottom="0.75" header="0" footer="0"/>
  <pageSetup orientation="landscape"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AU57"/>
  <sheetViews>
    <sheetView zoomScale="90" zoomScaleNormal="90" workbookViewId="0">
      <pane ySplit="1" topLeftCell="A2" activePane="bottomLeft" state="frozen"/>
      <selection pane="bottomLeft" activeCell="AM37" sqref="AM37"/>
    </sheetView>
  </sheetViews>
  <sheetFormatPr baseColWidth="10" defaultRowHeight="14.25"/>
  <cols>
    <col min="36" max="36" width="12.875" customWidth="1"/>
    <col min="37" max="37" width="12" bestFit="1" customWidth="1"/>
  </cols>
  <sheetData>
    <row r="1" spans="1:37" s="1" customFormat="1" ht="14.25" customHeight="1">
      <c r="A1" s="4" t="s">
        <v>2899</v>
      </c>
      <c r="B1" s="4" t="s">
        <v>3566</v>
      </c>
      <c r="C1" s="4" t="s">
        <v>2865</v>
      </c>
      <c r="D1" s="8" t="s">
        <v>2888</v>
      </c>
      <c r="E1" s="8" t="s">
        <v>2909</v>
      </c>
      <c r="F1" s="8" t="s">
        <v>2916</v>
      </c>
      <c r="G1" s="8" t="s">
        <v>2866</v>
      </c>
      <c r="H1" s="8" t="s">
        <v>2927</v>
      </c>
      <c r="I1" s="8" t="s">
        <v>2867</v>
      </c>
      <c r="J1" s="8" t="s">
        <v>2868</v>
      </c>
      <c r="K1" s="8" t="s">
        <v>2956</v>
      </c>
      <c r="L1" s="9" t="s">
        <v>3092</v>
      </c>
      <c r="M1" s="9" t="s">
        <v>3093</v>
      </c>
      <c r="N1" s="9" t="s">
        <v>3302</v>
      </c>
      <c r="O1" s="9" t="s">
        <v>3301</v>
      </c>
      <c r="P1" s="10" t="s">
        <v>2869</v>
      </c>
      <c r="Q1" s="10" t="s">
        <v>2870</v>
      </c>
      <c r="R1" s="11" t="s">
        <v>2940</v>
      </c>
      <c r="S1" s="10" t="s">
        <v>2871</v>
      </c>
      <c r="T1" s="10" t="s">
        <v>2872</v>
      </c>
      <c r="U1" s="10" t="s">
        <v>3270</v>
      </c>
      <c r="V1" s="10" t="s">
        <v>2873</v>
      </c>
      <c r="W1" s="11" t="s">
        <v>2920</v>
      </c>
      <c r="X1" s="11" t="s">
        <v>2921</v>
      </c>
      <c r="Y1" s="13" t="s">
        <v>2891</v>
      </c>
      <c r="Z1" s="13" t="s">
        <v>2904</v>
      </c>
      <c r="AA1" s="13" t="s">
        <v>2892</v>
      </c>
      <c r="AB1" s="13" t="s">
        <v>2874</v>
      </c>
      <c r="AC1" s="13" t="s">
        <v>2875</v>
      </c>
      <c r="AD1" s="13" t="s">
        <v>3133</v>
      </c>
      <c r="AE1" s="13" t="s">
        <v>2876</v>
      </c>
      <c r="AF1" s="12" t="s">
        <v>3015</v>
      </c>
      <c r="AG1" s="28" t="s">
        <v>3542</v>
      </c>
      <c r="AH1" s="28" t="s">
        <v>3543</v>
      </c>
      <c r="AI1" s="28" t="s">
        <v>3544</v>
      </c>
      <c r="AJ1" s="28" t="s">
        <v>3545</v>
      </c>
      <c r="AK1" s="28" t="s">
        <v>3546</v>
      </c>
    </row>
    <row r="2" spans="1:37" s="37" customFormat="1" ht="14.25" customHeight="1">
      <c r="A2" s="37">
        <v>228</v>
      </c>
      <c r="C2" s="37" t="s">
        <v>1272</v>
      </c>
      <c r="D2" s="37" t="s">
        <v>2889</v>
      </c>
      <c r="E2" s="37">
        <v>2023</v>
      </c>
      <c r="F2" s="37">
        <v>2021</v>
      </c>
      <c r="G2" s="37" t="s">
        <v>3025</v>
      </c>
      <c r="H2" s="37" t="s">
        <v>3068</v>
      </c>
      <c r="I2" s="37">
        <v>40.303294000000001</v>
      </c>
      <c r="J2" s="37">
        <v>-105.992164</v>
      </c>
      <c r="K2" s="37" t="s">
        <v>2971</v>
      </c>
      <c r="L2" s="37" t="s">
        <v>3100</v>
      </c>
      <c r="M2" s="37" t="s">
        <v>3112</v>
      </c>
      <c r="N2" s="37" t="s">
        <v>3303</v>
      </c>
      <c r="P2" s="37" t="s">
        <v>2890</v>
      </c>
      <c r="Q2" s="37" t="s">
        <v>2983</v>
      </c>
      <c r="R2" s="37" t="s">
        <v>2903</v>
      </c>
      <c r="S2" s="37">
        <v>2010</v>
      </c>
      <c r="T2" s="37">
        <v>11</v>
      </c>
      <c r="Y2" s="37" t="s">
        <v>2911</v>
      </c>
      <c r="Z2" s="37" t="s">
        <v>2985</v>
      </c>
      <c r="AA2" s="37" t="s">
        <v>20</v>
      </c>
      <c r="AB2" s="37" t="s">
        <v>2912</v>
      </c>
      <c r="AC2" s="37" t="s">
        <v>3134</v>
      </c>
      <c r="AD2" s="37" t="s">
        <v>2913</v>
      </c>
      <c r="AE2" s="37" t="s">
        <v>2917</v>
      </c>
    </row>
    <row r="3" spans="1:37" s="37" customFormat="1" ht="14.25" customHeight="1">
      <c r="A3" s="37">
        <v>228</v>
      </c>
      <c r="C3" s="37" t="s">
        <v>1272</v>
      </c>
      <c r="D3" s="37" t="s">
        <v>2889</v>
      </c>
      <c r="E3" s="37">
        <v>2023</v>
      </c>
      <c r="F3" s="37">
        <v>2021</v>
      </c>
      <c r="G3" s="37" t="s">
        <v>3025</v>
      </c>
      <c r="H3" s="37" t="s">
        <v>3068</v>
      </c>
      <c r="I3" s="37">
        <v>40.303294000000001</v>
      </c>
      <c r="J3" s="37">
        <v>-105.992164</v>
      </c>
      <c r="K3" s="37" t="s">
        <v>2971</v>
      </c>
      <c r="L3" s="37" t="s">
        <v>3100</v>
      </c>
      <c r="M3" s="37" t="s">
        <v>3112</v>
      </c>
      <c r="N3" s="37" t="s">
        <v>3303</v>
      </c>
      <c r="P3" s="37" t="s">
        <v>2890</v>
      </c>
      <c r="Q3" s="37" t="s">
        <v>3033</v>
      </c>
      <c r="R3" s="37" t="s">
        <v>2903</v>
      </c>
      <c r="S3" s="37">
        <v>2010</v>
      </c>
      <c r="T3" s="37">
        <v>11</v>
      </c>
      <c r="Y3" s="37" t="s">
        <v>2911</v>
      </c>
      <c r="Z3" s="37" t="s">
        <v>2985</v>
      </c>
      <c r="AA3" s="37" t="s">
        <v>20</v>
      </c>
      <c r="AB3" s="37" t="s">
        <v>2912</v>
      </c>
      <c r="AC3" s="37" t="s">
        <v>3134</v>
      </c>
      <c r="AD3" s="37" t="s">
        <v>2913</v>
      </c>
      <c r="AE3" s="37" t="s">
        <v>2917</v>
      </c>
    </row>
    <row r="4" spans="1:37" s="37" customFormat="1" ht="14.25" customHeight="1">
      <c r="A4" s="37">
        <v>228</v>
      </c>
      <c r="C4" s="37" t="s">
        <v>1272</v>
      </c>
      <c r="D4" s="37" t="s">
        <v>2889</v>
      </c>
      <c r="E4" s="37">
        <v>2023</v>
      </c>
      <c r="F4" s="37">
        <v>2021</v>
      </c>
      <c r="G4" s="37" t="s">
        <v>3025</v>
      </c>
      <c r="H4" s="37" t="s">
        <v>3068</v>
      </c>
      <c r="I4" s="37">
        <v>40.303294000000001</v>
      </c>
      <c r="J4" s="37">
        <v>-105.992164</v>
      </c>
      <c r="K4" s="37" t="s">
        <v>2971</v>
      </c>
      <c r="L4" s="37" t="s">
        <v>3100</v>
      </c>
      <c r="M4" s="37" t="s">
        <v>3112</v>
      </c>
      <c r="N4" s="37" t="s">
        <v>3303</v>
      </c>
      <c r="P4" s="37" t="s">
        <v>2890</v>
      </c>
      <c r="Q4" s="37" t="s">
        <v>2983</v>
      </c>
      <c r="R4" s="37" t="s">
        <v>2903</v>
      </c>
      <c r="S4" s="37">
        <v>2010</v>
      </c>
      <c r="T4" s="37">
        <v>11</v>
      </c>
      <c r="Y4" s="37" t="s">
        <v>2911</v>
      </c>
      <c r="Z4" s="37" t="s">
        <v>3223</v>
      </c>
      <c r="AA4" s="37" t="s">
        <v>20</v>
      </c>
      <c r="AB4" s="37" t="s">
        <v>2912</v>
      </c>
      <c r="AC4" s="37" t="s">
        <v>3134</v>
      </c>
      <c r="AD4" s="37" t="s">
        <v>2913</v>
      </c>
      <c r="AE4" s="37" t="s">
        <v>2917</v>
      </c>
    </row>
    <row r="5" spans="1:37" s="37" customFormat="1" ht="14.25" customHeight="1">
      <c r="A5" s="37">
        <v>228</v>
      </c>
      <c r="C5" s="37" t="s">
        <v>1272</v>
      </c>
      <c r="D5" s="37" t="s">
        <v>2889</v>
      </c>
      <c r="E5" s="37">
        <v>2023</v>
      </c>
      <c r="F5" s="37">
        <v>2021</v>
      </c>
      <c r="G5" s="37" t="s">
        <v>3025</v>
      </c>
      <c r="H5" s="37" t="s">
        <v>3068</v>
      </c>
      <c r="I5" s="37">
        <v>40.303294000000001</v>
      </c>
      <c r="J5" s="37">
        <v>-105.992164</v>
      </c>
      <c r="K5" s="37" t="s">
        <v>2971</v>
      </c>
      <c r="L5" s="37" t="s">
        <v>3100</v>
      </c>
      <c r="M5" s="37" t="s">
        <v>3112</v>
      </c>
      <c r="N5" s="37" t="s">
        <v>3303</v>
      </c>
      <c r="P5" s="37" t="s">
        <v>2890</v>
      </c>
      <c r="Q5" s="37" t="s">
        <v>3033</v>
      </c>
      <c r="R5" s="37" t="s">
        <v>2903</v>
      </c>
      <c r="S5" s="37">
        <v>2010</v>
      </c>
      <c r="T5" s="37">
        <v>11</v>
      </c>
      <c r="Y5" s="37" t="s">
        <v>2911</v>
      </c>
      <c r="Z5" s="37" t="s">
        <v>3223</v>
      </c>
      <c r="AA5" s="37" t="s">
        <v>20</v>
      </c>
      <c r="AB5" s="37" t="s">
        <v>2912</v>
      </c>
      <c r="AC5" s="37" t="s">
        <v>3134</v>
      </c>
      <c r="AD5" s="37" t="s">
        <v>2913</v>
      </c>
      <c r="AE5" s="37" t="s">
        <v>2917</v>
      </c>
    </row>
    <row r="6" spans="1:37" s="37" customFormat="1" ht="14.25" customHeight="1">
      <c r="A6" s="37">
        <v>228</v>
      </c>
      <c r="C6" s="37" t="s">
        <v>1272</v>
      </c>
      <c r="D6" s="37" t="s">
        <v>2889</v>
      </c>
      <c r="E6" s="37">
        <v>2023</v>
      </c>
      <c r="F6" s="37">
        <v>2021</v>
      </c>
      <c r="G6" s="37" t="s">
        <v>3025</v>
      </c>
      <c r="H6" s="37" t="s">
        <v>3068</v>
      </c>
      <c r="I6" s="37">
        <v>40.303294000000001</v>
      </c>
      <c r="J6" s="37">
        <v>-105.992164</v>
      </c>
      <c r="K6" s="37" t="s">
        <v>2971</v>
      </c>
      <c r="L6" s="37" t="s">
        <v>3100</v>
      </c>
      <c r="M6" s="37" t="s">
        <v>3112</v>
      </c>
      <c r="N6" s="37" t="s">
        <v>3303</v>
      </c>
      <c r="P6" s="37" t="s">
        <v>2890</v>
      </c>
      <c r="Q6" s="37" t="s">
        <v>2983</v>
      </c>
      <c r="R6" s="37" t="s">
        <v>2903</v>
      </c>
      <c r="S6" s="37">
        <v>2016</v>
      </c>
      <c r="T6" s="37">
        <v>5</v>
      </c>
      <c r="Y6" s="37" t="s">
        <v>2911</v>
      </c>
      <c r="Z6" s="37" t="s">
        <v>2985</v>
      </c>
      <c r="AA6" s="37" t="s">
        <v>20</v>
      </c>
      <c r="AB6" s="37" t="s">
        <v>2912</v>
      </c>
      <c r="AC6" s="37" t="s">
        <v>3134</v>
      </c>
      <c r="AD6" s="37" t="s">
        <v>2913</v>
      </c>
      <c r="AE6" s="37" t="s">
        <v>2917</v>
      </c>
    </row>
    <row r="7" spans="1:37" s="37" customFormat="1" ht="14.25" customHeight="1">
      <c r="A7" s="37">
        <v>228</v>
      </c>
      <c r="C7" s="37" t="s">
        <v>1272</v>
      </c>
      <c r="D7" s="37" t="s">
        <v>2889</v>
      </c>
      <c r="E7" s="37">
        <v>2023</v>
      </c>
      <c r="F7" s="37">
        <v>2021</v>
      </c>
      <c r="G7" s="37" t="s">
        <v>3025</v>
      </c>
      <c r="H7" s="37" t="s">
        <v>3068</v>
      </c>
      <c r="I7" s="37">
        <v>40.303294000000001</v>
      </c>
      <c r="J7" s="37">
        <v>-105.992164</v>
      </c>
      <c r="K7" s="37" t="s">
        <v>2971</v>
      </c>
      <c r="L7" s="37" t="s">
        <v>3100</v>
      </c>
      <c r="M7" s="37" t="s">
        <v>3112</v>
      </c>
      <c r="N7" s="37" t="s">
        <v>3303</v>
      </c>
      <c r="P7" s="37" t="s">
        <v>2890</v>
      </c>
      <c r="Q7" s="37" t="s">
        <v>3033</v>
      </c>
      <c r="R7" s="37" t="s">
        <v>2903</v>
      </c>
      <c r="S7" s="37">
        <v>2016</v>
      </c>
      <c r="T7" s="37">
        <v>5</v>
      </c>
      <c r="Y7" s="37" t="s">
        <v>2911</v>
      </c>
      <c r="Z7" s="37" t="s">
        <v>2985</v>
      </c>
      <c r="AA7" s="37" t="s">
        <v>20</v>
      </c>
      <c r="AB7" s="37" t="s">
        <v>2912</v>
      </c>
      <c r="AC7" s="37" t="s">
        <v>3134</v>
      </c>
      <c r="AD7" s="37" t="s">
        <v>2913</v>
      </c>
      <c r="AE7" s="37" t="s">
        <v>2917</v>
      </c>
    </row>
    <row r="8" spans="1:37" s="37" customFormat="1" ht="14.25" customHeight="1">
      <c r="A8" s="37">
        <v>228</v>
      </c>
      <c r="C8" s="37" t="s">
        <v>1272</v>
      </c>
      <c r="D8" s="37" t="s">
        <v>2889</v>
      </c>
      <c r="E8" s="37">
        <v>2023</v>
      </c>
      <c r="F8" s="37">
        <v>2021</v>
      </c>
      <c r="G8" s="37" t="s">
        <v>3025</v>
      </c>
      <c r="H8" s="37" t="s">
        <v>3068</v>
      </c>
      <c r="I8" s="37">
        <v>40.303294000000001</v>
      </c>
      <c r="J8" s="37">
        <v>-105.992164</v>
      </c>
      <c r="K8" s="37" t="s">
        <v>2971</v>
      </c>
      <c r="L8" s="37" t="s">
        <v>3100</v>
      </c>
      <c r="M8" s="37" t="s">
        <v>3112</v>
      </c>
      <c r="N8" s="37" t="s">
        <v>3303</v>
      </c>
      <c r="P8" s="37" t="s">
        <v>2890</v>
      </c>
      <c r="Q8" s="37" t="s">
        <v>2983</v>
      </c>
      <c r="R8" s="37" t="s">
        <v>2903</v>
      </c>
      <c r="S8" s="37">
        <v>2016</v>
      </c>
      <c r="T8" s="37">
        <v>5</v>
      </c>
      <c r="Y8" s="37" t="s">
        <v>2911</v>
      </c>
      <c r="Z8" s="37" t="s">
        <v>3223</v>
      </c>
      <c r="AA8" s="37" t="s">
        <v>20</v>
      </c>
      <c r="AB8" s="37" t="s">
        <v>2912</v>
      </c>
      <c r="AC8" s="37" t="s">
        <v>3134</v>
      </c>
      <c r="AD8" s="37" t="s">
        <v>2913</v>
      </c>
      <c r="AE8" s="37" t="s">
        <v>2917</v>
      </c>
    </row>
    <row r="9" spans="1:37" s="37" customFormat="1" ht="14.25" customHeight="1">
      <c r="A9" s="37">
        <v>228</v>
      </c>
      <c r="C9" s="37" t="s">
        <v>1272</v>
      </c>
      <c r="D9" s="37" t="s">
        <v>2889</v>
      </c>
      <c r="E9" s="37">
        <v>2023</v>
      </c>
      <c r="F9" s="37">
        <v>2021</v>
      </c>
      <c r="G9" s="37" t="s">
        <v>3025</v>
      </c>
      <c r="H9" s="37" t="s">
        <v>3068</v>
      </c>
      <c r="I9" s="37">
        <v>40.303294000000001</v>
      </c>
      <c r="J9" s="37">
        <v>-105.992164</v>
      </c>
      <c r="K9" s="37" t="s">
        <v>2971</v>
      </c>
      <c r="L9" s="37" t="s">
        <v>3100</v>
      </c>
      <c r="M9" s="37" t="s">
        <v>3112</v>
      </c>
      <c r="N9" s="37" t="s">
        <v>3303</v>
      </c>
      <c r="P9" s="37" t="s">
        <v>2890</v>
      </c>
      <c r="Q9" s="37" t="s">
        <v>3033</v>
      </c>
      <c r="R9" s="37" t="s">
        <v>2903</v>
      </c>
      <c r="S9" s="37">
        <v>2016</v>
      </c>
      <c r="T9" s="37">
        <v>5</v>
      </c>
      <c r="Y9" s="37" t="s">
        <v>2911</v>
      </c>
      <c r="Z9" s="37" t="s">
        <v>3223</v>
      </c>
      <c r="AA9" s="37" t="s">
        <v>20</v>
      </c>
      <c r="AB9" s="37" t="s">
        <v>2912</v>
      </c>
      <c r="AC9" s="37" t="s">
        <v>3134</v>
      </c>
      <c r="AD9" s="37" t="s">
        <v>2913</v>
      </c>
      <c r="AE9" s="37" t="s">
        <v>2917</v>
      </c>
    </row>
    <row r="10" spans="1:37" s="37" customFormat="1" ht="14.25" customHeight="1">
      <c r="A10" s="37">
        <v>228</v>
      </c>
      <c r="C10" s="37" t="s">
        <v>1272</v>
      </c>
      <c r="D10" s="37" t="s">
        <v>2889</v>
      </c>
      <c r="E10" s="37">
        <v>2023</v>
      </c>
      <c r="F10" s="37">
        <v>2021</v>
      </c>
      <c r="G10" s="37" t="s">
        <v>3025</v>
      </c>
      <c r="H10" s="37" t="s">
        <v>3068</v>
      </c>
      <c r="I10" s="37">
        <v>40.303294000000001</v>
      </c>
      <c r="J10" s="37">
        <v>-105.992164</v>
      </c>
      <c r="K10" s="37" t="s">
        <v>2971</v>
      </c>
      <c r="L10" s="37" t="s">
        <v>3100</v>
      </c>
      <c r="M10" s="37" t="s">
        <v>3112</v>
      </c>
      <c r="N10" s="37" t="s">
        <v>3303</v>
      </c>
      <c r="P10" s="37" t="s">
        <v>2890</v>
      </c>
      <c r="Q10" s="37" t="s">
        <v>2983</v>
      </c>
      <c r="R10" s="37" t="s">
        <v>2903</v>
      </c>
      <c r="S10" s="37">
        <v>2018</v>
      </c>
      <c r="T10" s="37">
        <v>3</v>
      </c>
      <c r="Y10" s="37" t="s">
        <v>2911</v>
      </c>
      <c r="Z10" s="37" t="s">
        <v>2985</v>
      </c>
      <c r="AA10" s="37" t="s">
        <v>20</v>
      </c>
      <c r="AB10" s="37" t="s">
        <v>2912</v>
      </c>
      <c r="AC10" s="37" t="s">
        <v>3134</v>
      </c>
      <c r="AD10" s="37" t="s">
        <v>2913</v>
      </c>
      <c r="AE10" s="37" t="s">
        <v>2917</v>
      </c>
    </row>
    <row r="11" spans="1:37" s="37" customFormat="1" ht="14.25" customHeight="1">
      <c r="A11" s="37">
        <v>228</v>
      </c>
      <c r="C11" s="37" t="s">
        <v>1272</v>
      </c>
      <c r="D11" s="37" t="s">
        <v>2889</v>
      </c>
      <c r="E11" s="37">
        <v>2023</v>
      </c>
      <c r="F11" s="37">
        <v>2021</v>
      </c>
      <c r="G11" s="37" t="s">
        <v>3025</v>
      </c>
      <c r="H11" s="37" t="s">
        <v>3068</v>
      </c>
      <c r="I11" s="37">
        <v>40.303294000000001</v>
      </c>
      <c r="J11" s="37">
        <v>-105.992164</v>
      </c>
      <c r="K11" s="37" t="s">
        <v>2971</v>
      </c>
      <c r="L11" s="37" t="s">
        <v>3100</v>
      </c>
      <c r="M11" s="37" t="s">
        <v>3112</v>
      </c>
      <c r="N11" s="37" t="s">
        <v>3303</v>
      </c>
      <c r="P11" s="37" t="s">
        <v>2890</v>
      </c>
      <c r="Q11" s="37" t="s">
        <v>3033</v>
      </c>
      <c r="R11" s="37" t="s">
        <v>2903</v>
      </c>
      <c r="S11" s="37">
        <v>2018</v>
      </c>
      <c r="T11" s="37">
        <v>3</v>
      </c>
      <c r="Y11" s="37" t="s">
        <v>2911</v>
      </c>
      <c r="Z11" s="37" t="s">
        <v>2985</v>
      </c>
      <c r="AA11" s="37" t="s">
        <v>20</v>
      </c>
      <c r="AB11" s="37" t="s">
        <v>2912</v>
      </c>
      <c r="AC11" s="37" t="s">
        <v>3134</v>
      </c>
      <c r="AD11" s="37" t="s">
        <v>2913</v>
      </c>
      <c r="AE11" s="37" t="s">
        <v>2917</v>
      </c>
    </row>
    <row r="12" spans="1:37" s="37" customFormat="1" ht="14.25" customHeight="1">
      <c r="A12" s="37">
        <v>228</v>
      </c>
      <c r="C12" s="37" t="s">
        <v>1272</v>
      </c>
      <c r="D12" s="37" t="s">
        <v>2889</v>
      </c>
      <c r="E12" s="37">
        <v>2023</v>
      </c>
      <c r="F12" s="37">
        <v>2021</v>
      </c>
      <c r="G12" s="37" t="s">
        <v>3025</v>
      </c>
      <c r="H12" s="37" t="s">
        <v>3068</v>
      </c>
      <c r="I12" s="37">
        <v>40.303294000000001</v>
      </c>
      <c r="J12" s="37">
        <v>-105.992164</v>
      </c>
      <c r="K12" s="37" t="s">
        <v>2971</v>
      </c>
      <c r="L12" s="37" t="s">
        <v>3100</v>
      </c>
      <c r="M12" s="37" t="s">
        <v>3112</v>
      </c>
      <c r="N12" s="37" t="s">
        <v>3303</v>
      </c>
      <c r="P12" s="37" t="s">
        <v>2890</v>
      </c>
      <c r="Q12" s="37" t="s">
        <v>2983</v>
      </c>
      <c r="R12" s="37" t="s">
        <v>2903</v>
      </c>
      <c r="S12" s="37">
        <v>2018</v>
      </c>
      <c r="T12" s="37">
        <v>3</v>
      </c>
      <c r="Y12" s="37" t="s">
        <v>2911</v>
      </c>
      <c r="Z12" s="37" t="s">
        <v>3223</v>
      </c>
      <c r="AA12" s="37" t="s">
        <v>20</v>
      </c>
      <c r="AB12" s="37" t="s">
        <v>2912</v>
      </c>
      <c r="AC12" s="37" t="s">
        <v>3134</v>
      </c>
      <c r="AD12" s="37" t="s">
        <v>2913</v>
      </c>
      <c r="AE12" s="37" t="s">
        <v>2917</v>
      </c>
    </row>
    <row r="13" spans="1:37" s="37" customFormat="1" ht="14.25" customHeight="1">
      <c r="A13" s="37">
        <v>228</v>
      </c>
      <c r="C13" s="37" t="s">
        <v>1272</v>
      </c>
      <c r="D13" s="37" t="s">
        <v>2889</v>
      </c>
      <c r="E13" s="37">
        <v>2023</v>
      </c>
      <c r="F13" s="37">
        <v>2021</v>
      </c>
      <c r="G13" s="37" t="s">
        <v>3025</v>
      </c>
      <c r="H13" s="37" t="s">
        <v>3068</v>
      </c>
      <c r="I13" s="37">
        <v>40.303294000000001</v>
      </c>
      <c r="J13" s="37">
        <v>-105.992164</v>
      </c>
      <c r="K13" s="37" t="s">
        <v>2971</v>
      </c>
      <c r="L13" s="37" t="s">
        <v>3100</v>
      </c>
      <c r="M13" s="37" t="s">
        <v>3112</v>
      </c>
      <c r="N13" s="37" t="s">
        <v>3303</v>
      </c>
      <c r="P13" s="37" t="s">
        <v>2890</v>
      </c>
      <c r="Q13" s="37" t="s">
        <v>3033</v>
      </c>
      <c r="R13" s="37" t="s">
        <v>2903</v>
      </c>
      <c r="S13" s="37">
        <v>2018</v>
      </c>
      <c r="T13" s="37">
        <v>3</v>
      </c>
      <c r="Y13" s="37" t="s">
        <v>2911</v>
      </c>
      <c r="Z13" s="37" t="s">
        <v>3223</v>
      </c>
      <c r="AA13" s="37" t="s">
        <v>20</v>
      </c>
      <c r="AB13" s="37" t="s">
        <v>2912</v>
      </c>
      <c r="AC13" s="37" t="s">
        <v>3134</v>
      </c>
      <c r="AD13" s="37" t="s">
        <v>2913</v>
      </c>
      <c r="AE13" s="37" t="s">
        <v>2917</v>
      </c>
    </row>
    <row r="14" spans="1:37" s="37" customFormat="1" ht="14.25" customHeight="1">
      <c r="A14" s="37">
        <v>228</v>
      </c>
      <c r="C14" s="37" t="s">
        <v>1272</v>
      </c>
      <c r="D14" s="37" t="s">
        <v>2889</v>
      </c>
      <c r="E14" s="37">
        <v>2023</v>
      </c>
      <c r="F14" s="37">
        <v>2021</v>
      </c>
      <c r="G14" s="37" t="s">
        <v>3025</v>
      </c>
      <c r="H14" s="37" t="s">
        <v>3068</v>
      </c>
      <c r="I14" s="37">
        <v>40.303294000000001</v>
      </c>
      <c r="J14" s="37">
        <v>-105.992164</v>
      </c>
      <c r="K14" s="37" t="s">
        <v>2971</v>
      </c>
      <c r="L14" s="37" t="s">
        <v>3100</v>
      </c>
      <c r="M14" s="37" t="s">
        <v>3112</v>
      </c>
      <c r="N14" s="37" t="s">
        <v>3303</v>
      </c>
      <c r="P14" s="37" t="s">
        <v>2890</v>
      </c>
      <c r="Q14" s="37" t="s">
        <v>2983</v>
      </c>
      <c r="R14" s="37" t="s">
        <v>2903</v>
      </c>
      <c r="S14" s="37">
        <v>2018</v>
      </c>
      <c r="T14" s="37">
        <v>3</v>
      </c>
      <c r="Y14" s="37" t="s">
        <v>2911</v>
      </c>
      <c r="Z14" s="37" t="s">
        <v>2985</v>
      </c>
      <c r="AA14" s="37" t="s">
        <v>20</v>
      </c>
      <c r="AB14" s="37" t="s">
        <v>2912</v>
      </c>
      <c r="AC14" s="37" t="s">
        <v>3134</v>
      </c>
      <c r="AD14" s="37" t="s">
        <v>2913</v>
      </c>
      <c r="AE14" s="37" t="s">
        <v>2917</v>
      </c>
    </row>
    <row r="15" spans="1:37" s="37" customFormat="1" ht="14.25" customHeight="1">
      <c r="A15" s="37">
        <v>228</v>
      </c>
      <c r="C15" s="37" t="s">
        <v>1272</v>
      </c>
      <c r="D15" s="37" t="s">
        <v>2889</v>
      </c>
      <c r="E15" s="37">
        <v>2023</v>
      </c>
      <c r="F15" s="37">
        <v>2021</v>
      </c>
      <c r="G15" s="37" t="s">
        <v>3025</v>
      </c>
      <c r="H15" s="37" t="s">
        <v>3068</v>
      </c>
      <c r="I15" s="37">
        <v>40.303294000000001</v>
      </c>
      <c r="J15" s="37">
        <v>-105.992164</v>
      </c>
      <c r="K15" s="37" t="s">
        <v>2971</v>
      </c>
      <c r="L15" s="37" t="s">
        <v>3100</v>
      </c>
      <c r="M15" s="37" t="s">
        <v>3112</v>
      </c>
      <c r="N15" s="37" t="s">
        <v>3303</v>
      </c>
      <c r="P15" s="37" t="s">
        <v>2890</v>
      </c>
      <c r="Q15" s="37" t="s">
        <v>3033</v>
      </c>
      <c r="R15" s="37" t="s">
        <v>2903</v>
      </c>
      <c r="S15" s="37">
        <v>2018</v>
      </c>
      <c r="T15" s="37">
        <v>3</v>
      </c>
      <c r="Y15" s="37" t="s">
        <v>2911</v>
      </c>
      <c r="Z15" s="37" t="s">
        <v>2985</v>
      </c>
      <c r="AA15" s="37" t="s">
        <v>20</v>
      </c>
      <c r="AB15" s="37" t="s">
        <v>2912</v>
      </c>
      <c r="AC15" s="37" t="s">
        <v>3134</v>
      </c>
      <c r="AD15" s="37" t="s">
        <v>2913</v>
      </c>
      <c r="AE15" s="37" t="s">
        <v>2917</v>
      </c>
    </row>
    <row r="16" spans="1:37" s="37" customFormat="1" ht="14.25" customHeight="1">
      <c r="A16" s="37">
        <v>228</v>
      </c>
      <c r="C16" s="37" t="s">
        <v>1272</v>
      </c>
      <c r="D16" s="37" t="s">
        <v>2889</v>
      </c>
      <c r="E16" s="37">
        <v>2023</v>
      </c>
      <c r="F16" s="37">
        <v>2021</v>
      </c>
      <c r="G16" s="37" t="s">
        <v>3025</v>
      </c>
      <c r="H16" s="37" t="s">
        <v>3068</v>
      </c>
      <c r="I16" s="37">
        <v>40.303294000000001</v>
      </c>
      <c r="J16" s="37">
        <v>-105.992164</v>
      </c>
      <c r="K16" s="37" t="s">
        <v>2971</v>
      </c>
      <c r="L16" s="37" t="s">
        <v>3100</v>
      </c>
      <c r="M16" s="37" t="s">
        <v>3112</v>
      </c>
      <c r="N16" s="37" t="s">
        <v>3303</v>
      </c>
      <c r="P16" s="37" t="s">
        <v>2890</v>
      </c>
      <c r="Q16" s="37" t="s">
        <v>2983</v>
      </c>
      <c r="R16" s="37" t="s">
        <v>2903</v>
      </c>
      <c r="S16" s="37">
        <v>2018</v>
      </c>
      <c r="T16" s="37">
        <v>3</v>
      </c>
      <c r="Y16" s="37" t="s">
        <v>2911</v>
      </c>
      <c r="Z16" s="37" t="s">
        <v>3223</v>
      </c>
      <c r="AA16" s="37" t="s">
        <v>20</v>
      </c>
      <c r="AB16" s="37" t="s">
        <v>2912</v>
      </c>
      <c r="AC16" s="37" t="s">
        <v>3134</v>
      </c>
      <c r="AD16" s="37" t="s">
        <v>2913</v>
      </c>
      <c r="AE16" s="37" t="s">
        <v>2917</v>
      </c>
    </row>
    <row r="17" spans="1:47" s="37" customFormat="1" ht="14.25" customHeight="1">
      <c r="A17" s="37">
        <v>228</v>
      </c>
      <c r="C17" s="37" t="s">
        <v>1272</v>
      </c>
      <c r="D17" s="37" t="s">
        <v>2889</v>
      </c>
      <c r="E17" s="37">
        <v>2023</v>
      </c>
      <c r="F17" s="37">
        <v>2021</v>
      </c>
      <c r="G17" s="37" t="s">
        <v>3025</v>
      </c>
      <c r="H17" s="37" t="s">
        <v>3068</v>
      </c>
      <c r="I17" s="37">
        <v>40.303294000000001</v>
      </c>
      <c r="J17" s="37">
        <v>-105.992164</v>
      </c>
      <c r="K17" s="37" t="s">
        <v>2971</v>
      </c>
      <c r="L17" s="37" t="s">
        <v>3100</v>
      </c>
      <c r="M17" s="37" t="s">
        <v>3112</v>
      </c>
      <c r="N17" s="37" t="s">
        <v>3303</v>
      </c>
      <c r="P17" s="37" t="s">
        <v>2890</v>
      </c>
      <c r="Q17" s="37" t="s">
        <v>3033</v>
      </c>
      <c r="R17" s="37" t="s">
        <v>2903</v>
      </c>
      <c r="S17" s="37">
        <v>2018</v>
      </c>
      <c r="T17" s="37">
        <v>3</v>
      </c>
      <c r="Y17" s="37" t="s">
        <v>2911</v>
      </c>
      <c r="Z17" s="37" t="s">
        <v>3223</v>
      </c>
      <c r="AA17" s="37" t="s">
        <v>20</v>
      </c>
      <c r="AB17" s="37" t="s">
        <v>2912</v>
      </c>
      <c r="AC17" s="37" t="s">
        <v>3134</v>
      </c>
      <c r="AD17" s="37" t="s">
        <v>2913</v>
      </c>
      <c r="AE17" s="37" t="s">
        <v>2917</v>
      </c>
    </row>
    <row r="18" spans="1:47" s="37" customFormat="1" ht="14.25" customHeight="1">
      <c r="A18" s="37">
        <v>228</v>
      </c>
      <c r="C18" s="37" t="s">
        <v>1272</v>
      </c>
      <c r="D18" s="37" t="s">
        <v>2889</v>
      </c>
      <c r="E18" s="37">
        <v>2023</v>
      </c>
      <c r="F18" s="37">
        <v>2021</v>
      </c>
      <c r="G18" s="37" t="s">
        <v>3025</v>
      </c>
      <c r="H18" s="37" t="s">
        <v>3068</v>
      </c>
      <c r="I18" s="37">
        <v>40.303294000000001</v>
      </c>
      <c r="J18" s="37">
        <v>-105.992164</v>
      </c>
      <c r="K18" s="37" t="s">
        <v>2971</v>
      </c>
      <c r="L18" s="37" t="s">
        <v>3100</v>
      </c>
      <c r="M18" s="37" t="s">
        <v>3112</v>
      </c>
      <c r="N18" s="37" t="s">
        <v>3303</v>
      </c>
      <c r="P18" s="37" t="s">
        <v>2890</v>
      </c>
      <c r="Q18" s="37" t="s">
        <v>2983</v>
      </c>
      <c r="R18" s="37" t="s">
        <v>2903</v>
      </c>
      <c r="S18" s="37">
        <v>2020</v>
      </c>
      <c r="T18" s="37">
        <v>1</v>
      </c>
      <c r="Y18" s="37" t="s">
        <v>2911</v>
      </c>
      <c r="Z18" s="37" t="s">
        <v>2985</v>
      </c>
      <c r="AA18" s="37" t="s">
        <v>20</v>
      </c>
      <c r="AB18" s="37" t="s">
        <v>2912</v>
      </c>
      <c r="AC18" s="37" t="s">
        <v>3134</v>
      </c>
      <c r="AD18" s="37" t="s">
        <v>2913</v>
      </c>
      <c r="AE18" s="37" t="s">
        <v>2917</v>
      </c>
    </row>
    <row r="19" spans="1:47" s="37" customFormat="1" ht="14.25" customHeight="1">
      <c r="A19" s="37">
        <v>228</v>
      </c>
      <c r="C19" s="37" t="s">
        <v>1272</v>
      </c>
      <c r="D19" s="37" t="s">
        <v>2889</v>
      </c>
      <c r="E19" s="37">
        <v>2023</v>
      </c>
      <c r="F19" s="37">
        <v>2021</v>
      </c>
      <c r="G19" s="37" t="s">
        <v>3025</v>
      </c>
      <c r="H19" s="37" t="s">
        <v>3068</v>
      </c>
      <c r="I19" s="37">
        <v>40.303294000000001</v>
      </c>
      <c r="J19" s="37">
        <v>-105.992164</v>
      </c>
      <c r="K19" s="37" t="s">
        <v>2971</v>
      </c>
      <c r="L19" s="37" t="s">
        <v>3100</v>
      </c>
      <c r="M19" s="37" t="s">
        <v>3112</v>
      </c>
      <c r="N19" s="37" t="s">
        <v>3303</v>
      </c>
      <c r="P19" s="37" t="s">
        <v>2890</v>
      </c>
      <c r="Q19" s="37" t="s">
        <v>3033</v>
      </c>
      <c r="R19" s="37" t="s">
        <v>2903</v>
      </c>
      <c r="S19" s="37">
        <v>2020</v>
      </c>
      <c r="T19" s="37">
        <v>1</v>
      </c>
      <c r="Y19" s="37" t="s">
        <v>2911</v>
      </c>
      <c r="Z19" s="37" t="s">
        <v>2985</v>
      </c>
      <c r="AA19" s="37" t="s">
        <v>20</v>
      </c>
      <c r="AB19" s="37" t="s">
        <v>2912</v>
      </c>
      <c r="AC19" s="37" t="s">
        <v>3134</v>
      </c>
      <c r="AD19" s="37" t="s">
        <v>2913</v>
      </c>
      <c r="AE19" s="37" t="s">
        <v>2917</v>
      </c>
    </row>
    <row r="20" spans="1:47" s="37" customFormat="1" ht="14.25" customHeight="1">
      <c r="A20" s="37">
        <v>228</v>
      </c>
      <c r="C20" s="37" t="s">
        <v>1272</v>
      </c>
      <c r="D20" s="37" t="s">
        <v>2889</v>
      </c>
      <c r="E20" s="37">
        <v>2023</v>
      </c>
      <c r="F20" s="37">
        <v>2021</v>
      </c>
      <c r="G20" s="37" t="s">
        <v>3025</v>
      </c>
      <c r="H20" s="37" t="s">
        <v>3068</v>
      </c>
      <c r="I20" s="37">
        <v>40.303294000000001</v>
      </c>
      <c r="J20" s="37">
        <v>-105.992164</v>
      </c>
      <c r="K20" s="37" t="s">
        <v>2971</v>
      </c>
      <c r="L20" s="37" t="s">
        <v>3100</v>
      </c>
      <c r="M20" s="37" t="s">
        <v>3112</v>
      </c>
      <c r="N20" s="37" t="s">
        <v>3303</v>
      </c>
      <c r="P20" s="37" t="s">
        <v>2890</v>
      </c>
      <c r="Q20" s="37" t="s">
        <v>2983</v>
      </c>
      <c r="R20" s="37" t="s">
        <v>2903</v>
      </c>
      <c r="S20" s="37">
        <v>2020</v>
      </c>
      <c r="T20" s="37">
        <v>1</v>
      </c>
      <c r="Y20" s="37" t="s">
        <v>2911</v>
      </c>
      <c r="Z20" s="37" t="s">
        <v>3223</v>
      </c>
      <c r="AA20" s="37" t="s">
        <v>20</v>
      </c>
      <c r="AB20" s="37" t="s">
        <v>2912</v>
      </c>
      <c r="AC20" s="37" t="s">
        <v>3134</v>
      </c>
      <c r="AD20" s="37" t="s">
        <v>2913</v>
      </c>
      <c r="AE20" s="37" t="s">
        <v>2917</v>
      </c>
    </row>
    <row r="21" spans="1:47" s="37" customFormat="1" ht="14.25" customHeight="1">
      <c r="A21" s="37">
        <v>228</v>
      </c>
      <c r="C21" s="37" t="s">
        <v>1272</v>
      </c>
      <c r="D21" s="37" t="s">
        <v>2889</v>
      </c>
      <c r="E21" s="37">
        <v>2023</v>
      </c>
      <c r="F21" s="37">
        <v>2021</v>
      </c>
      <c r="G21" s="37" t="s">
        <v>3025</v>
      </c>
      <c r="H21" s="37" t="s">
        <v>3068</v>
      </c>
      <c r="I21" s="37">
        <v>40.303294000000001</v>
      </c>
      <c r="J21" s="37">
        <v>-105.992164</v>
      </c>
      <c r="K21" s="37" t="s">
        <v>2971</v>
      </c>
      <c r="L21" s="37" t="s">
        <v>3100</v>
      </c>
      <c r="M21" s="37" t="s">
        <v>3112</v>
      </c>
      <c r="N21" s="37" t="s">
        <v>3303</v>
      </c>
      <c r="P21" s="37" t="s">
        <v>2890</v>
      </c>
      <c r="Q21" s="37" t="s">
        <v>3033</v>
      </c>
      <c r="R21" s="37" t="s">
        <v>2903</v>
      </c>
      <c r="S21" s="37">
        <v>2020</v>
      </c>
      <c r="T21" s="37">
        <v>1</v>
      </c>
      <c r="Y21" s="37" t="s">
        <v>2911</v>
      </c>
      <c r="Z21" s="37" t="s">
        <v>3223</v>
      </c>
      <c r="AA21" s="37" t="s">
        <v>20</v>
      </c>
      <c r="AB21" s="37" t="s">
        <v>2912</v>
      </c>
      <c r="AC21" s="37" t="s">
        <v>3134</v>
      </c>
      <c r="AD21" s="37" t="s">
        <v>2913</v>
      </c>
      <c r="AE21" s="37" t="s">
        <v>2917</v>
      </c>
    </row>
    <row r="22" spans="1:47" s="1" customFormat="1" ht="14.25" customHeight="1">
      <c r="A22" s="33">
        <v>443</v>
      </c>
      <c r="B22" s="33">
        <v>3</v>
      </c>
      <c r="C22" s="33" t="s">
        <v>2268</v>
      </c>
      <c r="D22" s="33" t="s">
        <v>2889</v>
      </c>
      <c r="E22" s="33">
        <v>2007</v>
      </c>
      <c r="F22" s="33">
        <v>2003</v>
      </c>
      <c r="G22" s="33" t="s">
        <v>2910</v>
      </c>
      <c r="H22" s="33" t="s">
        <v>2928</v>
      </c>
      <c r="I22" s="33">
        <v>-26.833333</v>
      </c>
      <c r="J22" s="33">
        <v>152.88333299999999</v>
      </c>
      <c r="K22" s="33" t="s">
        <v>3565</v>
      </c>
      <c r="L22" s="33" t="s">
        <v>2931</v>
      </c>
      <c r="M22" s="33" t="s">
        <v>3114</v>
      </c>
      <c r="N22" s="41" t="s">
        <v>3304</v>
      </c>
      <c r="O22" s="33" t="s">
        <v>3305</v>
      </c>
      <c r="P22" s="33" t="s">
        <v>2948</v>
      </c>
      <c r="Q22" s="33"/>
      <c r="R22" s="33" t="s">
        <v>2903</v>
      </c>
      <c r="S22" s="33">
        <v>2003</v>
      </c>
      <c r="T22" s="33" t="s">
        <v>3069</v>
      </c>
      <c r="U22" s="33" t="s">
        <v>3513</v>
      </c>
      <c r="V22" s="33"/>
      <c r="W22" s="33"/>
      <c r="X22" s="33"/>
      <c r="Y22" s="33" t="s">
        <v>2911</v>
      </c>
      <c r="Z22" s="33" t="s">
        <v>3034</v>
      </c>
      <c r="AA22" s="33" t="s">
        <v>20</v>
      </c>
      <c r="AB22" s="33" t="s">
        <v>2912</v>
      </c>
      <c r="AC22" s="33" t="s">
        <v>3211</v>
      </c>
      <c r="AD22" s="33" t="s">
        <v>36</v>
      </c>
      <c r="AE22" s="33" t="s">
        <v>2914</v>
      </c>
      <c r="AF22" s="33" t="s">
        <v>3512</v>
      </c>
      <c r="AG22" s="33">
        <v>43.3</v>
      </c>
      <c r="AH22" s="33">
        <v>34.69</v>
      </c>
      <c r="AI22" s="33">
        <v>66.17</v>
      </c>
      <c r="AJ22" s="1">
        <f t="shared" ref="AJ22:AJ23" si="0">LOG(AI22/(AH22+AG22))</f>
        <v>-7.1377785697696039E-2</v>
      </c>
      <c r="AK22" s="1">
        <f t="shared" ref="AK22:AK23" si="1">LOG(AG22/AH22)</f>
        <v>9.6283596511305636E-2</v>
      </c>
      <c r="AL22" s="33"/>
    </row>
    <row r="23" spans="1:47" s="1" customFormat="1" ht="14.25" customHeight="1">
      <c r="A23" s="33">
        <v>443</v>
      </c>
      <c r="B23" s="33">
        <v>3</v>
      </c>
      <c r="C23" s="33" t="s">
        <v>2268</v>
      </c>
      <c r="D23" s="33" t="s">
        <v>2889</v>
      </c>
      <c r="E23" s="33">
        <v>2007</v>
      </c>
      <c r="F23" s="33">
        <v>2003</v>
      </c>
      <c r="G23" s="33" t="s">
        <v>2910</v>
      </c>
      <c r="H23" s="33" t="s">
        <v>2928</v>
      </c>
      <c r="I23" s="33">
        <v>-26.833333</v>
      </c>
      <c r="J23" s="33">
        <v>152.88333299999999</v>
      </c>
      <c r="K23" s="33" t="s">
        <v>3565</v>
      </c>
      <c r="L23" s="33" t="s">
        <v>2931</v>
      </c>
      <c r="M23" s="33" t="s">
        <v>3114</v>
      </c>
      <c r="N23" s="41" t="s">
        <v>3304</v>
      </c>
      <c r="O23" s="33" t="s">
        <v>3305</v>
      </c>
      <c r="P23" s="33" t="s">
        <v>2948</v>
      </c>
      <c r="Q23" s="33"/>
      <c r="R23" s="33" t="s">
        <v>2903</v>
      </c>
      <c r="S23" s="33">
        <v>2003</v>
      </c>
      <c r="T23" s="33">
        <v>2</v>
      </c>
      <c r="U23" s="33" t="s">
        <v>3513</v>
      </c>
      <c r="V23" s="33"/>
      <c r="W23" s="33"/>
      <c r="X23" s="33"/>
      <c r="Y23" s="33" t="s">
        <v>2911</v>
      </c>
      <c r="Z23" s="33" t="s">
        <v>3034</v>
      </c>
      <c r="AA23" s="33" t="s">
        <v>20</v>
      </c>
      <c r="AB23" s="33" t="s">
        <v>2912</v>
      </c>
      <c r="AC23" s="33" t="s">
        <v>3211</v>
      </c>
      <c r="AD23" s="33" t="s">
        <v>36</v>
      </c>
      <c r="AE23" s="33" t="s">
        <v>2914</v>
      </c>
      <c r="AF23" s="33" t="s">
        <v>3512</v>
      </c>
      <c r="AG23" s="33">
        <v>58.07</v>
      </c>
      <c r="AH23" s="33">
        <v>34.69</v>
      </c>
      <c r="AI23" s="33">
        <v>54.69</v>
      </c>
      <c r="AJ23" s="1">
        <f t="shared" si="0"/>
        <v>-0.22945281659131095</v>
      </c>
      <c r="AK23" s="1">
        <f t="shared" si="1"/>
        <v>0.2237475261912644</v>
      </c>
      <c r="AL23" s="33"/>
    </row>
    <row r="24" spans="1:47" s="1" customFormat="1" ht="14.25" customHeight="1">
      <c r="A24" s="41">
        <v>331</v>
      </c>
      <c r="B24" s="41">
        <v>3</v>
      </c>
      <c r="C24" s="41" t="s">
        <v>1748</v>
      </c>
      <c r="D24" s="33" t="s">
        <v>2889</v>
      </c>
      <c r="E24" s="41">
        <v>2006</v>
      </c>
      <c r="F24" s="41">
        <v>2003</v>
      </c>
      <c r="G24" s="41" t="s">
        <v>2910</v>
      </c>
      <c r="H24" s="41" t="s">
        <v>2928</v>
      </c>
      <c r="I24" s="41">
        <v>-26.25</v>
      </c>
      <c r="J24" s="41">
        <v>152.88333299999999</v>
      </c>
      <c r="K24" s="41" t="s">
        <v>2971</v>
      </c>
      <c r="L24" s="41" t="s">
        <v>2931</v>
      </c>
      <c r="M24" s="41" t="s">
        <v>3114</v>
      </c>
      <c r="N24" s="41" t="s">
        <v>3304</v>
      </c>
      <c r="O24" s="33" t="s">
        <v>3305</v>
      </c>
      <c r="P24" s="41" t="s">
        <v>2948</v>
      </c>
      <c r="Q24" s="41"/>
      <c r="R24" s="41" t="s">
        <v>2903</v>
      </c>
      <c r="S24" s="41">
        <v>2003</v>
      </c>
      <c r="T24" s="41" t="s">
        <v>3069</v>
      </c>
      <c r="U24" s="33" t="s">
        <v>3513</v>
      </c>
      <c r="V24" s="41"/>
      <c r="W24" s="33"/>
      <c r="X24" s="41"/>
      <c r="Y24" s="33" t="s">
        <v>2911</v>
      </c>
      <c r="Z24" s="41" t="s">
        <v>2992</v>
      </c>
      <c r="AA24" s="41" t="s">
        <v>22</v>
      </c>
      <c r="AB24" s="41" t="s">
        <v>2912</v>
      </c>
      <c r="AC24" s="41" t="s">
        <v>3215</v>
      </c>
      <c r="AD24" s="41" t="s">
        <v>36</v>
      </c>
      <c r="AE24" s="41" t="s">
        <v>2914</v>
      </c>
      <c r="AF24" s="41" t="s">
        <v>3514</v>
      </c>
      <c r="AG24" s="33">
        <v>0.13</v>
      </c>
      <c r="AH24" s="33">
        <v>0.25</v>
      </c>
      <c r="AI24" s="33">
        <v>0.56000000000000005</v>
      </c>
      <c r="AJ24" s="1">
        <f t="shared" ref="AJ24:AJ26" si="2">LOG(AI24/(AH24+AG24))</f>
        <v>0.16840443038939029</v>
      </c>
      <c r="AK24" s="1">
        <f t="shared" ref="AK24:AK27" si="3">LOG(AG24/AH24)</f>
        <v>-0.28399665636520083</v>
      </c>
      <c r="AL24" s="41"/>
      <c r="AM24" s="33"/>
      <c r="AN24" s="33"/>
      <c r="AO24" s="33"/>
      <c r="AP24" s="33"/>
      <c r="AQ24" s="33"/>
      <c r="AR24" s="33"/>
      <c r="AS24" s="33"/>
      <c r="AT24" s="33"/>
      <c r="AU24" s="33"/>
    </row>
    <row r="25" spans="1:47" s="1" customFormat="1" ht="14.25" customHeight="1">
      <c r="A25" s="41">
        <v>331</v>
      </c>
      <c r="B25" s="41">
        <v>3</v>
      </c>
      <c r="C25" s="41" t="s">
        <v>1748</v>
      </c>
      <c r="D25" s="33" t="s">
        <v>2889</v>
      </c>
      <c r="E25" s="41">
        <v>2006</v>
      </c>
      <c r="F25" s="41">
        <v>2003</v>
      </c>
      <c r="G25" s="41" t="s">
        <v>2910</v>
      </c>
      <c r="H25" s="41" t="s">
        <v>2928</v>
      </c>
      <c r="I25" s="41">
        <v>-26.25</v>
      </c>
      <c r="J25" s="41">
        <v>152.88333299999999</v>
      </c>
      <c r="K25" s="41" t="s">
        <v>2971</v>
      </c>
      <c r="L25" s="41" t="s">
        <v>2931</v>
      </c>
      <c r="M25" s="41" t="s">
        <v>3114</v>
      </c>
      <c r="N25" s="41" t="s">
        <v>3304</v>
      </c>
      <c r="O25" s="33" t="s">
        <v>3305</v>
      </c>
      <c r="P25" s="41" t="s">
        <v>2948</v>
      </c>
      <c r="Q25" s="41"/>
      <c r="R25" s="41" t="s">
        <v>2903</v>
      </c>
      <c r="S25" s="41">
        <v>2003</v>
      </c>
      <c r="T25" s="41" t="s">
        <v>3069</v>
      </c>
      <c r="U25" s="33" t="s">
        <v>3513</v>
      </c>
      <c r="V25" s="41"/>
      <c r="W25" s="33"/>
      <c r="X25" s="41"/>
      <c r="Y25" s="33" t="s">
        <v>2911</v>
      </c>
      <c r="Z25" s="41" t="s">
        <v>3210</v>
      </c>
      <c r="AA25" s="41" t="s">
        <v>22</v>
      </c>
      <c r="AB25" s="41" t="s">
        <v>2912</v>
      </c>
      <c r="AC25" s="41" t="s">
        <v>3215</v>
      </c>
      <c r="AD25" s="41" t="s">
        <v>36</v>
      </c>
      <c r="AE25" s="41" t="s">
        <v>2914</v>
      </c>
      <c r="AF25" s="41" t="s">
        <v>3514</v>
      </c>
      <c r="AG25" s="33">
        <v>0.14000000000000001</v>
      </c>
      <c r="AH25" s="33">
        <v>0.17</v>
      </c>
      <c r="AI25" s="33">
        <v>0.26</v>
      </c>
      <c r="AJ25" s="1">
        <f t="shared" si="2"/>
        <v>-7.6388345863454762E-2</v>
      </c>
      <c r="AK25" s="1">
        <f t="shared" si="3"/>
        <v>-8.4320885700035861E-2</v>
      </c>
      <c r="AL25" s="41"/>
      <c r="AM25" s="33"/>
      <c r="AN25" s="33"/>
      <c r="AO25" s="33"/>
      <c r="AP25" s="33"/>
      <c r="AQ25" s="33"/>
      <c r="AR25" s="33"/>
      <c r="AS25" s="33"/>
      <c r="AT25" s="33"/>
      <c r="AU25" s="33"/>
    </row>
    <row r="26" spans="1:47" s="1" customFormat="1" ht="14.25" customHeight="1">
      <c r="A26" s="41">
        <v>331</v>
      </c>
      <c r="B26" s="41">
        <v>3</v>
      </c>
      <c r="C26" s="41" t="s">
        <v>1748</v>
      </c>
      <c r="D26" s="33" t="s">
        <v>2889</v>
      </c>
      <c r="E26" s="41">
        <v>2006</v>
      </c>
      <c r="F26" s="41">
        <v>2003</v>
      </c>
      <c r="G26" s="41" t="s">
        <v>2910</v>
      </c>
      <c r="H26" s="41" t="s">
        <v>2928</v>
      </c>
      <c r="I26" s="41">
        <v>-26.25</v>
      </c>
      <c r="J26" s="41">
        <v>152.88333299999999</v>
      </c>
      <c r="K26" s="41" t="s">
        <v>2971</v>
      </c>
      <c r="L26" s="41" t="s">
        <v>2931</v>
      </c>
      <c r="M26" s="41" t="s">
        <v>3114</v>
      </c>
      <c r="N26" s="41" t="s">
        <v>3304</v>
      </c>
      <c r="O26" s="33" t="s">
        <v>3305</v>
      </c>
      <c r="P26" s="41" t="s">
        <v>2948</v>
      </c>
      <c r="Q26" s="41"/>
      <c r="R26" s="41" t="s">
        <v>2903</v>
      </c>
      <c r="S26" s="41">
        <v>2003</v>
      </c>
      <c r="T26" s="41">
        <v>2</v>
      </c>
      <c r="U26" s="33" t="s">
        <v>3513</v>
      </c>
      <c r="V26" s="41"/>
      <c r="W26" s="33"/>
      <c r="X26" s="41"/>
      <c r="Y26" s="33" t="s">
        <v>2911</v>
      </c>
      <c r="Z26" s="41" t="s">
        <v>2992</v>
      </c>
      <c r="AA26" s="41" t="s">
        <v>22</v>
      </c>
      <c r="AB26" s="41" t="s">
        <v>2912</v>
      </c>
      <c r="AC26" s="41" t="s">
        <v>3215</v>
      </c>
      <c r="AD26" s="41" t="s">
        <v>36</v>
      </c>
      <c r="AE26" s="41" t="s">
        <v>2914</v>
      </c>
      <c r="AF26" s="41" t="s">
        <v>3514</v>
      </c>
      <c r="AG26" s="33">
        <v>0.15</v>
      </c>
      <c r="AH26" s="33">
        <v>0.25</v>
      </c>
      <c r="AI26" s="33">
        <v>0.44</v>
      </c>
      <c r="AJ26" s="1">
        <f t="shared" si="2"/>
        <v>4.1392685158224987E-2</v>
      </c>
      <c r="AK26" s="1">
        <f t="shared" si="3"/>
        <v>-0.22184874961635639</v>
      </c>
      <c r="AL26" s="41"/>
      <c r="AM26" s="33"/>
      <c r="AN26" s="33"/>
      <c r="AO26" s="33"/>
      <c r="AP26" s="33"/>
      <c r="AQ26" s="33"/>
      <c r="AR26" s="33"/>
      <c r="AS26" s="33"/>
      <c r="AT26" s="33"/>
      <c r="AU26" s="33"/>
    </row>
    <row r="27" spans="1:47" s="1" customFormat="1" ht="14.25" customHeight="1">
      <c r="A27" s="41">
        <v>331</v>
      </c>
      <c r="B27" s="41">
        <v>3</v>
      </c>
      <c r="C27" s="41" t="s">
        <v>1748</v>
      </c>
      <c r="D27" s="33" t="s">
        <v>2889</v>
      </c>
      <c r="E27" s="41">
        <v>2006</v>
      </c>
      <c r="F27" s="41">
        <v>2003</v>
      </c>
      <c r="G27" s="41" t="s">
        <v>2910</v>
      </c>
      <c r="H27" s="41" t="s">
        <v>2928</v>
      </c>
      <c r="I27" s="41">
        <v>-26.25</v>
      </c>
      <c r="J27" s="41">
        <v>152.88333299999999</v>
      </c>
      <c r="K27" s="41" t="s">
        <v>2971</v>
      </c>
      <c r="L27" s="41" t="s">
        <v>2931</v>
      </c>
      <c r="M27" s="41" t="s">
        <v>3114</v>
      </c>
      <c r="N27" s="41" t="s">
        <v>3304</v>
      </c>
      <c r="O27" s="33" t="s">
        <v>3305</v>
      </c>
      <c r="P27" s="41" t="s">
        <v>2948</v>
      </c>
      <c r="Q27" s="41"/>
      <c r="R27" s="41" t="s">
        <v>2903</v>
      </c>
      <c r="S27" s="41">
        <v>2003</v>
      </c>
      <c r="T27" s="41">
        <v>2</v>
      </c>
      <c r="U27" s="33" t="s">
        <v>3513</v>
      </c>
      <c r="V27" s="41"/>
      <c r="W27" s="33"/>
      <c r="X27" s="41"/>
      <c r="Y27" s="33" t="s">
        <v>2911</v>
      </c>
      <c r="Z27" s="41" t="s">
        <v>3210</v>
      </c>
      <c r="AA27" s="41" t="s">
        <v>22</v>
      </c>
      <c r="AB27" s="41" t="s">
        <v>2912</v>
      </c>
      <c r="AC27" s="41" t="s">
        <v>3215</v>
      </c>
      <c r="AD27" s="41" t="s">
        <v>36</v>
      </c>
      <c r="AE27" s="41" t="s">
        <v>2914</v>
      </c>
      <c r="AF27" s="41" t="s">
        <v>3514</v>
      </c>
      <c r="AG27" s="33">
        <v>0.2</v>
      </c>
      <c r="AH27" s="33">
        <v>0.17</v>
      </c>
      <c r="AI27" s="33">
        <v>0.37</v>
      </c>
      <c r="AJ27" s="1">
        <f>LOG(AI27/(AH27+AG27))</f>
        <v>0</v>
      </c>
      <c r="AK27" s="1">
        <f t="shared" si="3"/>
        <v>7.0581074285707285E-2</v>
      </c>
      <c r="AL27" s="41"/>
      <c r="AM27" s="33"/>
      <c r="AN27" s="33"/>
      <c r="AO27" s="33"/>
      <c r="AP27" s="33"/>
      <c r="AQ27" s="33"/>
      <c r="AR27" s="33"/>
      <c r="AS27" s="33"/>
      <c r="AT27" s="33"/>
      <c r="AU27" s="33"/>
    </row>
    <row r="28" spans="1:47" s="1" customFormat="1" ht="14.25" customHeight="1">
      <c r="A28" s="41">
        <v>183</v>
      </c>
      <c r="B28" s="41">
        <v>3</v>
      </c>
      <c r="C28" s="41" t="s">
        <v>1040</v>
      </c>
      <c r="D28" s="41" t="s">
        <v>2897</v>
      </c>
      <c r="E28" s="41">
        <v>2006</v>
      </c>
      <c r="F28" s="41">
        <v>2003</v>
      </c>
      <c r="G28" s="41" t="s">
        <v>2910</v>
      </c>
      <c r="H28" s="41" t="s">
        <v>2928</v>
      </c>
      <c r="I28" s="41">
        <v>-26.25</v>
      </c>
      <c r="J28" s="41">
        <v>152.88333299999999</v>
      </c>
      <c r="K28" s="41" t="s">
        <v>3001</v>
      </c>
      <c r="L28" s="41" t="s">
        <v>2931</v>
      </c>
      <c r="M28" s="41" t="s">
        <v>3114</v>
      </c>
      <c r="N28" s="41" t="s">
        <v>3304</v>
      </c>
      <c r="O28" s="33" t="s">
        <v>3305</v>
      </c>
      <c r="P28" s="41" t="s">
        <v>2948</v>
      </c>
      <c r="Q28" s="41"/>
      <c r="R28" s="41" t="s">
        <v>2903</v>
      </c>
      <c r="S28" s="41">
        <v>2003</v>
      </c>
      <c r="T28" s="41" t="s">
        <v>3069</v>
      </c>
      <c r="U28" s="33" t="s">
        <v>3513</v>
      </c>
      <c r="V28" s="41"/>
      <c r="W28" s="41">
        <v>4</v>
      </c>
      <c r="X28" s="41">
        <v>4</v>
      </c>
      <c r="Y28" s="41" t="s">
        <v>3214</v>
      </c>
      <c r="Z28" s="41" t="s">
        <v>2992</v>
      </c>
      <c r="AA28" s="41" t="s">
        <v>20</v>
      </c>
      <c r="AB28" s="41" t="s">
        <v>2912</v>
      </c>
      <c r="AC28" s="41" t="s">
        <v>3215</v>
      </c>
      <c r="AD28" s="41" t="s">
        <v>36</v>
      </c>
      <c r="AE28" s="41" t="s">
        <v>2914</v>
      </c>
      <c r="AF28" s="41" t="s">
        <v>3514</v>
      </c>
      <c r="AG28" s="33">
        <v>0.27</v>
      </c>
      <c r="AH28" s="33">
        <v>0.14000000000000001</v>
      </c>
      <c r="AI28" s="33">
        <v>0.56000000000000005</v>
      </c>
      <c r="AJ28" s="1">
        <f t="shared" ref="AJ28:AJ32" si="4">LOG(AI28/(AH28+AG28))</f>
        <v>0.13540417028646495</v>
      </c>
      <c r="AK28" s="1">
        <f t="shared" ref="AK28:AK32" si="5">LOG(AG28/AH28)</f>
        <v>0.2852357284807493</v>
      </c>
      <c r="AL28" s="41"/>
      <c r="AM28" s="33"/>
      <c r="AN28" s="33"/>
      <c r="AO28" s="33"/>
      <c r="AP28" s="33"/>
      <c r="AQ28" s="33"/>
      <c r="AR28" s="33"/>
      <c r="AS28" s="33"/>
      <c r="AT28" s="33"/>
      <c r="AU28" s="33"/>
    </row>
    <row r="29" spans="1:47" s="1" customFormat="1" ht="14.25" customHeight="1">
      <c r="A29" s="41">
        <v>183</v>
      </c>
      <c r="B29" s="41">
        <v>3</v>
      </c>
      <c r="C29" s="41" t="s">
        <v>1040</v>
      </c>
      <c r="D29" s="41" t="s">
        <v>2897</v>
      </c>
      <c r="E29" s="41">
        <v>2006</v>
      </c>
      <c r="F29" s="41">
        <v>2003</v>
      </c>
      <c r="G29" s="41" t="s">
        <v>2910</v>
      </c>
      <c r="H29" s="41" t="s">
        <v>2928</v>
      </c>
      <c r="I29" s="41">
        <v>-26.25</v>
      </c>
      <c r="J29" s="41">
        <v>152.88333299999999</v>
      </c>
      <c r="K29" s="41" t="s">
        <v>3001</v>
      </c>
      <c r="L29" s="41" t="s">
        <v>2931</v>
      </c>
      <c r="M29" s="41" t="s">
        <v>3114</v>
      </c>
      <c r="N29" s="41" t="s">
        <v>3304</v>
      </c>
      <c r="O29" s="33" t="s">
        <v>3305</v>
      </c>
      <c r="P29" s="41" t="s">
        <v>2948</v>
      </c>
      <c r="Q29" s="41"/>
      <c r="R29" s="41" t="s">
        <v>2903</v>
      </c>
      <c r="S29" s="41">
        <v>2003</v>
      </c>
      <c r="T29" s="41" t="s">
        <v>3069</v>
      </c>
      <c r="U29" s="33" t="s">
        <v>3513</v>
      </c>
      <c r="V29" s="41"/>
      <c r="W29" s="33">
        <v>4</v>
      </c>
      <c r="X29" s="33">
        <v>4</v>
      </c>
      <c r="Y29" s="41" t="s">
        <v>3214</v>
      </c>
      <c r="Z29" s="41" t="s">
        <v>3210</v>
      </c>
      <c r="AA29" s="41" t="s">
        <v>20</v>
      </c>
      <c r="AB29" s="41" t="s">
        <v>2912</v>
      </c>
      <c r="AC29" s="41" t="s">
        <v>3215</v>
      </c>
      <c r="AD29" s="41" t="s">
        <v>36</v>
      </c>
      <c r="AE29" s="41" t="s">
        <v>2914</v>
      </c>
      <c r="AF29" s="41" t="s">
        <v>3514</v>
      </c>
      <c r="AG29" s="33">
        <v>0.18</v>
      </c>
      <c r="AH29" s="33">
        <v>0.24</v>
      </c>
      <c r="AI29" s="33">
        <v>0.52</v>
      </c>
      <c r="AJ29" s="1">
        <f t="shared" si="4"/>
        <v>9.2754053236898712E-2</v>
      </c>
      <c r="AK29" s="1">
        <f t="shared" si="5"/>
        <v>-0.12493873660829995</v>
      </c>
      <c r="AL29" s="41"/>
      <c r="AM29" s="33"/>
      <c r="AN29" s="33"/>
      <c r="AO29" s="33"/>
      <c r="AP29" s="33"/>
      <c r="AQ29" s="33"/>
      <c r="AR29" s="33"/>
      <c r="AS29" s="33"/>
      <c r="AT29" s="33"/>
      <c r="AU29" s="33"/>
    </row>
    <row r="30" spans="1:47" s="1" customFormat="1" ht="14.25" customHeight="1">
      <c r="A30" s="41">
        <v>183</v>
      </c>
      <c r="B30" s="41">
        <v>3</v>
      </c>
      <c r="C30" s="41" t="s">
        <v>1040</v>
      </c>
      <c r="D30" s="41" t="s">
        <v>2897</v>
      </c>
      <c r="E30" s="41">
        <v>2006</v>
      </c>
      <c r="F30" s="41">
        <v>2003</v>
      </c>
      <c r="G30" s="41" t="s">
        <v>2910</v>
      </c>
      <c r="H30" s="41" t="s">
        <v>2928</v>
      </c>
      <c r="I30" s="41">
        <v>-26.25</v>
      </c>
      <c r="J30" s="41">
        <v>152.88333299999999</v>
      </c>
      <c r="K30" s="41" t="s">
        <v>3001</v>
      </c>
      <c r="L30" s="41" t="s">
        <v>2931</v>
      </c>
      <c r="M30" s="41" t="s">
        <v>3114</v>
      </c>
      <c r="N30" s="41" t="s">
        <v>3304</v>
      </c>
      <c r="O30" s="33" t="s">
        <v>3305</v>
      </c>
      <c r="P30" s="41" t="s">
        <v>2948</v>
      </c>
      <c r="Q30" s="41"/>
      <c r="R30" s="41" t="s">
        <v>2903</v>
      </c>
      <c r="S30" s="41">
        <v>2003</v>
      </c>
      <c r="T30" s="41">
        <v>2</v>
      </c>
      <c r="U30" s="33" t="s">
        <v>3513</v>
      </c>
      <c r="V30" s="41"/>
      <c r="W30" s="41">
        <v>4</v>
      </c>
      <c r="X30" s="41">
        <v>2</v>
      </c>
      <c r="Y30" s="41" t="s">
        <v>3214</v>
      </c>
      <c r="Z30" s="41" t="s">
        <v>2992</v>
      </c>
      <c r="AA30" s="41" t="s">
        <v>20</v>
      </c>
      <c r="AB30" s="41" t="s">
        <v>2912</v>
      </c>
      <c r="AC30" s="41" t="s">
        <v>3215</v>
      </c>
      <c r="AD30" s="41" t="s">
        <v>36</v>
      </c>
      <c r="AE30" s="41" t="s">
        <v>2914</v>
      </c>
      <c r="AF30" s="41" t="s">
        <v>3514</v>
      </c>
      <c r="AG30" s="33">
        <v>0.28999999999999998</v>
      </c>
      <c r="AH30" s="33">
        <v>0.14000000000000001</v>
      </c>
      <c r="AI30" s="33">
        <v>0.17</v>
      </c>
      <c r="AJ30" s="1">
        <f t="shared" si="4"/>
        <v>-0.40301953420131253</v>
      </c>
      <c r="AK30" s="1">
        <f t="shared" si="5"/>
        <v>0.31626996222071802</v>
      </c>
      <c r="AL30" s="41"/>
      <c r="AM30" s="33"/>
      <c r="AN30" s="33"/>
      <c r="AO30" s="33"/>
      <c r="AP30" s="33"/>
      <c r="AQ30" s="33"/>
      <c r="AR30" s="33"/>
      <c r="AS30" s="33"/>
      <c r="AT30" s="33"/>
      <c r="AU30" s="33"/>
    </row>
    <row r="31" spans="1:47" s="1" customFormat="1" ht="14.25" customHeight="1">
      <c r="A31" s="41">
        <v>183</v>
      </c>
      <c r="B31" s="41">
        <v>3</v>
      </c>
      <c r="C31" s="41" t="s">
        <v>1040</v>
      </c>
      <c r="D31" s="41" t="s">
        <v>2897</v>
      </c>
      <c r="E31" s="41">
        <v>2006</v>
      </c>
      <c r="F31" s="41">
        <v>2003</v>
      </c>
      <c r="G31" s="41" t="s">
        <v>2910</v>
      </c>
      <c r="H31" s="41" t="s">
        <v>2928</v>
      </c>
      <c r="I31" s="41">
        <v>-26.25</v>
      </c>
      <c r="J31" s="41">
        <v>152.88333299999999</v>
      </c>
      <c r="K31" s="41" t="s">
        <v>3001</v>
      </c>
      <c r="L31" s="41" t="s">
        <v>2931</v>
      </c>
      <c r="M31" s="41" t="s">
        <v>3114</v>
      </c>
      <c r="N31" s="41" t="s">
        <v>3304</v>
      </c>
      <c r="O31" s="33" t="s">
        <v>3305</v>
      </c>
      <c r="P31" s="41" t="s">
        <v>2948</v>
      </c>
      <c r="Q31" s="41"/>
      <c r="R31" s="41" t="s">
        <v>2903</v>
      </c>
      <c r="S31" s="41">
        <v>2003</v>
      </c>
      <c r="T31" s="41">
        <v>2</v>
      </c>
      <c r="U31" s="33" t="s">
        <v>3513</v>
      </c>
      <c r="V31" s="41"/>
      <c r="W31" s="41">
        <v>4</v>
      </c>
      <c r="X31" s="41">
        <v>2</v>
      </c>
      <c r="Y31" s="41" t="s">
        <v>3214</v>
      </c>
      <c r="Z31" s="41" t="s">
        <v>3210</v>
      </c>
      <c r="AA31" s="41" t="s">
        <v>20</v>
      </c>
      <c r="AB31" s="41" t="s">
        <v>2912</v>
      </c>
      <c r="AC31" s="41" t="s">
        <v>3215</v>
      </c>
      <c r="AD31" s="41" t="s">
        <v>36</v>
      </c>
      <c r="AE31" s="41" t="s">
        <v>2914</v>
      </c>
      <c r="AF31" s="41" t="s">
        <v>3514</v>
      </c>
      <c r="AG31" s="33">
        <v>0.22</v>
      </c>
      <c r="AH31" s="33">
        <v>0.24</v>
      </c>
      <c r="AI31" s="33">
        <v>0.54</v>
      </c>
      <c r="AJ31" s="1">
        <f t="shared" si="4"/>
        <v>6.9635928141394479E-2</v>
      </c>
      <c r="AK31" s="1">
        <f t="shared" si="5"/>
        <v>-3.7788560889399754E-2</v>
      </c>
      <c r="AL31" s="41"/>
      <c r="AM31" s="33"/>
      <c r="AN31" s="33"/>
      <c r="AO31" s="33"/>
      <c r="AP31" s="33"/>
      <c r="AQ31" s="33"/>
      <c r="AR31" s="33"/>
      <c r="AS31" s="33"/>
      <c r="AT31" s="33"/>
      <c r="AU31" s="33"/>
    </row>
    <row r="32" spans="1:47" s="1" customFormat="1" ht="14.25" customHeight="1">
      <c r="A32" s="33">
        <v>497</v>
      </c>
      <c r="B32" s="33">
        <v>7</v>
      </c>
      <c r="C32" s="33" t="s">
        <v>2526</v>
      </c>
      <c r="D32" s="1" t="s">
        <v>2889</v>
      </c>
      <c r="E32" s="1">
        <v>2023</v>
      </c>
      <c r="F32" s="1">
        <v>2020</v>
      </c>
      <c r="G32" s="1" t="s">
        <v>2910</v>
      </c>
      <c r="H32" s="1" t="s">
        <v>2928</v>
      </c>
      <c r="I32" s="1">
        <v>-35.136108</v>
      </c>
      <c r="J32" s="1">
        <v>150.68715700000001</v>
      </c>
      <c r="K32" s="1" t="s">
        <v>2971</v>
      </c>
      <c r="L32" s="1" t="s">
        <v>2931</v>
      </c>
      <c r="M32" s="1" t="s">
        <v>3522</v>
      </c>
      <c r="N32" s="1" t="s">
        <v>3304</v>
      </c>
      <c r="O32" s="1" t="s">
        <v>3305</v>
      </c>
      <c r="P32" s="1" t="s">
        <v>2890</v>
      </c>
      <c r="Q32" s="1" t="s">
        <v>36</v>
      </c>
      <c r="R32" s="1" t="s">
        <v>3519</v>
      </c>
      <c r="S32" s="1">
        <v>2017</v>
      </c>
      <c r="T32" s="1">
        <v>3</v>
      </c>
      <c r="W32" s="1">
        <v>6</v>
      </c>
      <c r="X32" s="1">
        <v>18</v>
      </c>
      <c r="Y32" s="1" t="s">
        <v>2911</v>
      </c>
      <c r="Z32" s="1" t="s">
        <v>2992</v>
      </c>
      <c r="AA32" s="1" t="s">
        <v>22</v>
      </c>
      <c r="AB32" s="1" t="s">
        <v>2912</v>
      </c>
      <c r="AC32" s="1" t="s">
        <v>3134</v>
      </c>
      <c r="AD32" s="1" t="s">
        <v>2913</v>
      </c>
      <c r="AE32" s="1" t="s">
        <v>2917</v>
      </c>
      <c r="AF32" s="1" t="s">
        <v>3521</v>
      </c>
      <c r="AG32" s="33">
        <v>0.56999999999999995</v>
      </c>
      <c r="AH32" s="33">
        <v>0.51</v>
      </c>
      <c r="AI32" s="33">
        <v>0.67</v>
      </c>
      <c r="AJ32" s="33">
        <f t="shared" si="4"/>
        <v>-0.20734895278612328</v>
      </c>
      <c r="AK32" s="33">
        <f t="shared" si="5"/>
        <v>4.8304679574554955E-2</v>
      </c>
      <c r="AL32" s="33"/>
      <c r="AM32" s="33"/>
      <c r="AN32" s="33"/>
      <c r="AO32" s="33"/>
      <c r="AP32" s="33"/>
      <c r="AQ32" s="33"/>
      <c r="AR32" s="33"/>
      <c r="AS32" s="33"/>
      <c r="AT32" s="33"/>
      <c r="AU32" s="33"/>
    </row>
    <row r="33" spans="1:47" s="1" customFormat="1" ht="14.25" customHeight="1">
      <c r="A33" s="33">
        <v>497</v>
      </c>
      <c r="B33" s="33">
        <v>7</v>
      </c>
      <c r="C33" s="33" t="s">
        <v>2526</v>
      </c>
      <c r="D33" s="1" t="s">
        <v>2889</v>
      </c>
      <c r="E33" s="1">
        <v>2023</v>
      </c>
      <c r="F33" s="1">
        <v>2020</v>
      </c>
      <c r="G33" s="1" t="s">
        <v>2910</v>
      </c>
      <c r="H33" s="1" t="s">
        <v>2928</v>
      </c>
      <c r="I33" s="1">
        <v>-35.136108</v>
      </c>
      <c r="J33" s="1">
        <v>150.68715700000001</v>
      </c>
      <c r="K33" s="1" t="s">
        <v>2971</v>
      </c>
      <c r="L33" s="1" t="s">
        <v>2931</v>
      </c>
      <c r="M33" s="1" t="s">
        <v>3522</v>
      </c>
      <c r="N33" s="1" t="s">
        <v>3304</v>
      </c>
      <c r="O33" s="1" t="s">
        <v>3305</v>
      </c>
      <c r="P33" s="1" t="s">
        <v>2890</v>
      </c>
      <c r="Q33" s="1" t="s">
        <v>36</v>
      </c>
      <c r="R33" s="1" t="s">
        <v>3519</v>
      </c>
      <c r="S33" s="1">
        <v>2017</v>
      </c>
      <c r="T33" s="1">
        <v>19</v>
      </c>
      <c r="W33" s="1">
        <v>6</v>
      </c>
      <c r="X33" s="1">
        <v>18</v>
      </c>
      <c r="Y33" s="1" t="s">
        <v>2911</v>
      </c>
      <c r="Z33" s="1" t="s">
        <v>2992</v>
      </c>
      <c r="AA33" s="1" t="s">
        <v>22</v>
      </c>
      <c r="AB33" s="1" t="s">
        <v>2912</v>
      </c>
      <c r="AC33" s="1" t="s">
        <v>3134</v>
      </c>
      <c r="AD33" s="1" t="s">
        <v>2913</v>
      </c>
      <c r="AE33" s="1" t="s">
        <v>2917</v>
      </c>
      <c r="AF33" s="1" t="s">
        <v>3521</v>
      </c>
      <c r="AG33" s="33">
        <v>0.46</v>
      </c>
      <c r="AH33" s="33">
        <v>0.51</v>
      </c>
      <c r="AI33" s="33">
        <v>0.48</v>
      </c>
      <c r="AJ33" s="33">
        <f t="shared" ref="AJ33:AJ34" si="6">LOG(AI33/(AH33+AG33))</f>
        <v>-0.30553049689065764</v>
      </c>
      <c r="AK33" s="33">
        <f t="shared" ref="AK33:AK34" si="7">LOG(AG33/AH33)</f>
        <v>-4.4812344416362282E-2</v>
      </c>
      <c r="AL33" s="33"/>
      <c r="AM33" s="33"/>
      <c r="AN33" s="33"/>
      <c r="AO33" s="33"/>
      <c r="AP33" s="33"/>
      <c r="AQ33" s="33"/>
      <c r="AR33" s="33"/>
      <c r="AS33" s="33"/>
      <c r="AT33" s="33"/>
      <c r="AU33" s="33"/>
    </row>
    <row r="34" spans="1:47" s="1" customFormat="1" ht="14.25" customHeight="1">
      <c r="A34" s="33">
        <v>481</v>
      </c>
      <c r="B34" s="33">
        <v>8</v>
      </c>
      <c r="C34" s="33" t="s">
        <v>2448</v>
      </c>
      <c r="D34" s="1" t="s">
        <v>2889</v>
      </c>
      <c r="E34" s="1">
        <v>2022</v>
      </c>
      <c r="F34" s="1" t="s">
        <v>3018</v>
      </c>
      <c r="G34" s="1" t="s">
        <v>2910</v>
      </c>
      <c r="H34" s="1" t="s">
        <v>3068</v>
      </c>
      <c r="I34" s="1">
        <v>-37.911065999999998</v>
      </c>
      <c r="J34" s="1">
        <v>143.81197700000001</v>
      </c>
      <c r="K34" s="1" t="s">
        <v>2971</v>
      </c>
      <c r="L34" s="1" t="s">
        <v>2931</v>
      </c>
      <c r="M34" s="1" t="s">
        <v>3104</v>
      </c>
      <c r="N34" s="1" t="s">
        <v>3304</v>
      </c>
      <c r="O34" s="1" t="s">
        <v>3305</v>
      </c>
      <c r="P34" s="1" t="s">
        <v>2890</v>
      </c>
      <c r="Q34" s="1" t="s">
        <v>2983</v>
      </c>
      <c r="R34" s="1" t="s">
        <v>2903</v>
      </c>
      <c r="S34" s="1">
        <v>2009</v>
      </c>
      <c r="T34" s="1">
        <v>8</v>
      </c>
      <c r="V34" s="1" t="s">
        <v>36</v>
      </c>
      <c r="W34" s="1">
        <v>4</v>
      </c>
      <c r="X34" s="1">
        <v>6</v>
      </c>
      <c r="Y34" s="1" t="s">
        <v>2911</v>
      </c>
      <c r="Z34" s="1" t="s">
        <v>2992</v>
      </c>
      <c r="AA34" s="1" t="s">
        <v>22</v>
      </c>
      <c r="AB34" s="1" t="s">
        <v>2912</v>
      </c>
      <c r="AC34" s="1" t="s">
        <v>3134</v>
      </c>
      <c r="AD34" s="1" t="s">
        <v>2913</v>
      </c>
      <c r="AE34" s="1" t="s">
        <v>2914</v>
      </c>
      <c r="AF34" s="1" t="s">
        <v>3523</v>
      </c>
      <c r="AG34" s="33">
        <v>0.9</v>
      </c>
      <c r="AH34" s="33">
        <v>1.32</v>
      </c>
      <c r="AI34" s="33">
        <v>2.79</v>
      </c>
      <c r="AJ34" s="33">
        <f t="shared" si="6"/>
        <v>9.9251228822958865E-2</v>
      </c>
      <c r="AK34" s="33">
        <f t="shared" si="7"/>
        <v>-0.16633142176652502</v>
      </c>
      <c r="AL34" s="33"/>
      <c r="AM34" s="33"/>
      <c r="AN34" s="33"/>
      <c r="AO34" s="33"/>
      <c r="AP34" s="33"/>
      <c r="AQ34" s="33"/>
      <c r="AR34" s="33"/>
      <c r="AS34" s="33"/>
      <c r="AT34" s="33"/>
      <c r="AU34" s="33"/>
    </row>
    <row r="35" spans="1:47" s="1" customFormat="1" ht="14.25" customHeight="1">
      <c r="A35" s="33">
        <v>481</v>
      </c>
      <c r="B35" s="33">
        <v>8</v>
      </c>
      <c r="C35" s="33" t="s">
        <v>2448</v>
      </c>
      <c r="D35" s="1" t="s">
        <v>2889</v>
      </c>
      <c r="E35" s="1">
        <v>2022</v>
      </c>
      <c r="F35" s="1" t="s">
        <v>3018</v>
      </c>
      <c r="G35" s="1" t="s">
        <v>2910</v>
      </c>
      <c r="H35" s="1" t="s">
        <v>3068</v>
      </c>
      <c r="I35" s="1">
        <v>-37.911065999999998</v>
      </c>
      <c r="J35" s="1">
        <v>143.81197700000001</v>
      </c>
      <c r="K35" s="1" t="s">
        <v>2971</v>
      </c>
      <c r="L35" s="1" t="s">
        <v>2931</v>
      </c>
      <c r="M35" s="1" t="s">
        <v>3104</v>
      </c>
      <c r="N35" s="1" t="s">
        <v>3304</v>
      </c>
      <c r="O35" s="1" t="s">
        <v>3305</v>
      </c>
      <c r="P35" s="1" t="s">
        <v>2890</v>
      </c>
      <c r="Q35" s="1" t="s">
        <v>2983</v>
      </c>
      <c r="R35" s="1" t="s">
        <v>2903</v>
      </c>
      <c r="S35" s="1">
        <v>2009</v>
      </c>
      <c r="T35" s="1">
        <v>8</v>
      </c>
      <c r="V35" s="1" t="s">
        <v>36</v>
      </c>
      <c r="W35" s="1">
        <v>4</v>
      </c>
      <c r="X35" s="1">
        <v>6</v>
      </c>
      <c r="Y35" s="1" t="s">
        <v>2911</v>
      </c>
      <c r="Z35" s="1" t="s">
        <v>2992</v>
      </c>
      <c r="AA35" s="1" t="s">
        <v>22</v>
      </c>
      <c r="AB35" s="1" t="s">
        <v>2912</v>
      </c>
      <c r="AC35" s="1" t="s">
        <v>3134</v>
      </c>
      <c r="AD35" s="1" t="s">
        <v>2913</v>
      </c>
      <c r="AE35" s="1" t="s">
        <v>2914</v>
      </c>
      <c r="AF35" s="1" t="s">
        <v>3517</v>
      </c>
      <c r="AG35" s="1">
        <v>0.22</v>
      </c>
      <c r="AH35" s="1">
        <v>0.2</v>
      </c>
      <c r="AI35" s="1">
        <v>0.3</v>
      </c>
      <c r="AJ35" s="33">
        <f t="shared" ref="AJ35:AJ38" si="8">LOG(AI35/(AH35+AG35))</f>
        <v>-0.14612803567823809</v>
      </c>
      <c r="AK35" s="33">
        <f t="shared" ref="AK35:AK38" si="9">LOG(AG35/AH35)</f>
        <v>4.1392685158224987E-2</v>
      </c>
      <c r="AM35" s="33"/>
    </row>
    <row r="36" spans="1:47" s="1" customFormat="1" ht="14.25" customHeight="1">
      <c r="A36" s="33">
        <v>481</v>
      </c>
      <c r="B36" s="33">
        <v>8</v>
      </c>
      <c r="C36" s="33" t="s">
        <v>2448</v>
      </c>
      <c r="D36" s="1" t="s">
        <v>2889</v>
      </c>
      <c r="E36" s="1">
        <v>2022</v>
      </c>
      <c r="F36" s="1" t="s">
        <v>3018</v>
      </c>
      <c r="G36" s="1" t="s">
        <v>2910</v>
      </c>
      <c r="H36" s="1" t="s">
        <v>3068</v>
      </c>
      <c r="I36" s="1">
        <v>-37.911065999999998</v>
      </c>
      <c r="J36" s="1">
        <v>143.81197700000001</v>
      </c>
      <c r="K36" s="1" t="s">
        <v>2971</v>
      </c>
      <c r="L36" s="1" t="s">
        <v>2931</v>
      </c>
      <c r="M36" s="1" t="s">
        <v>3104</v>
      </c>
      <c r="N36" s="1" t="s">
        <v>3304</v>
      </c>
      <c r="O36" s="1" t="s">
        <v>3305</v>
      </c>
      <c r="P36" s="1" t="s">
        <v>2890</v>
      </c>
      <c r="Q36" s="1" t="s">
        <v>2983</v>
      </c>
      <c r="R36" s="1" t="s">
        <v>2903</v>
      </c>
      <c r="S36" s="1">
        <v>2009</v>
      </c>
      <c r="T36" s="1">
        <v>8</v>
      </c>
      <c r="V36" s="1" t="s">
        <v>36</v>
      </c>
      <c r="W36" s="1">
        <v>4</v>
      </c>
      <c r="X36" s="1">
        <v>6</v>
      </c>
      <c r="Y36" s="1" t="s">
        <v>2911</v>
      </c>
      <c r="Z36" s="1" t="s">
        <v>3577</v>
      </c>
      <c r="AA36" s="1" t="s">
        <v>22</v>
      </c>
      <c r="AB36" s="1" t="s">
        <v>2912</v>
      </c>
      <c r="AC36" s="1" t="s">
        <v>3134</v>
      </c>
      <c r="AD36" s="1" t="s">
        <v>2913</v>
      </c>
      <c r="AE36" s="1" t="s">
        <v>2914</v>
      </c>
      <c r="AF36" s="1" t="s">
        <v>3523</v>
      </c>
      <c r="AG36" s="33">
        <v>0.7</v>
      </c>
      <c r="AH36" s="33">
        <v>0.63</v>
      </c>
      <c r="AI36" s="33">
        <v>1.26</v>
      </c>
      <c r="AJ36" s="33">
        <f t="shared" si="8"/>
        <v>-2.3481095849522914E-2</v>
      </c>
      <c r="AK36" s="33">
        <f t="shared" si="9"/>
        <v>4.575749056067506E-2</v>
      </c>
      <c r="AL36" s="33"/>
      <c r="AM36" s="33"/>
      <c r="AN36" s="33"/>
      <c r="AO36" s="33"/>
      <c r="AP36" s="33"/>
      <c r="AQ36" s="33"/>
      <c r="AR36" s="33"/>
      <c r="AS36" s="33"/>
      <c r="AT36" s="33"/>
      <c r="AU36" s="33"/>
    </row>
    <row r="37" spans="1:47" s="1" customFormat="1" ht="14.25" customHeight="1">
      <c r="A37" s="33">
        <v>481</v>
      </c>
      <c r="B37" s="33">
        <v>8</v>
      </c>
      <c r="C37" s="33" t="s">
        <v>2448</v>
      </c>
      <c r="D37" s="1" t="s">
        <v>2889</v>
      </c>
      <c r="E37" s="1">
        <v>2022</v>
      </c>
      <c r="F37" s="1" t="s">
        <v>3018</v>
      </c>
      <c r="G37" s="1" t="s">
        <v>2910</v>
      </c>
      <c r="H37" s="1" t="s">
        <v>3068</v>
      </c>
      <c r="I37" s="1">
        <v>-37.911065999999998</v>
      </c>
      <c r="J37" s="1">
        <v>143.81197700000001</v>
      </c>
      <c r="K37" s="1" t="s">
        <v>2971</v>
      </c>
      <c r="L37" s="1" t="s">
        <v>2931</v>
      </c>
      <c r="M37" s="1" t="s">
        <v>3104</v>
      </c>
      <c r="N37" s="1" t="s">
        <v>3304</v>
      </c>
      <c r="O37" s="1" t="s">
        <v>3305</v>
      </c>
      <c r="P37" s="1" t="s">
        <v>2890</v>
      </c>
      <c r="Q37" s="1" t="s">
        <v>2983</v>
      </c>
      <c r="R37" s="1" t="s">
        <v>2903</v>
      </c>
      <c r="S37" s="1">
        <v>2009</v>
      </c>
      <c r="T37" s="1">
        <v>8</v>
      </c>
      <c r="V37" s="1" t="s">
        <v>36</v>
      </c>
      <c r="W37" s="1">
        <v>4</v>
      </c>
      <c r="X37" s="1">
        <v>6</v>
      </c>
      <c r="Y37" s="1" t="s">
        <v>2911</v>
      </c>
      <c r="Z37" s="1" t="s">
        <v>3577</v>
      </c>
      <c r="AA37" s="1" t="s">
        <v>22</v>
      </c>
      <c r="AB37" s="1" t="s">
        <v>2912</v>
      </c>
      <c r="AC37" s="1" t="s">
        <v>3134</v>
      </c>
      <c r="AD37" s="1" t="s">
        <v>2913</v>
      </c>
      <c r="AE37" s="1" t="s">
        <v>2914</v>
      </c>
      <c r="AF37" s="1" t="s">
        <v>3517</v>
      </c>
      <c r="AG37" s="1">
        <v>0.2</v>
      </c>
      <c r="AH37" s="1">
        <v>7.0000000000000007E-2</v>
      </c>
      <c r="AI37" s="1">
        <v>0.26</v>
      </c>
      <c r="AJ37" s="33">
        <f t="shared" si="8"/>
        <v>-1.639041618816937E-2</v>
      </c>
      <c r="AK37" s="33">
        <f t="shared" si="9"/>
        <v>0.45593195564972439</v>
      </c>
      <c r="AM37" s="33"/>
    </row>
    <row r="38" spans="1:47" s="33" customFormat="1" ht="14.25" customHeight="1">
      <c r="A38" s="33">
        <v>180</v>
      </c>
      <c r="B38" s="33">
        <v>12</v>
      </c>
      <c r="C38" s="33" t="s">
        <v>1026</v>
      </c>
      <c r="D38" s="33" t="s">
        <v>2889</v>
      </c>
      <c r="E38" s="33">
        <v>2015</v>
      </c>
      <c r="F38" s="33">
        <v>2009</v>
      </c>
      <c r="G38" s="33" t="s">
        <v>2902</v>
      </c>
      <c r="H38" s="33" t="s">
        <v>2928</v>
      </c>
      <c r="I38" s="33">
        <v>39.831530000000001</v>
      </c>
      <c r="J38" s="33">
        <v>-7.8358790000000003</v>
      </c>
      <c r="K38" s="33" t="s">
        <v>2971</v>
      </c>
      <c r="L38" s="33" t="s">
        <v>3100</v>
      </c>
      <c r="M38" s="33" t="s">
        <v>3101</v>
      </c>
      <c r="N38" s="33" t="s">
        <v>3303</v>
      </c>
      <c r="O38" s="33" t="s">
        <v>3305</v>
      </c>
      <c r="P38" s="33" t="s">
        <v>2890</v>
      </c>
      <c r="R38" s="33" t="s">
        <v>2903</v>
      </c>
      <c r="S38" s="33">
        <v>2003</v>
      </c>
      <c r="W38" s="33">
        <v>3</v>
      </c>
      <c r="X38" s="33">
        <v>3</v>
      </c>
      <c r="Y38" s="33" t="s">
        <v>2911</v>
      </c>
      <c r="Z38" s="33" t="s">
        <v>3034</v>
      </c>
      <c r="AA38" s="33" t="s">
        <v>20</v>
      </c>
      <c r="AB38" s="33" t="s">
        <v>2912</v>
      </c>
      <c r="AC38" s="33" t="s">
        <v>3134</v>
      </c>
      <c r="AD38" s="33" t="s">
        <v>3221</v>
      </c>
      <c r="AE38" s="33" t="s">
        <v>2930</v>
      </c>
      <c r="AF38" s="33" t="s">
        <v>3582</v>
      </c>
      <c r="AG38" s="33">
        <v>0.18</v>
      </c>
      <c r="AH38" s="33">
        <v>0.77</v>
      </c>
      <c r="AI38" s="33">
        <v>2.75</v>
      </c>
      <c r="AJ38" s="33">
        <f t="shared" si="8"/>
        <v>0.46160908854141491</v>
      </c>
      <c r="AK38" s="33">
        <f t="shared" si="9"/>
        <v>-0.63121822006917583</v>
      </c>
    </row>
    <row r="39" spans="1:47" s="1" customFormat="1" ht="14.25" customHeight="1">
      <c r="A39" s="28">
        <v>170</v>
      </c>
      <c r="B39" s="28"/>
      <c r="C39" s="28" t="s">
        <v>970</v>
      </c>
      <c r="D39" s="1" t="s">
        <v>2889</v>
      </c>
      <c r="E39" s="1">
        <v>2021</v>
      </c>
      <c r="F39" s="1">
        <v>2017</v>
      </c>
      <c r="G39" s="1" t="s">
        <v>3025</v>
      </c>
      <c r="H39" s="1" t="s">
        <v>2928</v>
      </c>
      <c r="I39" s="1">
        <v>38.460099999999997</v>
      </c>
      <c r="J39" s="1">
        <v>-122.5515</v>
      </c>
      <c r="K39" s="1" t="s">
        <v>2971</v>
      </c>
      <c r="L39" s="1" t="s">
        <v>3098</v>
      </c>
      <c r="M39" s="1" t="s">
        <v>3099</v>
      </c>
      <c r="N39" s="1" t="s">
        <v>3303</v>
      </c>
      <c r="O39" s="1" t="s">
        <v>3305</v>
      </c>
      <c r="P39" s="1" t="s">
        <v>2890</v>
      </c>
      <c r="Q39" s="1" t="s">
        <v>2983</v>
      </c>
      <c r="R39" s="1" t="s">
        <v>2903</v>
      </c>
      <c r="S39" s="1">
        <v>2017</v>
      </c>
      <c r="T39" s="1" t="s">
        <v>3047</v>
      </c>
      <c r="V39" s="1">
        <v>90000</v>
      </c>
      <c r="W39" s="1">
        <v>6</v>
      </c>
      <c r="X39" s="1">
        <v>6</v>
      </c>
      <c r="Y39" s="1" t="s">
        <v>2911</v>
      </c>
      <c r="Z39" s="1" t="s">
        <v>2992</v>
      </c>
      <c r="AA39" s="1" t="s">
        <v>22</v>
      </c>
      <c r="AB39" s="1" t="s">
        <v>2912</v>
      </c>
      <c r="AC39" s="1" t="s">
        <v>3134</v>
      </c>
      <c r="AD39" s="1" t="s">
        <v>2913</v>
      </c>
      <c r="AE39" s="1" t="s">
        <v>2914</v>
      </c>
      <c r="AF39" s="1" t="s">
        <v>3521</v>
      </c>
      <c r="AG39" s="1">
        <v>0.24</v>
      </c>
      <c r="AH39" s="1">
        <v>0.26</v>
      </c>
      <c r="AI39" s="1">
        <v>1.32</v>
      </c>
      <c r="AJ39" s="1">
        <f t="shared" ref="AJ39:AJ40" si="10">LOG(AI39/(AH39+AG39))</f>
        <v>0.42160392686983106</v>
      </c>
      <c r="AK39" s="1">
        <f t="shared" ref="AK39:AK40" si="11">LOG(AG39/AH39)</f>
        <v>-3.4762106259211972E-2</v>
      </c>
      <c r="AM39" s="33"/>
      <c r="AU39"/>
    </row>
    <row r="40" spans="1:47" s="1" customFormat="1" ht="14.25" customHeight="1">
      <c r="A40" s="28">
        <v>170</v>
      </c>
      <c r="B40" s="28"/>
      <c r="C40" s="28" t="s">
        <v>970</v>
      </c>
      <c r="D40" s="1" t="s">
        <v>2889</v>
      </c>
      <c r="E40" s="1">
        <v>2021</v>
      </c>
      <c r="F40" s="1">
        <v>2017</v>
      </c>
      <c r="G40" s="1" t="s">
        <v>3025</v>
      </c>
      <c r="H40" s="1" t="s">
        <v>2928</v>
      </c>
      <c r="I40" s="1">
        <v>38.460099999999997</v>
      </c>
      <c r="J40" s="1">
        <v>-122.5515</v>
      </c>
      <c r="K40" s="1" t="s">
        <v>2971</v>
      </c>
      <c r="L40" s="1" t="s">
        <v>3102</v>
      </c>
      <c r="M40" s="1" t="s">
        <v>3107</v>
      </c>
      <c r="N40" s="1" t="s">
        <v>3304</v>
      </c>
      <c r="O40" s="1" t="s">
        <v>3305</v>
      </c>
      <c r="P40" s="1" t="s">
        <v>2890</v>
      </c>
      <c r="Q40" s="1" t="s">
        <v>2983</v>
      </c>
      <c r="R40" s="1" t="s">
        <v>2903</v>
      </c>
      <c r="S40" s="1">
        <v>2017</v>
      </c>
      <c r="T40" s="1" t="s">
        <v>3047</v>
      </c>
      <c r="V40" s="1">
        <v>90000</v>
      </c>
      <c r="W40" s="1">
        <v>3</v>
      </c>
      <c r="X40" s="1">
        <v>3</v>
      </c>
      <c r="Y40" s="1" t="s">
        <v>2911</v>
      </c>
      <c r="Z40" s="1" t="s">
        <v>2992</v>
      </c>
      <c r="AA40" s="1" t="s">
        <v>22</v>
      </c>
      <c r="AB40" s="1" t="s">
        <v>2912</v>
      </c>
      <c r="AC40" s="1" t="s">
        <v>3134</v>
      </c>
      <c r="AD40" s="1" t="s">
        <v>2913</v>
      </c>
      <c r="AE40" s="1" t="s">
        <v>2914</v>
      </c>
      <c r="AF40" s="1" t="s">
        <v>3521</v>
      </c>
      <c r="AG40" s="1">
        <v>0.15</v>
      </c>
      <c r="AH40" s="1">
        <v>0.18</v>
      </c>
      <c r="AI40" s="1">
        <v>0.27</v>
      </c>
      <c r="AJ40" s="1">
        <f t="shared" si="10"/>
        <v>-8.7150175718900075E-2</v>
      </c>
      <c r="AK40" s="1">
        <f t="shared" si="11"/>
        <v>-7.9181246047624804E-2</v>
      </c>
      <c r="AM40" s="33"/>
      <c r="AU40"/>
    </row>
    <row r="41" spans="1:47" s="1" customFormat="1" ht="14.25" customHeight="1">
      <c r="A41" s="33">
        <v>227</v>
      </c>
      <c r="B41" s="33"/>
      <c r="C41" s="33" t="s">
        <v>1266</v>
      </c>
      <c r="D41" s="1" t="s">
        <v>2889</v>
      </c>
      <c r="E41" s="1">
        <v>2015</v>
      </c>
      <c r="F41" s="1">
        <v>2011</v>
      </c>
      <c r="G41" s="1" t="s">
        <v>3051</v>
      </c>
      <c r="H41" s="1" t="s">
        <v>2939</v>
      </c>
      <c r="I41" s="1">
        <v>67.766666999999998</v>
      </c>
      <c r="J41" s="1">
        <v>29.583333</v>
      </c>
      <c r="K41" s="1" t="s">
        <v>2971</v>
      </c>
      <c r="L41" s="1" t="s">
        <v>3100</v>
      </c>
      <c r="M41" s="1" t="s">
        <v>3106</v>
      </c>
      <c r="N41" s="1" t="s">
        <v>3303</v>
      </c>
      <c r="O41" s="1" t="s">
        <v>3305</v>
      </c>
      <c r="P41" s="1" t="s">
        <v>2890</v>
      </c>
      <c r="R41" s="1" t="s">
        <v>2903</v>
      </c>
      <c r="S41" s="1">
        <v>2009</v>
      </c>
      <c r="T41" s="1">
        <v>2</v>
      </c>
      <c r="W41" s="1">
        <v>10</v>
      </c>
      <c r="X41" s="1">
        <v>10</v>
      </c>
      <c r="Y41" s="1" t="s">
        <v>2911</v>
      </c>
      <c r="AA41" s="1" t="s">
        <v>22</v>
      </c>
      <c r="AB41" s="1" t="s">
        <v>2912</v>
      </c>
      <c r="AC41" s="1" t="s">
        <v>3134</v>
      </c>
      <c r="AD41" s="1" t="s">
        <v>3221</v>
      </c>
      <c r="AE41" s="1" t="s">
        <v>2917</v>
      </c>
      <c r="AF41" s="1" t="s">
        <v>3521</v>
      </c>
      <c r="AG41" s="1">
        <v>0.28999999999999998</v>
      </c>
      <c r="AH41" s="1">
        <v>0.28000000000000003</v>
      </c>
      <c r="AI41" s="1">
        <v>0.56999999999999995</v>
      </c>
      <c r="AJ41" s="1">
        <f t="shared" ref="AJ41:AJ53" si="12">LOG(AI41/(AH41+AG41))</f>
        <v>-9.6432746655328721E-17</v>
      </c>
      <c r="AK41" s="1">
        <f t="shared" ref="AK41:AK53" si="13">LOG(AG41/AH41)</f>
        <v>1.5239966556736814E-2</v>
      </c>
      <c r="AL41" s="33"/>
      <c r="AT41"/>
    </row>
    <row r="42" spans="1:47" s="1" customFormat="1" ht="14.25" customHeight="1">
      <c r="A42" s="33">
        <v>403</v>
      </c>
      <c r="B42" s="33"/>
      <c r="C42" s="33" t="s">
        <v>2084</v>
      </c>
      <c r="D42" s="1" t="s">
        <v>2889</v>
      </c>
      <c r="E42" s="1">
        <v>2020</v>
      </c>
      <c r="F42" s="1">
        <v>2017</v>
      </c>
      <c r="G42" s="1" t="s">
        <v>3183</v>
      </c>
      <c r="H42" s="1" t="s">
        <v>3068</v>
      </c>
      <c r="I42" s="1">
        <v>50.903193999999999</v>
      </c>
      <c r="J42" s="1">
        <v>121.194889</v>
      </c>
      <c r="K42" s="1" t="s">
        <v>2971</v>
      </c>
      <c r="L42" s="1" t="s">
        <v>3096</v>
      </c>
      <c r="M42" s="1" t="s">
        <v>3097</v>
      </c>
      <c r="N42" s="1" t="s">
        <v>3303</v>
      </c>
      <c r="O42" s="1" t="s">
        <v>3305</v>
      </c>
      <c r="P42" s="1" t="s">
        <v>2890</v>
      </c>
      <c r="Q42" s="1" t="s">
        <v>36</v>
      </c>
      <c r="R42" s="1" t="s">
        <v>2903</v>
      </c>
      <c r="S42" s="1">
        <v>2016</v>
      </c>
      <c r="T42" s="1">
        <v>1</v>
      </c>
      <c r="V42" s="1" t="s">
        <v>36</v>
      </c>
      <c r="W42" s="1">
        <v>4</v>
      </c>
      <c r="X42" s="1">
        <v>4</v>
      </c>
      <c r="Y42" s="1" t="s">
        <v>2911</v>
      </c>
      <c r="Z42" s="1" t="s">
        <v>2985</v>
      </c>
      <c r="AA42" s="1" t="s">
        <v>22</v>
      </c>
      <c r="AB42" s="1" t="s">
        <v>2912</v>
      </c>
      <c r="AC42" s="1" t="s">
        <v>3134</v>
      </c>
      <c r="AD42" s="1" t="s">
        <v>2913</v>
      </c>
      <c r="AE42" s="1" t="s">
        <v>2917</v>
      </c>
      <c r="AF42" s="1" t="s">
        <v>3521</v>
      </c>
      <c r="AG42" s="1">
        <v>0.41</v>
      </c>
      <c r="AH42" s="1">
        <v>0.44</v>
      </c>
      <c r="AI42" s="1">
        <v>1.06</v>
      </c>
      <c r="AJ42" s="1">
        <f t="shared" si="12"/>
        <v>9.5886939550477515E-2</v>
      </c>
      <c r="AK42" s="1">
        <f t="shared" si="13"/>
        <v>-3.0668819766451961E-2</v>
      </c>
      <c r="AL42" s="33"/>
      <c r="AT42"/>
    </row>
    <row r="43" spans="1:47" s="1" customFormat="1" ht="14.25" customHeight="1">
      <c r="A43" s="33">
        <v>403</v>
      </c>
      <c r="B43" s="33"/>
      <c r="C43" s="33" t="s">
        <v>2084</v>
      </c>
      <c r="D43" s="1" t="s">
        <v>2889</v>
      </c>
      <c r="E43" s="1">
        <v>2020</v>
      </c>
      <c r="F43" s="1">
        <v>2017</v>
      </c>
      <c r="G43" s="1" t="s">
        <v>3183</v>
      </c>
      <c r="H43" s="1" t="s">
        <v>3068</v>
      </c>
      <c r="I43" s="1">
        <v>50.903193999999999</v>
      </c>
      <c r="J43" s="1">
        <v>121.194889</v>
      </c>
      <c r="K43" s="1" t="s">
        <v>2971</v>
      </c>
      <c r="L43" s="1" t="s">
        <v>3096</v>
      </c>
      <c r="M43" s="1" t="s">
        <v>3097</v>
      </c>
      <c r="N43" s="1" t="s">
        <v>3303</v>
      </c>
      <c r="O43" s="1" t="s">
        <v>3305</v>
      </c>
      <c r="P43" s="1" t="s">
        <v>2890</v>
      </c>
      <c r="Q43" s="1" t="s">
        <v>36</v>
      </c>
      <c r="R43" s="1" t="s">
        <v>2903</v>
      </c>
      <c r="S43" s="1">
        <v>2016</v>
      </c>
      <c r="T43" s="1">
        <v>1</v>
      </c>
      <c r="V43" s="1" t="s">
        <v>36</v>
      </c>
      <c r="W43" s="1">
        <v>4</v>
      </c>
      <c r="X43" s="1">
        <v>4</v>
      </c>
      <c r="Y43" s="1" t="s">
        <v>2911</v>
      </c>
      <c r="Z43" s="1" t="s">
        <v>3282</v>
      </c>
      <c r="AA43" s="1" t="s">
        <v>22</v>
      </c>
      <c r="AB43" s="1" t="s">
        <v>2912</v>
      </c>
      <c r="AC43" s="1" t="s">
        <v>3134</v>
      </c>
      <c r="AD43" s="1" t="s">
        <v>2913</v>
      </c>
      <c r="AE43" s="1" t="s">
        <v>2917</v>
      </c>
      <c r="AF43" s="1" t="s">
        <v>3521</v>
      </c>
      <c r="AG43" s="1">
        <v>0.27</v>
      </c>
      <c r="AH43" s="1">
        <v>0.94</v>
      </c>
      <c r="AI43" s="1">
        <v>0.82</v>
      </c>
      <c r="AJ43" s="1">
        <f t="shared" si="12"/>
        <v>-0.16897151793273341</v>
      </c>
      <c r="AK43" s="1">
        <f t="shared" si="13"/>
        <v>-0.54176408944071131</v>
      </c>
      <c r="AL43" s="33"/>
      <c r="AT43"/>
    </row>
    <row r="44" spans="1:47" s="1" customFormat="1" ht="14.25" customHeight="1">
      <c r="A44" s="33">
        <v>403</v>
      </c>
      <c r="B44" s="33"/>
      <c r="C44" s="33" t="s">
        <v>2084</v>
      </c>
      <c r="D44" s="1" t="s">
        <v>2889</v>
      </c>
      <c r="E44" s="1">
        <v>2020</v>
      </c>
      <c r="F44" s="1">
        <v>2017</v>
      </c>
      <c r="G44" s="1" t="s">
        <v>3183</v>
      </c>
      <c r="H44" s="1" t="s">
        <v>3068</v>
      </c>
      <c r="I44" s="1">
        <v>50.903193999999999</v>
      </c>
      <c r="J44" s="1">
        <v>121.194889</v>
      </c>
      <c r="K44" s="1" t="s">
        <v>2971</v>
      </c>
      <c r="L44" s="1" t="s">
        <v>3096</v>
      </c>
      <c r="M44" s="1" t="s">
        <v>3097</v>
      </c>
      <c r="N44" s="1" t="s">
        <v>3303</v>
      </c>
      <c r="O44" s="1" t="s">
        <v>3305</v>
      </c>
      <c r="P44" s="1" t="s">
        <v>2890</v>
      </c>
      <c r="Q44" s="1" t="s">
        <v>36</v>
      </c>
      <c r="R44" s="1" t="s">
        <v>2903</v>
      </c>
      <c r="S44" s="1">
        <v>2016</v>
      </c>
      <c r="T44" s="1">
        <v>1</v>
      </c>
      <c r="V44" s="1" t="s">
        <v>36</v>
      </c>
      <c r="W44" s="1">
        <v>4</v>
      </c>
      <c r="X44" s="1">
        <v>4</v>
      </c>
      <c r="Y44" s="1" t="s">
        <v>2911</v>
      </c>
      <c r="Z44" s="1" t="s">
        <v>3210</v>
      </c>
      <c r="AA44" s="1" t="s">
        <v>22</v>
      </c>
      <c r="AB44" s="1" t="s">
        <v>2912</v>
      </c>
      <c r="AC44" s="1" t="s">
        <v>3134</v>
      </c>
      <c r="AD44" s="1" t="s">
        <v>2913</v>
      </c>
      <c r="AE44" s="1" t="s">
        <v>2917</v>
      </c>
      <c r="AF44" s="1" t="s">
        <v>3521</v>
      </c>
      <c r="AG44" s="1">
        <v>0.33</v>
      </c>
      <c r="AH44" s="1">
        <v>0.9</v>
      </c>
      <c r="AI44" s="1">
        <v>0.81</v>
      </c>
      <c r="AJ44" s="1">
        <f t="shared" si="12"/>
        <v>-0.18142009256074818</v>
      </c>
      <c r="AK44" s="1">
        <f t="shared" si="13"/>
        <v>-0.43572856956143735</v>
      </c>
      <c r="AL44" s="33"/>
      <c r="AT44"/>
    </row>
    <row r="45" spans="1:47" s="1" customFormat="1" ht="14.25" customHeight="1">
      <c r="A45" s="33">
        <v>403</v>
      </c>
      <c r="B45" s="33"/>
      <c r="C45" s="33" t="s">
        <v>2084</v>
      </c>
      <c r="D45" s="1" t="s">
        <v>2889</v>
      </c>
      <c r="E45" s="1">
        <v>2020</v>
      </c>
      <c r="F45" s="1">
        <v>2017</v>
      </c>
      <c r="G45" s="1" t="s">
        <v>3183</v>
      </c>
      <c r="H45" s="1" t="s">
        <v>3068</v>
      </c>
      <c r="I45" s="1">
        <v>50.903193999999999</v>
      </c>
      <c r="J45" s="1">
        <v>121.194889</v>
      </c>
      <c r="K45" s="1" t="s">
        <v>2971</v>
      </c>
      <c r="L45" s="1" t="s">
        <v>3096</v>
      </c>
      <c r="M45" s="1" t="s">
        <v>3097</v>
      </c>
      <c r="N45" s="1" t="s">
        <v>3303</v>
      </c>
      <c r="O45" s="1" t="s">
        <v>3305</v>
      </c>
      <c r="P45" s="1" t="s">
        <v>2890</v>
      </c>
      <c r="Q45" s="1" t="s">
        <v>36</v>
      </c>
      <c r="R45" s="1" t="s">
        <v>2903</v>
      </c>
      <c r="S45" s="1">
        <v>2015</v>
      </c>
      <c r="T45" s="1">
        <v>2</v>
      </c>
      <c r="V45" s="1" t="s">
        <v>36</v>
      </c>
      <c r="W45" s="1">
        <v>4</v>
      </c>
      <c r="X45" s="1">
        <v>4</v>
      </c>
      <c r="Y45" s="1" t="s">
        <v>2911</v>
      </c>
      <c r="Z45" s="1" t="s">
        <v>2985</v>
      </c>
      <c r="AA45" s="1" t="s">
        <v>22</v>
      </c>
      <c r="AB45" s="1" t="s">
        <v>2912</v>
      </c>
      <c r="AC45" s="1" t="s">
        <v>3134</v>
      </c>
      <c r="AD45" s="1" t="s">
        <v>2913</v>
      </c>
      <c r="AE45" s="1" t="s">
        <v>2917</v>
      </c>
      <c r="AF45" s="1" t="s">
        <v>3521</v>
      </c>
      <c r="AG45" s="1">
        <v>0.25</v>
      </c>
      <c r="AH45" s="1">
        <v>0.26</v>
      </c>
      <c r="AI45" s="1">
        <v>1.25</v>
      </c>
      <c r="AJ45" s="1">
        <f t="shared" si="12"/>
        <v>0.38933983691012009</v>
      </c>
      <c r="AK45" s="1">
        <f t="shared" si="13"/>
        <v>-1.7033339298780394E-2</v>
      </c>
      <c r="AL45" s="33"/>
      <c r="AT45"/>
    </row>
    <row r="46" spans="1:47" s="1" customFormat="1" ht="14.25" customHeight="1">
      <c r="A46" s="33">
        <v>403</v>
      </c>
      <c r="B46" s="33"/>
      <c r="C46" s="33" t="s">
        <v>2084</v>
      </c>
      <c r="D46" s="1" t="s">
        <v>2889</v>
      </c>
      <c r="E46" s="1">
        <v>2020</v>
      </c>
      <c r="F46" s="1">
        <v>2017</v>
      </c>
      <c r="G46" s="1" t="s">
        <v>3183</v>
      </c>
      <c r="H46" s="1" t="s">
        <v>3068</v>
      </c>
      <c r="I46" s="1">
        <v>50.903193999999999</v>
      </c>
      <c r="J46" s="1">
        <v>121.194889</v>
      </c>
      <c r="K46" s="1" t="s">
        <v>2971</v>
      </c>
      <c r="L46" s="1" t="s">
        <v>3096</v>
      </c>
      <c r="M46" s="1" t="s">
        <v>3097</v>
      </c>
      <c r="N46" s="1" t="s">
        <v>3303</v>
      </c>
      <c r="O46" s="1" t="s">
        <v>3305</v>
      </c>
      <c r="P46" s="1" t="s">
        <v>2890</v>
      </c>
      <c r="Q46" s="1" t="s">
        <v>36</v>
      </c>
      <c r="R46" s="1" t="s">
        <v>2903</v>
      </c>
      <c r="S46" s="1">
        <v>2015</v>
      </c>
      <c r="T46" s="1">
        <v>2</v>
      </c>
      <c r="V46" s="1" t="s">
        <v>36</v>
      </c>
      <c r="W46" s="1">
        <v>4</v>
      </c>
      <c r="X46" s="1">
        <v>4</v>
      </c>
      <c r="Y46" s="1" t="s">
        <v>2911</v>
      </c>
      <c r="Z46" s="1" t="s">
        <v>3282</v>
      </c>
      <c r="AA46" s="1" t="s">
        <v>22</v>
      </c>
      <c r="AB46" s="1" t="s">
        <v>2912</v>
      </c>
      <c r="AC46" s="1" t="s">
        <v>3134</v>
      </c>
      <c r="AD46" s="1" t="s">
        <v>2913</v>
      </c>
      <c r="AE46" s="1" t="s">
        <v>2917</v>
      </c>
      <c r="AF46" s="1" t="s">
        <v>3521</v>
      </c>
      <c r="AG46" s="1">
        <v>0.23</v>
      </c>
      <c r="AH46" s="1">
        <v>0.37</v>
      </c>
      <c r="AI46" s="1">
        <v>0.48</v>
      </c>
      <c r="AJ46" s="1">
        <f t="shared" si="12"/>
        <v>-9.6910013008056392E-2</v>
      </c>
      <c r="AK46" s="1">
        <f t="shared" si="13"/>
        <v>-0.20647388804940214</v>
      </c>
      <c r="AL46" s="33"/>
      <c r="AT46"/>
    </row>
    <row r="47" spans="1:47" s="1" customFormat="1" ht="14.25" customHeight="1">
      <c r="A47" s="33">
        <v>403</v>
      </c>
      <c r="B47" s="33"/>
      <c r="C47" s="33" t="s">
        <v>2084</v>
      </c>
      <c r="D47" s="1" t="s">
        <v>2889</v>
      </c>
      <c r="E47" s="1">
        <v>2020</v>
      </c>
      <c r="F47" s="1">
        <v>2017</v>
      </c>
      <c r="G47" s="1" t="s">
        <v>3183</v>
      </c>
      <c r="H47" s="1" t="s">
        <v>3068</v>
      </c>
      <c r="I47" s="1">
        <v>50.903193999999999</v>
      </c>
      <c r="J47" s="1">
        <v>121.194889</v>
      </c>
      <c r="K47" s="1" t="s">
        <v>2971</v>
      </c>
      <c r="L47" s="1" t="s">
        <v>3096</v>
      </c>
      <c r="M47" s="1" t="s">
        <v>3097</v>
      </c>
      <c r="N47" s="1" t="s">
        <v>3303</v>
      </c>
      <c r="O47" s="1" t="s">
        <v>3305</v>
      </c>
      <c r="P47" s="1" t="s">
        <v>2890</v>
      </c>
      <c r="Q47" s="1" t="s">
        <v>36</v>
      </c>
      <c r="R47" s="1" t="s">
        <v>2903</v>
      </c>
      <c r="S47" s="1">
        <v>2015</v>
      </c>
      <c r="T47" s="1">
        <v>2</v>
      </c>
      <c r="V47" s="1" t="s">
        <v>36</v>
      </c>
      <c r="W47" s="1">
        <v>4</v>
      </c>
      <c r="X47" s="1">
        <v>4</v>
      </c>
      <c r="Y47" s="1" t="s">
        <v>2911</v>
      </c>
      <c r="Z47" s="1" t="s">
        <v>3210</v>
      </c>
      <c r="AA47" s="1" t="s">
        <v>22</v>
      </c>
      <c r="AB47" s="1" t="s">
        <v>2912</v>
      </c>
      <c r="AC47" s="1" t="s">
        <v>3134</v>
      </c>
      <c r="AD47" s="1" t="s">
        <v>2913</v>
      </c>
      <c r="AE47" s="1" t="s">
        <v>2917</v>
      </c>
      <c r="AF47" s="1" t="s">
        <v>3521</v>
      </c>
      <c r="AG47" s="1">
        <v>0.27</v>
      </c>
      <c r="AH47" s="1">
        <v>0.55000000000000004</v>
      </c>
      <c r="AI47" s="1">
        <v>0.52</v>
      </c>
      <c r="AJ47" s="1">
        <f t="shared" si="12"/>
        <v>-0.19781050874891754</v>
      </c>
      <c r="AK47" s="1">
        <f t="shared" si="13"/>
        <v>-0.30899892533525652</v>
      </c>
      <c r="AL47" s="33"/>
      <c r="AT47"/>
    </row>
    <row r="48" spans="1:47" s="1" customFormat="1" ht="14.25" customHeight="1">
      <c r="A48" s="33">
        <v>403</v>
      </c>
      <c r="B48" s="33"/>
      <c r="C48" s="33" t="s">
        <v>2084</v>
      </c>
      <c r="D48" s="1" t="s">
        <v>2889</v>
      </c>
      <c r="E48" s="1">
        <v>2020</v>
      </c>
      <c r="F48" s="1">
        <v>2017</v>
      </c>
      <c r="G48" s="1" t="s">
        <v>3183</v>
      </c>
      <c r="H48" s="1" t="s">
        <v>3068</v>
      </c>
      <c r="I48" s="1">
        <v>50.903193999999999</v>
      </c>
      <c r="J48" s="1">
        <v>121.194889</v>
      </c>
      <c r="K48" s="1" t="s">
        <v>2971</v>
      </c>
      <c r="L48" s="1" t="s">
        <v>3096</v>
      </c>
      <c r="M48" s="1" t="s">
        <v>3097</v>
      </c>
      <c r="N48" s="1" t="s">
        <v>3303</v>
      </c>
      <c r="O48" s="1" t="s">
        <v>3305</v>
      </c>
      <c r="P48" s="1" t="s">
        <v>2890</v>
      </c>
      <c r="Q48" s="1" t="s">
        <v>36</v>
      </c>
      <c r="R48" s="1" t="s">
        <v>2903</v>
      </c>
      <c r="S48" s="1">
        <v>2009</v>
      </c>
      <c r="T48" s="1">
        <v>8</v>
      </c>
      <c r="V48" s="1" t="s">
        <v>36</v>
      </c>
      <c r="W48" s="1">
        <v>4</v>
      </c>
      <c r="X48" s="1">
        <v>4</v>
      </c>
      <c r="Y48" s="1" t="s">
        <v>2911</v>
      </c>
      <c r="Z48" s="1" t="s">
        <v>2985</v>
      </c>
      <c r="AA48" s="1" t="s">
        <v>22</v>
      </c>
      <c r="AB48" s="1" t="s">
        <v>2912</v>
      </c>
      <c r="AC48" s="1" t="s">
        <v>3134</v>
      </c>
      <c r="AD48" s="1" t="s">
        <v>2913</v>
      </c>
      <c r="AE48" s="1" t="s">
        <v>2917</v>
      </c>
      <c r="AF48" s="1" t="s">
        <v>3521</v>
      </c>
      <c r="AG48" s="1">
        <v>0.36</v>
      </c>
      <c r="AH48" s="1">
        <v>0.31</v>
      </c>
      <c r="AI48" s="1">
        <v>0.89</v>
      </c>
      <c r="AJ48" s="1">
        <f t="shared" si="12"/>
        <v>0.12331520394408638</v>
      </c>
      <c r="AK48" s="1">
        <f t="shared" si="13"/>
        <v>6.494080693301453E-2</v>
      </c>
      <c r="AL48" s="33"/>
      <c r="AT48"/>
    </row>
    <row r="49" spans="1:46" s="1" customFormat="1" ht="14.25" customHeight="1">
      <c r="A49" s="33">
        <v>403</v>
      </c>
      <c r="B49" s="33"/>
      <c r="C49" s="33" t="s">
        <v>2084</v>
      </c>
      <c r="D49" s="1" t="s">
        <v>2889</v>
      </c>
      <c r="E49" s="1">
        <v>2020</v>
      </c>
      <c r="F49" s="1">
        <v>2017</v>
      </c>
      <c r="G49" s="1" t="s">
        <v>3183</v>
      </c>
      <c r="H49" s="1" t="s">
        <v>3068</v>
      </c>
      <c r="I49" s="1">
        <v>50.903193999999999</v>
      </c>
      <c r="J49" s="1">
        <v>121.194889</v>
      </c>
      <c r="K49" s="1" t="s">
        <v>2971</v>
      </c>
      <c r="L49" s="1" t="s">
        <v>3096</v>
      </c>
      <c r="M49" s="1" t="s">
        <v>3097</v>
      </c>
      <c r="N49" s="1" t="s">
        <v>3303</v>
      </c>
      <c r="O49" s="1" t="s">
        <v>3305</v>
      </c>
      <c r="P49" s="1" t="s">
        <v>2890</v>
      </c>
      <c r="Q49" s="1" t="s">
        <v>36</v>
      </c>
      <c r="R49" s="1" t="s">
        <v>2903</v>
      </c>
      <c r="S49" s="1">
        <v>2009</v>
      </c>
      <c r="T49" s="1">
        <v>8</v>
      </c>
      <c r="V49" s="1" t="s">
        <v>36</v>
      </c>
      <c r="W49" s="1">
        <v>4</v>
      </c>
      <c r="X49" s="1">
        <v>4</v>
      </c>
      <c r="Y49" s="1" t="s">
        <v>2911</v>
      </c>
      <c r="Z49" s="1" t="s">
        <v>3282</v>
      </c>
      <c r="AA49" s="1" t="s">
        <v>22</v>
      </c>
      <c r="AB49" s="1" t="s">
        <v>2912</v>
      </c>
      <c r="AC49" s="1" t="s">
        <v>3134</v>
      </c>
      <c r="AD49" s="1" t="s">
        <v>2913</v>
      </c>
      <c r="AE49" s="1" t="s">
        <v>2917</v>
      </c>
      <c r="AF49" s="1" t="s">
        <v>3521</v>
      </c>
      <c r="AG49" s="1">
        <v>0.3</v>
      </c>
      <c r="AH49" s="1">
        <v>0.32</v>
      </c>
      <c r="AI49" s="1">
        <v>1.1100000000000001</v>
      </c>
      <c r="AJ49" s="1">
        <f t="shared" si="12"/>
        <v>0.25293128928840358</v>
      </c>
      <c r="AK49" s="1">
        <f t="shared" si="13"/>
        <v>-2.8028723600243537E-2</v>
      </c>
      <c r="AL49" s="33"/>
      <c r="AT49"/>
    </row>
    <row r="50" spans="1:46" s="1" customFormat="1" ht="14.25" customHeight="1">
      <c r="A50" s="33">
        <v>403</v>
      </c>
      <c r="B50" s="33"/>
      <c r="C50" s="33" t="s">
        <v>2084</v>
      </c>
      <c r="D50" s="1" t="s">
        <v>2889</v>
      </c>
      <c r="E50" s="1">
        <v>2020</v>
      </c>
      <c r="F50" s="1">
        <v>2017</v>
      </c>
      <c r="G50" s="1" t="s">
        <v>3183</v>
      </c>
      <c r="H50" s="1" t="s">
        <v>3068</v>
      </c>
      <c r="I50" s="1">
        <v>50.903193999999999</v>
      </c>
      <c r="J50" s="1">
        <v>121.194889</v>
      </c>
      <c r="K50" s="1" t="s">
        <v>2971</v>
      </c>
      <c r="L50" s="1" t="s">
        <v>3096</v>
      </c>
      <c r="M50" s="1" t="s">
        <v>3097</v>
      </c>
      <c r="N50" s="1" t="s">
        <v>3303</v>
      </c>
      <c r="O50" s="1" t="s">
        <v>3305</v>
      </c>
      <c r="P50" s="1" t="s">
        <v>2890</v>
      </c>
      <c r="Q50" s="1" t="s">
        <v>36</v>
      </c>
      <c r="R50" s="1" t="s">
        <v>2903</v>
      </c>
      <c r="S50" s="1">
        <v>2009</v>
      </c>
      <c r="T50" s="1">
        <v>8</v>
      </c>
      <c r="V50" s="1" t="s">
        <v>36</v>
      </c>
      <c r="W50" s="1">
        <v>4</v>
      </c>
      <c r="X50" s="1">
        <v>4</v>
      </c>
      <c r="Y50" s="1" t="s">
        <v>2911</v>
      </c>
      <c r="Z50" s="1" t="s">
        <v>3210</v>
      </c>
      <c r="AA50" s="1" t="s">
        <v>22</v>
      </c>
      <c r="AB50" s="1" t="s">
        <v>2912</v>
      </c>
      <c r="AC50" s="1" t="s">
        <v>3134</v>
      </c>
      <c r="AD50" s="1" t="s">
        <v>2913</v>
      </c>
      <c r="AE50" s="1" t="s">
        <v>2917</v>
      </c>
      <c r="AF50" s="1" t="s">
        <v>3521</v>
      </c>
      <c r="AG50" s="1">
        <v>0.7</v>
      </c>
      <c r="AH50" s="1">
        <v>0.54</v>
      </c>
      <c r="AI50" s="1">
        <v>0.59</v>
      </c>
      <c r="AJ50" s="1">
        <f t="shared" si="12"/>
        <v>-0.32256967352009092</v>
      </c>
      <c r="AK50" s="1">
        <f t="shared" si="13"/>
        <v>0.11270428019128824</v>
      </c>
      <c r="AL50" s="33"/>
      <c r="AT50"/>
    </row>
    <row r="51" spans="1:46" s="1" customFormat="1" ht="14.25" customHeight="1">
      <c r="A51" s="33">
        <v>403</v>
      </c>
      <c r="B51" s="33"/>
      <c r="C51" s="33" t="s">
        <v>2084</v>
      </c>
      <c r="D51" s="1" t="s">
        <v>2889</v>
      </c>
      <c r="E51" s="1">
        <v>2020</v>
      </c>
      <c r="F51" s="1">
        <v>2017</v>
      </c>
      <c r="G51" s="1" t="s">
        <v>3183</v>
      </c>
      <c r="H51" s="1" t="s">
        <v>3068</v>
      </c>
      <c r="I51" s="1">
        <v>50.903193999999999</v>
      </c>
      <c r="J51" s="1">
        <v>121.194889</v>
      </c>
      <c r="K51" s="1" t="s">
        <v>2971</v>
      </c>
      <c r="L51" s="1" t="s">
        <v>3096</v>
      </c>
      <c r="M51" s="1" t="s">
        <v>3097</v>
      </c>
      <c r="N51" s="1" t="s">
        <v>3303</v>
      </c>
      <c r="O51" s="1" t="s">
        <v>3305</v>
      </c>
      <c r="P51" s="1" t="s">
        <v>2890</v>
      </c>
      <c r="Q51" s="1" t="s">
        <v>36</v>
      </c>
      <c r="R51" s="1" t="s">
        <v>2903</v>
      </c>
      <c r="S51" s="1">
        <v>2003</v>
      </c>
      <c r="T51" s="1">
        <v>14</v>
      </c>
      <c r="V51" s="1" t="s">
        <v>36</v>
      </c>
      <c r="W51" s="1">
        <v>4</v>
      </c>
      <c r="X51" s="1">
        <v>4</v>
      </c>
      <c r="Y51" s="1" t="s">
        <v>2911</v>
      </c>
      <c r="Z51" s="1" t="s">
        <v>2985</v>
      </c>
      <c r="AA51" s="1" t="s">
        <v>22</v>
      </c>
      <c r="AB51" s="1" t="s">
        <v>2912</v>
      </c>
      <c r="AC51" s="1" t="s">
        <v>3134</v>
      </c>
      <c r="AD51" s="1" t="s">
        <v>2913</v>
      </c>
      <c r="AE51" s="1" t="s">
        <v>2917</v>
      </c>
      <c r="AF51" s="1" t="s">
        <v>3521</v>
      </c>
      <c r="AG51" s="1">
        <v>0.19</v>
      </c>
      <c r="AH51" s="1">
        <v>0.26</v>
      </c>
      <c r="AI51" s="1">
        <v>1.36</v>
      </c>
      <c r="AJ51" s="1">
        <f t="shared" si="12"/>
        <v>0.48032639459487381</v>
      </c>
      <c r="AK51" s="1">
        <f t="shared" si="13"/>
        <v>-0.13621974701798903</v>
      </c>
      <c r="AL51" s="33"/>
      <c r="AT51"/>
    </row>
    <row r="52" spans="1:46" s="1" customFormat="1" ht="14.25" customHeight="1">
      <c r="A52" s="33">
        <v>403</v>
      </c>
      <c r="B52" s="33"/>
      <c r="C52" s="33" t="s">
        <v>2084</v>
      </c>
      <c r="D52" s="1" t="s">
        <v>2889</v>
      </c>
      <c r="E52" s="1">
        <v>2020</v>
      </c>
      <c r="F52" s="1">
        <v>2017</v>
      </c>
      <c r="G52" s="1" t="s">
        <v>3183</v>
      </c>
      <c r="H52" s="1" t="s">
        <v>3068</v>
      </c>
      <c r="I52" s="1">
        <v>50.903193999999999</v>
      </c>
      <c r="J52" s="1">
        <v>121.194889</v>
      </c>
      <c r="K52" s="1" t="s">
        <v>2971</v>
      </c>
      <c r="L52" s="1" t="s">
        <v>3096</v>
      </c>
      <c r="M52" s="1" t="s">
        <v>3097</v>
      </c>
      <c r="N52" s="1" t="s">
        <v>3303</v>
      </c>
      <c r="O52" s="1" t="s">
        <v>3305</v>
      </c>
      <c r="P52" s="1" t="s">
        <v>2890</v>
      </c>
      <c r="Q52" s="1" t="s">
        <v>36</v>
      </c>
      <c r="R52" s="1" t="s">
        <v>2903</v>
      </c>
      <c r="S52" s="1">
        <v>2003</v>
      </c>
      <c r="T52" s="1">
        <v>14</v>
      </c>
      <c r="V52" s="1" t="s">
        <v>36</v>
      </c>
      <c r="W52" s="1">
        <v>4</v>
      </c>
      <c r="X52" s="1">
        <v>4</v>
      </c>
      <c r="Y52" s="1" t="s">
        <v>2911</v>
      </c>
      <c r="Z52" s="1" t="s">
        <v>3282</v>
      </c>
      <c r="AA52" s="1" t="s">
        <v>22</v>
      </c>
      <c r="AB52" s="1" t="s">
        <v>2912</v>
      </c>
      <c r="AC52" s="1" t="s">
        <v>3134</v>
      </c>
      <c r="AD52" s="1" t="s">
        <v>2913</v>
      </c>
      <c r="AE52" s="1" t="s">
        <v>2917</v>
      </c>
      <c r="AF52" s="1" t="s">
        <v>3521</v>
      </c>
      <c r="AG52" s="1">
        <v>0.34</v>
      </c>
      <c r="AH52" s="1">
        <v>0.46</v>
      </c>
      <c r="AI52" s="1">
        <v>0.92</v>
      </c>
      <c r="AJ52" s="1">
        <f t="shared" si="12"/>
        <v>6.069784035361165E-2</v>
      </c>
      <c r="AK52" s="1">
        <f t="shared" si="13"/>
        <v>-0.1312789146393189</v>
      </c>
      <c r="AL52" s="33"/>
      <c r="AT52"/>
    </row>
    <row r="53" spans="1:46" s="1" customFormat="1" ht="14.25" customHeight="1">
      <c r="A53" s="33">
        <v>403</v>
      </c>
      <c r="B53" s="33"/>
      <c r="C53" s="33" t="s">
        <v>2084</v>
      </c>
      <c r="D53" s="1" t="s">
        <v>2889</v>
      </c>
      <c r="E53" s="1">
        <v>2020</v>
      </c>
      <c r="F53" s="1">
        <v>2017</v>
      </c>
      <c r="G53" s="1" t="s">
        <v>3183</v>
      </c>
      <c r="H53" s="1" t="s">
        <v>3068</v>
      </c>
      <c r="I53" s="1">
        <v>50.903193999999999</v>
      </c>
      <c r="J53" s="1">
        <v>121.194889</v>
      </c>
      <c r="K53" s="1" t="s">
        <v>2971</v>
      </c>
      <c r="L53" s="1" t="s">
        <v>3096</v>
      </c>
      <c r="M53" s="1" t="s">
        <v>3097</v>
      </c>
      <c r="N53" s="1" t="s">
        <v>3303</v>
      </c>
      <c r="O53" s="1" t="s">
        <v>3305</v>
      </c>
      <c r="P53" s="1" t="s">
        <v>2890</v>
      </c>
      <c r="Q53" s="1" t="s">
        <v>36</v>
      </c>
      <c r="R53" s="1" t="s">
        <v>2903</v>
      </c>
      <c r="S53" s="1">
        <v>2003</v>
      </c>
      <c r="T53" s="1">
        <v>14</v>
      </c>
      <c r="V53" s="1" t="s">
        <v>36</v>
      </c>
      <c r="W53" s="1">
        <v>4</v>
      </c>
      <c r="X53" s="1">
        <v>4</v>
      </c>
      <c r="Y53" s="1" t="s">
        <v>2911</v>
      </c>
      <c r="Z53" s="1" t="s">
        <v>3210</v>
      </c>
      <c r="AA53" s="1" t="s">
        <v>22</v>
      </c>
      <c r="AB53" s="1" t="s">
        <v>2912</v>
      </c>
      <c r="AC53" s="1" t="s">
        <v>3134</v>
      </c>
      <c r="AD53" s="1" t="s">
        <v>2913</v>
      </c>
      <c r="AE53" s="1" t="s">
        <v>2917</v>
      </c>
      <c r="AF53" s="1" t="s">
        <v>3521</v>
      </c>
      <c r="AG53" s="1">
        <v>0.27</v>
      </c>
      <c r="AH53" s="1">
        <v>0.52</v>
      </c>
      <c r="AI53" s="1">
        <v>0.95</v>
      </c>
      <c r="AJ53" s="1">
        <f t="shared" si="12"/>
        <v>8.0096513998406324E-2</v>
      </c>
      <c r="AK53" s="1">
        <f t="shared" si="13"/>
        <v>-0.28463957947581181</v>
      </c>
      <c r="AL53" s="33"/>
      <c r="AT53"/>
    </row>
    <row r="54" spans="1:46" s="1" customFormat="1" ht="15" customHeight="1">
      <c r="A54" s="33">
        <v>452</v>
      </c>
      <c r="B54" s="33"/>
      <c r="C54" s="33" t="s">
        <v>2312</v>
      </c>
      <c r="D54" s="1" t="s">
        <v>2889</v>
      </c>
      <c r="E54" s="1">
        <v>2022</v>
      </c>
      <c r="F54" s="1">
        <v>2015</v>
      </c>
      <c r="G54" s="1" t="s">
        <v>3048</v>
      </c>
      <c r="H54" s="1" t="s">
        <v>2939</v>
      </c>
      <c r="I54" s="1">
        <v>66.900244999999998</v>
      </c>
      <c r="J54" s="1">
        <v>-136.24644499999999</v>
      </c>
      <c r="K54" s="1" t="s">
        <v>2971</v>
      </c>
      <c r="L54" s="1" t="s">
        <v>2919</v>
      </c>
      <c r="M54" s="1" t="s">
        <v>3525</v>
      </c>
      <c r="N54" s="1" t="s">
        <v>3303</v>
      </c>
      <c r="O54" s="1" t="s">
        <v>3305</v>
      </c>
      <c r="P54" s="1" t="s">
        <v>2890</v>
      </c>
      <c r="Q54" s="1" t="s">
        <v>36</v>
      </c>
      <c r="R54" s="1" t="s">
        <v>2903</v>
      </c>
      <c r="S54" s="1">
        <v>2012</v>
      </c>
      <c r="T54" s="1">
        <v>3</v>
      </c>
      <c r="V54" s="1" t="s">
        <v>36</v>
      </c>
      <c r="W54" s="1">
        <v>9</v>
      </c>
      <c r="X54" s="1">
        <v>9</v>
      </c>
      <c r="Y54" s="1" t="s">
        <v>2911</v>
      </c>
      <c r="Z54" s="1" t="s">
        <v>2985</v>
      </c>
      <c r="AA54" s="1" t="s">
        <v>22</v>
      </c>
      <c r="AB54" s="1" t="s">
        <v>2912</v>
      </c>
      <c r="AC54" s="1" t="s">
        <v>3134</v>
      </c>
      <c r="AD54" s="1" t="s">
        <v>2913</v>
      </c>
      <c r="AE54" s="1" t="s">
        <v>2917</v>
      </c>
      <c r="AF54" s="1" t="s">
        <v>3517</v>
      </c>
      <c r="AG54" s="1">
        <v>17.72</v>
      </c>
      <c r="AH54" s="1">
        <v>19.61</v>
      </c>
      <c r="AI54" s="1">
        <v>31.16</v>
      </c>
      <c r="AJ54" s="1">
        <f>LOG(AI54/(AH54+AG54))</f>
        <v>-7.8460540925777686E-2</v>
      </c>
      <c r="AK54" s="1">
        <f>LOG(AG54/AH54)</f>
        <v>-4.4013876116752129E-2</v>
      </c>
    </row>
    <row r="55" spans="1:46" s="1" customFormat="1" ht="14.25" customHeight="1">
      <c r="A55" s="33">
        <v>452</v>
      </c>
      <c r="B55" s="33"/>
      <c r="C55" s="33" t="s">
        <v>2312</v>
      </c>
      <c r="D55" s="1" t="s">
        <v>2889</v>
      </c>
      <c r="E55" s="1">
        <v>2022</v>
      </c>
      <c r="F55" s="1">
        <v>2015</v>
      </c>
      <c r="G55" s="1" t="s">
        <v>3048</v>
      </c>
      <c r="H55" s="1" t="s">
        <v>2939</v>
      </c>
      <c r="I55" s="1">
        <v>66.900244999999998</v>
      </c>
      <c r="J55" s="1">
        <v>-136.24644499999999</v>
      </c>
      <c r="K55" s="1" t="s">
        <v>2971</v>
      </c>
      <c r="L55" s="1" t="s">
        <v>2919</v>
      </c>
      <c r="M55" s="1" t="s">
        <v>3525</v>
      </c>
      <c r="N55" s="1" t="s">
        <v>3303</v>
      </c>
      <c r="O55" s="1" t="s">
        <v>3305</v>
      </c>
      <c r="P55" s="1" t="s">
        <v>2890</v>
      </c>
      <c r="Q55" s="1" t="s">
        <v>36</v>
      </c>
      <c r="R55" s="1" t="s">
        <v>2903</v>
      </c>
      <c r="S55" s="1">
        <v>2012</v>
      </c>
      <c r="T55" s="1">
        <v>3</v>
      </c>
      <c r="V55" s="1" t="s">
        <v>36</v>
      </c>
      <c r="W55" s="1">
        <v>9</v>
      </c>
      <c r="X55" s="1">
        <v>9</v>
      </c>
      <c r="Y55" s="1" t="s">
        <v>2911</v>
      </c>
      <c r="Z55" s="1" t="s">
        <v>3282</v>
      </c>
      <c r="AA55" s="1" t="s">
        <v>22</v>
      </c>
      <c r="AB55" s="1" t="s">
        <v>2912</v>
      </c>
      <c r="AC55" s="1" t="s">
        <v>3134</v>
      </c>
      <c r="AD55" s="1" t="s">
        <v>2913</v>
      </c>
      <c r="AE55" s="1" t="s">
        <v>2917</v>
      </c>
      <c r="AF55" s="1" t="s">
        <v>3517</v>
      </c>
      <c r="AG55" s="1">
        <v>18.87</v>
      </c>
      <c r="AH55" s="1">
        <v>33.049999999999997</v>
      </c>
      <c r="AI55" s="1">
        <v>36.72</v>
      </c>
      <c r="AJ55" s="1">
        <f>LOG(AI55/(AH55+AG55))</f>
        <v>-0.15043201126310798</v>
      </c>
      <c r="AK55" s="1">
        <f>LOG(AG55/AH55)</f>
        <v>-0.24339956365672766</v>
      </c>
    </row>
    <row r="56" spans="1:46" s="1" customFormat="1" ht="14.25" customHeight="1">
      <c r="A56" s="33">
        <v>452</v>
      </c>
      <c r="B56" s="33"/>
      <c r="C56" s="33" t="s">
        <v>2312</v>
      </c>
      <c r="D56" s="1" t="s">
        <v>2889</v>
      </c>
      <c r="E56" s="1">
        <v>2022</v>
      </c>
      <c r="F56" s="1">
        <v>2015</v>
      </c>
      <c r="G56" s="1" t="s">
        <v>3048</v>
      </c>
      <c r="H56" s="1" t="s">
        <v>2939</v>
      </c>
      <c r="I56" s="1">
        <v>66.900244999999998</v>
      </c>
      <c r="J56" s="1">
        <v>-136.24644499999999</v>
      </c>
      <c r="K56" s="1" t="s">
        <v>2971</v>
      </c>
      <c r="L56" s="1" t="s">
        <v>2919</v>
      </c>
      <c r="M56" s="1" t="s">
        <v>3525</v>
      </c>
      <c r="N56" s="1" t="s">
        <v>3303</v>
      </c>
      <c r="O56" s="1" t="s">
        <v>3305</v>
      </c>
      <c r="P56" s="1" t="s">
        <v>2890</v>
      </c>
      <c r="Q56" s="1" t="s">
        <v>36</v>
      </c>
      <c r="R56" s="1" t="s">
        <v>2903</v>
      </c>
      <c r="S56" s="1">
        <v>2012</v>
      </c>
      <c r="T56" s="1">
        <v>3</v>
      </c>
      <c r="V56" s="1" t="s">
        <v>36</v>
      </c>
      <c r="W56" s="1">
        <v>9</v>
      </c>
      <c r="X56" s="1">
        <v>9</v>
      </c>
      <c r="Y56" s="1" t="s">
        <v>2911</v>
      </c>
      <c r="Z56" s="1" t="s">
        <v>3283</v>
      </c>
      <c r="AA56" s="1" t="s">
        <v>22</v>
      </c>
      <c r="AB56" s="1" t="s">
        <v>2912</v>
      </c>
      <c r="AC56" s="1" t="s">
        <v>3134</v>
      </c>
      <c r="AD56" s="1" t="s">
        <v>2913</v>
      </c>
      <c r="AE56" s="1" t="s">
        <v>2917</v>
      </c>
      <c r="AF56" s="1" t="s">
        <v>3517</v>
      </c>
      <c r="AG56" s="1">
        <v>10.34</v>
      </c>
      <c r="AH56" s="1">
        <v>22.76</v>
      </c>
      <c r="AI56" s="1">
        <v>31.15</v>
      </c>
      <c r="AJ56" s="1">
        <f>LOG(AI56/(AH56+AG56))</f>
        <v>-2.6369942780530373E-2</v>
      </c>
      <c r="AK56" s="1">
        <f>LOG(AG56/AH56)</f>
        <v>-0.34265171896510993</v>
      </c>
    </row>
    <row r="57" spans="1:46">
      <c r="AG57" s="1">
        <v>37.6</v>
      </c>
      <c r="AH57" s="1">
        <v>38.11</v>
      </c>
      <c r="AI57" s="1">
        <v>31.06</v>
      </c>
      <c r="AJ57" s="1">
        <f>LOG(AI57/(AH57+AG57))</f>
        <v>-0.38695179479170649</v>
      </c>
      <c r="AK57" s="1">
        <f>LOG(AG57/AH57)</f>
        <v>-5.8511038445061081E-3</v>
      </c>
    </row>
  </sheetData>
  <autoFilter ref="A1:AK1"/>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182"/>
  <sheetViews>
    <sheetView workbookViewId="0">
      <selection activeCell="G16" sqref="G16"/>
    </sheetView>
  </sheetViews>
  <sheetFormatPr baseColWidth="10" defaultColWidth="9" defaultRowHeight="14.25"/>
  <cols>
    <col min="1" max="1" width="8.75" style="26" customWidth="1"/>
    <col min="2" max="2" width="33.5" style="26" customWidth="1"/>
    <col min="3" max="3" width="8.625" style="1" customWidth="1"/>
    <col min="4" max="4" width="48.25" style="26" customWidth="1"/>
  </cols>
  <sheetData>
    <row r="1" spans="1:16">
      <c r="A1" s="26" t="s">
        <v>2899</v>
      </c>
      <c r="B1" s="26" t="s">
        <v>2865</v>
      </c>
      <c r="C1" s="1" t="s">
        <v>2909</v>
      </c>
      <c r="D1" s="26" t="s">
        <v>2887</v>
      </c>
    </row>
    <row r="2" spans="1:16" ht="28.5">
      <c r="A2" s="26">
        <v>421</v>
      </c>
      <c r="B2" s="26" t="s">
        <v>2165</v>
      </c>
      <c r="C2" s="1">
        <v>2009</v>
      </c>
      <c r="D2" s="26" t="s">
        <v>3560</v>
      </c>
    </row>
    <row r="3" spans="1:16" ht="28.5">
      <c r="A3" s="26">
        <v>421</v>
      </c>
      <c r="B3" s="26" t="s">
        <v>2165</v>
      </c>
      <c r="C3" s="1">
        <v>2009</v>
      </c>
      <c r="D3" s="26" t="s">
        <v>3561</v>
      </c>
      <c r="G3" s="36" t="s">
        <v>3531</v>
      </c>
      <c r="H3" s="36"/>
      <c r="I3" s="36"/>
      <c r="J3" s="36"/>
    </row>
    <row r="4" spans="1:16" ht="85.5">
      <c r="A4" s="26">
        <v>200</v>
      </c>
      <c r="B4" s="26" t="s">
        <v>1130</v>
      </c>
      <c r="C4" s="1">
        <v>2024</v>
      </c>
      <c r="G4" s="36" t="s">
        <v>3532</v>
      </c>
      <c r="H4" s="36"/>
      <c r="I4" s="36"/>
      <c r="J4" s="36"/>
    </row>
    <row r="5" spans="1:16" ht="42.75">
      <c r="A5" s="26">
        <v>443</v>
      </c>
      <c r="B5" s="26" t="s">
        <v>2268</v>
      </c>
      <c r="C5" s="1">
        <v>2007</v>
      </c>
      <c r="D5" s="26" t="s">
        <v>3212</v>
      </c>
      <c r="G5" s="36" t="s">
        <v>3533</v>
      </c>
      <c r="H5" s="36"/>
      <c r="I5" s="36"/>
      <c r="J5" s="36"/>
      <c r="L5" s="45" t="s">
        <v>3569</v>
      </c>
      <c r="M5" s="45"/>
      <c r="N5" s="45"/>
      <c r="O5" s="45"/>
      <c r="P5" s="45"/>
    </row>
    <row r="6" spans="1:16" ht="42.75">
      <c r="A6" s="27">
        <v>331</v>
      </c>
      <c r="B6" s="27" t="s">
        <v>1748</v>
      </c>
      <c r="C6" s="19">
        <v>2006</v>
      </c>
      <c r="G6" s="36" t="s">
        <v>3535</v>
      </c>
      <c r="H6" s="36"/>
      <c r="I6" s="36"/>
      <c r="J6" s="36"/>
      <c r="L6" s="44" t="s">
        <v>3570</v>
      </c>
      <c r="M6" s="44"/>
      <c r="N6" s="44"/>
      <c r="O6" s="44"/>
      <c r="P6" s="44"/>
    </row>
    <row r="7" spans="1:16" ht="28.5">
      <c r="A7" s="27">
        <v>183</v>
      </c>
      <c r="B7" s="27" t="s">
        <v>1040</v>
      </c>
      <c r="C7" s="19">
        <v>2006</v>
      </c>
      <c r="G7" s="36" t="s">
        <v>3547</v>
      </c>
      <c r="H7" s="36"/>
      <c r="I7" s="36"/>
      <c r="J7" s="36"/>
    </row>
    <row r="8" spans="1:16" ht="57">
      <c r="A8" s="26">
        <v>58</v>
      </c>
      <c r="B8" s="26" t="s">
        <v>360</v>
      </c>
      <c r="C8" s="1">
        <v>2013</v>
      </c>
      <c r="D8" s="26" t="s">
        <v>3567</v>
      </c>
      <c r="G8" s="36" t="s">
        <v>3548</v>
      </c>
      <c r="H8" s="36"/>
      <c r="I8" s="36"/>
      <c r="J8" s="36"/>
    </row>
    <row r="9" spans="1:16" ht="42.75">
      <c r="A9" s="25">
        <v>41</v>
      </c>
      <c r="B9" s="25" t="s">
        <v>260</v>
      </c>
      <c r="C9" s="12">
        <v>2022</v>
      </c>
      <c r="D9" s="25" t="s">
        <v>3217</v>
      </c>
      <c r="E9" s="43" t="s">
        <v>3568</v>
      </c>
    </row>
    <row r="10" spans="1:16" ht="57">
      <c r="A10" s="26">
        <v>186</v>
      </c>
      <c r="B10" s="26" t="s">
        <v>1059</v>
      </c>
      <c r="C10" s="1">
        <v>2020</v>
      </c>
      <c r="D10" s="26" t="s">
        <v>3518</v>
      </c>
      <c r="G10" s="46" t="s">
        <v>3573</v>
      </c>
      <c r="H10" s="46"/>
      <c r="I10" s="46"/>
      <c r="J10" s="46"/>
      <c r="K10" s="36"/>
    </row>
    <row r="11" spans="1:16" ht="42.75">
      <c r="A11" s="26">
        <v>497</v>
      </c>
      <c r="B11" s="26" t="s">
        <v>2526</v>
      </c>
      <c r="C11" s="1">
        <v>2023</v>
      </c>
      <c r="D11" s="26" t="s">
        <v>3218</v>
      </c>
      <c r="G11" s="46" t="s">
        <v>3574</v>
      </c>
      <c r="H11" s="36"/>
      <c r="I11" s="36"/>
      <c r="J11" s="36"/>
      <c r="K11" s="36"/>
    </row>
    <row r="12" spans="1:16" ht="42.75">
      <c r="A12" s="26">
        <v>481</v>
      </c>
      <c r="B12" s="26" t="s">
        <v>2448</v>
      </c>
      <c r="C12" s="1">
        <v>2022</v>
      </c>
      <c r="D12" s="26" t="s">
        <v>3575</v>
      </c>
    </row>
    <row r="13" spans="1:16" ht="28.5">
      <c r="A13" s="26">
        <v>260</v>
      </c>
      <c r="B13" s="26" t="s">
        <v>1432</v>
      </c>
      <c r="C13" s="1">
        <v>2021</v>
      </c>
    </row>
    <row r="14" spans="1:16" ht="28.5">
      <c r="A14" s="26">
        <v>260</v>
      </c>
      <c r="B14" s="26" t="s">
        <v>1432</v>
      </c>
      <c r="C14" s="1">
        <v>2021</v>
      </c>
    </row>
    <row r="15" spans="1:16" ht="87">
      <c r="A15" s="25">
        <v>410</v>
      </c>
      <c r="B15" s="25" t="s">
        <v>2117</v>
      </c>
      <c r="C15" s="12">
        <v>2013</v>
      </c>
      <c r="D15" s="25" t="s">
        <v>3578</v>
      </c>
      <c r="E15" s="43"/>
    </row>
    <row r="16" spans="1:16" ht="57">
      <c r="A16" s="26">
        <v>180</v>
      </c>
      <c r="B16" s="26" t="s">
        <v>1026</v>
      </c>
      <c r="C16" s="1">
        <v>2015</v>
      </c>
      <c r="D16" s="26" t="s">
        <v>3581</v>
      </c>
    </row>
    <row r="17" spans="1:4" ht="57">
      <c r="A17" s="26">
        <v>11</v>
      </c>
      <c r="B17" s="26" t="s">
        <v>79</v>
      </c>
      <c r="C17" s="1">
        <v>2010</v>
      </c>
    </row>
    <row r="18" spans="1:4" ht="57">
      <c r="A18" s="26">
        <v>11</v>
      </c>
      <c r="B18" s="26" t="s">
        <v>79</v>
      </c>
      <c r="C18" s="1">
        <v>2010</v>
      </c>
    </row>
    <row r="19" spans="1:4" ht="57">
      <c r="A19" s="26">
        <v>11</v>
      </c>
      <c r="B19" s="26" t="s">
        <v>79</v>
      </c>
      <c r="C19" s="1">
        <v>2010</v>
      </c>
    </row>
    <row r="20" spans="1:4" ht="57">
      <c r="A20" s="26">
        <v>11</v>
      </c>
      <c r="B20" s="26" t="s">
        <v>79</v>
      </c>
      <c r="C20" s="1">
        <v>2010</v>
      </c>
    </row>
    <row r="21" spans="1:4" ht="57">
      <c r="A21" s="26">
        <v>11</v>
      </c>
      <c r="B21" s="26" t="s">
        <v>79</v>
      </c>
      <c r="C21" s="1">
        <v>2010</v>
      </c>
    </row>
    <row r="22" spans="1:4" ht="57">
      <c r="A22" s="26">
        <v>11</v>
      </c>
      <c r="B22" s="26" t="s">
        <v>79</v>
      </c>
      <c r="C22" s="1">
        <v>2010</v>
      </c>
    </row>
    <row r="23" spans="1:4" ht="57">
      <c r="A23" s="26">
        <v>11</v>
      </c>
      <c r="B23" s="26" t="s">
        <v>79</v>
      </c>
      <c r="C23" s="1">
        <v>2010</v>
      </c>
    </row>
    <row r="24" spans="1:4" ht="57">
      <c r="A24" s="26">
        <v>11</v>
      </c>
      <c r="B24" s="26" t="s">
        <v>79</v>
      </c>
      <c r="C24" s="1">
        <v>2010</v>
      </c>
    </row>
    <row r="25" spans="1:4" ht="71.25">
      <c r="A25" s="26">
        <v>521</v>
      </c>
      <c r="B25" s="26" t="s">
        <v>2634</v>
      </c>
      <c r="C25" s="1">
        <v>2020</v>
      </c>
    </row>
    <row r="26" spans="1:4">
      <c r="A26" s="26">
        <v>291</v>
      </c>
      <c r="B26" s="26" t="s">
        <v>1566</v>
      </c>
      <c r="C26" s="1">
        <v>2002</v>
      </c>
    </row>
    <row r="27" spans="1:4" ht="28.5">
      <c r="A27" s="26">
        <v>493</v>
      </c>
      <c r="B27" s="26" t="s">
        <v>2507</v>
      </c>
      <c r="C27" s="1">
        <v>2023</v>
      </c>
    </row>
    <row r="28" spans="1:4" ht="42.75">
      <c r="A28" s="26">
        <v>493</v>
      </c>
      <c r="B28" s="26" t="s">
        <v>2507</v>
      </c>
      <c r="C28" s="1">
        <v>2023</v>
      </c>
      <c r="D28" s="26" t="s">
        <v>3021</v>
      </c>
    </row>
    <row r="29" spans="1:4" ht="28.5">
      <c r="A29" s="26">
        <v>493</v>
      </c>
      <c r="B29" s="26" t="s">
        <v>2507</v>
      </c>
      <c r="C29" s="1">
        <v>2023</v>
      </c>
    </row>
    <row r="30" spans="1:4" ht="57">
      <c r="A30" s="26">
        <v>44</v>
      </c>
      <c r="B30" s="26" t="s">
        <v>274</v>
      </c>
      <c r="C30" s="1">
        <v>2016</v>
      </c>
      <c r="D30" s="25" t="s">
        <v>3224</v>
      </c>
    </row>
    <row r="31" spans="1:4" ht="42.75">
      <c r="A31" s="26">
        <v>154</v>
      </c>
      <c r="B31" s="26" t="s">
        <v>890</v>
      </c>
      <c r="C31" s="1">
        <v>2011</v>
      </c>
    </row>
    <row r="32" spans="1:4" ht="28.5">
      <c r="A32" s="26">
        <v>215</v>
      </c>
      <c r="B32" s="26" t="s">
        <v>1203</v>
      </c>
      <c r="C32" s="1">
        <v>2001</v>
      </c>
    </row>
    <row r="33" spans="1:4" ht="28.5">
      <c r="A33" s="26">
        <v>215</v>
      </c>
      <c r="B33" s="26" t="s">
        <v>1203</v>
      </c>
      <c r="C33" s="1">
        <v>2001</v>
      </c>
    </row>
    <row r="34" spans="1:4">
      <c r="A34" s="26">
        <v>191</v>
      </c>
      <c r="B34" s="26" t="s">
        <v>1089</v>
      </c>
      <c r="C34" s="1">
        <v>1983</v>
      </c>
    </row>
    <row r="35" spans="1:4" ht="71.25">
      <c r="A35" s="26">
        <v>10</v>
      </c>
      <c r="B35" s="26" t="s">
        <v>75</v>
      </c>
      <c r="C35" s="1">
        <v>2020</v>
      </c>
    </row>
    <row r="36" spans="1:4" ht="57">
      <c r="A36" s="26">
        <v>449</v>
      </c>
      <c r="B36" s="26" t="s">
        <v>2294</v>
      </c>
      <c r="C36" s="1">
        <v>2019</v>
      </c>
    </row>
    <row r="37" spans="1:4">
      <c r="A37" s="26">
        <v>21</v>
      </c>
      <c r="B37" s="26" t="s">
        <v>135</v>
      </c>
      <c r="C37" s="1">
        <v>2005</v>
      </c>
    </row>
    <row r="38" spans="1:4">
      <c r="A38" s="26">
        <v>21</v>
      </c>
      <c r="B38" s="26" t="s">
        <v>135</v>
      </c>
      <c r="C38" s="1">
        <v>2005</v>
      </c>
    </row>
    <row r="39" spans="1:4">
      <c r="A39" s="26">
        <v>21</v>
      </c>
      <c r="B39" s="26" t="s">
        <v>135</v>
      </c>
      <c r="C39" s="1">
        <v>2005</v>
      </c>
    </row>
    <row r="40" spans="1:4" ht="42.75">
      <c r="A40" s="26">
        <v>92</v>
      </c>
      <c r="B40" s="26" t="s">
        <v>555</v>
      </c>
      <c r="C40" s="1">
        <v>2009</v>
      </c>
      <c r="D40" s="25" t="s">
        <v>3271</v>
      </c>
    </row>
    <row r="41" spans="1:4" ht="42.75">
      <c r="A41" s="26">
        <v>389</v>
      </c>
      <c r="B41" s="26" t="s">
        <v>2028</v>
      </c>
      <c r="C41" s="1">
        <v>2019</v>
      </c>
    </row>
    <row r="42" spans="1:4" ht="42.75">
      <c r="A42" s="26">
        <v>389</v>
      </c>
      <c r="B42" s="26" t="s">
        <v>2028</v>
      </c>
      <c r="C42" s="1">
        <v>2019</v>
      </c>
    </row>
    <row r="43" spans="1:4" ht="85.5">
      <c r="A43" s="26">
        <v>141</v>
      </c>
      <c r="B43" s="26" t="s">
        <v>823</v>
      </c>
      <c r="C43" s="1">
        <v>2022</v>
      </c>
    </row>
    <row r="44" spans="1:4" ht="42.75">
      <c r="A44" s="26">
        <v>474</v>
      </c>
      <c r="B44" s="26" t="s">
        <v>2415</v>
      </c>
      <c r="C44" s="1">
        <v>2023</v>
      </c>
    </row>
    <row r="45" spans="1:4" ht="99.75">
      <c r="A45" s="26">
        <v>102</v>
      </c>
      <c r="B45" s="26" t="s">
        <v>609</v>
      </c>
      <c r="C45" s="1">
        <v>2024</v>
      </c>
    </row>
    <row r="46" spans="1:4" ht="28.5">
      <c r="A46" s="26">
        <v>297</v>
      </c>
      <c r="B46" s="26" t="s">
        <v>1602</v>
      </c>
      <c r="C46" s="1">
        <v>2024</v>
      </c>
      <c r="D46" s="25" t="s">
        <v>3276</v>
      </c>
    </row>
    <row r="47" spans="1:4" ht="42.75">
      <c r="A47" s="26">
        <v>111</v>
      </c>
      <c r="B47" s="26" t="s">
        <v>654</v>
      </c>
      <c r="C47" s="1">
        <v>2019</v>
      </c>
    </row>
    <row r="48" spans="1:4" ht="42.75">
      <c r="A48" s="26">
        <v>111</v>
      </c>
      <c r="B48" s="26" t="s">
        <v>654</v>
      </c>
      <c r="C48" s="1">
        <v>2019</v>
      </c>
    </row>
    <row r="49" spans="1:3" ht="42.75">
      <c r="A49" s="26">
        <v>111</v>
      </c>
      <c r="B49" s="26" t="s">
        <v>654</v>
      </c>
      <c r="C49" s="1">
        <v>2019</v>
      </c>
    </row>
    <row r="50" spans="1:3" ht="42.75">
      <c r="A50" s="26">
        <v>111</v>
      </c>
      <c r="B50" s="26" t="s">
        <v>654</v>
      </c>
      <c r="C50" s="1">
        <v>2019</v>
      </c>
    </row>
    <row r="51" spans="1:3" ht="42.75">
      <c r="A51" s="26">
        <v>76</v>
      </c>
      <c r="B51" s="26" t="s">
        <v>463</v>
      </c>
      <c r="C51" s="1">
        <v>2016</v>
      </c>
    </row>
    <row r="52" spans="1:3" ht="42.75">
      <c r="A52" s="26">
        <v>76</v>
      </c>
      <c r="B52" s="26" t="s">
        <v>463</v>
      </c>
      <c r="C52" s="1">
        <v>2016</v>
      </c>
    </row>
    <row r="53" spans="1:3" ht="85.5">
      <c r="A53" s="26">
        <v>359</v>
      </c>
      <c r="B53" s="26" t="s">
        <v>1888</v>
      </c>
      <c r="C53" s="1">
        <v>2016</v>
      </c>
    </row>
    <row r="54" spans="1:3" ht="42.75">
      <c r="A54" s="26">
        <v>562</v>
      </c>
      <c r="B54" s="26" t="s">
        <v>2809</v>
      </c>
      <c r="C54" s="1">
        <v>2023</v>
      </c>
    </row>
    <row r="55" spans="1:3" ht="28.5">
      <c r="A55" s="26">
        <v>174</v>
      </c>
      <c r="B55" s="26" t="s">
        <v>992</v>
      </c>
      <c r="C55" s="1">
        <v>2018</v>
      </c>
    </row>
    <row r="56" spans="1:3" ht="28.5">
      <c r="A56" s="26">
        <v>174</v>
      </c>
      <c r="B56" s="26" t="s">
        <v>992</v>
      </c>
      <c r="C56" s="1">
        <v>2018</v>
      </c>
    </row>
    <row r="57" spans="1:3" ht="28.5">
      <c r="A57" s="26">
        <v>174</v>
      </c>
      <c r="B57" s="26" t="s">
        <v>992</v>
      </c>
      <c r="C57" s="1">
        <v>2018</v>
      </c>
    </row>
    <row r="58" spans="1:3" ht="42.75">
      <c r="A58" s="26">
        <v>436</v>
      </c>
      <c r="B58" s="26" t="s">
        <v>2234</v>
      </c>
      <c r="C58" s="1">
        <v>2013</v>
      </c>
    </row>
    <row r="59" spans="1:3" ht="42.75">
      <c r="A59" s="26">
        <v>442</v>
      </c>
      <c r="B59" s="26" t="s">
        <v>2264</v>
      </c>
      <c r="C59" s="1">
        <v>2015</v>
      </c>
    </row>
    <row r="60" spans="1:3" ht="42.75">
      <c r="A60" s="26">
        <v>251</v>
      </c>
      <c r="B60" s="26" t="s">
        <v>1387</v>
      </c>
      <c r="C60" s="1">
        <v>2013</v>
      </c>
    </row>
    <row r="61" spans="1:3" ht="42.75">
      <c r="A61" s="26">
        <v>251</v>
      </c>
      <c r="B61" s="26" t="s">
        <v>1387</v>
      </c>
      <c r="C61" s="1">
        <v>2013</v>
      </c>
    </row>
    <row r="62" spans="1:3" ht="42.75">
      <c r="A62" s="26">
        <v>251</v>
      </c>
      <c r="B62" s="26" t="s">
        <v>1387</v>
      </c>
      <c r="C62" s="1">
        <v>2013</v>
      </c>
    </row>
    <row r="63" spans="1:3" ht="42.75">
      <c r="A63" s="26">
        <v>471</v>
      </c>
      <c r="B63" s="26" t="s">
        <v>2401</v>
      </c>
      <c r="C63" s="1">
        <v>2016</v>
      </c>
    </row>
    <row r="64" spans="1:3" ht="28.5">
      <c r="A64" s="26">
        <v>152</v>
      </c>
      <c r="B64" s="26" t="s">
        <v>879</v>
      </c>
      <c r="C64" s="1">
        <v>2013</v>
      </c>
    </row>
    <row r="65" spans="1:3" ht="28.5">
      <c r="A65" s="26">
        <v>152</v>
      </c>
      <c r="B65" s="26" t="s">
        <v>879</v>
      </c>
      <c r="C65" s="1">
        <v>2013</v>
      </c>
    </row>
    <row r="66" spans="1:3" ht="28.5">
      <c r="A66" s="26">
        <v>152</v>
      </c>
      <c r="B66" s="26" t="s">
        <v>879</v>
      </c>
      <c r="C66" s="1">
        <v>2013</v>
      </c>
    </row>
    <row r="67" spans="1:3" ht="28.5">
      <c r="A67" s="26">
        <v>425</v>
      </c>
      <c r="B67" s="26" t="s">
        <v>2187</v>
      </c>
      <c r="C67" s="1">
        <v>2021</v>
      </c>
    </row>
    <row r="68" spans="1:3" ht="85.5">
      <c r="A68" s="26">
        <v>356</v>
      </c>
      <c r="B68" s="26" t="s">
        <v>1873</v>
      </c>
      <c r="C68" s="1">
        <v>2020</v>
      </c>
    </row>
    <row r="69" spans="1:3">
      <c r="A69" s="26">
        <v>368</v>
      </c>
      <c r="B69" s="26" t="s">
        <v>1609</v>
      </c>
      <c r="C69" s="1">
        <v>1995</v>
      </c>
    </row>
    <row r="70" spans="1:3">
      <c r="A70" s="26">
        <v>419</v>
      </c>
      <c r="B70" s="26" t="s">
        <v>2157</v>
      </c>
      <c r="C70" s="1">
        <v>1997</v>
      </c>
    </row>
    <row r="71" spans="1:3">
      <c r="A71" s="26">
        <v>419</v>
      </c>
      <c r="B71" s="26" t="s">
        <v>2157</v>
      </c>
      <c r="C71" s="1">
        <v>1997</v>
      </c>
    </row>
    <row r="72" spans="1:3" ht="42.75">
      <c r="A72" s="26">
        <v>545</v>
      </c>
      <c r="B72" s="26" t="s">
        <v>2738</v>
      </c>
      <c r="C72" s="1">
        <v>2024</v>
      </c>
    </row>
    <row r="73" spans="1:3" ht="42.75">
      <c r="A73" s="26">
        <v>372</v>
      </c>
      <c r="B73" s="26" t="s">
        <v>1954</v>
      </c>
      <c r="C73" s="1">
        <v>2010</v>
      </c>
    </row>
    <row r="74" spans="1:3" ht="28.5">
      <c r="A74" s="26">
        <v>29</v>
      </c>
      <c r="B74" s="26" t="s">
        <v>183</v>
      </c>
      <c r="C74" s="1">
        <v>1999</v>
      </c>
    </row>
    <row r="75" spans="1:3" ht="28.5">
      <c r="A75" s="26">
        <v>29</v>
      </c>
      <c r="B75" s="26" t="s">
        <v>183</v>
      </c>
      <c r="C75" s="1">
        <v>1999</v>
      </c>
    </row>
    <row r="76" spans="1:3">
      <c r="A76" s="26">
        <v>208</v>
      </c>
      <c r="B76" s="26" t="s">
        <v>1167</v>
      </c>
      <c r="C76" s="1">
        <v>2020</v>
      </c>
    </row>
    <row r="77" spans="1:3" ht="71.25">
      <c r="A77" s="26">
        <v>271</v>
      </c>
      <c r="B77" s="26" t="s">
        <v>1479</v>
      </c>
      <c r="C77" s="1">
        <v>2012</v>
      </c>
    </row>
    <row r="78" spans="1:3">
      <c r="A78" s="26">
        <v>404</v>
      </c>
      <c r="B78" s="26" t="s">
        <v>2090</v>
      </c>
      <c r="C78" s="1">
        <v>1999</v>
      </c>
    </row>
    <row r="79" spans="1:3" ht="28.5">
      <c r="A79" s="26">
        <v>35</v>
      </c>
      <c r="B79" s="26" t="s">
        <v>222</v>
      </c>
      <c r="C79" s="1">
        <v>2005</v>
      </c>
    </row>
    <row r="80" spans="1:3" ht="42.75">
      <c r="A80" s="26">
        <v>45</v>
      </c>
      <c r="B80" s="26" t="s">
        <v>280</v>
      </c>
      <c r="C80" s="1">
        <v>2013</v>
      </c>
    </row>
    <row r="81" spans="1:3" ht="42.75">
      <c r="A81" s="26">
        <v>45</v>
      </c>
      <c r="B81" s="26" t="s">
        <v>280</v>
      </c>
      <c r="C81" s="1">
        <v>2013</v>
      </c>
    </row>
    <row r="82" spans="1:3" ht="28.5">
      <c r="A82" s="26">
        <v>96</v>
      </c>
      <c r="B82" s="26" t="s">
        <v>577</v>
      </c>
      <c r="C82" s="1">
        <v>2011</v>
      </c>
    </row>
    <row r="83" spans="1:3" ht="28.5">
      <c r="A83" s="26">
        <v>96</v>
      </c>
      <c r="B83" s="26" t="s">
        <v>577</v>
      </c>
      <c r="C83" s="1">
        <v>2011</v>
      </c>
    </row>
    <row r="84" spans="1:3" ht="42.75">
      <c r="A84" s="26">
        <v>480</v>
      </c>
      <c r="B84" s="26" t="s">
        <v>2443</v>
      </c>
      <c r="C84" s="1">
        <v>2023</v>
      </c>
    </row>
    <row r="85" spans="1:3" ht="42.75">
      <c r="A85" s="26">
        <v>480</v>
      </c>
      <c r="B85" s="26" t="s">
        <v>2443</v>
      </c>
      <c r="C85" s="1">
        <v>2023</v>
      </c>
    </row>
    <row r="86" spans="1:3" ht="42.75">
      <c r="A86" s="26">
        <v>480</v>
      </c>
      <c r="B86" s="26" t="s">
        <v>2443</v>
      </c>
      <c r="C86" s="1">
        <v>2023</v>
      </c>
    </row>
    <row r="87" spans="1:3" ht="42.75">
      <c r="A87" s="26">
        <v>480</v>
      </c>
      <c r="B87" s="26" t="s">
        <v>2443</v>
      </c>
      <c r="C87" s="1">
        <v>2023</v>
      </c>
    </row>
    <row r="88" spans="1:3" ht="71.25">
      <c r="A88" s="26">
        <v>94</v>
      </c>
      <c r="B88" s="26" t="s">
        <v>563</v>
      </c>
      <c r="C88" s="1">
        <v>2016</v>
      </c>
    </row>
    <row r="89" spans="1:3">
      <c r="A89" s="26">
        <v>477</v>
      </c>
      <c r="B89" s="26" t="s">
        <v>2429</v>
      </c>
      <c r="C89" s="1">
        <v>2014</v>
      </c>
    </row>
    <row r="90" spans="1:3" ht="42.75">
      <c r="A90" s="26">
        <v>257</v>
      </c>
      <c r="B90" s="26" t="s">
        <v>1419</v>
      </c>
      <c r="C90" s="1">
        <v>2006</v>
      </c>
    </row>
    <row r="91" spans="1:3" ht="85.5">
      <c r="A91" s="26">
        <v>467</v>
      </c>
      <c r="B91" s="26" t="s">
        <v>2382</v>
      </c>
      <c r="C91" s="1">
        <v>2023</v>
      </c>
    </row>
    <row r="92" spans="1:3" ht="71.25">
      <c r="A92" s="26">
        <v>460</v>
      </c>
      <c r="B92" s="26" t="s">
        <v>2347</v>
      </c>
      <c r="C92" s="1">
        <v>2023</v>
      </c>
    </row>
    <row r="93" spans="1:3" ht="28.5">
      <c r="A93" s="26">
        <v>209</v>
      </c>
      <c r="B93" s="26" t="s">
        <v>1171</v>
      </c>
      <c r="C93" s="1">
        <v>2001</v>
      </c>
    </row>
    <row r="94" spans="1:3" ht="28.5">
      <c r="A94" s="26">
        <v>138</v>
      </c>
      <c r="B94" s="26" t="s">
        <v>807</v>
      </c>
      <c r="C94" s="1">
        <v>2014</v>
      </c>
    </row>
    <row r="95" spans="1:3" ht="28.5">
      <c r="A95" s="26">
        <v>138</v>
      </c>
      <c r="B95" s="26" t="s">
        <v>807</v>
      </c>
      <c r="C95" s="1">
        <v>2014</v>
      </c>
    </row>
    <row r="96" spans="1:3" ht="28.5">
      <c r="A96" s="26">
        <v>488</v>
      </c>
      <c r="B96" s="26" t="s">
        <v>2479</v>
      </c>
      <c r="C96" s="1">
        <v>2008</v>
      </c>
    </row>
    <row r="97" spans="1:3" ht="28.5">
      <c r="A97" s="26">
        <v>488</v>
      </c>
      <c r="B97" s="26" t="s">
        <v>2479</v>
      </c>
      <c r="C97" s="1">
        <v>2008</v>
      </c>
    </row>
    <row r="98" spans="1:3" ht="28.5">
      <c r="A98" s="26">
        <v>488</v>
      </c>
      <c r="B98" s="26" t="s">
        <v>2479</v>
      </c>
      <c r="C98" s="1">
        <v>2008</v>
      </c>
    </row>
    <row r="99" spans="1:3" ht="28.5">
      <c r="A99" s="26">
        <v>488</v>
      </c>
      <c r="B99" s="26" t="s">
        <v>2479</v>
      </c>
      <c r="C99" s="1">
        <v>2008</v>
      </c>
    </row>
    <row r="100" spans="1:3">
      <c r="A100" s="26">
        <v>434</v>
      </c>
      <c r="B100" s="26" t="s">
        <v>2224</v>
      </c>
      <c r="C100" s="1">
        <v>2005</v>
      </c>
    </row>
    <row r="101" spans="1:3" ht="28.5">
      <c r="A101" s="26">
        <v>537</v>
      </c>
      <c r="B101" s="26" t="s">
        <v>2701</v>
      </c>
      <c r="C101" s="1">
        <v>1994</v>
      </c>
    </row>
    <row r="102" spans="1:3" ht="28.5">
      <c r="A102" s="26">
        <v>137</v>
      </c>
      <c r="B102" s="26" t="s">
        <v>802</v>
      </c>
      <c r="C102" s="1">
        <v>2021</v>
      </c>
    </row>
    <row r="103" spans="1:3" ht="57">
      <c r="A103" s="26">
        <v>121</v>
      </c>
      <c r="B103" s="26" t="s">
        <v>709</v>
      </c>
      <c r="C103" s="1">
        <v>2014</v>
      </c>
    </row>
    <row r="104" spans="1:3" ht="114">
      <c r="A104" s="26">
        <v>457</v>
      </c>
      <c r="B104" s="26" t="s">
        <v>2331</v>
      </c>
      <c r="C104" s="1">
        <v>2022</v>
      </c>
    </row>
    <row r="105" spans="1:3" ht="28.5">
      <c r="A105" s="26">
        <v>288</v>
      </c>
      <c r="B105" s="26" t="s">
        <v>1554</v>
      </c>
      <c r="C105" s="1">
        <v>1987</v>
      </c>
    </row>
    <row r="106" spans="1:3" ht="57">
      <c r="A106" s="26">
        <v>70</v>
      </c>
      <c r="B106" s="26" t="s">
        <v>432</v>
      </c>
      <c r="C106" s="1">
        <v>2021</v>
      </c>
    </row>
    <row r="107" spans="1:3" ht="57">
      <c r="A107" s="26">
        <v>70</v>
      </c>
      <c r="B107" s="26" t="s">
        <v>432</v>
      </c>
      <c r="C107" s="1">
        <v>2021</v>
      </c>
    </row>
    <row r="108" spans="1:3" ht="28.5">
      <c r="A108" s="26">
        <v>279</v>
      </c>
      <c r="B108" s="26" t="s">
        <v>1517</v>
      </c>
      <c r="C108" s="1">
        <v>2015</v>
      </c>
    </row>
    <row r="109" spans="1:3" ht="42.75">
      <c r="A109" s="26">
        <v>438</v>
      </c>
      <c r="B109" s="26" t="s">
        <v>2246</v>
      </c>
      <c r="C109" s="1">
        <v>2022</v>
      </c>
    </row>
    <row r="110" spans="1:3" ht="28.5">
      <c r="A110" s="26">
        <v>564</v>
      </c>
      <c r="B110" s="26" t="s">
        <v>2821</v>
      </c>
      <c r="C110" s="1">
        <v>2023</v>
      </c>
    </row>
    <row r="111" spans="1:3" ht="57">
      <c r="A111" s="26">
        <v>107</v>
      </c>
      <c r="B111" s="26" t="s">
        <v>634</v>
      </c>
      <c r="C111" s="1">
        <v>2022</v>
      </c>
    </row>
    <row r="112" spans="1:3" ht="57">
      <c r="A112" s="26">
        <v>107</v>
      </c>
      <c r="B112" s="26" t="s">
        <v>634</v>
      </c>
      <c r="C112" s="1">
        <v>2022</v>
      </c>
    </row>
    <row r="113" spans="1:3" ht="57">
      <c r="A113" s="26">
        <v>107</v>
      </c>
      <c r="B113" s="26" t="s">
        <v>634</v>
      </c>
      <c r="C113" s="1">
        <v>2022</v>
      </c>
    </row>
    <row r="114" spans="1:3" ht="57">
      <c r="A114" s="26">
        <v>107</v>
      </c>
      <c r="B114" s="26" t="s">
        <v>634</v>
      </c>
      <c r="C114" s="1">
        <v>2022</v>
      </c>
    </row>
    <row r="115" spans="1:3" ht="57">
      <c r="A115" s="26">
        <v>107</v>
      </c>
      <c r="B115" s="26" t="s">
        <v>634</v>
      </c>
      <c r="C115" s="1">
        <v>2022</v>
      </c>
    </row>
    <row r="116" spans="1:3" ht="57">
      <c r="A116" s="26">
        <v>107</v>
      </c>
      <c r="B116" s="26" t="s">
        <v>634</v>
      </c>
      <c r="C116" s="1">
        <v>2022</v>
      </c>
    </row>
    <row r="117" spans="1:3" ht="57">
      <c r="A117" s="26">
        <v>199</v>
      </c>
      <c r="B117" s="26" t="s">
        <v>1126</v>
      </c>
      <c r="C117" s="1">
        <v>2019</v>
      </c>
    </row>
    <row r="118" spans="1:3" ht="57">
      <c r="A118" s="26">
        <v>199</v>
      </c>
      <c r="B118" s="26" t="s">
        <v>1126</v>
      </c>
      <c r="C118" s="1">
        <v>2019</v>
      </c>
    </row>
    <row r="119" spans="1:3" ht="57">
      <c r="A119" s="26">
        <v>199</v>
      </c>
      <c r="B119" s="26" t="s">
        <v>1126</v>
      </c>
      <c r="C119" s="1">
        <v>2019</v>
      </c>
    </row>
    <row r="120" spans="1:3" ht="57">
      <c r="A120" s="26">
        <v>199</v>
      </c>
      <c r="B120" s="26" t="s">
        <v>1126</v>
      </c>
      <c r="C120" s="1">
        <v>2019</v>
      </c>
    </row>
    <row r="121" spans="1:3" ht="57">
      <c r="A121" s="26">
        <v>199</v>
      </c>
      <c r="B121" s="26" t="s">
        <v>1126</v>
      </c>
      <c r="C121" s="1">
        <v>2019</v>
      </c>
    </row>
    <row r="122" spans="1:3" ht="57">
      <c r="A122" s="26">
        <v>199</v>
      </c>
      <c r="B122" s="26" t="s">
        <v>1126</v>
      </c>
      <c r="C122" s="1">
        <v>2019</v>
      </c>
    </row>
    <row r="123" spans="1:3" ht="28.5">
      <c r="A123" s="26">
        <v>43</v>
      </c>
      <c r="B123" s="26" t="s">
        <v>270</v>
      </c>
      <c r="C123" s="1">
        <v>2023</v>
      </c>
    </row>
    <row r="124" spans="1:3" ht="28.5">
      <c r="A124" s="26">
        <v>225</v>
      </c>
      <c r="B124" s="26" t="s">
        <v>1257</v>
      </c>
      <c r="C124" s="1">
        <v>2008</v>
      </c>
    </row>
    <row r="125" spans="1:3">
      <c r="A125" s="26">
        <v>119</v>
      </c>
      <c r="B125" s="26" t="s">
        <v>699</v>
      </c>
      <c r="C125" s="1">
        <v>1994</v>
      </c>
    </row>
    <row r="126" spans="1:3" ht="71.25">
      <c r="A126" s="26">
        <v>239</v>
      </c>
      <c r="B126" s="26" t="s">
        <v>1326</v>
      </c>
      <c r="C126" s="1">
        <v>2021</v>
      </c>
    </row>
    <row r="127" spans="1:3" ht="42.75">
      <c r="A127" s="26">
        <v>559</v>
      </c>
      <c r="B127" s="26" t="s">
        <v>2790</v>
      </c>
      <c r="C127" s="1">
        <v>2018</v>
      </c>
    </row>
    <row r="128" spans="1:3" ht="28.5">
      <c r="A128" s="26">
        <v>398</v>
      </c>
      <c r="B128" s="26" t="s">
        <v>2070</v>
      </c>
      <c r="C128" s="1">
        <v>2023</v>
      </c>
    </row>
    <row r="129" spans="1:4" ht="57">
      <c r="A129" s="26">
        <v>238</v>
      </c>
      <c r="B129" s="26" t="s">
        <v>1322</v>
      </c>
      <c r="C129" s="1">
        <v>2021</v>
      </c>
      <c r="D129" s="27"/>
    </row>
    <row r="130" spans="1:4" ht="57">
      <c r="A130" s="26">
        <v>238</v>
      </c>
      <c r="B130" s="26" t="s">
        <v>1322</v>
      </c>
      <c r="C130" s="1">
        <v>2021</v>
      </c>
      <c r="D130" s="27"/>
    </row>
    <row r="131" spans="1:4" ht="57">
      <c r="A131" s="26">
        <v>238</v>
      </c>
      <c r="B131" s="26" t="s">
        <v>1322</v>
      </c>
      <c r="C131" s="1">
        <v>2021</v>
      </c>
    </row>
    <row r="132" spans="1:4" ht="57">
      <c r="A132" s="26">
        <v>238</v>
      </c>
      <c r="B132" s="26" t="s">
        <v>1322</v>
      </c>
      <c r="C132" s="1">
        <v>2021</v>
      </c>
    </row>
    <row r="133" spans="1:4" ht="57">
      <c r="A133" s="26">
        <v>534</v>
      </c>
      <c r="B133" s="26" t="s">
        <v>2691</v>
      </c>
      <c r="C133" s="1">
        <v>2022</v>
      </c>
    </row>
    <row r="134" spans="1:4" ht="57">
      <c r="A134" s="26">
        <v>520</v>
      </c>
      <c r="B134" s="26" t="s">
        <v>2630</v>
      </c>
      <c r="C134" s="1">
        <v>2020</v>
      </c>
    </row>
    <row r="135" spans="1:4" ht="28.5">
      <c r="A135" s="26">
        <v>294</v>
      </c>
      <c r="B135" s="26" t="s">
        <v>1584</v>
      </c>
      <c r="C135" s="1">
        <v>2016</v>
      </c>
    </row>
    <row r="136" spans="1:4" ht="28.5">
      <c r="A136" s="26">
        <v>213</v>
      </c>
      <c r="B136" s="26" t="s">
        <v>1192</v>
      </c>
      <c r="C136" s="1">
        <v>2014</v>
      </c>
    </row>
    <row r="137" spans="1:4" ht="28.5">
      <c r="A137" s="26">
        <v>213</v>
      </c>
      <c r="B137" s="26" t="s">
        <v>1192</v>
      </c>
      <c r="C137" s="1">
        <v>2014</v>
      </c>
    </row>
    <row r="138" spans="1:4">
      <c r="A138" s="26">
        <v>295</v>
      </c>
      <c r="B138" s="26" t="s">
        <v>1590</v>
      </c>
      <c r="C138" s="1">
        <v>2010</v>
      </c>
    </row>
    <row r="139" spans="1:4" ht="28.5">
      <c r="A139" s="26">
        <v>188</v>
      </c>
      <c r="B139" s="26" t="s">
        <v>1071</v>
      </c>
      <c r="C139" s="1">
        <v>2008</v>
      </c>
    </row>
    <row r="140" spans="1:4" ht="57">
      <c r="A140" s="26">
        <v>221</v>
      </c>
      <c r="B140" s="26" t="s">
        <v>1235</v>
      </c>
      <c r="C140" s="1">
        <v>2021</v>
      </c>
    </row>
    <row r="141" spans="1:4">
      <c r="A141" s="26">
        <v>38</v>
      </c>
      <c r="B141" s="26" t="s">
        <v>242</v>
      </c>
      <c r="C141" s="1">
        <v>2018</v>
      </c>
    </row>
    <row r="142" spans="1:4" ht="28.5">
      <c r="A142" s="26">
        <v>170</v>
      </c>
      <c r="B142" s="26" t="s">
        <v>970</v>
      </c>
      <c r="C142" s="1">
        <v>2021</v>
      </c>
    </row>
    <row r="143" spans="1:4" ht="28.5">
      <c r="A143" s="26">
        <v>170</v>
      </c>
      <c r="B143" s="26" t="s">
        <v>970</v>
      </c>
      <c r="C143" s="1">
        <v>2021</v>
      </c>
    </row>
    <row r="144" spans="1:4" ht="28.5">
      <c r="A144" s="26">
        <v>170</v>
      </c>
      <c r="B144" s="26" t="s">
        <v>970</v>
      </c>
      <c r="C144" s="1">
        <v>2021</v>
      </c>
    </row>
    <row r="145" spans="1:3" ht="28.5">
      <c r="A145" s="26">
        <v>170</v>
      </c>
      <c r="B145" s="26" t="s">
        <v>970</v>
      </c>
      <c r="C145" s="1">
        <v>2021</v>
      </c>
    </row>
    <row r="146" spans="1:3" ht="28.5">
      <c r="A146" s="26">
        <v>170</v>
      </c>
      <c r="B146" s="26" t="s">
        <v>970</v>
      </c>
      <c r="C146" s="1">
        <v>2021</v>
      </c>
    </row>
    <row r="147" spans="1:3" ht="28.5">
      <c r="A147" s="26">
        <v>170</v>
      </c>
      <c r="B147" s="26" t="s">
        <v>970</v>
      </c>
      <c r="C147" s="1">
        <v>2021</v>
      </c>
    </row>
    <row r="148" spans="1:3" ht="28.5">
      <c r="A148" s="26">
        <v>155</v>
      </c>
      <c r="B148" s="26" t="s">
        <v>896</v>
      </c>
      <c r="C148" s="1">
        <v>2004</v>
      </c>
    </row>
    <row r="149" spans="1:3" ht="28.5">
      <c r="A149" s="26">
        <v>155</v>
      </c>
      <c r="B149" s="26" t="s">
        <v>896</v>
      </c>
      <c r="C149" s="1">
        <v>2004</v>
      </c>
    </row>
    <row r="150" spans="1:3" ht="28.5">
      <c r="A150" s="26">
        <v>155</v>
      </c>
      <c r="B150" s="26" t="s">
        <v>896</v>
      </c>
      <c r="C150" s="1">
        <v>2004</v>
      </c>
    </row>
    <row r="151" spans="1:3" ht="28.5">
      <c r="A151" s="26">
        <v>155</v>
      </c>
      <c r="B151" s="26" t="s">
        <v>896</v>
      </c>
      <c r="C151" s="1">
        <v>2004</v>
      </c>
    </row>
    <row r="152" spans="1:3" ht="42.75">
      <c r="A152" s="26">
        <v>108</v>
      </c>
      <c r="B152" s="26" t="s">
        <v>639</v>
      </c>
      <c r="C152" s="1">
        <v>2011</v>
      </c>
    </row>
    <row r="153" spans="1:3" ht="42.75">
      <c r="A153" s="26">
        <v>108</v>
      </c>
      <c r="B153" s="26" t="s">
        <v>639</v>
      </c>
      <c r="C153" s="1">
        <v>2011</v>
      </c>
    </row>
    <row r="154" spans="1:3">
      <c r="A154" s="26">
        <v>350</v>
      </c>
      <c r="B154" s="26" t="s">
        <v>1842</v>
      </c>
      <c r="C154" s="1">
        <v>1999</v>
      </c>
    </row>
    <row r="155" spans="1:3" ht="42.75">
      <c r="A155" s="26">
        <v>211</v>
      </c>
      <c r="B155" s="26" t="s">
        <v>1182</v>
      </c>
      <c r="C155" s="1">
        <v>2013</v>
      </c>
    </row>
    <row r="156" spans="1:3" ht="57">
      <c r="A156" s="26">
        <v>227</v>
      </c>
      <c r="B156" s="26" t="s">
        <v>1266</v>
      </c>
      <c r="C156" s="1">
        <v>2015</v>
      </c>
    </row>
    <row r="157" spans="1:3">
      <c r="A157" s="26">
        <v>245</v>
      </c>
      <c r="B157" s="26" t="s">
        <v>1354</v>
      </c>
      <c r="C157" s="1">
        <v>1997</v>
      </c>
    </row>
    <row r="158" spans="1:3">
      <c r="A158" s="26">
        <v>245</v>
      </c>
      <c r="B158" s="26" t="s">
        <v>1354</v>
      </c>
      <c r="C158" s="1">
        <v>1997</v>
      </c>
    </row>
    <row r="159" spans="1:3">
      <c r="A159" s="26">
        <v>245</v>
      </c>
      <c r="B159" s="26" t="s">
        <v>1354</v>
      </c>
      <c r="C159" s="1">
        <v>1997</v>
      </c>
    </row>
    <row r="160" spans="1:3" ht="28.5">
      <c r="A160" s="26">
        <v>432</v>
      </c>
      <c r="B160" s="26" t="s">
        <v>2216</v>
      </c>
      <c r="C160" s="1">
        <v>2006</v>
      </c>
    </row>
    <row r="161" spans="1:4">
      <c r="A161" s="26">
        <v>396</v>
      </c>
      <c r="B161" s="26" t="s">
        <v>2061</v>
      </c>
      <c r="C161" s="1">
        <v>2004</v>
      </c>
    </row>
    <row r="162" spans="1:4">
      <c r="A162" s="26">
        <v>373</v>
      </c>
      <c r="B162" s="26" t="s">
        <v>1960</v>
      </c>
      <c r="C162" s="1">
        <v>2011</v>
      </c>
    </row>
    <row r="163" spans="1:4" ht="28.5">
      <c r="A163" s="26">
        <v>133</v>
      </c>
      <c r="B163" s="26" t="s">
        <v>780</v>
      </c>
      <c r="C163" s="1">
        <v>2004</v>
      </c>
      <c r="D163" s="26" t="s">
        <v>3553</v>
      </c>
    </row>
    <row r="164" spans="1:4" ht="28.5">
      <c r="A164" s="26">
        <v>8</v>
      </c>
      <c r="B164" s="26" t="s">
        <v>62</v>
      </c>
      <c r="C164" s="1">
        <v>2007</v>
      </c>
    </row>
    <row r="165" spans="1:4" ht="42.75">
      <c r="A165" s="26">
        <v>1</v>
      </c>
      <c r="B165" s="26" t="s">
        <v>13</v>
      </c>
      <c r="C165" s="1">
        <v>2009</v>
      </c>
    </row>
    <row r="166" spans="1:4" ht="42.75">
      <c r="A166" s="26">
        <v>1</v>
      </c>
      <c r="B166" s="26" t="s">
        <v>13</v>
      </c>
      <c r="C166" s="1">
        <v>2009</v>
      </c>
    </row>
    <row r="167" spans="1:4" ht="71.25">
      <c r="A167" s="26">
        <v>228</v>
      </c>
      <c r="B167" s="26" t="s">
        <v>1272</v>
      </c>
      <c r="C167" s="1">
        <v>2023</v>
      </c>
      <c r="D167" s="25" t="s">
        <v>3222</v>
      </c>
    </row>
    <row r="168" spans="1:4" ht="71.25">
      <c r="A168" s="26">
        <v>228</v>
      </c>
      <c r="B168" s="26" t="s">
        <v>1272</v>
      </c>
      <c r="C168" s="1">
        <v>2023</v>
      </c>
    </row>
    <row r="169" spans="1:4" ht="71.25">
      <c r="A169" s="26">
        <v>228</v>
      </c>
      <c r="B169" s="26" t="s">
        <v>1272</v>
      </c>
      <c r="C169" s="1">
        <v>2023</v>
      </c>
    </row>
    <row r="170" spans="1:4" ht="71.25">
      <c r="A170" s="26">
        <v>228</v>
      </c>
      <c r="B170" s="26" t="s">
        <v>1272</v>
      </c>
      <c r="C170" s="1">
        <v>2023</v>
      </c>
    </row>
    <row r="171" spans="1:4" ht="71.25">
      <c r="A171" s="26">
        <v>228</v>
      </c>
      <c r="B171" s="26" t="s">
        <v>1272</v>
      </c>
      <c r="C171" s="1">
        <v>2023</v>
      </c>
    </row>
    <row r="172" spans="1:4" ht="71.25">
      <c r="A172" s="26">
        <v>232</v>
      </c>
      <c r="B172" s="26" t="s">
        <v>1290</v>
      </c>
      <c r="C172" s="1">
        <v>2014</v>
      </c>
      <c r="D172" s="25" t="s">
        <v>3279</v>
      </c>
    </row>
    <row r="173" spans="1:4" ht="57">
      <c r="A173" s="26">
        <v>252</v>
      </c>
      <c r="B173" s="26" t="s">
        <v>1393</v>
      </c>
      <c r="C173" s="1">
        <v>2011</v>
      </c>
      <c r="D173" s="25" t="s">
        <v>3279</v>
      </c>
    </row>
    <row r="174" spans="1:4" ht="42.75">
      <c r="A174" s="26">
        <v>192</v>
      </c>
      <c r="B174" s="26" t="s">
        <v>1095</v>
      </c>
      <c r="C174" s="1">
        <v>2016</v>
      </c>
    </row>
    <row r="175" spans="1:4" ht="42.75">
      <c r="A175" s="26">
        <v>192</v>
      </c>
      <c r="B175" s="26" t="s">
        <v>1095</v>
      </c>
      <c r="C175" s="1">
        <v>2016</v>
      </c>
    </row>
    <row r="176" spans="1:4" ht="71.25">
      <c r="A176" s="26">
        <v>327</v>
      </c>
      <c r="B176" s="26" t="s">
        <v>1735</v>
      </c>
      <c r="C176" s="1">
        <v>2022</v>
      </c>
    </row>
    <row r="177" spans="1:4" ht="28.5">
      <c r="A177" s="26">
        <v>491</v>
      </c>
      <c r="B177" s="26" t="s">
        <v>2494</v>
      </c>
      <c r="C177" s="1">
        <v>2004</v>
      </c>
    </row>
    <row r="178" spans="1:4">
      <c r="A178" s="26">
        <v>256</v>
      </c>
      <c r="B178" s="26" t="s">
        <v>1413</v>
      </c>
      <c r="C178" s="1">
        <v>1995</v>
      </c>
    </row>
    <row r="179" spans="1:4" ht="28.5">
      <c r="A179" s="26">
        <v>254</v>
      </c>
      <c r="B179" s="26" t="s">
        <v>1405</v>
      </c>
      <c r="C179" s="1">
        <v>1994</v>
      </c>
    </row>
    <row r="180" spans="1:4" ht="57">
      <c r="A180" s="26">
        <v>448</v>
      </c>
      <c r="B180" s="26" t="s">
        <v>2290</v>
      </c>
      <c r="C180" s="1">
        <v>2019</v>
      </c>
    </row>
    <row r="181" spans="1:4" ht="72">
      <c r="A181" s="26">
        <v>403</v>
      </c>
      <c r="B181" s="26" t="s">
        <v>2084</v>
      </c>
      <c r="C181" s="1">
        <v>2020</v>
      </c>
      <c r="D181" s="26" t="s">
        <v>3551</v>
      </c>
    </row>
    <row r="182" spans="1:4" ht="57">
      <c r="A182" s="26">
        <v>452</v>
      </c>
      <c r="B182" s="26" t="s">
        <v>2312</v>
      </c>
      <c r="C182" s="1">
        <v>2022</v>
      </c>
    </row>
  </sheetData>
  <autoFilter ref="A1:D1"/>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vt:i4>
      </vt:variant>
      <vt:variant>
        <vt:lpstr>Rangos con nombre</vt:lpstr>
      </vt:variant>
      <vt:variant>
        <vt:i4>1</vt:i4>
      </vt:variant>
    </vt:vector>
  </HeadingPairs>
  <TitlesOfParts>
    <vt:vector size="5" baseType="lpstr">
      <vt:lpstr>metadata_WOS</vt:lpstr>
      <vt:lpstr>means_data</vt:lpstr>
      <vt:lpstr>ordinations_data</vt:lpstr>
      <vt:lpstr>Notes_includedArt</vt:lpstr>
      <vt:lpstr>metadata_WOS!ExternalData_1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Amara Santiesteban Serrano</dc:creator>
  <cp:lastModifiedBy>amara santiesteban serrano</cp:lastModifiedBy>
  <dcterms:created xsi:type="dcterms:W3CDTF">2024-09-09T18:41:41Z</dcterms:created>
  <dcterms:modified xsi:type="dcterms:W3CDTF">2025-10-07T12:41:16Z</dcterms:modified>
</cp:coreProperties>
</file>